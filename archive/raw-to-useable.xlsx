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queryTables/queryTable2.xml" ContentType="application/vnd.openxmlformats-officedocument.spreadsheetml.query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tatuh\Desktop\ISYS2014 DBS\Assignment\isys2014_assignment\archive\"/>
    </mc:Choice>
  </mc:AlternateContent>
  <xr:revisionPtr revIDLastSave="0" documentId="13_ncr:1_{74E811B2-7671-4EC9-A67C-BBA54E59EBD8}" xr6:coauthVersionLast="47" xr6:coauthVersionMax="47" xr10:uidLastSave="{00000000-0000-0000-0000-000000000000}"/>
  <bookViews>
    <workbookView xWindow="-120" yWindow="-120" windowWidth="38640" windowHeight="21120" xr2:uid="{95D4390F-AEE1-40EE-8279-9EF262CFDCBA}"/>
  </bookViews>
  <sheets>
    <sheet name="Sheet1" sheetId="1" r:id="rId1"/>
    <sheet name="Sheet2" sheetId="2" r:id="rId2"/>
    <sheet name="Sheet3" sheetId="3" r:id="rId3"/>
    <sheet name="Sheet4" sheetId="4" r:id="rId4"/>
    <sheet name="Table14" sheetId="6" r:id="rId5"/>
    <sheet name="Sheet5" sheetId="5" r:id="rId6"/>
  </sheets>
  <definedNames>
    <definedName name="ExternalData_1" localSheetId="0" hidden="1">Sheet1!$V$1:$W$406</definedName>
    <definedName name="ExternalData_1" localSheetId="4" hidden="1">Table14!$A$1:$B$406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5" i="3" l="1" a="1"/>
  <c r="D395" i="3"/>
  <c r="D2" i="3" a="1"/>
  <c r="D2" i="3" s="1"/>
  <c r="D3" i="3" a="1"/>
  <c r="D3" i="3" s="1"/>
  <c r="D4" i="3" a="1"/>
  <c r="D4" i="3" s="1"/>
  <c r="D5" i="3" a="1"/>
  <c r="D5" i="3" s="1"/>
  <c r="D6" i="3" a="1"/>
  <c r="D6" i="3" s="1"/>
  <c r="D7" i="3" a="1"/>
  <c r="D7" i="3" s="1"/>
  <c r="D8" i="3" a="1"/>
  <c r="D8" i="3" s="1"/>
  <c r="D9" i="3" a="1"/>
  <c r="D9" i="3" s="1"/>
  <c r="D10" i="3" a="1"/>
  <c r="D10" i="3" s="1"/>
  <c r="D11" i="3" a="1"/>
  <c r="D11" i="3" s="1"/>
  <c r="D12" i="3" a="1"/>
  <c r="D12" i="3" s="1"/>
  <c r="D13" i="3" a="1"/>
  <c r="D13" i="3" s="1"/>
  <c r="D14" i="3" a="1"/>
  <c r="D14" i="3" s="1"/>
  <c r="D15" i="3" a="1"/>
  <c r="D15" i="3" s="1"/>
  <c r="D16" i="3" a="1"/>
  <c r="D16" i="3" s="1"/>
  <c r="D17" i="3" a="1"/>
  <c r="D17" i="3" s="1"/>
  <c r="D18" i="3" a="1"/>
  <c r="D18" i="3"/>
  <c r="D19" i="3" a="1"/>
  <c r="D19" i="3" s="1"/>
  <c r="D20" i="3" a="1"/>
  <c r="D20" i="3" s="1"/>
  <c r="D21" i="3" a="1"/>
  <c r="D21" i="3" s="1"/>
  <c r="D22" i="3" a="1"/>
  <c r="D22" i="3" s="1"/>
  <c r="D23" i="3" a="1"/>
  <c r="D23" i="3" s="1"/>
  <c r="D24" i="3" a="1"/>
  <c r="D24" i="3" s="1"/>
  <c r="D25" i="3" a="1"/>
  <c r="D25" i="3" s="1"/>
  <c r="D26" i="3" a="1"/>
  <c r="D26" i="3" s="1"/>
  <c r="D27" i="3" a="1"/>
  <c r="D27" i="3" s="1"/>
  <c r="D28" i="3" a="1"/>
  <c r="D28" i="3" s="1"/>
  <c r="D29" i="3" a="1"/>
  <c r="D29" i="3" s="1"/>
  <c r="D30" i="3" a="1"/>
  <c r="D30" i="3" s="1"/>
  <c r="D31" i="3" a="1"/>
  <c r="D31" i="3" s="1"/>
  <c r="D32" i="3" a="1"/>
  <c r="D32" i="3" s="1"/>
  <c r="D33" i="3" a="1"/>
  <c r="D33" i="3" s="1"/>
  <c r="D34" i="3" a="1"/>
  <c r="D34" i="3" s="1"/>
  <c r="D35" i="3" a="1"/>
  <c r="D35" i="3" s="1"/>
  <c r="D36" i="3" a="1"/>
  <c r="D36" i="3" s="1"/>
  <c r="D37" i="3" a="1"/>
  <c r="D37" i="3" s="1"/>
  <c r="D38" i="3" a="1"/>
  <c r="D38" i="3" s="1"/>
  <c r="D39" i="3" a="1"/>
  <c r="D39" i="3" s="1"/>
  <c r="D40" i="3" a="1"/>
  <c r="D40" i="3" s="1"/>
  <c r="D41" i="3" a="1"/>
  <c r="D41" i="3" s="1"/>
  <c r="D42" i="3" a="1"/>
  <c r="D42" i="3"/>
  <c r="D43" i="3" a="1"/>
  <c r="D43" i="3" s="1"/>
  <c r="D44" i="3" a="1"/>
  <c r="D44" i="3" s="1"/>
  <c r="D45" i="3" a="1"/>
  <c r="D45" i="3" s="1"/>
  <c r="D46" i="3" a="1"/>
  <c r="D46" i="3" s="1"/>
  <c r="D47" i="3" a="1"/>
  <c r="D47" i="3" s="1"/>
  <c r="D48" i="3" a="1"/>
  <c r="D48" i="3"/>
  <c r="D49" i="3" a="1"/>
  <c r="D49" i="3" s="1"/>
  <c r="D50" i="3" a="1"/>
  <c r="D50" i="3" s="1"/>
  <c r="D51" i="3" a="1"/>
  <c r="D51" i="3" s="1"/>
  <c r="D52" i="3" a="1"/>
  <c r="D52" i="3" s="1"/>
  <c r="D53" i="3" a="1"/>
  <c r="D53" i="3" s="1"/>
  <c r="D54" i="3" a="1"/>
  <c r="D54" i="3"/>
  <c r="D55" i="3" a="1"/>
  <c r="D55" i="3" s="1"/>
  <c r="D56" i="3" a="1"/>
  <c r="D56" i="3" s="1"/>
  <c r="D57" i="3" a="1"/>
  <c r="D57" i="3" s="1"/>
  <c r="D58" i="3" a="1"/>
  <c r="D58" i="3" s="1"/>
  <c r="D59" i="3" a="1"/>
  <c r="D59" i="3" s="1"/>
  <c r="D60" i="3" a="1"/>
  <c r="D60" i="3"/>
  <c r="D61" i="3" a="1"/>
  <c r="D61" i="3" s="1"/>
  <c r="D62" i="3" a="1"/>
  <c r="D62" i="3" s="1"/>
  <c r="D63" i="3" a="1"/>
  <c r="D63" i="3" s="1"/>
  <c r="D64" i="3" a="1"/>
  <c r="D64" i="3" s="1"/>
  <c r="D65" i="3" a="1"/>
  <c r="D65" i="3" s="1"/>
  <c r="D66" i="3" a="1"/>
  <c r="D66" i="3" s="1"/>
  <c r="D67" i="3" a="1"/>
  <c r="D67" i="3" s="1"/>
  <c r="D68" i="3" a="1"/>
  <c r="D68" i="3" s="1"/>
  <c r="D69" i="3" a="1"/>
  <c r="D69" i="3" s="1"/>
  <c r="D70" i="3" a="1"/>
  <c r="D70" i="3" s="1"/>
  <c r="D71" i="3" a="1"/>
  <c r="D71" i="3" s="1"/>
  <c r="D72" i="3" a="1"/>
  <c r="D72" i="3"/>
  <c r="D73" i="3" a="1"/>
  <c r="D73" i="3" s="1"/>
  <c r="D74" i="3" a="1"/>
  <c r="D74" i="3" s="1"/>
  <c r="D75" i="3" a="1"/>
  <c r="D75" i="3" s="1"/>
  <c r="D76" i="3" a="1"/>
  <c r="D76" i="3" s="1"/>
  <c r="D77" i="3" a="1"/>
  <c r="D77" i="3" s="1"/>
  <c r="D78" i="3" a="1"/>
  <c r="D78" i="3" s="1"/>
  <c r="D79" i="3" a="1"/>
  <c r="D79" i="3" s="1"/>
  <c r="D80" i="3" a="1"/>
  <c r="D80" i="3" s="1"/>
  <c r="D81" i="3" a="1"/>
  <c r="D81" i="3" s="1"/>
  <c r="D82" i="3" a="1"/>
  <c r="D82" i="3" s="1"/>
  <c r="D83" i="3" a="1"/>
  <c r="D83" i="3" s="1"/>
  <c r="D84" i="3" a="1"/>
  <c r="D84" i="3" s="1"/>
  <c r="D85" i="3" a="1"/>
  <c r="D85" i="3" s="1"/>
  <c r="D86" i="3" a="1"/>
  <c r="D86" i="3" s="1"/>
  <c r="D87" i="3" a="1"/>
  <c r="D87" i="3" s="1"/>
  <c r="D88" i="3" a="1"/>
  <c r="D88" i="3" s="1"/>
  <c r="D89" i="3" a="1"/>
  <c r="D89" i="3" s="1"/>
  <c r="D90" i="3" a="1"/>
  <c r="D90" i="3"/>
  <c r="D91" i="3" a="1"/>
  <c r="D91" i="3" s="1"/>
  <c r="D92" i="3" a="1"/>
  <c r="D92" i="3" s="1"/>
  <c r="D93" i="3" a="1"/>
  <c r="D93" i="3" s="1"/>
  <c r="D94" i="3" a="1"/>
  <c r="D94" i="3" s="1"/>
  <c r="D95" i="3" a="1"/>
  <c r="D95" i="3" s="1"/>
  <c r="D96" i="3" a="1"/>
  <c r="D96" i="3" s="1"/>
  <c r="D97" i="3" a="1"/>
  <c r="D97" i="3" s="1"/>
  <c r="D98" i="3" a="1"/>
  <c r="D98" i="3" s="1"/>
  <c r="D99" i="3" a="1"/>
  <c r="D99" i="3" s="1"/>
  <c r="D100" i="3" a="1"/>
  <c r="D100" i="3" s="1"/>
  <c r="D101" i="3" a="1"/>
  <c r="D101" i="3" s="1"/>
  <c r="D102" i="3" a="1"/>
  <c r="D102" i="3" s="1"/>
  <c r="D103" i="3" a="1"/>
  <c r="D103" i="3" s="1"/>
  <c r="D104" i="3" a="1"/>
  <c r="D104" i="3" s="1"/>
  <c r="D105" i="3" a="1"/>
  <c r="D105" i="3" s="1"/>
  <c r="D106" i="3" a="1"/>
  <c r="D106" i="3" s="1"/>
  <c r="D107" i="3" a="1"/>
  <c r="D107" i="3" s="1"/>
  <c r="D108" i="3" a="1"/>
  <c r="D108" i="3" s="1"/>
  <c r="D109" i="3" a="1"/>
  <c r="D109" i="3" s="1"/>
  <c r="D110" i="3" a="1"/>
  <c r="D110" i="3" s="1"/>
  <c r="D111" i="3" a="1"/>
  <c r="D111" i="3" s="1"/>
  <c r="D112" i="3" a="1"/>
  <c r="D112" i="3" s="1"/>
  <c r="D113" i="3" a="1"/>
  <c r="D113" i="3" s="1"/>
  <c r="D114" i="3" a="1"/>
  <c r="D114" i="3"/>
  <c r="D115" i="3" a="1"/>
  <c r="D115" i="3" s="1"/>
  <c r="D116" i="3" a="1"/>
  <c r="D116" i="3" s="1"/>
  <c r="D117" i="3" a="1"/>
  <c r="D117" i="3" s="1"/>
  <c r="D118" i="3" a="1"/>
  <c r="D118" i="3" s="1"/>
  <c r="D119" i="3" a="1"/>
  <c r="D119" i="3" s="1"/>
  <c r="D120" i="3" a="1"/>
  <c r="D120" i="3"/>
  <c r="D121" i="3" a="1"/>
  <c r="D121" i="3" s="1"/>
  <c r="D122" i="3" a="1"/>
  <c r="D122" i="3" s="1"/>
  <c r="D123" i="3" a="1"/>
  <c r="D123" i="3" s="1"/>
  <c r="D124" i="3" a="1"/>
  <c r="D124" i="3" s="1"/>
  <c r="D125" i="3" a="1"/>
  <c r="D125" i="3" s="1"/>
  <c r="D126" i="3" a="1"/>
  <c r="D126" i="3"/>
  <c r="D127" i="3" a="1"/>
  <c r="D127" i="3" s="1"/>
  <c r="D128" i="3" a="1"/>
  <c r="D128" i="3" s="1"/>
  <c r="D129" i="3" a="1"/>
  <c r="D129" i="3" s="1"/>
  <c r="D130" i="3" a="1"/>
  <c r="D130" i="3" s="1"/>
  <c r="D131" i="3" a="1"/>
  <c r="D131" i="3" s="1"/>
  <c r="D132" i="3" a="1"/>
  <c r="D132" i="3"/>
  <c r="D133" i="3" a="1"/>
  <c r="D133" i="3" s="1"/>
  <c r="D134" i="3" a="1"/>
  <c r="D134" i="3" s="1"/>
  <c r="D135" i="3" a="1"/>
  <c r="D135" i="3" s="1"/>
  <c r="D136" i="3" a="1"/>
  <c r="D136" i="3" s="1"/>
  <c r="D137" i="3" a="1"/>
  <c r="D137" i="3" s="1"/>
  <c r="D138" i="3" a="1"/>
  <c r="D138" i="3" s="1"/>
  <c r="D139" i="3" a="1"/>
  <c r="D139" i="3" s="1"/>
  <c r="D140" i="3" a="1"/>
  <c r="D140" i="3" s="1"/>
  <c r="D141" i="3" a="1"/>
  <c r="D141" i="3" s="1"/>
  <c r="D142" i="3" a="1"/>
  <c r="D142" i="3" s="1"/>
  <c r="D143" i="3" a="1"/>
  <c r="D143" i="3" s="1"/>
  <c r="D144" i="3" a="1"/>
  <c r="D144" i="3" s="1"/>
  <c r="D145" i="3" a="1"/>
  <c r="D145" i="3" s="1"/>
  <c r="D146" i="3" a="1"/>
  <c r="D146" i="3" s="1"/>
  <c r="D147" i="3" a="1"/>
  <c r="D147" i="3" s="1"/>
  <c r="D148" i="3" a="1"/>
  <c r="D148" i="3" s="1"/>
  <c r="D149" i="3" a="1"/>
  <c r="D149" i="3" s="1"/>
  <c r="D150" i="3" a="1"/>
  <c r="D150" i="3" s="1"/>
  <c r="D151" i="3" a="1"/>
  <c r="D151" i="3" s="1"/>
  <c r="D152" i="3" a="1"/>
  <c r="D152" i="3" s="1"/>
  <c r="D153" i="3" a="1"/>
  <c r="D153" i="3" s="1"/>
  <c r="D154" i="3" a="1"/>
  <c r="D154" i="3" s="1"/>
  <c r="D155" i="3" a="1"/>
  <c r="D155" i="3" s="1"/>
  <c r="D156" i="3" a="1"/>
  <c r="D156" i="3" s="1"/>
  <c r="D157" i="3" a="1"/>
  <c r="D157" i="3" s="1"/>
  <c r="D158" i="3" a="1"/>
  <c r="D158" i="3" s="1"/>
  <c r="D159" i="3" a="1"/>
  <c r="D159" i="3" s="1"/>
  <c r="D160" i="3" a="1"/>
  <c r="D160" i="3" s="1"/>
  <c r="D161" i="3" a="1"/>
  <c r="D161" i="3" s="1"/>
  <c r="D162" i="3" a="1"/>
  <c r="D162" i="3"/>
  <c r="D163" i="3" a="1"/>
  <c r="D163" i="3" s="1"/>
  <c r="D164" i="3" a="1"/>
  <c r="D164" i="3" s="1"/>
  <c r="D165" i="3" a="1"/>
  <c r="D165" i="3" s="1"/>
  <c r="D166" i="3" a="1"/>
  <c r="D166" i="3" s="1"/>
  <c r="D167" i="3" a="1"/>
  <c r="D167" i="3" s="1"/>
  <c r="D168" i="3" a="1"/>
  <c r="D168" i="3" s="1"/>
  <c r="D169" i="3" a="1"/>
  <c r="D169" i="3" s="1"/>
  <c r="D170" i="3" a="1"/>
  <c r="D170" i="3" s="1"/>
  <c r="D171" i="3" a="1"/>
  <c r="D171" i="3" s="1"/>
  <c r="D172" i="3" a="1"/>
  <c r="D172" i="3" s="1"/>
  <c r="D173" i="3" a="1"/>
  <c r="D173" i="3" s="1"/>
  <c r="D174" i="3" a="1"/>
  <c r="D174" i="3" s="1"/>
  <c r="D175" i="3" a="1"/>
  <c r="D175" i="3" s="1"/>
  <c r="D176" i="3" a="1"/>
  <c r="D176" i="3" s="1"/>
  <c r="D177" i="3" a="1"/>
  <c r="D177" i="3" s="1"/>
  <c r="D178" i="3" a="1"/>
  <c r="D178" i="3" s="1"/>
  <c r="D179" i="3" a="1"/>
  <c r="D179" i="3" s="1"/>
  <c r="D180" i="3" a="1"/>
  <c r="D180" i="3" s="1"/>
  <c r="D181" i="3" a="1"/>
  <c r="D181" i="3" s="1"/>
  <c r="D182" i="3" a="1"/>
  <c r="D182" i="3" s="1"/>
  <c r="D183" i="3" a="1"/>
  <c r="D183" i="3" s="1"/>
  <c r="D184" i="3" a="1"/>
  <c r="D184" i="3" s="1"/>
  <c r="D185" i="3" a="1"/>
  <c r="D185" i="3" s="1"/>
  <c r="D186" i="3" a="1"/>
  <c r="D186" i="3"/>
  <c r="D187" i="3" a="1"/>
  <c r="D187" i="3" s="1"/>
  <c r="D188" i="3" a="1"/>
  <c r="D188" i="3" s="1"/>
  <c r="D189" i="3" a="1"/>
  <c r="D189" i="3" s="1"/>
  <c r="D190" i="3" a="1"/>
  <c r="D190" i="3" s="1"/>
  <c r="D191" i="3" a="1"/>
  <c r="D191" i="3" s="1"/>
  <c r="D192" i="3" a="1"/>
  <c r="D192" i="3"/>
  <c r="D193" i="3" a="1"/>
  <c r="D193" i="3" s="1"/>
  <c r="D194" i="3" a="1"/>
  <c r="D194" i="3" s="1"/>
  <c r="D195" i="3" a="1"/>
  <c r="D195" i="3" s="1"/>
  <c r="D196" i="3" a="1"/>
  <c r="D196" i="3" s="1"/>
  <c r="D197" i="3" a="1"/>
  <c r="D197" i="3" s="1"/>
  <c r="D198" i="3" a="1"/>
  <c r="D198" i="3"/>
  <c r="D199" i="3" a="1"/>
  <c r="D199" i="3" s="1"/>
  <c r="D200" i="3" a="1"/>
  <c r="D200" i="3" s="1"/>
  <c r="D201" i="3" a="1"/>
  <c r="D201" i="3" s="1"/>
  <c r="D202" i="3" a="1"/>
  <c r="D202" i="3" s="1"/>
  <c r="D203" i="3" a="1"/>
  <c r="D203" i="3" s="1"/>
  <c r="D204" i="3" a="1"/>
  <c r="D204" i="3"/>
  <c r="D205" i="3" a="1"/>
  <c r="D205" i="3" s="1"/>
  <c r="D206" i="3" a="1"/>
  <c r="D206" i="3" s="1"/>
  <c r="D207" i="3" a="1"/>
  <c r="D207" i="3" s="1"/>
  <c r="D208" i="3" a="1"/>
  <c r="D208" i="3" s="1"/>
  <c r="D209" i="3" a="1"/>
  <c r="D209" i="3" s="1"/>
  <c r="D210" i="3" a="1"/>
  <c r="D210" i="3" s="1"/>
  <c r="D211" i="3" a="1"/>
  <c r="D211" i="3" s="1"/>
  <c r="D212" i="3" a="1"/>
  <c r="D212" i="3" s="1"/>
  <c r="D213" i="3" a="1"/>
  <c r="D213" i="3" s="1"/>
  <c r="D214" i="3" a="1"/>
  <c r="D214" i="3" s="1"/>
  <c r="D215" i="3" a="1"/>
  <c r="D215" i="3" s="1"/>
  <c r="D216" i="3" a="1"/>
  <c r="D216" i="3" s="1"/>
  <c r="D217" i="3" a="1"/>
  <c r="D217" i="3" s="1"/>
  <c r="D218" i="3" a="1"/>
  <c r="D218" i="3" s="1"/>
  <c r="D219" i="3" a="1"/>
  <c r="D219" i="3" s="1"/>
  <c r="D220" i="3" a="1"/>
  <c r="D220" i="3" s="1"/>
  <c r="D221" i="3" a="1"/>
  <c r="D221" i="3" s="1"/>
  <c r="D222" i="3" a="1"/>
  <c r="D222" i="3" s="1"/>
  <c r="D223" i="3" a="1"/>
  <c r="D223" i="3" s="1"/>
  <c r="D224" i="3" a="1"/>
  <c r="D224" i="3" s="1"/>
  <c r="D225" i="3" a="1"/>
  <c r="D225" i="3" s="1"/>
  <c r="D226" i="3" a="1"/>
  <c r="D226" i="3" s="1"/>
  <c r="D227" i="3" a="1"/>
  <c r="D227" i="3" s="1"/>
  <c r="D228" i="3" a="1"/>
  <c r="D228" i="3" s="1"/>
  <c r="D229" i="3" a="1"/>
  <c r="D229" i="3" s="1"/>
  <c r="D230" i="3" a="1"/>
  <c r="D230" i="3" s="1"/>
  <c r="D231" i="3" a="1"/>
  <c r="D231" i="3" s="1"/>
  <c r="D232" i="3" a="1"/>
  <c r="D232" i="3" s="1"/>
  <c r="D233" i="3" a="1"/>
  <c r="D233" i="3" s="1"/>
  <c r="D234" i="3" a="1"/>
  <c r="D234" i="3"/>
  <c r="D235" i="3" a="1"/>
  <c r="D235" i="3" s="1"/>
  <c r="D236" i="3" a="1"/>
  <c r="D236" i="3" s="1"/>
  <c r="D237" i="3" a="1"/>
  <c r="D237" i="3" s="1"/>
  <c r="D238" i="3" a="1"/>
  <c r="D238" i="3" s="1"/>
  <c r="D239" i="3" a="1"/>
  <c r="D239" i="3" s="1"/>
  <c r="D240" i="3" a="1"/>
  <c r="D240" i="3" s="1"/>
  <c r="D241" i="3" a="1"/>
  <c r="D241" i="3" s="1"/>
  <c r="D242" i="3" a="1"/>
  <c r="D242" i="3" s="1"/>
  <c r="D243" i="3" a="1"/>
  <c r="D243" i="3" s="1"/>
  <c r="D244" i="3" a="1"/>
  <c r="D244" i="3" s="1"/>
  <c r="D245" i="3" a="1"/>
  <c r="D245" i="3" s="1"/>
  <c r="D246" i="3" a="1"/>
  <c r="D246" i="3" s="1"/>
  <c r="D247" i="3" a="1"/>
  <c r="D247" i="3" s="1"/>
  <c r="D248" i="3" a="1"/>
  <c r="D248" i="3" s="1"/>
  <c r="D249" i="3" a="1"/>
  <c r="D249" i="3" s="1"/>
  <c r="D250" i="3" a="1"/>
  <c r="D250" i="3" s="1"/>
  <c r="D251" i="3" a="1"/>
  <c r="D251" i="3" s="1"/>
  <c r="D252" i="3" a="1"/>
  <c r="D252" i="3" s="1"/>
  <c r="D253" i="3" a="1"/>
  <c r="D253" i="3" s="1"/>
  <c r="D254" i="3" a="1"/>
  <c r="D254" i="3" s="1"/>
  <c r="D255" i="3" a="1"/>
  <c r="D255" i="3" s="1"/>
  <c r="D256" i="3" a="1"/>
  <c r="D256" i="3" s="1"/>
  <c r="D257" i="3" a="1"/>
  <c r="D257" i="3" s="1"/>
  <c r="D258" i="3" a="1"/>
  <c r="D258" i="3"/>
  <c r="D259" i="3" a="1"/>
  <c r="D259" i="3" s="1"/>
  <c r="D260" i="3" a="1"/>
  <c r="D260" i="3" s="1"/>
  <c r="D261" i="3" a="1"/>
  <c r="D261" i="3" s="1"/>
  <c r="D262" i="3" a="1"/>
  <c r="D262" i="3" s="1"/>
  <c r="D263" i="3" a="1"/>
  <c r="D263" i="3" s="1"/>
  <c r="D264" i="3" a="1"/>
  <c r="D264" i="3"/>
  <c r="D265" i="3" a="1"/>
  <c r="D265" i="3" s="1"/>
  <c r="D266" i="3" a="1"/>
  <c r="D266" i="3" s="1"/>
  <c r="D267" i="3" a="1"/>
  <c r="D267" i="3" s="1"/>
  <c r="D268" i="3" a="1"/>
  <c r="D268" i="3" s="1"/>
  <c r="D269" i="3" a="1"/>
  <c r="D269" i="3" s="1"/>
  <c r="D270" i="3" a="1"/>
  <c r="D270" i="3"/>
  <c r="D271" i="3" a="1"/>
  <c r="D271" i="3" s="1"/>
  <c r="D272" i="3" a="1"/>
  <c r="D272" i="3" s="1"/>
  <c r="D273" i="3" a="1"/>
  <c r="D273" i="3" s="1"/>
  <c r="D274" i="3" a="1"/>
  <c r="D274" i="3" s="1"/>
  <c r="D275" i="3" a="1"/>
  <c r="D275" i="3" s="1"/>
  <c r="D276" i="3" a="1"/>
  <c r="D276" i="3"/>
  <c r="D277" i="3" a="1"/>
  <c r="D277" i="3" s="1"/>
  <c r="D278" i="3" a="1"/>
  <c r="D278" i="3" s="1"/>
  <c r="D279" i="3" a="1"/>
  <c r="D279" i="3" s="1"/>
  <c r="D280" i="3" a="1"/>
  <c r="D280" i="3" s="1"/>
  <c r="D281" i="3" a="1"/>
  <c r="D281" i="3" s="1"/>
  <c r="D282" i="3" a="1"/>
  <c r="D282" i="3" s="1"/>
  <c r="D283" i="3" a="1"/>
  <c r="D283" i="3" s="1"/>
  <c r="D284" i="3" a="1"/>
  <c r="D284" i="3" s="1"/>
  <c r="D285" i="3" a="1"/>
  <c r="D285" i="3" s="1"/>
  <c r="D286" i="3" a="1"/>
  <c r="D286" i="3" s="1"/>
  <c r="D287" i="3" a="1"/>
  <c r="D287" i="3" s="1"/>
  <c r="D288" i="3" a="1"/>
  <c r="D288" i="3" s="1"/>
  <c r="D289" i="3" a="1"/>
  <c r="D289" i="3" s="1"/>
  <c r="D290" i="3" a="1"/>
  <c r="D290" i="3" s="1"/>
  <c r="D291" i="3" a="1"/>
  <c r="D291" i="3" s="1"/>
  <c r="D292" i="3" a="1"/>
  <c r="D292" i="3" s="1"/>
  <c r="D293" i="3" a="1"/>
  <c r="D293" i="3" s="1"/>
  <c r="D294" i="3" a="1"/>
  <c r="D294" i="3" s="1"/>
  <c r="D295" i="3" a="1"/>
  <c r="D295" i="3" s="1"/>
  <c r="D296" i="3" a="1"/>
  <c r="D296" i="3" s="1"/>
  <c r="D297" i="3" a="1"/>
  <c r="D297" i="3" s="1"/>
  <c r="D298" i="3" a="1"/>
  <c r="D298" i="3" s="1"/>
  <c r="D299" i="3" a="1"/>
  <c r="D299" i="3" s="1"/>
  <c r="D300" i="3" a="1"/>
  <c r="D300" i="3" s="1"/>
  <c r="D301" i="3" a="1"/>
  <c r="D301" i="3" s="1"/>
  <c r="D302" i="3" a="1"/>
  <c r="D302" i="3" s="1"/>
  <c r="D303" i="3" a="1"/>
  <c r="D303" i="3" s="1"/>
  <c r="D304" i="3" a="1"/>
  <c r="D304" i="3" s="1"/>
  <c r="D305" i="3" a="1"/>
  <c r="D305" i="3" s="1"/>
  <c r="D306" i="3" a="1"/>
  <c r="D306" i="3"/>
  <c r="D307" i="3" a="1"/>
  <c r="D307" i="3" s="1"/>
  <c r="D308" i="3" a="1"/>
  <c r="D308" i="3" s="1"/>
  <c r="D309" i="3" a="1"/>
  <c r="D309" i="3" s="1"/>
  <c r="D310" i="3" a="1"/>
  <c r="D310" i="3" s="1"/>
  <c r="D311" i="3" a="1"/>
  <c r="D311" i="3" s="1"/>
  <c r="D312" i="3" a="1"/>
  <c r="D312" i="3" s="1"/>
  <c r="D313" i="3" a="1"/>
  <c r="D313" i="3" s="1"/>
  <c r="D314" i="3" a="1"/>
  <c r="D314" i="3" s="1"/>
  <c r="D315" i="3" a="1"/>
  <c r="D315" i="3" s="1"/>
  <c r="D316" i="3" a="1"/>
  <c r="D316" i="3" s="1"/>
  <c r="D317" i="3" a="1"/>
  <c r="D317" i="3" s="1"/>
  <c r="D318" i="3" a="1"/>
  <c r="D318" i="3" s="1"/>
  <c r="D319" i="3" a="1"/>
  <c r="D319" i="3" s="1"/>
  <c r="D320" i="3" a="1"/>
  <c r="D320" i="3" s="1"/>
  <c r="D321" i="3" a="1"/>
  <c r="D321" i="3" s="1"/>
  <c r="D322" i="3" a="1"/>
  <c r="D322" i="3" s="1"/>
  <c r="D323" i="3" a="1"/>
  <c r="D323" i="3" s="1"/>
  <c r="D324" i="3" a="1"/>
  <c r="D324" i="3" s="1"/>
  <c r="D325" i="3" a="1"/>
  <c r="D325" i="3" s="1"/>
  <c r="D326" i="3" a="1"/>
  <c r="D326" i="3" s="1"/>
  <c r="D327" i="3" a="1"/>
  <c r="D327" i="3" s="1"/>
  <c r="D328" i="3" a="1"/>
  <c r="D328" i="3" s="1"/>
  <c r="D329" i="3" a="1"/>
  <c r="D329" i="3" s="1"/>
  <c r="D330" i="3" a="1"/>
  <c r="D330" i="3"/>
  <c r="D331" i="3" a="1"/>
  <c r="D331" i="3" s="1"/>
  <c r="D332" i="3" a="1"/>
  <c r="D332" i="3" s="1"/>
  <c r="D333" i="3" a="1"/>
  <c r="D333" i="3" s="1"/>
  <c r="D334" i="3" a="1"/>
  <c r="D334" i="3" s="1"/>
  <c r="D335" i="3" a="1"/>
  <c r="D335" i="3" s="1"/>
  <c r="D336" i="3" a="1"/>
  <c r="D336" i="3"/>
  <c r="D337" i="3" a="1"/>
  <c r="D337" i="3" s="1"/>
  <c r="D338" i="3" a="1"/>
  <c r="D338" i="3" s="1"/>
  <c r="D339" i="3" a="1"/>
  <c r="D339" i="3" s="1"/>
  <c r="D340" i="3" a="1"/>
  <c r="D340" i="3" s="1"/>
  <c r="D341" i="3" a="1"/>
  <c r="D341" i="3" s="1"/>
  <c r="D342" i="3" a="1"/>
  <c r="D342" i="3" s="1"/>
  <c r="D343" i="3" a="1"/>
  <c r="D343" i="3" s="1"/>
  <c r="D344" i="3" a="1"/>
  <c r="D344" i="3" s="1"/>
  <c r="D345" i="3" a="1"/>
  <c r="D345" i="3" s="1"/>
  <c r="D346" i="3" a="1"/>
  <c r="D346" i="3" s="1"/>
  <c r="D347" i="3" a="1"/>
  <c r="D347" i="3" s="1"/>
  <c r="D348" i="3" a="1"/>
  <c r="D348" i="3"/>
  <c r="D349" i="3" a="1"/>
  <c r="D349" i="3" s="1"/>
  <c r="D350" i="3" a="1"/>
  <c r="D350" i="3" s="1"/>
  <c r="D351" i="3" a="1"/>
  <c r="D351" i="3" s="1"/>
  <c r="D352" i="3" a="1"/>
  <c r="D352" i="3" s="1"/>
  <c r="D353" i="3" a="1"/>
  <c r="D353" i="3" s="1"/>
  <c r="D354" i="3" a="1"/>
  <c r="D354" i="3"/>
  <c r="D355" i="3" a="1"/>
  <c r="D355" i="3" s="1"/>
  <c r="D356" i="3" a="1"/>
  <c r="D356" i="3" s="1"/>
  <c r="D357" i="3" a="1"/>
  <c r="D357" i="3" s="1"/>
  <c r="D358" i="3" a="1"/>
  <c r="D358" i="3" s="1"/>
  <c r="D359" i="3" a="1"/>
  <c r="D359" i="3" s="1"/>
  <c r="D360" i="3" a="1"/>
  <c r="D360" i="3" s="1"/>
  <c r="D361" i="3" a="1"/>
  <c r="D361" i="3" s="1"/>
  <c r="D362" i="3" a="1"/>
  <c r="D362" i="3" s="1"/>
  <c r="D363" i="3" a="1"/>
  <c r="D363" i="3" s="1"/>
  <c r="D364" i="3" a="1"/>
  <c r="D364" i="3" s="1"/>
  <c r="D365" i="3" a="1"/>
  <c r="D365" i="3" s="1"/>
  <c r="D366" i="3" a="1"/>
  <c r="D366" i="3" s="1"/>
  <c r="D367" i="3" a="1"/>
  <c r="D367" i="3" s="1"/>
  <c r="D368" i="3" a="1"/>
  <c r="D368" i="3" s="1"/>
  <c r="D369" i="3" a="1"/>
  <c r="D369" i="3" s="1"/>
  <c r="D370" i="3" a="1"/>
  <c r="D370" i="3" s="1"/>
  <c r="D371" i="3" a="1"/>
  <c r="D371" i="3" s="1"/>
  <c r="D372" i="3" a="1"/>
  <c r="D372" i="3" s="1"/>
  <c r="D373" i="3" a="1"/>
  <c r="D373" i="3" s="1"/>
  <c r="D374" i="3" a="1"/>
  <c r="D374" i="3" s="1"/>
  <c r="D375" i="3" a="1"/>
  <c r="D375" i="3" s="1"/>
  <c r="D376" i="3" a="1"/>
  <c r="D376" i="3" s="1"/>
  <c r="D377" i="3" a="1"/>
  <c r="D377" i="3" s="1"/>
  <c r="D378" i="3" a="1"/>
  <c r="D378" i="3"/>
  <c r="D379" i="3" a="1"/>
  <c r="D379" i="3" s="1"/>
  <c r="D380" i="3" a="1"/>
  <c r="D380" i="3" s="1"/>
  <c r="D381" i="3" a="1"/>
  <c r="D381" i="3" s="1"/>
  <c r="D382" i="3" a="1"/>
  <c r="D382" i="3" s="1"/>
  <c r="D383" i="3" a="1"/>
  <c r="D383" i="3" s="1"/>
  <c r="D384" i="3" a="1"/>
  <c r="D384" i="3" s="1"/>
  <c r="D385" i="3" a="1"/>
  <c r="D385" i="3" s="1"/>
  <c r="D386" i="3" a="1"/>
  <c r="D386" i="3" s="1"/>
  <c r="D387" i="3" a="1"/>
  <c r="D387" i="3" s="1"/>
  <c r="D388" i="3" a="1"/>
  <c r="D388" i="3" s="1"/>
  <c r="D389" i="3" a="1"/>
  <c r="D389" i="3" s="1"/>
  <c r="D390" i="3" a="1"/>
  <c r="D390" i="3" s="1"/>
  <c r="D391" i="3" a="1"/>
  <c r="D391" i="3" s="1"/>
  <c r="D392" i="3" a="1"/>
  <c r="D392" i="3" s="1"/>
  <c r="D393" i="3" a="1"/>
  <c r="D393" i="3" s="1"/>
  <c r="D394" i="3" a="1"/>
  <c r="D394" i="3" s="1"/>
  <c r="D396" i="3" a="1"/>
  <c r="D396" i="3"/>
  <c r="D397" i="3" a="1"/>
  <c r="D397" i="3" s="1"/>
  <c r="D398" i="3" a="1"/>
  <c r="D398" i="3" s="1"/>
  <c r="D399" i="3" a="1"/>
  <c r="D399" i="3" s="1"/>
  <c r="D400" i="3" a="1"/>
  <c r="D400" i="3" s="1"/>
  <c r="D401" i="3" a="1"/>
  <c r="D401" i="3" s="1"/>
  <c r="D402" i="3" a="1"/>
  <c r="D402" i="3" s="1"/>
  <c r="D403" i="3" a="1"/>
  <c r="D403" i="3" s="1"/>
  <c r="D404" i="3" a="1"/>
  <c r="D404" i="3" s="1"/>
  <c r="D405" i="3" a="1"/>
  <c r="D405" i="3" s="1"/>
  <c r="D406" i="3" a="1"/>
  <c r="D406" i="3" s="1"/>
  <c r="D407" i="3" a="1"/>
  <c r="D407" i="3" s="1"/>
  <c r="D408" i="3" a="1"/>
  <c r="D408" i="3" s="1"/>
  <c r="D409" i="3" a="1"/>
  <c r="D409" i="3" s="1"/>
  <c r="D410" i="3" a="1"/>
  <c r="D410" i="3" s="1"/>
  <c r="D411" i="3" a="1"/>
  <c r="D411" i="3" s="1"/>
  <c r="D412" i="3" a="1"/>
  <c r="D412" i="3" s="1"/>
  <c r="D413" i="3" a="1"/>
  <c r="D413" i="3" s="1"/>
  <c r="D414" i="3" a="1"/>
  <c r="D414" i="3" s="1"/>
  <c r="D415" i="3" a="1"/>
  <c r="D415" i="3" s="1"/>
  <c r="D416" i="3" a="1"/>
  <c r="D416" i="3" s="1"/>
  <c r="D417" i="3" a="1"/>
  <c r="D417" i="3" s="1"/>
  <c r="D418" i="3" a="1"/>
  <c r="D418" i="3" s="1"/>
  <c r="D419" i="3" a="1"/>
  <c r="D419" i="3" s="1"/>
  <c r="D420" i="3" a="1"/>
  <c r="D420" i="3"/>
  <c r="D421" i="3" a="1"/>
  <c r="D421" i="3" s="1"/>
  <c r="D422" i="3" a="1"/>
  <c r="D422" i="3" s="1"/>
  <c r="D423" i="3" a="1"/>
  <c r="D423" i="3" s="1"/>
  <c r="D424" i="3" a="1"/>
  <c r="D424" i="3" s="1"/>
  <c r="D425" i="3" a="1"/>
  <c r="D425" i="3" s="1"/>
  <c r="D426" i="3" a="1"/>
  <c r="D426" i="3" s="1"/>
  <c r="D427" i="3" a="1"/>
  <c r="D427" i="3" s="1"/>
  <c r="D428" i="3" a="1"/>
  <c r="D428" i="3" s="1"/>
  <c r="D429" i="3" a="1"/>
  <c r="D429" i="3" s="1"/>
  <c r="D430" i="3" a="1"/>
  <c r="D430" i="3" s="1"/>
  <c r="D431" i="3" a="1"/>
  <c r="D431" i="3" s="1"/>
  <c r="D432" i="3" a="1"/>
  <c r="D432" i="3" s="1"/>
  <c r="D433" i="3" a="1"/>
  <c r="D433" i="3" s="1"/>
  <c r="D434" i="3" a="1"/>
  <c r="D434" i="3" s="1"/>
  <c r="D435" i="3" a="1"/>
  <c r="D435" i="3" s="1"/>
  <c r="D436" i="3" a="1"/>
  <c r="D436" i="3" s="1"/>
  <c r="D437" i="3" a="1"/>
  <c r="D437" i="3" s="1"/>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G2" i="3"/>
  <c r="H2" i="3" s="1"/>
  <c r="G3" i="3"/>
  <c r="H3" i="3" s="1"/>
  <c r="G4" i="3"/>
  <c r="H4" i="3" s="1"/>
  <c r="G5" i="3"/>
  <c r="H5" i="3" s="1"/>
  <c r="G6" i="3"/>
  <c r="H6" i="3" s="1"/>
  <c r="G7" i="3"/>
  <c r="H7" i="3" s="1"/>
  <c r="G8" i="3"/>
  <c r="H8" i="3" s="1"/>
  <c r="G9" i="3"/>
  <c r="H9" i="3" s="1"/>
  <c r="G10" i="3"/>
  <c r="H10" i="3" s="1"/>
  <c r="G11" i="3"/>
  <c r="H11" i="3" s="1"/>
  <c r="G12" i="3"/>
  <c r="G13" i="3"/>
  <c r="G14" i="3"/>
  <c r="H14" i="3" s="1"/>
  <c r="G15" i="3"/>
  <c r="H15" i="3" s="1"/>
  <c r="G16" i="3"/>
  <c r="H16" i="3" s="1"/>
  <c r="G17" i="3"/>
  <c r="H17" i="3" s="1"/>
  <c r="G18" i="3"/>
  <c r="H18" i="3" s="1"/>
  <c r="G19" i="3"/>
  <c r="H19" i="3" s="1"/>
  <c r="G20" i="3"/>
  <c r="H20" i="3" s="1"/>
  <c r="G21" i="3"/>
  <c r="H21" i="3" s="1"/>
  <c r="G22" i="3"/>
  <c r="H22" i="3" s="1"/>
  <c r="G23" i="3"/>
  <c r="H23" i="3" s="1"/>
  <c r="G24" i="3"/>
  <c r="G25" i="3"/>
  <c r="G26" i="3"/>
  <c r="H26" i="3" s="1"/>
  <c r="G27" i="3"/>
  <c r="H27" i="3" s="1"/>
  <c r="G28" i="3"/>
  <c r="G29" i="3"/>
  <c r="H29" i="3" s="1"/>
  <c r="G30" i="3"/>
  <c r="H30" i="3" s="1"/>
  <c r="G31" i="3"/>
  <c r="H31" i="3" s="1"/>
  <c r="G32" i="3"/>
  <c r="H32" i="3" s="1"/>
  <c r="G33" i="3"/>
  <c r="H33" i="3" s="1"/>
  <c r="G34" i="3"/>
  <c r="H34" i="3" s="1"/>
  <c r="G35" i="3"/>
  <c r="H35" i="3" s="1"/>
  <c r="G36" i="3"/>
  <c r="G37" i="3"/>
  <c r="G38" i="3"/>
  <c r="H38" i="3" s="1"/>
  <c r="G39" i="3"/>
  <c r="H39" i="3" s="1"/>
  <c r="G40" i="3"/>
  <c r="H40" i="3" s="1"/>
  <c r="G41" i="3"/>
  <c r="H41" i="3" s="1"/>
  <c r="G42" i="3"/>
  <c r="H42" i="3" s="1"/>
  <c r="G43" i="3"/>
  <c r="H43" i="3" s="1"/>
  <c r="G44" i="3"/>
  <c r="H44" i="3" s="1"/>
  <c r="G45" i="3"/>
  <c r="H45" i="3" s="1"/>
  <c r="G46" i="3"/>
  <c r="H46" i="3" s="1"/>
  <c r="G47" i="3"/>
  <c r="H47" i="3" s="1"/>
  <c r="G48" i="3"/>
  <c r="G49" i="3"/>
  <c r="G50" i="3"/>
  <c r="H50" i="3" s="1"/>
  <c r="G51" i="3"/>
  <c r="H51" i="3" s="1"/>
  <c r="G52" i="3"/>
  <c r="H52" i="3" s="1"/>
  <c r="G53" i="3"/>
  <c r="H53" i="3" s="1"/>
  <c r="G54" i="3"/>
  <c r="H54" i="3" s="1"/>
  <c r="G55" i="3"/>
  <c r="H55" i="3" s="1"/>
  <c r="G56" i="3"/>
  <c r="H56" i="3" s="1"/>
  <c r="G57" i="3"/>
  <c r="H57" i="3" s="1"/>
  <c r="G58" i="3"/>
  <c r="H58" i="3" s="1"/>
  <c r="G59" i="3"/>
  <c r="H59" i="3" s="1"/>
  <c r="G60" i="3"/>
  <c r="G61" i="3"/>
  <c r="G62" i="3"/>
  <c r="H62" i="3" s="1"/>
  <c r="G63" i="3"/>
  <c r="H63" i="3" s="1"/>
  <c r="G64" i="3"/>
  <c r="H64" i="3" s="1"/>
  <c r="G65" i="3"/>
  <c r="H65" i="3" s="1"/>
  <c r="G66" i="3"/>
  <c r="H66" i="3" s="1"/>
  <c r="G67" i="3"/>
  <c r="H67" i="3" s="1"/>
  <c r="G68" i="3"/>
  <c r="H68" i="3" s="1"/>
  <c r="G69" i="3"/>
  <c r="H69" i="3" s="1"/>
  <c r="G70" i="3"/>
  <c r="H70" i="3" s="1"/>
  <c r="G71" i="3"/>
  <c r="H71" i="3" s="1"/>
  <c r="G72" i="3"/>
  <c r="G73" i="3"/>
  <c r="G74" i="3"/>
  <c r="H74" i="3" s="1"/>
  <c r="G75" i="3"/>
  <c r="H75" i="3" s="1"/>
  <c r="G76" i="3"/>
  <c r="H76" i="3" s="1"/>
  <c r="G77" i="3"/>
  <c r="H77" i="3" s="1"/>
  <c r="G78" i="3"/>
  <c r="H78" i="3" s="1"/>
  <c r="G79" i="3"/>
  <c r="H79" i="3" s="1"/>
  <c r="G80" i="3"/>
  <c r="H80" i="3" s="1"/>
  <c r="G81" i="3"/>
  <c r="H81" i="3" s="1"/>
  <c r="G82" i="3"/>
  <c r="H82" i="3" s="1"/>
  <c r="G83" i="3"/>
  <c r="H83" i="3" s="1"/>
  <c r="G84" i="3"/>
  <c r="G85" i="3"/>
  <c r="G86" i="3"/>
  <c r="H86" i="3" s="1"/>
  <c r="G87" i="3"/>
  <c r="H87" i="3" s="1"/>
  <c r="G88" i="3"/>
  <c r="H88" i="3" s="1"/>
  <c r="G89" i="3"/>
  <c r="H89" i="3" s="1"/>
  <c r="G90" i="3"/>
  <c r="H90" i="3" s="1"/>
  <c r="G91" i="3"/>
  <c r="H91" i="3" s="1"/>
  <c r="G92" i="3"/>
  <c r="H92" i="3" s="1"/>
  <c r="G93" i="3"/>
  <c r="H93" i="3" s="1"/>
  <c r="G94" i="3"/>
  <c r="H94" i="3" s="1"/>
  <c r="G95" i="3"/>
  <c r="H95" i="3" s="1"/>
  <c r="G96" i="3"/>
  <c r="G97" i="3"/>
  <c r="H97" i="3" s="1"/>
  <c r="G98" i="3"/>
  <c r="H98" i="3" s="1"/>
  <c r="G99" i="3"/>
  <c r="H99" i="3" s="1"/>
  <c r="G100" i="3"/>
  <c r="G101" i="3"/>
  <c r="H101" i="3" s="1"/>
  <c r="G102" i="3"/>
  <c r="H102" i="3" s="1"/>
  <c r="G103" i="3"/>
  <c r="H103" i="3" s="1"/>
  <c r="G104" i="3"/>
  <c r="H104" i="3" s="1"/>
  <c r="G105" i="3"/>
  <c r="H105" i="3" s="1"/>
  <c r="G106" i="3"/>
  <c r="H106" i="3" s="1"/>
  <c r="G107" i="3"/>
  <c r="H107" i="3" s="1"/>
  <c r="G108" i="3"/>
  <c r="G109" i="3"/>
  <c r="G110" i="3"/>
  <c r="H110" i="3" s="1"/>
  <c r="G111" i="3"/>
  <c r="H111" i="3" s="1"/>
  <c r="G112" i="3"/>
  <c r="H112" i="3" s="1"/>
  <c r="G113" i="3"/>
  <c r="H113" i="3" s="1"/>
  <c r="G114" i="3"/>
  <c r="H114" i="3" s="1"/>
  <c r="G115" i="3"/>
  <c r="H115" i="3" s="1"/>
  <c r="G116" i="3"/>
  <c r="H116" i="3" s="1"/>
  <c r="G117" i="3"/>
  <c r="H117" i="3" s="1"/>
  <c r="G118" i="3"/>
  <c r="H118" i="3" s="1"/>
  <c r="G119" i="3"/>
  <c r="H119" i="3" s="1"/>
  <c r="G120" i="3"/>
  <c r="G121" i="3"/>
  <c r="G122" i="3"/>
  <c r="H122" i="3" s="1"/>
  <c r="G123" i="3"/>
  <c r="H123" i="3" s="1"/>
  <c r="G124" i="3"/>
  <c r="H124" i="3" s="1"/>
  <c r="G125" i="3"/>
  <c r="H125" i="3" s="1"/>
  <c r="G126" i="3"/>
  <c r="H126" i="3" s="1"/>
  <c r="G127" i="3"/>
  <c r="H127" i="3" s="1"/>
  <c r="G128" i="3"/>
  <c r="H128" i="3" s="1"/>
  <c r="G129" i="3"/>
  <c r="H129" i="3" s="1"/>
  <c r="G130" i="3"/>
  <c r="H130" i="3" s="1"/>
  <c r="G131" i="3"/>
  <c r="H131" i="3" s="1"/>
  <c r="G132" i="3"/>
  <c r="G133" i="3"/>
  <c r="G134" i="3"/>
  <c r="H134" i="3" s="1"/>
  <c r="G135" i="3"/>
  <c r="H135" i="3" s="1"/>
  <c r="G136" i="3"/>
  <c r="H136" i="3" s="1"/>
  <c r="G137" i="3"/>
  <c r="H137" i="3" s="1"/>
  <c r="G138" i="3"/>
  <c r="H138" i="3" s="1"/>
  <c r="G139" i="3"/>
  <c r="H139" i="3" s="1"/>
  <c r="G140" i="3"/>
  <c r="H140" i="3" s="1"/>
  <c r="G141" i="3"/>
  <c r="H141" i="3" s="1"/>
  <c r="G142" i="3"/>
  <c r="H142" i="3" s="1"/>
  <c r="G143" i="3"/>
  <c r="H143" i="3" s="1"/>
  <c r="G144" i="3"/>
  <c r="G145" i="3"/>
  <c r="G146" i="3"/>
  <c r="H146" i="3" s="1"/>
  <c r="G147" i="3"/>
  <c r="H147" i="3" s="1"/>
  <c r="G148" i="3"/>
  <c r="H148" i="3" s="1"/>
  <c r="G149" i="3"/>
  <c r="H149" i="3" s="1"/>
  <c r="G150" i="3"/>
  <c r="H150" i="3" s="1"/>
  <c r="G151" i="3"/>
  <c r="H151" i="3" s="1"/>
  <c r="G152" i="3"/>
  <c r="H152" i="3" s="1"/>
  <c r="G153" i="3"/>
  <c r="H153" i="3" s="1"/>
  <c r="G154" i="3"/>
  <c r="H154" i="3" s="1"/>
  <c r="G155" i="3"/>
  <c r="H155" i="3" s="1"/>
  <c r="G156" i="3"/>
  <c r="G157" i="3"/>
  <c r="G158" i="3"/>
  <c r="H158" i="3" s="1"/>
  <c r="G159" i="3"/>
  <c r="H159" i="3" s="1"/>
  <c r="G160" i="3"/>
  <c r="H160" i="3" s="1"/>
  <c r="G161" i="3"/>
  <c r="H161" i="3" s="1"/>
  <c r="G162" i="3"/>
  <c r="H162" i="3" s="1"/>
  <c r="G163" i="3"/>
  <c r="H163" i="3" s="1"/>
  <c r="G164" i="3"/>
  <c r="H164" i="3" s="1"/>
  <c r="G165" i="3"/>
  <c r="H165" i="3" s="1"/>
  <c r="G166" i="3"/>
  <c r="H166" i="3" s="1"/>
  <c r="G167" i="3"/>
  <c r="H167" i="3" s="1"/>
  <c r="G168" i="3"/>
  <c r="G169" i="3"/>
  <c r="G170" i="3"/>
  <c r="H170" i="3" s="1"/>
  <c r="G171" i="3"/>
  <c r="H171" i="3" s="1"/>
  <c r="G172" i="3"/>
  <c r="G173" i="3"/>
  <c r="H173" i="3" s="1"/>
  <c r="G174" i="3"/>
  <c r="H174" i="3" s="1"/>
  <c r="G175" i="3"/>
  <c r="H175" i="3" s="1"/>
  <c r="G176" i="3"/>
  <c r="H176" i="3" s="1"/>
  <c r="G177" i="3"/>
  <c r="H177" i="3" s="1"/>
  <c r="G178" i="3"/>
  <c r="H178" i="3" s="1"/>
  <c r="G179" i="3"/>
  <c r="H179" i="3" s="1"/>
  <c r="G180" i="3"/>
  <c r="G181" i="3"/>
  <c r="G182" i="3"/>
  <c r="H182" i="3" s="1"/>
  <c r="G183" i="3"/>
  <c r="H183" i="3" s="1"/>
  <c r="G184" i="3"/>
  <c r="H184" i="3" s="1"/>
  <c r="G185" i="3"/>
  <c r="H185" i="3" s="1"/>
  <c r="G186" i="3"/>
  <c r="H186" i="3" s="1"/>
  <c r="G187" i="3"/>
  <c r="H187" i="3" s="1"/>
  <c r="G188" i="3"/>
  <c r="H188" i="3" s="1"/>
  <c r="G189" i="3"/>
  <c r="H189" i="3" s="1"/>
  <c r="G190" i="3"/>
  <c r="H190" i="3" s="1"/>
  <c r="G191" i="3"/>
  <c r="H191" i="3" s="1"/>
  <c r="G192" i="3"/>
  <c r="G193" i="3"/>
  <c r="G194" i="3"/>
  <c r="H194" i="3" s="1"/>
  <c r="G195" i="3"/>
  <c r="H195" i="3" s="1"/>
  <c r="G196" i="3"/>
  <c r="H196" i="3" s="1"/>
  <c r="G197" i="3"/>
  <c r="H197" i="3" s="1"/>
  <c r="G198" i="3"/>
  <c r="H198" i="3" s="1"/>
  <c r="G199" i="3"/>
  <c r="H199" i="3" s="1"/>
  <c r="G200" i="3"/>
  <c r="H200" i="3" s="1"/>
  <c r="G201" i="3"/>
  <c r="H201" i="3" s="1"/>
  <c r="G202" i="3"/>
  <c r="H202" i="3" s="1"/>
  <c r="G203" i="3"/>
  <c r="H203" i="3" s="1"/>
  <c r="G204" i="3"/>
  <c r="G205" i="3"/>
  <c r="G206" i="3"/>
  <c r="H206" i="3" s="1"/>
  <c r="G207" i="3"/>
  <c r="H207" i="3" s="1"/>
  <c r="G208" i="3"/>
  <c r="H208" i="3" s="1"/>
  <c r="G209" i="3"/>
  <c r="H209" i="3" s="1"/>
  <c r="G210" i="3"/>
  <c r="H210" i="3" s="1"/>
  <c r="G211" i="3"/>
  <c r="H211" i="3" s="1"/>
  <c r="G212" i="3"/>
  <c r="H212" i="3" s="1"/>
  <c r="G213" i="3"/>
  <c r="H213" i="3" s="1"/>
  <c r="G214" i="3"/>
  <c r="H214" i="3" s="1"/>
  <c r="G215" i="3"/>
  <c r="H215" i="3" s="1"/>
  <c r="G216" i="3"/>
  <c r="G217" i="3"/>
  <c r="G218" i="3"/>
  <c r="H218" i="3" s="1"/>
  <c r="G219" i="3"/>
  <c r="H219" i="3" s="1"/>
  <c r="G220" i="3"/>
  <c r="H220" i="3" s="1"/>
  <c r="G221" i="3"/>
  <c r="H221" i="3" s="1"/>
  <c r="G222" i="3"/>
  <c r="H222" i="3" s="1"/>
  <c r="G223" i="3"/>
  <c r="H223" i="3" s="1"/>
  <c r="G224" i="3"/>
  <c r="H224" i="3" s="1"/>
  <c r="G225" i="3"/>
  <c r="H225" i="3" s="1"/>
  <c r="G226" i="3"/>
  <c r="H226" i="3" s="1"/>
  <c r="G227" i="3"/>
  <c r="H227" i="3" s="1"/>
  <c r="G228" i="3"/>
  <c r="G229" i="3"/>
  <c r="G230" i="3"/>
  <c r="H230" i="3" s="1"/>
  <c r="G231" i="3"/>
  <c r="H231" i="3" s="1"/>
  <c r="G232" i="3"/>
  <c r="H232" i="3" s="1"/>
  <c r="G233" i="3"/>
  <c r="H233" i="3" s="1"/>
  <c r="G234" i="3"/>
  <c r="H234" i="3" s="1"/>
  <c r="G235" i="3"/>
  <c r="H235" i="3" s="1"/>
  <c r="G236" i="3"/>
  <c r="H236" i="3" s="1"/>
  <c r="G237" i="3"/>
  <c r="H237" i="3" s="1"/>
  <c r="G238" i="3"/>
  <c r="H238" i="3" s="1"/>
  <c r="G239" i="3"/>
  <c r="H239" i="3" s="1"/>
  <c r="G240" i="3"/>
  <c r="G241" i="3"/>
  <c r="G242" i="3"/>
  <c r="H242" i="3" s="1"/>
  <c r="G243" i="3"/>
  <c r="H243" i="3" s="1"/>
  <c r="G244" i="3"/>
  <c r="G245" i="3"/>
  <c r="H245" i="3" s="1"/>
  <c r="G246" i="3"/>
  <c r="H246" i="3" s="1"/>
  <c r="G247" i="3"/>
  <c r="H247" i="3" s="1"/>
  <c r="G248" i="3"/>
  <c r="H248" i="3" s="1"/>
  <c r="G249" i="3"/>
  <c r="H249" i="3" s="1"/>
  <c r="G250" i="3"/>
  <c r="H250" i="3" s="1"/>
  <c r="G251" i="3"/>
  <c r="H251" i="3" s="1"/>
  <c r="G252" i="3"/>
  <c r="G253" i="3"/>
  <c r="G254" i="3"/>
  <c r="H254" i="3" s="1"/>
  <c r="G255" i="3"/>
  <c r="H255" i="3" s="1"/>
  <c r="G256" i="3"/>
  <c r="H256" i="3" s="1"/>
  <c r="G257" i="3"/>
  <c r="H257" i="3" s="1"/>
  <c r="G258" i="3"/>
  <c r="H258" i="3" s="1"/>
  <c r="G259" i="3"/>
  <c r="H259" i="3" s="1"/>
  <c r="G260" i="3"/>
  <c r="H260" i="3" s="1"/>
  <c r="G261" i="3"/>
  <c r="H261" i="3" s="1"/>
  <c r="G262" i="3"/>
  <c r="H262" i="3" s="1"/>
  <c r="G263" i="3"/>
  <c r="H263" i="3" s="1"/>
  <c r="G264" i="3"/>
  <c r="G265" i="3"/>
  <c r="G266" i="3"/>
  <c r="H266" i="3" s="1"/>
  <c r="G267" i="3"/>
  <c r="H267" i="3" s="1"/>
  <c r="G268" i="3"/>
  <c r="H268" i="3" s="1"/>
  <c r="G269" i="3"/>
  <c r="H269" i="3" s="1"/>
  <c r="G270" i="3"/>
  <c r="H270" i="3" s="1"/>
  <c r="G271" i="3"/>
  <c r="H271" i="3" s="1"/>
  <c r="G272" i="3"/>
  <c r="H272" i="3" s="1"/>
  <c r="G273" i="3"/>
  <c r="H273" i="3" s="1"/>
  <c r="G274" i="3"/>
  <c r="H274" i="3" s="1"/>
  <c r="G275" i="3"/>
  <c r="H275" i="3" s="1"/>
  <c r="G276" i="3"/>
  <c r="G277" i="3"/>
  <c r="G278" i="3"/>
  <c r="H278" i="3" s="1"/>
  <c r="G279" i="3"/>
  <c r="H279" i="3" s="1"/>
  <c r="G280" i="3"/>
  <c r="H280" i="3" s="1"/>
  <c r="G281" i="3"/>
  <c r="H281" i="3" s="1"/>
  <c r="G282" i="3"/>
  <c r="H282" i="3" s="1"/>
  <c r="G283" i="3"/>
  <c r="H283" i="3" s="1"/>
  <c r="G284" i="3"/>
  <c r="H284" i="3" s="1"/>
  <c r="G285" i="3"/>
  <c r="H285" i="3" s="1"/>
  <c r="G286" i="3"/>
  <c r="H286" i="3" s="1"/>
  <c r="G287" i="3"/>
  <c r="H287" i="3" s="1"/>
  <c r="G288" i="3"/>
  <c r="G289" i="3"/>
  <c r="G290" i="3"/>
  <c r="H290" i="3" s="1"/>
  <c r="G291" i="3"/>
  <c r="H291" i="3" s="1"/>
  <c r="G292" i="3"/>
  <c r="H292" i="3" s="1"/>
  <c r="G293" i="3"/>
  <c r="H293" i="3" s="1"/>
  <c r="G294" i="3"/>
  <c r="H294" i="3" s="1"/>
  <c r="G295" i="3"/>
  <c r="H295" i="3" s="1"/>
  <c r="G296" i="3"/>
  <c r="H296" i="3" s="1"/>
  <c r="G297" i="3"/>
  <c r="H297" i="3" s="1"/>
  <c r="G298" i="3"/>
  <c r="H298" i="3" s="1"/>
  <c r="G299" i="3"/>
  <c r="H299" i="3" s="1"/>
  <c r="G300" i="3"/>
  <c r="G301" i="3"/>
  <c r="G302" i="3"/>
  <c r="H302" i="3" s="1"/>
  <c r="G303" i="3"/>
  <c r="H303" i="3" s="1"/>
  <c r="G304" i="3"/>
  <c r="H304" i="3" s="1"/>
  <c r="G305" i="3"/>
  <c r="H305" i="3" s="1"/>
  <c r="G306" i="3"/>
  <c r="H306" i="3" s="1"/>
  <c r="G307" i="3"/>
  <c r="H307" i="3" s="1"/>
  <c r="G308" i="3"/>
  <c r="H308" i="3" s="1"/>
  <c r="G309" i="3"/>
  <c r="H309" i="3" s="1"/>
  <c r="G310" i="3"/>
  <c r="H310" i="3" s="1"/>
  <c r="G311" i="3"/>
  <c r="H311" i="3" s="1"/>
  <c r="G312" i="3"/>
  <c r="G313" i="3"/>
  <c r="G314" i="3"/>
  <c r="H314" i="3" s="1"/>
  <c r="G315" i="3"/>
  <c r="H315" i="3" s="1"/>
  <c r="G316" i="3"/>
  <c r="G317" i="3"/>
  <c r="H317" i="3" s="1"/>
  <c r="G318" i="3"/>
  <c r="H318" i="3" s="1"/>
  <c r="G319" i="3"/>
  <c r="H319" i="3" s="1"/>
  <c r="G320" i="3"/>
  <c r="H320" i="3" s="1"/>
  <c r="G321" i="3"/>
  <c r="H321" i="3" s="1"/>
  <c r="G322" i="3"/>
  <c r="H322" i="3" s="1"/>
  <c r="G323" i="3"/>
  <c r="H323" i="3" s="1"/>
  <c r="G324" i="3"/>
  <c r="G325" i="3"/>
  <c r="G326" i="3"/>
  <c r="H326" i="3" s="1"/>
  <c r="G327" i="3"/>
  <c r="H327" i="3" s="1"/>
  <c r="G328" i="3"/>
  <c r="H328" i="3" s="1"/>
  <c r="G329" i="3"/>
  <c r="H329" i="3" s="1"/>
  <c r="G330" i="3"/>
  <c r="H330" i="3" s="1"/>
  <c r="G331" i="3"/>
  <c r="H331" i="3" s="1"/>
  <c r="G332" i="3"/>
  <c r="H332" i="3" s="1"/>
  <c r="G333" i="3"/>
  <c r="H333" i="3" s="1"/>
  <c r="G334" i="3"/>
  <c r="H334" i="3" s="1"/>
  <c r="G335" i="3"/>
  <c r="H335" i="3" s="1"/>
  <c r="G336" i="3"/>
  <c r="G337" i="3"/>
  <c r="G338" i="3"/>
  <c r="H338" i="3" s="1"/>
  <c r="G339" i="3"/>
  <c r="H339" i="3" s="1"/>
  <c r="G340" i="3"/>
  <c r="H340" i="3" s="1"/>
  <c r="G341" i="3"/>
  <c r="H341" i="3" s="1"/>
  <c r="G342" i="3"/>
  <c r="H342" i="3" s="1"/>
  <c r="G343" i="3"/>
  <c r="H343" i="3" s="1"/>
  <c r="G344" i="3"/>
  <c r="H344" i="3" s="1"/>
  <c r="G345" i="3"/>
  <c r="H345" i="3" s="1"/>
  <c r="G346" i="3"/>
  <c r="H346" i="3" s="1"/>
  <c r="G347" i="3"/>
  <c r="H347" i="3" s="1"/>
  <c r="G348" i="3"/>
  <c r="G349" i="3"/>
  <c r="G350" i="3"/>
  <c r="H350" i="3" s="1"/>
  <c r="G351" i="3"/>
  <c r="H351" i="3" s="1"/>
  <c r="G352" i="3"/>
  <c r="H352" i="3" s="1"/>
  <c r="G353" i="3"/>
  <c r="H353" i="3" s="1"/>
  <c r="G354" i="3"/>
  <c r="H354" i="3" s="1"/>
  <c r="G355" i="3"/>
  <c r="H355" i="3" s="1"/>
  <c r="G356" i="3"/>
  <c r="H356" i="3" s="1"/>
  <c r="G357" i="3"/>
  <c r="H357" i="3" s="1"/>
  <c r="G358" i="3"/>
  <c r="H358" i="3" s="1"/>
  <c r="G359" i="3"/>
  <c r="H359" i="3" s="1"/>
  <c r="G360" i="3"/>
  <c r="G361" i="3"/>
  <c r="G362" i="3"/>
  <c r="H362" i="3" s="1"/>
  <c r="G363" i="3"/>
  <c r="H363" i="3" s="1"/>
  <c r="G364" i="3"/>
  <c r="H364" i="3" s="1"/>
  <c r="G365" i="3"/>
  <c r="H365" i="3" s="1"/>
  <c r="G366" i="3"/>
  <c r="H366" i="3" s="1"/>
  <c r="G367" i="3"/>
  <c r="H367" i="3" s="1"/>
  <c r="G368" i="3"/>
  <c r="H368" i="3" s="1"/>
  <c r="G369" i="3"/>
  <c r="H369" i="3" s="1"/>
  <c r="G370" i="3"/>
  <c r="H370" i="3" s="1"/>
  <c r="G371" i="3"/>
  <c r="H371" i="3" s="1"/>
  <c r="G372" i="3"/>
  <c r="G373" i="3"/>
  <c r="G374" i="3"/>
  <c r="H374" i="3" s="1"/>
  <c r="G375" i="3"/>
  <c r="H375" i="3" s="1"/>
  <c r="G376" i="3"/>
  <c r="H376" i="3" s="1"/>
  <c r="G377" i="3"/>
  <c r="H377" i="3" s="1"/>
  <c r="G378" i="3"/>
  <c r="H378" i="3" s="1"/>
  <c r="G379" i="3"/>
  <c r="H379" i="3" s="1"/>
  <c r="G380" i="3"/>
  <c r="H380" i="3" s="1"/>
  <c r="G381" i="3"/>
  <c r="H381" i="3" s="1"/>
  <c r="G382" i="3"/>
  <c r="H382" i="3" s="1"/>
  <c r="G383" i="3"/>
  <c r="H383" i="3" s="1"/>
  <c r="G384" i="3"/>
  <c r="G385" i="3"/>
  <c r="G386" i="3"/>
  <c r="H386" i="3" s="1"/>
  <c r="G387" i="3"/>
  <c r="H387" i="3" s="1"/>
  <c r="G388" i="3"/>
  <c r="G389" i="3"/>
  <c r="H389" i="3" s="1"/>
  <c r="G390" i="3"/>
  <c r="H390" i="3" s="1"/>
  <c r="G391" i="3"/>
  <c r="H391" i="3" s="1"/>
  <c r="G392" i="3"/>
  <c r="H392" i="3" s="1"/>
  <c r="G393" i="3"/>
  <c r="H393" i="3" s="1"/>
  <c r="G394" i="3"/>
  <c r="H394" i="3" s="1"/>
  <c r="G395" i="3"/>
  <c r="H395" i="3" s="1"/>
  <c r="G396" i="3"/>
  <c r="G397" i="3"/>
  <c r="G398" i="3"/>
  <c r="H398" i="3" s="1"/>
  <c r="G399" i="3"/>
  <c r="H399" i="3" s="1"/>
  <c r="G400" i="3"/>
  <c r="H400" i="3" s="1"/>
  <c r="G401" i="3"/>
  <c r="H401" i="3" s="1"/>
  <c r="G402" i="3"/>
  <c r="H402" i="3" s="1"/>
  <c r="G403" i="3"/>
  <c r="H403" i="3" s="1"/>
  <c r="G404" i="3"/>
  <c r="H404" i="3" s="1"/>
  <c r="G405" i="3"/>
  <c r="H405" i="3" s="1"/>
  <c r="G406" i="3"/>
  <c r="H406" i="3" s="1"/>
  <c r="G407" i="3"/>
  <c r="H407" i="3" s="1"/>
  <c r="G408" i="3"/>
  <c r="G409" i="3"/>
  <c r="G410" i="3"/>
  <c r="H410" i="3" s="1"/>
  <c r="G411" i="3"/>
  <c r="H411" i="3" s="1"/>
  <c r="G412" i="3"/>
  <c r="H412" i="3" s="1"/>
  <c r="G413" i="3"/>
  <c r="H413" i="3" s="1"/>
  <c r="G414" i="3"/>
  <c r="H414" i="3" s="1"/>
  <c r="G415" i="3"/>
  <c r="H415" i="3" s="1"/>
  <c r="G416" i="3"/>
  <c r="H416" i="3" s="1"/>
  <c r="G417" i="3"/>
  <c r="H417" i="3" s="1"/>
  <c r="G418" i="3"/>
  <c r="H418" i="3" s="1"/>
  <c r="G419" i="3"/>
  <c r="H419" i="3" s="1"/>
  <c r="G420" i="3"/>
  <c r="G421" i="3"/>
  <c r="G422" i="3"/>
  <c r="H422" i="3" s="1"/>
  <c r="G423" i="3"/>
  <c r="H423" i="3" s="1"/>
  <c r="G424" i="3"/>
  <c r="H424" i="3" s="1"/>
  <c r="G425" i="3"/>
  <c r="H425" i="3" s="1"/>
  <c r="G426" i="3"/>
  <c r="H426" i="3" s="1"/>
  <c r="G427" i="3"/>
  <c r="H427" i="3" s="1"/>
  <c r="G428" i="3"/>
  <c r="H428" i="3" s="1"/>
  <c r="G429" i="3"/>
  <c r="H429" i="3" s="1"/>
  <c r="G430" i="3"/>
  <c r="H430" i="3" s="1"/>
  <c r="G431" i="3"/>
  <c r="H431" i="3" s="1"/>
  <c r="G432" i="3"/>
  <c r="G433" i="3"/>
  <c r="G434" i="3"/>
  <c r="H434" i="3" s="1"/>
  <c r="G435" i="3"/>
  <c r="H435" i="3" s="1"/>
  <c r="G436" i="3"/>
  <c r="H436" i="3" s="1"/>
  <c r="G437" i="3"/>
  <c r="H437" i="3" s="1"/>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B7118" i="4"/>
  <c r="B7119" i="4"/>
  <c r="B7120" i="4"/>
  <c r="B7121" i="4"/>
  <c r="B7122" i="4"/>
  <c r="B7123" i="4"/>
  <c r="B7124" i="4"/>
  <c r="B7125" i="4"/>
  <c r="B7126" i="4"/>
  <c r="B7127" i="4"/>
  <c r="B7128" i="4"/>
  <c r="B7129" i="4"/>
  <c r="B7130" i="4"/>
  <c r="B7131" i="4"/>
  <c r="B7132" i="4"/>
  <c r="B7133" i="4"/>
  <c r="B7134" i="4"/>
  <c r="B7135" i="4"/>
  <c r="B7136" i="4"/>
  <c r="B7137" i="4"/>
  <c r="B7138" i="4"/>
  <c r="B7139" i="4"/>
  <c r="B7140" i="4"/>
  <c r="B7141" i="4"/>
  <c r="B7142" i="4"/>
  <c r="B7143" i="4"/>
  <c r="B7144" i="4"/>
  <c r="B7145" i="4"/>
  <c r="B7146" i="4"/>
  <c r="B7147" i="4"/>
  <c r="B7148" i="4"/>
  <c r="B7149" i="4"/>
  <c r="B7150" i="4"/>
  <c r="B7151" i="4"/>
  <c r="B7152" i="4"/>
  <c r="B7153" i="4"/>
  <c r="B7154" i="4"/>
  <c r="B7155" i="4"/>
  <c r="B7156" i="4"/>
  <c r="B7157" i="4"/>
  <c r="B7158" i="4"/>
  <c r="B7159" i="4"/>
  <c r="B7160" i="4"/>
  <c r="B7161" i="4"/>
  <c r="B7162" i="4"/>
  <c r="B7163" i="4"/>
  <c r="B7164" i="4"/>
  <c r="B7165" i="4"/>
  <c r="B7166" i="4"/>
  <c r="B7167" i="4"/>
  <c r="B7168" i="4"/>
  <c r="B7169" i="4"/>
  <c r="B7170" i="4"/>
  <c r="B7171" i="4"/>
  <c r="B7172" i="4"/>
  <c r="B7173" i="4"/>
  <c r="B7174" i="4"/>
  <c r="B7175" i="4"/>
  <c r="B7176" i="4"/>
  <c r="B7177" i="4"/>
  <c r="B7178" i="4"/>
  <c r="B7179" i="4"/>
  <c r="B7180" i="4"/>
  <c r="B7181" i="4"/>
  <c r="B7182" i="4"/>
  <c r="B7183" i="4"/>
  <c r="B7184" i="4"/>
  <c r="B7185" i="4"/>
  <c r="B7186" i="4"/>
  <c r="B7187" i="4"/>
  <c r="B7188" i="4"/>
  <c r="B7189" i="4"/>
  <c r="B7190" i="4"/>
  <c r="B7191" i="4"/>
  <c r="B7192" i="4"/>
  <c r="B7193" i="4"/>
  <c r="B7194" i="4"/>
  <c r="B7195" i="4"/>
  <c r="B7196" i="4"/>
  <c r="B7197" i="4"/>
  <c r="B7198" i="4"/>
  <c r="B7199" i="4"/>
  <c r="B7200" i="4"/>
  <c r="B7201" i="4"/>
  <c r="B7202" i="4"/>
  <c r="B7203" i="4"/>
  <c r="B7204" i="4"/>
  <c r="B7205" i="4"/>
  <c r="B7206" i="4"/>
  <c r="B7207" i="4"/>
  <c r="B7208" i="4"/>
  <c r="B7209" i="4"/>
  <c r="B7210" i="4"/>
  <c r="B7211" i="4"/>
  <c r="B7212" i="4"/>
  <c r="B7213" i="4"/>
  <c r="B7214" i="4"/>
  <c r="B7215" i="4"/>
  <c r="B7216" i="4"/>
  <c r="B7217" i="4"/>
  <c r="B7218" i="4"/>
  <c r="B7219" i="4"/>
  <c r="B7220" i="4"/>
  <c r="B7221" i="4"/>
  <c r="B7222" i="4"/>
  <c r="B7223" i="4"/>
  <c r="B7224" i="4"/>
  <c r="B7225" i="4"/>
  <c r="B7226" i="4"/>
  <c r="B7227" i="4"/>
  <c r="B7228" i="4"/>
  <c r="B7229" i="4"/>
  <c r="B7230" i="4"/>
  <c r="B7231" i="4"/>
  <c r="B7232" i="4"/>
  <c r="B7233" i="4"/>
  <c r="B7234" i="4"/>
  <c r="B7235" i="4"/>
  <c r="B7236" i="4"/>
  <c r="B7237" i="4"/>
  <c r="B7238" i="4"/>
  <c r="B7239" i="4"/>
  <c r="B7240" i="4"/>
  <c r="B7241" i="4"/>
  <c r="B7242" i="4"/>
  <c r="B7243" i="4"/>
  <c r="B7244" i="4"/>
  <c r="B7245" i="4"/>
  <c r="B7246" i="4"/>
  <c r="B7247" i="4"/>
  <c r="B7248" i="4"/>
  <c r="B7249" i="4"/>
  <c r="B7250" i="4"/>
  <c r="B7251" i="4"/>
  <c r="B7252" i="4"/>
  <c r="B7253" i="4"/>
  <c r="B7254" i="4"/>
  <c r="B7255" i="4"/>
  <c r="B7256" i="4"/>
  <c r="B7257" i="4"/>
  <c r="B7258" i="4"/>
  <c r="B7259" i="4"/>
  <c r="B7260" i="4"/>
  <c r="B7261" i="4"/>
  <c r="B7262" i="4"/>
  <c r="B7263" i="4"/>
  <c r="B7264" i="4"/>
  <c r="B7265" i="4"/>
  <c r="B7266" i="4"/>
  <c r="B7267" i="4"/>
  <c r="B7268" i="4"/>
  <c r="B7269" i="4"/>
  <c r="B7270" i="4"/>
  <c r="B7271" i="4"/>
  <c r="B7272" i="4"/>
  <c r="B7273" i="4"/>
  <c r="B7274" i="4"/>
  <c r="B7275" i="4"/>
  <c r="B7276" i="4"/>
  <c r="B7277" i="4"/>
  <c r="B7278" i="4"/>
  <c r="B7279" i="4"/>
  <c r="B7280" i="4"/>
  <c r="B7281" i="4"/>
  <c r="B7282" i="4"/>
  <c r="B7283" i="4"/>
  <c r="B7284" i="4"/>
  <c r="B7285" i="4"/>
  <c r="B7286" i="4"/>
  <c r="B7287" i="4"/>
  <c r="B7288" i="4"/>
  <c r="B7289" i="4"/>
  <c r="B7290" i="4"/>
  <c r="B7291" i="4"/>
  <c r="B7292" i="4"/>
  <c r="B7293" i="4"/>
  <c r="B7294" i="4"/>
  <c r="B7295" i="4"/>
  <c r="B7296" i="4"/>
  <c r="B7297" i="4"/>
  <c r="B7298" i="4"/>
  <c r="B7299" i="4"/>
  <c r="B7300" i="4"/>
  <c r="B7301" i="4"/>
  <c r="B7302" i="4"/>
  <c r="B7303" i="4"/>
  <c r="B7304" i="4"/>
  <c r="B7305" i="4"/>
  <c r="B7306" i="4"/>
  <c r="B7307" i="4"/>
  <c r="B7308" i="4"/>
  <c r="B7309" i="4"/>
  <c r="B7310" i="4"/>
  <c r="B7311" i="4"/>
  <c r="B7312" i="4"/>
  <c r="B7313" i="4"/>
  <c r="B7314" i="4"/>
  <c r="B7315" i="4"/>
  <c r="B7316" i="4"/>
  <c r="B7317" i="4"/>
  <c r="B7318" i="4"/>
  <c r="B7319" i="4"/>
  <c r="B7320" i="4"/>
  <c r="B7321" i="4"/>
  <c r="B7322" i="4"/>
  <c r="B7323" i="4"/>
  <c r="B7324" i="4"/>
  <c r="B7325" i="4"/>
  <c r="B7326" i="4"/>
  <c r="B7327" i="4"/>
  <c r="B7328" i="4"/>
  <c r="B7329" i="4"/>
  <c r="B7330" i="4"/>
  <c r="B7331" i="4"/>
  <c r="B7332" i="4"/>
  <c r="B7333" i="4"/>
  <c r="B7334" i="4"/>
  <c r="B7335" i="4"/>
  <c r="B7336" i="4"/>
  <c r="B7337" i="4"/>
  <c r="B7338" i="4"/>
  <c r="B7339" i="4"/>
  <c r="B7340" i="4"/>
  <c r="B7341" i="4"/>
  <c r="B7342" i="4"/>
  <c r="B7343" i="4"/>
  <c r="B7344" i="4"/>
  <c r="B7345" i="4"/>
  <c r="B7346" i="4"/>
  <c r="B7347" i="4"/>
  <c r="B7348" i="4"/>
  <c r="B7349" i="4"/>
  <c r="B7350" i="4"/>
  <c r="B7351" i="4"/>
  <c r="B7352" i="4"/>
  <c r="B7353" i="4"/>
  <c r="B7354" i="4"/>
  <c r="B7355" i="4"/>
  <c r="B7356" i="4"/>
  <c r="B7357" i="4"/>
  <c r="B7358" i="4"/>
  <c r="B7359" i="4"/>
  <c r="B7360" i="4"/>
  <c r="B7361" i="4"/>
  <c r="B7362" i="4"/>
  <c r="B7363" i="4"/>
  <c r="B7364" i="4"/>
  <c r="B7365" i="4"/>
  <c r="B7366" i="4"/>
  <c r="B7367" i="4"/>
  <c r="B7368" i="4"/>
  <c r="B7369" i="4"/>
  <c r="B7370" i="4"/>
  <c r="B7371" i="4"/>
  <c r="B7372" i="4"/>
  <c r="B7373" i="4"/>
  <c r="B7374" i="4"/>
  <c r="B7375" i="4"/>
  <c r="B7376" i="4"/>
  <c r="B7377" i="4"/>
  <c r="B7378" i="4"/>
  <c r="B7379" i="4"/>
  <c r="B7380" i="4"/>
  <c r="B7381" i="4"/>
  <c r="B7382" i="4"/>
  <c r="B7383" i="4"/>
  <c r="B7384" i="4"/>
  <c r="B7385" i="4"/>
  <c r="B7386" i="4"/>
  <c r="B7387" i="4"/>
  <c r="B7388" i="4"/>
  <c r="B7389" i="4"/>
  <c r="B7390" i="4"/>
  <c r="B7391" i="4"/>
  <c r="B7392" i="4"/>
  <c r="B7393" i="4"/>
  <c r="B7394" i="4"/>
  <c r="B7395" i="4"/>
  <c r="B7396" i="4"/>
  <c r="B7397" i="4"/>
  <c r="B7398" i="4"/>
  <c r="B7399" i="4"/>
  <c r="B7400" i="4"/>
  <c r="B7401" i="4"/>
  <c r="B7402" i="4"/>
  <c r="B7403" i="4"/>
  <c r="B7404" i="4"/>
  <c r="B7405" i="4"/>
  <c r="B7406" i="4"/>
  <c r="B7407" i="4"/>
  <c r="B7408" i="4"/>
  <c r="B7409" i="4"/>
  <c r="B7410" i="4"/>
  <c r="B7411" i="4"/>
  <c r="B7412" i="4"/>
  <c r="B7413" i="4"/>
  <c r="B7414" i="4"/>
  <c r="B7415" i="4"/>
  <c r="B7416" i="4"/>
  <c r="B7417" i="4"/>
  <c r="B7418" i="4"/>
  <c r="B7419" i="4"/>
  <c r="B7420" i="4"/>
  <c r="B7421" i="4"/>
  <c r="B7422" i="4"/>
  <c r="B7423" i="4"/>
  <c r="B7424" i="4"/>
  <c r="B7425" i="4"/>
  <c r="B7426" i="4"/>
  <c r="B7427" i="4"/>
  <c r="B7428" i="4"/>
  <c r="B7429" i="4"/>
  <c r="B7430" i="4"/>
  <c r="B7431" i="4"/>
  <c r="B7432" i="4"/>
  <c r="B7433" i="4"/>
  <c r="B7434" i="4"/>
  <c r="B7435" i="4"/>
  <c r="B7436" i="4"/>
  <c r="B7437" i="4"/>
  <c r="B7438" i="4"/>
  <c r="B7439" i="4"/>
  <c r="B7440" i="4"/>
  <c r="B7441" i="4"/>
  <c r="B7442" i="4"/>
  <c r="B7443" i="4"/>
  <c r="B7444" i="4"/>
  <c r="B7445" i="4"/>
  <c r="B7446" i="4"/>
  <c r="B7447" i="4"/>
  <c r="B7448" i="4"/>
  <c r="B7449" i="4"/>
  <c r="B7450" i="4"/>
  <c r="B7451" i="4"/>
  <c r="B7452" i="4"/>
  <c r="B7453" i="4"/>
  <c r="B7454" i="4"/>
  <c r="B7455" i="4"/>
  <c r="B7456" i="4"/>
  <c r="B7457" i="4"/>
  <c r="B7458" i="4"/>
  <c r="B7459" i="4"/>
  <c r="B7460" i="4"/>
  <c r="B7461" i="4"/>
  <c r="B7462" i="4"/>
  <c r="B7463" i="4"/>
  <c r="B7464" i="4"/>
  <c r="B7465" i="4"/>
  <c r="B7466" i="4"/>
  <c r="B7467" i="4"/>
  <c r="B7468" i="4"/>
  <c r="B7469" i="4"/>
  <c r="B7470" i="4"/>
  <c r="B7471" i="4"/>
  <c r="B7472" i="4"/>
  <c r="B7473" i="4"/>
  <c r="B7474" i="4"/>
  <c r="B7475" i="4"/>
  <c r="B7476" i="4"/>
  <c r="B7477" i="4"/>
  <c r="B7478" i="4"/>
  <c r="B7479" i="4"/>
  <c r="B7480" i="4"/>
  <c r="B7481" i="4"/>
  <c r="B7482" i="4"/>
  <c r="B7483" i="4"/>
  <c r="B7484" i="4"/>
  <c r="B7485" i="4"/>
  <c r="B7486" i="4"/>
  <c r="B7487" i="4"/>
  <c r="B7488" i="4"/>
  <c r="B7489" i="4"/>
  <c r="B7490" i="4"/>
  <c r="B7491" i="4"/>
  <c r="B7492" i="4"/>
  <c r="B7493" i="4"/>
  <c r="B7494" i="4"/>
  <c r="B7495" i="4"/>
  <c r="B7496" i="4"/>
  <c r="B7497" i="4"/>
  <c r="B7498" i="4"/>
  <c r="B7499" i="4"/>
  <c r="B7500" i="4"/>
  <c r="B7501" i="4"/>
  <c r="B7502" i="4"/>
  <c r="B7503" i="4"/>
  <c r="B7504" i="4"/>
  <c r="B7505" i="4"/>
  <c r="B7506" i="4"/>
  <c r="B7507" i="4"/>
  <c r="B7508" i="4"/>
  <c r="B7509" i="4"/>
  <c r="B7510" i="4"/>
  <c r="B7511" i="4"/>
  <c r="B7512" i="4"/>
  <c r="B7513" i="4"/>
  <c r="B7514" i="4"/>
  <c r="B7515" i="4"/>
  <c r="B7516" i="4"/>
  <c r="B7517" i="4"/>
  <c r="B7518" i="4"/>
  <c r="B7519" i="4"/>
  <c r="B7520" i="4"/>
  <c r="B7521" i="4"/>
  <c r="B7522" i="4"/>
  <c r="B7523" i="4"/>
  <c r="B7524" i="4"/>
  <c r="B7525" i="4"/>
  <c r="B7526" i="4"/>
  <c r="B7527" i="4"/>
  <c r="B7528" i="4"/>
  <c r="B7529" i="4"/>
  <c r="B7530" i="4"/>
  <c r="B7531" i="4"/>
  <c r="B7532" i="4"/>
  <c r="B7533" i="4"/>
  <c r="B7534" i="4"/>
  <c r="B7535" i="4"/>
  <c r="B7536" i="4"/>
  <c r="B7537" i="4"/>
  <c r="B7538" i="4"/>
  <c r="B7539" i="4"/>
  <c r="B7540" i="4"/>
  <c r="B7541" i="4"/>
  <c r="B7542" i="4"/>
  <c r="B7543" i="4"/>
  <c r="B7544" i="4"/>
  <c r="B7545" i="4"/>
  <c r="B7546" i="4"/>
  <c r="B7547" i="4"/>
  <c r="B7548" i="4"/>
  <c r="B7549" i="4"/>
  <c r="B7550" i="4"/>
  <c r="B7551" i="4"/>
  <c r="B7552" i="4"/>
  <c r="B7553" i="4"/>
  <c r="B7554" i="4"/>
  <c r="B7555" i="4"/>
  <c r="B7556" i="4"/>
  <c r="B7557" i="4"/>
  <c r="B7558" i="4"/>
  <c r="B7559" i="4"/>
  <c r="B7560" i="4"/>
  <c r="B7561" i="4"/>
  <c r="B7562" i="4"/>
  <c r="B7563" i="4"/>
  <c r="B7564" i="4"/>
  <c r="B7565" i="4"/>
  <c r="B7566" i="4"/>
  <c r="B7567" i="4"/>
  <c r="B7568" i="4"/>
  <c r="B7569" i="4"/>
  <c r="B7570" i="4"/>
  <c r="B7571" i="4"/>
  <c r="B7572" i="4"/>
  <c r="B7573" i="4"/>
  <c r="B7574" i="4"/>
  <c r="B7575" i="4"/>
  <c r="B7576" i="4"/>
  <c r="B7577" i="4"/>
  <c r="B7578" i="4"/>
  <c r="B7579" i="4"/>
  <c r="B7580" i="4"/>
  <c r="B7581" i="4"/>
  <c r="B7582" i="4"/>
  <c r="B7583" i="4"/>
  <c r="B7584" i="4"/>
  <c r="B7585" i="4"/>
  <c r="B7586" i="4"/>
  <c r="B7587" i="4"/>
  <c r="B7588" i="4"/>
  <c r="B7589" i="4"/>
  <c r="B7590" i="4"/>
  <c r="B7591" i="4"/>
  <c r="B7592" i="4"/>
  <c r="B7593" i="4"/>
  <c r="B7594" i="4"/>
  <c r="B7595" i="4"/>
  <c r="B7596" i="4"/>
  <c r="B7597" i="4"/>
  <c r="B7598" i="4"/>
  <c r="B7599" i="4"/>
  <c r="B7600" i="4"/>
  <c r="B7601" i="4"/>
  <c r="B7602" i="4"/>
  <c r="B7603" i="4"/>
  <c r="B7604" i="4"/>
  <c r="B7605" i="4"/>
  <c r="B7606" i="4"/>
  <c r="B7607" i="4"/>
  <c r="B7608" i="4"/>
  <c r="B7609" i="4"/>
  <c r="B7610" i="4"/>
  <c r="B7611" i="4"/>
  <c r="B7612" i="4"/>
  <c r="B7613" i="4"/>
  <c r="B7614" i="4"/>
  <c r="B7615" i="4"/>
  <c r="B7616" i="4"/>
  <c r="B7617" i="4"/>
  <c r="B7618" i="4"/>
  <c r="B7619" i="4"/>
  <c r="B7620" i="4"/>
  <c r="B7621" i="4"/>
  <c r="B7622" i="4"/>
  <c r="B7623" i="4"/>
  <c r="B7624" i="4"/>
  <c r="B7625" i="4"/>
  <c r="B7626" i="4"/>
  <c r="B7627" i="4"/>
  <c r="B7628" i="4"/>
  <c r="B7629" i="4"/>
  <c r="B7630" i="4"/>
  <c r="B7631" i="4"/>
  <c r="B7632" i="4"/>
  <c r="B7633" i="4"/>
  <c r="B7634" i="4"/>
  <c r="B7635" i="4"/>
  <c r="B7636" i="4"/>
  <c r="B7637" i="4"/>
  <c r="B7638" i="4"/>
  <c r="B7639" i="4"/>
  <c r="B7640" i="4"/>
  <c r="B7641" i="4"/>
  <c r="B7642" i="4"/>
  <c r="B7643" i="4"/>
  <c r="B7644" i="4"/>
  <c r="B7645" i="4"/>
  <c r="B7646" i="4"/>
  <c r="B7647" i="4"/>
  <c r="B7648" i="4"/>
  <c r="B7649" i="4"/>
  <c r="B7650" i="4"/>
  <c r="B7651" i="4"/>
  <c r="B7652" i="4"/>
  <c r="B7653" i="4"/>
  <c r="B7654" i="4"/>
  <c r="B7655" i="4"/>
  <c r="B7656" i="4"/>
  <c r="B7657" i="4"/>
  <c r="B7658" i="4"/>
  <c r="B7659" i="4"/>
  <c r="B7660" i="4"/>
  <c r="B7661" i="4"/>
  <c r="B7662" i="4"/>
  <c r="B7663" i="4"/>
  <c r="B7664" i="4"/>
  <c r="B7665" i="4"/>
  <c r="B7666" i="4"/>
  <c r="B7667" i="4"/>
  <c r="B7668" i="4"/>
  <c r="B7669" i="4"/>
  <c r="B7670" i="4"/>
  <c r="B7671" i="4"/>
  <c r="B7672" i="4"/>
  <c r="B7673" i="4"/>
  <c r="B7674" i="4"/>
  <c r="B7675" i="4"/>
  <c r="B7676" i="4"/>
  <c r="B7677" i="4"/>
  <c r="B7678" i="4"/>
  <c r="B7679" i="4"/>
  <c r="B7680" i="4"/>
  <c r="B7681" i="4"/>
  <c r="B7682" i="4"/>
  <c r="B7683" i="4"/>
  <c r="B7684" i="4"/>
  <c r="B7685" i="4"/>
  <c r="B7686" i="4"/>
  <c r="B7687" i="4"/>
  <c r="B7688" i="4"/>
  <c r="B7689" i="4"/>
  <c r="B7690" i="4"/>
  <c r="B7691" i="4"/>
  <c r="B7692" i="4"/>
  <c r="B7693" i="4"/>
  <c r="B7694" i="4"/>
  <c r="B7695" i="4"/>
  <c r="B7696" i="4"/>
  <c r="B7697" i="4"/>
  <c r="B7698" i="4"/>
  <c r="B7699" i="4"/>
  <c r="B7700" i="4"/>
  <c r="B7701" i="4"/>
  <c r="B7702" i="4"/>
  <c r="B7703" i="4"/>
  <c r="B7704" i="4"/>
  <c r="B7705" i="4"/>
  <c r="B7706" i="4"/>
  <c r="B7707" i="4"/>
  <c r="B7708" i="4"/>
  <c r="B7709" i="4"/>
  <c r="B7710" i="4"/>
  <c r="B7711" i="4"/>
  <c r="B7712" i="4"/>
  <c r="B7713" i="4"/>
  <c r="B7714" i="4"/>
  <c r="B7715" i="4"/>
  <c r="B7716" i="4"/>
  <c r="B7717" i="4"/>
  <c r="B7718" i="4"/>
  <c r="B7719" i="4"/>
  <c r="B7720" i="4"/>
  <c r="B7721" i="4"/>
  <c r="B7722" i="4"/>
  <c r="B7723" i="4"/>
  <c r="B7724" i="4"/>
  <c r="B7725" i="4"/>
  <c r="B7726" i="4"/>
  <c r="B7727" i="4"/>
  <c r="B7728" i="4"/>
  <c r="B7729" i="4"/>
  <c r="B7730" i="4"/>
  <c r="B7731" i="4"/>
  <c r="B7732" i="4"/>
  <c r="B7733" i="4"/>
  <c r="B7734" i="4"/>
  <c r="B7735" i="4"/>
  <c r="B7736" i="4"/>
  <c r="B7737" i="4"/>
  <c r="B7738" i="4"/>
  <c r="B7739" i="4"/>
  <c r="B7740" i="4"/>
  <c r="B7741" i="4"/>
  <c r="B7742" i="4"/>
  <c r="B7743" i="4"/>
  <c r="B7744" i="4"/>
  <c r="B7745" i="4"/>
  <c r="B7746" i="4"/>
  <c r="B7747" i="4"/>
  <c r="B7748" i="4"/>
  <c r="B7749" i="4"/>
  <c r="B7750" i="4"/>
  <c r="B7751" i="4"/>
  <c r="B7752" i="4"/>
  <c r="B7753" i="4"/>
  <c r="B7754" i="4"/>
  <c r="B7755" i="4"/>
  <c r="B7756" i="4"/>
  <c r="B7757" i="4"/>
  <c r="B7758" i="4"/>
  <c r="B7759" i="4"/>
  <c r="B7760" i="4"/>
  <c r="B7761" i="4"/>
  <c r="B7762" i="4"/>
  <c r="B7763" i="4"/>
  <c r="B7764" i="4"/>
  <c r="B7765" i="4"/>
  <c r="B7766" i="4"/>
  <c r="B7767" i="4"/>
  <c r="B7768" i="4"/>
  <c r="B7769" i="4"/>
  <c r="B7770" i="4"/>
  <c r="B7771" i="4"/>
  <c r="B7772" i="4"/>
  <c r="B7773" i="4"/>
  <c r="B7774" i="4"/>
  <c r="B7775" i="4"/>
  <c r="B7776" i="4"/>
  <c r="B7777" i="4"/>
  <c r="B7778" i="4"/>
  <c r="B7779" i="4"/>
  <c r="B7780" i="4"/>
  <c r="B7781" i="4"/>
  <c r="B7782" i="4"/>
  <c r="B7783" i="4"/>
  <c r="B7784" i="4"/>
  <c r="B7785" i="4"/>
  <c r="B7786" i="4"/>
  <c r="B7787" i="4"/>
  <c r="B7788" i="4"/>
  <c r="B7789" i="4"/>
  <c r="B7790" i="4"/>
  <c r="B7791" i="4"/>
  <c r="B7792" i="4"/>
  <c r="B7793" i="4"/>
  <c r="B7794" i="4"/>
  <c r="B7795" i="4"/>
  <c r="B7796" i="4"/>
  <c r="B7797" i="4"/>
  <c r="B7798" i="4"/>
  <c r="B7799" i="4"/>
  <c r="B7800" i="4"/>
  <c r="B7801" i="4"/>
  <c r="B7802" i="4"/>
  <c r="B7803" i="4"/>
  <c r="B7804" i="4"/>
  <c r="B7805" i="4"/>
  <c r="B7806" i="4"/>
  <c r="B7807" i="4"/>
  <c r="B7808" i="4"/>
  <c r="B7809" i="4"/>
  <c r="B7810" i="4"/>
  <c r="B7811" i="4"/>
  <c r="B7812" i="4"/>
  <c r="B7813" i="4"/>
  <c r="B7814" i="4"/>
  <c r="B7815" i="4"/>
  <c r="B7816" i="4"/>
  <c r="B7817" i="4"/>
  <c r="B7818" i="4"/>
  <c r="B7819" i="4"/>
  <c r="B7820" i="4"/>
  <c r="B7821" i="4"/>
  <c r="B7822" i="4"/>
  <c r="B7823" i="4"/>
  <c r="B7824" i="4"/>
  <c r="B7825" i="4"/>
  <c r="B7826" i="4"/>
  <c r="B7827" i="4"/>
  <c r="B7828" i="4"/>
  <c r="B7829" i="4"/>
  <c r="B7830" i="4"/>
  <c r="B7831" i="4"/>
  <c r="B7832" i="4"/>
  <c r="B7833" i="4"/>
  <c r="B7834" i="4"/>
  <c r="B7835" i="4"/>
  <c r="B7836" i="4"/>
  <c r="B7837" i="4"/>
  <c r="B7838" i="4"/>
  <c r="B7839" i="4"/>
  <c r="B7840" i="4"/>
  <c r="B7841" i="4"/>
  <c r="B7842" i="4"/>
  <c r="B7843" i="4"/>
  <c r="B7844" i="4"/>
  <c r="B7845" i="4"/>
  <c r="B7846" i="4"/>
  <c r="B7847" i="4"/>
  <c r="B7848" i="4"/>
  <c r="B7849" i="4"/>
  <c r="B7850" i="4"/>
  <c r="B7851" i="4"/>
  <c r="B7852" i="4"/>
  <c r="B7853" i="4"/>
  <c r="B7854" i="4"/>
  <c r="B7855" i="4"/>
  <c r="B7856" i="4"/>
  <c r="B7857" i="4"/>
  <c r="B7858" i="4"/>
  <c r="B7859" i="4"/>
  <c r="B7860" i="4"/>
  <c r="B7861" i="4"/>
  <c r="B7862" i="4"/>
  <c r="B7863" i="4"/>
  <c r="B7864" i="4"/>
  <c r="B7865" i="4"/>
  <c r="B7866" i="4"/>
  <c r="B7867" i="4"/>
  <c r="B7868" i="4"/>
  <c r="B7869" i="4"/>
  <c r="B7870" i="4"/>
  <c r="B7871" i="4"/>
  <c r="B7872" i="4"/>
  <c r="B7873" i="4"/>
  <c r="B7874" i="4"/>
  <c r="B7875" i="4"/>
  <c r="B7876" i="4"/>
  <c r="B7877" i="4"/>
  <c r="B7878" i="4"/>
  <c r="B7879" i="4"/>
  <c r="B7880" i="4"/>
  <c r="B7881" i="4"/>
  <c r="B7882" i="4"/>
  <c r="B7883" i="4"/>
  <c r="B7884" i="4"/>
  <c r="B7885" i="4"/>
  <c r="B7886" i="4"/>
  <c r="B7887" i="4"/>
  <c r="B7888" i="4"/>
  <c r="B7889" i="4"/>
  <c r="B7890" i="4"/>
  <c r="B7891" i="4"/>
  <c r="B7892" i="4"/>
  <c r="B7893" i="4"/>
  <c r="B7894" i="4"/>
  <c r="B7895" i="4"/>
  <c r="B7896" i="4"/>
  <c r="B7897" i="4"/>
  <c r="B7898" i="4"/>
  <c r="B7899" i="4"/>
  <c r="B7900" i="4"/>
  <c r="B7901" i="4"/>
  <c r="B7902" i="4"/>
  <c r="B7903" i="4"/>
  <c r="B7904" i="4"/>
  <c r="B7905" i="4"/>
  <c r="B7906" i="4"/>
  <c r="B7907" i="4"/>
  <c r="B7908" i="4"/>
  <c r="B7909" i="4"/>
  <c r="B7910" i="4"/>
  <c r="B7911" i="4"/>
  <c r="B7912" i="4"/>
  <c r="B7913" i="4"/>
  <c r="B7914" i="4"/>
  <c r="B7915" i="4"/>
  <c r="B7916" i="4"/>
  <c r="B7917" i="4"/>
  <c r="B7918" i="4"/>
  <c r="B7919" i="4"/>
  <c r="B7920" i="4"/>
  <c r="B7921" i="4"/>
  <c r="B7922" i="4"/>
  <c r="B7923" i="4"/>
  <c r="B7924" i="4"/>
  <c r="B7925" i="4"/>
  <c r="B7926" i="4"/>
  <c r="B7927" i="4"/>
  <c r="B7928" i="4"/>
  <c r="B7929" i="4"/>
  <c r="B7930" i="4"/>
  <c r="B7931" i="4"/>
  <c r="B7932" i="4"/>
  <c r="B7933" i="4"/>
  <c r="B7934" i="4"/>
  <c r="B7935" i="4"/>
  <c r="B7936" i="4"/>
  <c r="B7937" i="4"/>
  <c r="B7938" i="4"/>
  <c r="B7939" i="4"/>
  <c r="B7940" i="4"/>
  <c r="B7941" i="4"/>
  <c r="B7942" i="4"/>
  <c r="B7943" i="4"/>
  <c r="B7944" i="4"/>
  <c r="B7945" i="4"/>
  <c r="B7946" i="4"/>
  <c r="B7947" i="4"/>
  <c r="B7948" i="4"/>
  <c r="B7949" i="4"/>
  <c r="B7950" i="4"/>
  <c r="B7951" i="4"/>
  <c r="B7952" i="4"/>
  <c r="B7953" i="4"/>
  <c r="B7954" i="4"/>
  <c r="B7955" i="4"/>
  <c r="B7956" i="4"/>
  <c r="B7957" i="4"/>
  <c r="B7958" i="4"/>
  <c r="B7959" i="4"/>
  <c r="B7960" i="4"/>
  <c r="B7961" i="4"/>
  <c r="B7962" i="4"/>
  <c r="B7963" i="4"/>
  <c r="B7964" i="4"/>
  <c r="B7965" i="4"/>
  <c r="B7966" i="4"/>
  <c r="B7967" i="4"/>
  <c r="B7968" i="4"/>
  <c r="B7969" i="4"/>
  <c r="B7970" i="4"/>
  <c r="B7971" i="4"/>
  <c r="B7972" i="4"/>
  <c r="B7973" i="4"/>
  <c r="B7974" i="4"/>
  <c r="B7975" i="4"/>
  <c r="B7976" i="4"/>
  <c r="B7977" i="4"/>
  <c r="B7978" i="4"/>
  <c r="B7979" i="4"/>
  <c r="B7980" i="4"/>
  <c r="B7981" i="4"/>
  <c r="B7982" i="4"/>
  <c r="B7983" i="4"/>
  <c r="B7984" i="4"/>
  <c r="B7985" i="4"/>
  <c r="B7986" i="4"/>
  <c r="B7987" i="4"/>
  <c r="B7988" i="4"/>
  <c r="B7989" i="4"/>
  <c r="B7990" i="4"/>
  <c r="B7991" i="4"/>
  <c r="B7992" i="4"/>
  <c r="B7993" i="4"/>
  <c r="B7994" i="4"/>
  <c r="B7995" i="4"/>
  <c r="B7996" i="4"/>
  <c r="B7997" i="4"/>
  <c r="B7998" i="4"/>
  <c r="B7999" i="4"/>
  <c r="B8000" i="4"/>
  <c r="B8001" i="4"/>
  <c r="B8002" i="4"/>
  <c r="B8003" i="4"/>
  <c r="B8004" i="4"/>
  <c r="B8005" i="4"/>
  <c r="B8006" i="4"/>
  <c r="B8007" i="4"/>
  <c r="B8008" i="4"/>
  <c r="B8009" i="4"/>
  <c r="B8010" i="4"/>
  <c r="B8011" i="4"/>
  <c r="B8012" i="4"/>
  <c r="B8013" i="4"/>
  <c r="B8014" i="4"/>
  <c r="B8015" i="4"/>
  <c r="B8016" i="4"/>
  <c r="B8017" i="4"/>
  <c r="B8018" i="4"/>
  <c r="B8019" i="4"/>
  <c r="B8020" i="4"/>
  <c r="B8021" i="4"/>
  <c r="B8022" i="4"/>
  <c r="B8023" i="4"/>
  <c r="B8024" i="4"/>
  <c r="B8025" i="4"/>
  <c r="B8026" i="4"/>
  <c r="B8027" i="4"/>
  <c r="B8028" i="4"/>
  <c r="B8029" i="4"/>
  <c r="B8030" i="4"/>
  <c r="B8031" i="4"/>
  <c r="B8032" i="4"/>
  <c r="B8033" i="4"/>
  <c r="B8034" i="4"/>
  <c r="B8035" i="4"/>
  <c r="B8036" i="4"/>
  <c r="B8037" i="4"/>
  <c r="B8038" i="4"/>
  <c r="B8039" i="4"/>
  <c r="B8040" i="4"/>
  <c r="B8041" i="4"/>
  <c r="B8042" i="4"/>
  <c r="B8043" i="4"/>
  <c r="B8044" i="4"/>
  <c r="B8045" i="4"/>
  <c r="B8046" i="4"/>
  <c r="B8047" i="4"/>
  <c r="B8048" i="4"/>
  <c r="B8049" i="4"/>
  <c r="B8050" i="4"/>
  <c r="B8051" i="4"/>
  <c r="B8052" i="4"/>
  <c r="B8053" i="4"/>
  <c r="B8054" i="4"/>
  <c r="B8055" i="4"/>
  <c r="B8056" i="4"/>
  <c r="B8057" i="4"/>
  <c r="B8058" i="4"/>
  <c r="B8059" i="4"/>
  <c r="B8060" i="4"/>
  <c r="B8061" i="4"/>
  <c r="B8062" i="4"/>
  <c r="B8063" i="4"/>
  <c r="B8064" i="4"/>
  <c r="B8065" i="4"/>
  <c r="B8066" i="4"/>
  <c r="B8067" i="4"/>
  <c r="B8068" i="4"/>
  <c r="B8069" i="4"/>
  <c r="B8070" i="4"/>
  <c r="B8071" i="4"/>
  <c r="B8072" i="4"/>
  <c r="B8073" i="4"/>
  <c r="B8074" i="4"/>
  <c r="B8075" i="4"/>
  <c r="B8076" i="4"/>
  <c r="B8077" i="4"/>
  <c r="B8078" i="4"/>
  <c r="B8079" i="4"/>
  <c r="B8080" i="4"/>
  <c r="B8081" i="4"/>
  <c r="B8082" i="4"/>
  <c r="B8083" i="4"/>
  <c r="B8084" i="4"/>
  <c r="B8085" i="4"/>
  <c r="B8086" i="4"/>
  <c r="B8087" i="4"/>
  <c r="B8088" i="4"/>
  <c r="B8089" i="4"/>
  <c r="B8090" i="4"/>
  <c r="B8091" i="4"/>
  <c r="B8092" i="4"/>
  <c r="B8093" i="4"/>
  <c r="B8094" i="4"/>
  <c r="B8095" i="4"/>
  <c r="B8096" i="4"/>
  <c r="B8097" i="4"/>
  <c r="B8098" i="4"/>
  <c r="B8099" i="4"/>
  <c r="B8100" i="4"/>
  <c r="B8101" i="4"/>
  <c r="B8102" i="4"/>
  <c r="B8103" i="4"/>
  <c r="B8104" i="4"/>
  <c r="B8105" i="4"/>
  <c r="B8106" i="4"/>
  <c r="B8107" i="4"/>
  <c r="B8108" i="4"/>
  <c r="B8109" i="4"/>
  <c r="B8110" i="4"/>
  <c r="B8111" i="4"/>
  <c r="B8112" i="4"/>
  <c r="B8113" i="4"/>
  <c r="B8114" i="4"/>
  <c r="B8115" i="4"/>
  <c r="B8116" i="4"/>
  <c r="B8117" i="4"/>
  <c r="B8118" i="4"/>
  <c r="B8119" i="4"/>
  <c r="B8120" i="4"/>
  <c r="B8121" i="4"/>
  <c r="B8122" i="4"/>
  <c r="B8123" i="4"/>
  <c r="B8124" i="4"/>
  <c r="B8125" i="4"/>
  <c r="B8126" i="4"/>
  <c r="B8127" i="4"/>
  <c r="B8128" i="4"/>
  <c r="B8129" i="4"/>
  <c r="B8130" i="4"/>
  <c r="B8131" i="4"/>
  <c r="B8132" i="4"/>
  <c r="B8133" i="4"/>
  <c r="B8134" i="4"/>
  <c r="B8135" i="4"/>
  <c r="B8136" i="4"/>
  <c r="B8137" i="4"/>
  <c r="B8138" i="4"/>
  <c r="B8139" i="4"/>
  <c r="B8140" i="4"/>
  <c r="B8141" i="4"/>
  <c r="B8142" i="4"/>
  <c r="B8143" i="4"/>
  <c r="B8144" i="4"/>
  <c r="B8145" i="4"/>
  <c r="B8146" i="4"/>
  <c r="B8147" i="4"/>
  <c r="B8148" i="4"/>
  <c r="B8149" i="4"/>
  <c r="B8150" i="4"/>
  <c r="B8151" i="4"/>
  <c r="B8152" i="4"/>
  <c r="B8153" i="4"/>
  <c r="B8154" i="4"/>
  <c r="B8155" i="4"/>
  <c r="B8156" i="4"/>
  <c r="B8157" i="4"/>
  <c r="B8158" i="4"/>
  <c r="B8159" i="4"/>
  <c r="B8160" i="4"/>
  <c r="B8161" i="4"/>
  <c r="B8162" i="4"/>
  <c r="B8163" i="4"/>
  <c r="B8164" i="4"/>
  <c r="B8165" i="4"/>
  <c r="B8166" i="4"/>
  <c r="B8167" i="4"/>
  <c r="B8168" i="4"/>
  <c r="B8169" i="4"/>
  <c r="B8170" i="4"/>
  <c r="B8171" i="4"/>
  <c r="B8172" i="4"/>
  <c r="B8173" i="4"/>
  <c r="B8174" i="4"/>
  <c r="B8175" i="4"/>
  <c r="B8176" i="4"/>
  <c r="B8177" i="4"/>
  <c r="B8178" i="4"/>
  <c r="B8179" i="4"/>
  <c r="B8180" i="4"/>
  <c r="B8181" i="4"/>
  <c r="B8182" i="4"/>
  <c r="B8183" i="4"/>
  <c r="B8184" i="4"/>
  <c r="B8185" i="4"/>
  <c r="B8186" i="4"/>
  <c r="B8187" i="4"/>
  <c r="B8188" i="4"/>
  <c r="B8189" i="4"/>
  <c r="B8190" i="4"/>
  <c r="B8191" i="4"/>
  <c r="B8192" i="4"/>
  <c r="B8193" i="4"/>
  <c r="B8194" i="4"/>
  <c r="B8195" i="4"/>
  <c r="B8196" i="4"/>
  <c r="B8197" i="4"/>
  <c r="B8198" i="4"/>
  <c r="B8199" i="4"/>
  <c r="B8200" i="4"/>
  <c r="B8201" i="4"/>
  <c r="B8202" i="4"/>
  <c r="B8203" i="4"/>
  <c r="B8204" i="4"/>
  <c r="B8205" i="4"/>
  <c r="B8206" i="4"/>
  <c r="B8207" i="4"/>
  <c r="B8208" i="4"/>
  <c r="B8209" i="4"/>
  <c r="B8210" i="4"/>
  <c r="B8211" i="4"/>
  <c r="B8212" i="4"/>
  <c r="B8213" i="4"/>
  <c r="B8214" i="4"/>
  <c r="B8215" i="4"/>
  <c r="B8216" i="4"/>
  <c r="B8217" i="4"/>
  <c r="B8218" i="4"/>
  <c r="B8219" i="4"/>
  <c r="B8220" i="4"/>
  <c r="B8221" i="4"/>
  <c r="B8222" i="4"/>
  <c r="B8223" i="4"/>
  <c r="B8224" i="4"/>
  <c r="B8225" i="4"/>
  <c r="B8226" i="4"/>
  <c r="B8227" i="4"/>
  <c r="B8228" i="4"/>
  <c r="B8229" i="4"/>
  <c r="B8230" i="4"/>
  <c r="B8231" i="4"/>
  <c r="B8232" i="4"/>
  <c r="B8233" i="4"/>
  <c r="B8234" i="4"/>
  <c r="B8235" i="4"/>
  <c r="B8236" i="4"/>
  <c r="B8237" i="4"/>
  <c r="B8238" i="4"/>
  <c r="B8239" i="4"/>
  <c r="B8240" i="4"/>
  <c r="B8241" i="4"/>
  <c r="B8242" i="4"/>
  <c r="B8243" i="4"/>
  <c r="B8244" i="4"/>
  <c r="B8245" i="4"/>
  <c r="B8246" i="4"/>
  <c r="B8247" i="4"/>
  <c r="B8248" i="4"/>
  <c r="B8249" i="4"/>
  <c r="B8250" i="4"/>
  <c r="B8251" i="4"/>
  <c r="B8252" i="4"/>
  <c r="B8253" i="4"/>
  <c r="B8254" i="4"/>
  <c r="B8255" i="4"/>
  <c r="B8256" i="4"/>
  <c r="B8257" i="4"/>
  <c r="B8258" i="4"/>
  <c r="B8259" i="4"/>
  <c r="B8260" i="4"/>
  <c r="B8261" i="4"/>
  <c r="B8262" i="4"/>
  <c r="B8263" i="4"/>
  <c r="B8264" i="4"/>
  <c r="B8265" i="4"/>
  <c r="B8266" i="4"/>
  <c r="B8267" i="4"/>
  <c r="B8268" i="4"/>
  <c r="B8269" i="4"/>
  <c r="B8270" i="4"/>
  <c r="B8271" i="4"/>
  <c r="B8272" i="4"/>
  <c r="B8273" i="4"/>
  <c r="B8274" i="4"/>
  <c r="B8275" i="4"/>
  <c r="B8276" i="4"/>
  <c r="B8277" i="4"/>
  <c r="B8278" i="4"/>
  <c r="B8279" i="4"/>
  <c r="B8280" i="4"/>
  <c r="B8281" i="4"/>
  <c r="B8282" i="4"/>
  <c r="B8283" i="4"/>
  <c r="B8284" i="4"/>
  <c r="B8285" i="4"/>
  <c r="B8286" i="4"/>
  <c r="B8287" i="4"/>
  <c r="B8288" i="4"/>
  <c r="B8289" i="4"/>
  <c r="B8290" i="4"/>
  <c r="B8291" i="4"/>
  <c r="B8292" i="4"/>
  <c r="B8293" i="4"/>
  <c r="B8294" i="4"/>
  <c r="B8295" i="4"/>
  <c r="B8296" i="4"/>
  <c r="B8297" i="4"/>
  <c r="B8298" i="4"/>
  <c r="B8299" i="4"/>
  <c r="B8300" i="4"/>
  <c r="B8301" i="4"/>
  <c r="B8302" i="4"/>
  <c r="B8303" i="4"/>
  <c r="B8304" i="4"/>
  <c r="B8305" i="4"/>
  <c r="B8306" i="4"/>
  <c r="B8307" i="4"/>
  <c r="B8308" i="4"/>
  <c r="B8309" i="4"/>
  <c r="B8310" i="4"/>
  <c r="B8311" i="4"/>
  <c r="B8312" i="4"/>
  <c r="B8313" i="4"/>
  <c r="B8314" i="4"/>
  <c r="B8315" i="4"/>
  <c r="B8316" i="4"/>
  <c r="B8317" i="4"/>
  <c r="B8318" i="4"/>
  <c r="B8319" i="4"/>
  <c r="B8320" i="4"/>
  <c r="B8321" i="4"/>
  <c r="B8322" i="4"/>
  <c r="B8323" i="4"/>
  <c r="B8324" i="4"/>
  <c r="B8325" i="4"/>
  <c r="B8326" i="4"/>
  <c r="B8327" i="4"/>
  <c r="B8328" i="4"/>
  <c r="B8329" i="4"/>
  <c r="B8330" i="4"/>
  <c r="B8331" i="4"/>
  <c r="B8332" i="4"/>
  <c r="B8333" i="4"/>
  <c r="B8334" i="4"/>
  <c r="B8335" i="4"/>
  <c r="B8336" i="4"/>
  <c r="B8337" i="4"/>
  <c r="B8338" i="4"/>
  <c r="B8339" i="4"/>
  <c r="B8340" i="4"/>
  <c r="B8341" i="4"/>
  <c r="B8342" i="4"/>
  <c r="B8343" i="4"/>
  <c r="B8344" i="4"/>
  <c r="B8345" i="4"/>
  <c r="B8346" i="4"/>
  <c r="B8347" i="4"/>
  <c r="B8348" i="4"/>
  <c r="B8349" i="4"/>
  <c r="B8350" i="4"/>
  <c r="B8351" i="4"/>
  <c r="B8352" i="4"/>
  <c r="B8353" i="4"/>
  <c r="B8354" i="4"/>
  <c r="B8355" i="4"/>
  <c r="B8356" i="4"/>
  <c r="B8357" i="4"/>
  <c r="B8358" i="4"/>
  <c r="B8359" i="4"/>
  <c r="B8360" i="4"/>
  <c r="B8361" i="4"/>
  <c r="B8362" i="4"/>
  <c r="B8363" i="4"/>
  <c r="B8364" i="4"/>
  <c r="B8365" i="4"/>
  <c r="B8366" i="4"/>
  <c r="B8367" i="4"/>
  <c r="B8368" i="4"/>
  <c r="B8369" i="4"/>
  <c r="B8370" i="4"/>
  <c r="B8371" i="4"/>
  <c r="B8372" i="4"/>
  <c r="B8373" i="4"/>
  <c r="B8374" i="4"/>
  <c r="B8375" i="4"/>
  <c r="B8376" i="4"/>
  <c r="B8377" i="4"/>
  <c r="B8378" i="4"/>
  <c r="B8379" i="4"/>
  <c r="B8380" i="4"/>
  <c r="B8381" i="4"/>
  <c r="B8382" i="4"/>
  <c r="B8383" i="4"/>
  <c r="B8384" i="4"/>
  <c r="B8385" i="4"/>
  <c r="B8386" i="4"/>
  <c r="B8387" i="4"/>
  <c r="B8388" i="4"/>
  <c r="B8389" i="4"/>
  <c r="B8390" i="4"/>
  <c r="B8391" i="4"/>
  <c r="B8392" i="4"/>
  <c r="B8393" i="4"/>
  <c r="B8394" i="4"/>
  <c r="B8395" i="4"/>
  <c r="B8396" i="4"/>
  <c r="B8397" i="4"/>
  <c r="B8398" i="4"/>
  <c r="B8399" i="4"/>
  <c r="B8400" i="4"/>
  <c r="B8401" i="4"/>
  <c r="B8402" i="4"/>
  <c r="B8403" i="4"/>
  <c r="B8404" i="4"/>
  <c r="B8405" i="4"/>
  <c r="B8406" i="4"/>
  <c r="B8407" i="4"/>
  <c r="B8408" i="4"/>
  <c r="B8409" i="4"/>
  <c r="B8410" i="4"/>
  <c r="B8411" i="4"/>
  <c r="B8412" i="4"/>
  <c r="B8413" i="4"/>
  <c r="B8414" i="4"/>
  <c r="B8415" i="4"/>
  <c r="B8416" i="4"/>
  <c r="B8417" i="4"/>
  <c r="B8418" i="4"/>
  <c r="B8419" i="4"/>
  <c r="B8420" i="4"/>
  <c r="B8421" i="4"/>
  <c r="B8422" i="4"/>
  <c r="B8423" i="4"/>
  <c r="B8424" i="4"/>
  <c r="B8425" i="4"/>
  <c r="B8426" i="4"/>
  <c r="B8427" i="4"/>
  <c r="B8428" i="4"/>
  <c r="B8429" i="4"/>
  <c r="B8430" i="4"/>
  <c r="B8431" i="4"/>
  <c r="B8432" i="4"/>
  <c r="B8433" i="4"/>
  <c r="B8434" i="4"/>
  <c r="B8435" i="4"/>
  <c r="B8436" i="4"/>
  <c r="B8437" i="4"/>
  <c r="B8438" i="4"/>
  <c r="B8439" i="4"/>
  <c r="B8440" i="4"/>
  <c r="B8441" i="4"/>
  <c r="B8442" i="4"/>
  <c r="B8443" i="4"/>
  <c r="B8444" i="4"/>
  <c r="B8445" i="4"/>
  <c r="B8446" i="4"/>
  <c r="B8447" i="4"/>
  <c r="B8448" i="4"/>
  <c r="B8449" i="4"/>
  <c r="B8450" i="4"/>
  <c r="B8451" i="4"/>
  <c r="B8452" i="4"/>
  <c r="B8453" i="4"/>
  <c r="B8454" i="4"/>
  <c r="B8455" i="4"/>
  <c r="B8456" i="4"/>
  <c r="B8457" i="4"/>
  <c r="B8458" i="4"/>
  <c r="B8459" i="4"/>
  <c r="B8460" i="4"/>
  <c r="B8461" i="4"/>
  <c r="B8462" i="4"/>
  <c r="B8463" i="4"/>
  <c r="B8464" i="4"/>
  <c r="B8465" i="4"/>
  <c r="B8466" i="4"/>
  <c r="B8467" i="4"/>
  <c r="B8468" i="4"/>
  <c r="B8469" i="4"/>
  <c r="B8470" i="4"/>
  <c r="B8471" i="4"/>
  <c r="B8472" i="4"/>
  <c r="B8473" i="4"/>
  <c r="B8474" i="4"/>
  <c r="B8475" i="4"/>
  <c r="B8476" i="4"/>
  <c r="B8477" i="4"/>
  <c r="B8478" i="4"/>
  <c r="B8479" i="4"/>
  <c r="B8480" i="4"/>
  <c r="B8481" i="4"/>
  <c r="B8482" i="4"/>
  <c r="B8483" i="4"/>
  <c r="B8484" i="4"/>
  <c r="B8485" i="4"/>
  <c r="B8486" i="4"/>
  <c r="B8487" i="4"/>
  <c r="B8488" i="4"/>
  <c r="B8489" i="4"/>
  <c r="B8490" i="4"/>
  <c r="B8491" i="4"/>
  <c r="B8492" i="4"/>
  <c r="B8493" i="4"/>
  <c r="B8494" i="4"/>
  <c r="B8495" i="4"/>
  <c r="B8496" i="4"/>
  <c r="B8497" i="4"/>
  <c r="B8498" i="4"/>
  <c r="B8499" i="4"/>
  <c r="B8500" i="4"/>
  <c r="B8501" i="4"/>
  <c r="B8502" i="4"/>
  <c r="B8503" i="4"/>
  <c r="B8504" i="4"/>
  <c r="B8505" i="4"/>
  <c r="B8506" i="4"/>
  <c r="B8507" i="4"/>
  <c r="B8508" i="4"/>
  <c r="B8509" i="4"/>
  <c r="B8510" i="4"/>
  <c r="B8511" i="4"/>
  <c r="B8512" i="4"/>
  <c r="B8513" i="4"/>
  <c r="B8514" i="4"/>
  <c r="B8515" i="4"/>
  <c r="B8516" i="4"/>
  <c r="B8517" i="4"/>
  <c r="B8518" i="4"/>
  <c r="B8519" i="4"/>
  <c r="B8520" i="4"/>
  <c r="B8521" i="4"/>
  <c r="B8522" i="4"/>
  <c r="B8523" i="4"/>
  <c r="B8524" i="4"/>
  <c r="B8525" i="4"/>
  <c r="B8526" i="4"/>
  <c r="B8527" i="4"/>
  <c r="B8528" i="4"/>
  <c r="B8529" i="4"/>
  <c r="B8530" i="4"/>
  <c r="B8531" i="4"/>
  <c r="B8532" i="4"/>
  <c r="B8533" i="4"/>
  <c r="B8534" i="4"/>
  <c r="B8535" i="4"/>
  <c r="B8536" i="4"/>
  <c r="B8537" i="4"/>
  <c r="B8538" i="4"/>
  <c r="B8539" i="4"/>
  <c r="B8540" i="4"/>
  <c r="B8541" i="4"/>
  <c r="B8542" i="4"/>
  <c r="B8543" i="4"/>
  <c r="B8544" i="4"/>
  <c r="B8545" i="4"/>
  <c r="B8546" i="4"/>
  <c r="B8547" i="4"/>
  <c r="B8548" i="4"/>
  <c r="B8549" i="4"/>
  <c r="B8550" i="4"/>
  <c r="B8551" i="4"/>
  <c r="B8552" i="4"/>
  <c r="B8553" i="4"/>
  <c r="B8554" i="4"/>
  <c r="B8555" i="4"/>
  <c r="B8556" i="4"/>
  <c r="B8557" i="4"/>
  <c r="B8558" i="4"/>
  <c r="B8559" i="4"/>
  <c r="B8560" i="4"/>
  <c r="B8561" i="4"/>
  <c r="B8562" i="4"/>
  <c r="B8563" i="4"/>
  <c r="B8564" i="4"/>
  <c r="B8565" i="4"/>
  <c r="B8566" i="4"/>
  <c r="B8567" i="4"/>
  <c r="B8568" i="4"/>
  <c r="B8569" i="4"/>
  <c r="B8570" i="4"/>
  <c r="B8571" i="4"/>
  <c r="B8572" i="4"/>
  <c r="B8573" i="4"/>
  <c r="B8574" i="4"/>
  <c r="B8575" i="4"/>
  <c r="B8576" i="4"/>
  <c r="B8577" i="4"/>
  <c r="B8578" i="4"/>
  <c r="B8579" i="4"/>
  <c r="B8580" i="4"/>
  <c r="B8581" i="4"/>
  <c r="B8582" i="4"/>
  <c r="B8583" i="4"/>
  <c r="B8584" i="4"/>
  <c r="B8585" i="4"/>
  <c r="B8586" i="4"/>
  <c r="B8587" i="4"/>
  <c r="B8588" i="4"/>
  <c r="B8589" i="4"/>
  <c r="B8590" i="4"/>
  <c r="B8591" i="4"/>
  <c r="B8592" i="4"/>
  <c r="B8593" i="4"/>
  <c r="B8594" i="4"/>
  <c r="B8595" i="4"/>
  <c r="B8596" i="4"/>
  <c r="B8597" i="4"/>
  <c r="B8598" i="4"/>
  <c r="B8599" i="4"/>
  <c r="B8600" i="4"/>
  <c r="B8601" i="4"/>
  <c r="B8602" i="4"/>
  <c r="B8603" i="4"/>
  <c r="B8604" i="4"/>
  <c r="B8605" i="4"/>
  <c r="B8606" i="4"/>
  <c r="B8607" i="4"/>
  <c r="B8608" i="4"/>
  <c r="B8609" i="4"/>
  <c r="B8610" i="4"/>
  <c r="B8611" i="4"/>
  <c r="B8612" i="4"/>
  <c r="B8613" i="4"/>
  <c r="B8614" i="4"/>
  <c r="B8615" i="4"/>
  <c r="B8616" i="4"/>
  <c r="B8617" i="4"/>
  <c r="B8618" i="4"/>
  <c r="B8619" i="4"/>
  <c r="B8620" i="4"/>
  <c r="B8621" i="4"/>
  <c r="B8622" i="4"/>
  <c r="B8623" i="4"/>
  <c r="B8624" i="4"/>
  <c r="B8625" i="4"/>
  <c r="B8626" i="4"/>
  <c r="B8627" i="4"/>
  <c r="B8628" i="4"/>
  <c r="B8629" i="4"/>
  <c r="B8630" i="4"/>
  <c r="B8631" i="4"/>
  <c r="B8632" i="4"/>
  <c r="B8633" i="4"/>
  <c r="B8634" i="4"/>
  <c r="B8635" i="4"/>
  <c r="B8636" i="4"/>
  <c r="B8637" i="4"/>
  <c r="B8638" i="4"/>
  <c r="B8639" i="4"/>
  <c r="B8640" i="4"/>
  <c r="B8641" i="4"/>
  <c r="B8642" i="4"/>
  <c r="B8643" i="4"/>
  <c r="B8644" i="4"/>
  <c r="B8645" i="4"/>
  <c r="B8646" i="4"/>
  <c r="B8647" i="4"/>
  <c r="B8648" i="4"/>
  <c r="B8649" i="4"/>
  <c r="B8650" i="4"/>
  <c r="B8651" i="4"/>
  <c r="B8652" i="4"/>
  <c r="B8653" i="4"/>
  <c r="B8654" i="4"/>
  <c r="B8655" i="4"/>
  <c r="B8656" i="4"/>
  <c r="B8657" i="4"/>
  <c r="B8658" i="4"/>
  <c r="B8659" i="4"/>
  <c r="B8660" i="4"/>
  <c r="B8661" i="4"/>
  <c r="B8662" i="4"/>
  <c r="B8663" i="4"/>
  <c r="B8664" i="4"/>
  <c r="B8665" i="4"/>
  <c r="B8666" i="4"/>
  <c r="B8667" i="4"/>
  <c r="B8668" i="4"/>
  <c r="B8669" i="4"/>
  <c r="B8670" i="4"/>
  <c r="B8671" i="4"/>
  <c r="B8672" i="4"/>
  <c r="B8673" i="4"/>
  <c r="B8674" i="4"/>
  <c r="B8675" i="4"/>
  <c r="B8676" i="4"/>
  <c r="B8677" i="4"/>
  <c r="B8678" i="4"/>
  <c r="B8679" i="4"/>
  <c r="B8680" i="4"/>
  <c r="B8681" i="4"/>
  <c r="B8682" i="4"/>
  <c r="B8683" i="4"/>
  <c r="B8684" i="4"/>
  <c r="B8685" i="4"/>
  <c r="B8686" i="4"/>
  <c r="B8687" i="4"/>
  <c r="B8688" i="4"/>
  <c r="B8689" i="4"/>
  <c r="B8690" i="4"/>
  <c r="B8691" i="4"/>
  <c r="B8692" i="4"/>
  <c r="B8693" i="4"/>
  <c r="B8694" i="4"/>
  <c r="B8695" i="4"/>
  <c r="B8696" i="4"/>
  <c r="B8697" i="4"/>
  <c r="B8698" i="4"/>
  <c r="B8699" i="4"/>
  <c r="B8700" i="4"/>
  <c r="B8701" i="4"/>
  <c r="B8702" i="4"/>
  <c r="B8703" i="4"/>
  <c r="B8704" i="4"/>
  <c r="B8705" i="4"/>
  <c r="B8706" i="4"/>
  <c r="B8707" i="4"/>
  <c r="B8708" i="4"/>
  <c r="B8709" i="4"/>
  <c r="B8710" i="4"/>
  <c r="B8711" i="4"/>
  <c r="B8712" i="4"/>
  <c r="B8713" i="4"/>
  <c r="B8714" i="4"/>
  <c r="B8715" i="4"/>
  <c r="B8716" i="4"/>
  <c r="B8717" i="4"/>
  <c r="B8718" i="4"/>
  <c r="B8719" i="4"/>
  <c r="B8720" i="4"/>
  <c r="B8721" i="4"/>
  <c r="B8722" i="4"/>
  <c r="B8723" i="4"/>
  <c r="B8724" i="4"/>
  <c r="B8725" i="4"/>
  <c r="B8726" i="4"/>
  <c r="B8727" i="4"/>
  <c r="B8728" i="4"/>
  <c r="B8729" i="4"/>
  <c r="B8730" i="4"/>
  <c r="B8731" i="4"/>
  <c r="B8732" i="4"/>
  <c r="B8733" i="4"/>
  <c r="B8734" i="4"/>
  <c r="B8735" i="4"/>
  <c r="B8736" i="4"/>
  <c r="B8737" i="4"/>
  <c r="B8738" i="4"/>
  <c r="B8739" i="4"/>
  <c r="B8740" i="4"/>
  <c r="B8741" i="4"/>
  <c r="B8742" i="4"/>
  <c r="B8743" i="4"/>
  <c r="B8744" i="4"/>
  <c r="B8745" i="4"/>
  <c r="B8746" i="4"/>
  <c r="B8747" i="4"/>
  <c r="B8748" i="4"/>
  <c r="B8749" i="4"/>
  <c r="B8750" i="4"/>
  <c r="B8751" i="4"/>
  <c r="B8752" i="4"/>
  <c r="B8753" i="4"/>
  <c r="B8754" i="4"/>
  <c r="B8755" i="4"/>
  <c r="B8756" i="4"/>
  <c r="B8757" i="4"/>
  <c r="B8758" i="4"/>
  <c r="B8759" i="4"/>
  <c r="B8760" i="4"/>
  <c r="B8761" i="4"/>
  <c r="B8762" i="4"/>
  <c r="B8763" i="4"/>
  <c r="B8764" i="4"/>
  <c r="B8765" i="4"/>
  <c r="B8766" i="4"/>
  <c r="B8767" i="4"/>
  <c r="B8768" i="4"/>
  <c r="B8769" i="4"/>
  <c r="B8770" i="4"/>
  <c r="B8771" i="4"/>
  <c r="B8772" i="4"/>
  <c r="B8773" i="4"/>
  <c r="B8774" i="4"/>
  <c r="B8775" i="4"/>
  <c r="B8776" i="4"/>
  <c r="B8777" i="4"/>
  <c r="B8778" i="4"/>
  <c r="B8779" i="4"/>
  <c r="B8780" i="4"/>
  <c r="B8781" i="4"/>
  <c r="B8782" i="4"/>
  <c r="B8783" i="4"/>
  <c r="B8784" i="4"/>
  <c r="B8785" i="4"/>
  <c r="B8786" i="4"/>
  <c r="B8787" i="4"/>
  <c r="B8788" i="4"/>
  <c r="B8789" i="4"/>
  <c r="B8790" i="4"/>
  <c r="B8791" i="4"/>
  <c r="B8792" i="4"/>
  <c r="B8793" i="4"/>
  <c r="B8794" i="4"/>
  <c r="B8795" i="4"/>
  <c r="B8796" i="4"/>
  <c r="B8797" i="4"/>
  <c r="B8798" i="4"/>
  <c r="B8799" i="4"/>
  <c r="B8800" i="4"/>
  <c r="B8801" i="4"/>
  <c r="B8802" i="4"/>
  <c r="B8803" i="4"/>
  <c r="B8804" i="4"/>
  <c r="B8805" i="4"/>
  <c r="B8806" i="4"/>
  <c r="B8807" i="4"/>
  <c r="B8808" i="4"/>
  <c r="B8809" i="4"/>
  <c r="B8810" i="4"/>
  <c r="B8811" i="4"/>
  <c r="B8812" i="4"/>
  <c r="B8813" i="4"/>
  <c r="B8814" i="4"/>
  <c r="B8815" i="4"/>
  <c r="B8816" i="4"/>
  <c r="B8817" i="4"/>
  <c r="B8818" i="4"/>
  <c r="B8819" i="4"/>
  <c r="B8820" i="4"/>
  <c r="B8821" i="4"/>
  <c r="B8822" i="4"/>
  <c r="B8823" i="4"/>
  <c r="B8824" i="4"/>
  <c r="B8825" i="4"/>
  <c r="B8826" i="4"/>
  <c r="B8827" i="4"/>
  <c r="B8828" i="4"/>
  <c r="B8829" i="4"/>
  <c r="B8830" i="4"/>
  <c r="B8831" i="4"/>
  <c r="B8832" i="4"/>
  <c r="B8833" i="4"/>
  <c r="B8834" i="4"/>
  <c r="B8835" i="4"/>
  <c r="B8836" i="4"/>
  <c r="B8837" i="4"/>
  <c r="B8838" i="4"/>
  <c r="B8839" i="4"/>
  <c r="B8840" i="4"/>
  <c r="B8841" i="4"/>
  <c r="B8842" i="4"/>
  <c r="B8843" i="4"/>
  <c r="B8844" i="4"/>
  <c r="B8845" i="4"/>
  <c r="B8846" i="4"/>
  <c r="B8847" i="4"/>
  <c r="B8848" i="4"/>
  <c r="B8849" i="4"/>
  <c r="B8850" i="4"/>
  <c r="B8851" i="4"/>
  <c r="B8852" i="4"/>
  <c r="B8853" i="4"/>
  <c r="B8854" i="4"/>
  <c r="B8855" i="4"/>
  <c r="B8856" i="4"/>
  <c r="B8857" i="4"/>
  <c r="B8858" i="4"/>
  <c r="B8859" i="4"/>
  <c r="B8860" i="4"/>
  <c r="B8861" i="4"/>
  <c r="B8862" i="4"/>
  <c r="B8863" i="4"/>
  <c r="B8864" i="4"/>
  <c r="B8865" i="4"/>
  <c r="B8866" i="4"/>
  <c r="B8867" i="4"/>
  <c r="B8868" i="4"/>
  <c r="B8869" i="4"/>
  <c r="B8870" i="4"/>
  <c r="B8871" i="4"/>
  <c r="B8872" i="4"/>
  <c r="B8873" i="4"/>
  <c r="B8874" i="4"/>
  <c r="B8875" i="4"/>
  <c r="B8876" i="4"/>
  <c r="B8877" i="4"/>
  <c r="B8878" i="4"/>
  <c r="B8879" i="4"/>
  <c r="B8880" i="4"/>
  <c r="B8881" i="4"/>
  <c r="B8882" i="4"/>
  <c r="B8883" i="4"/>
  <c r="B8884" i="4"/>
  <c r="B8885" i="4"/>
  <c r="B8886" i="4"/>
  <c r="B8887" i="4"/>
  <c r="B8888" i="4"/>
  <c r="B8889" i="4"/>
  <c r="B8890" i="4"/>
  <c r="B8891" i="4"/>
  <c r="B8892" i="4"/>
  <c r="B8893" i="4"/>
  <c r="B8894" i="4"/>
  <c r="B8895" i="4"/>
  <c r="B8896" i="4"/>
  <c r="B8897" i="4"/>
  <c r="B8898" i="4"/>
  <c r="B8899" i="4"/>
  <c r="B8900" i="4"/>
  <c r="B8901" i="4"/>
  <c r="B8902" i="4"/>
  <c r="B8903" i="4"/>
  <c r="B8904" i="4"/>
  <c r="B8905" i="4"/>
  <c r="B8906" i="4"/>
  <c r="B8907" i="4"/>
  <c r="B8908" i="4"/>
  <c r="B8909" i="4"/>
  <c r="B8910" i="4"/>
  <c r="B8911" i="4"/>
  <c r="B8912" i="4"/>
  <c r="B8913" i="4"/>
  <c r="B8914" i="4"/>
  <c r="B8915" i="4"/>
  <c r="B8916" i="4"/>
  <c r="B8917" i="4"/>
  <c r="B8918" i="4"/>
  <c r="B8919" i="4"/>
  <c r="B8920" i="4"/>
  <c r="B8921" i="4"/>
  <c r="B8922" i="4"/>
  <c r="B8923" i="4"/>
  <c r="B8924" i="4"/>
  <c r="B8925" i="4"/>
  <c r="B8926" i="4"/>
  <c r="B8927" i="4"/>
  <c r="B8928" i="4"/>
  <c r="B8929" i="4"/>
  <c r="B8930" i="4"/>
  <c r="B8931" i="4"/>
  <c r="B8932" i="4"/>
  <c r="B8933" i="4"/>
  <c r="B8934" i="4"/>
  <c r="B8935" i="4"/>
  <c r="B8936" i="4"/>
  <c r="B8937" i="4"/>
  <c r="B8938" i="4"/>
  <c r="B8939" i="4"/>
  <c r="B8940" i="4"/>
  <c r="B8941" i="4"/>
  <c r="B8942" i="4"/>
  <c r="B8943" i="4"/>
  <c r="B8944" i="4"/>
  <c r="B8945" i="4"/>
  <c r="B8946" i="4"/>
  <c r="B8947" i="4"/>
  <c r="B8948" i="4"/>
  <c r="B8949" i="4"/>
  <c r="B8950" i="4"/>
  <c r="B8951" i="4"/>
  <c r="B8952" i="4"/>
  <c r="B8953" i="4"/>
  <c r="B8954" i="4"/>
  <c r="B8955" i="4"/>
  <c r="B8956" i="4"/>
  <c r="B8957" i="4"/>
  <c r="B8958" i="4"/>
  <c r="B8959" i="4"/>
  <c r="B8960" i="4"/>
  <c r="B8961" i="4"/>
  <c r="B8962" i="4"/>
  <c r="B8963" i="4"/>
  <c r="B8964" i="4"/>
  <c r="B8965" i="4"/>
  <c r="B8966" i="4"/>
  <c r="B8967" i="4"/>
  <c r="B8968" i="4"/>
  <c r="B8969" i="4"/>
  <c r="B8970" i="4"/>
  <c r="B8971" i="4"/>
  <c r="B8972" i="4"/>
  <c r="B8973" i="4"/>
  <c r="B8974" i="4"/>
  <c r="B8975" i="4"/>
  <c r="B8976" i="4"/>
  <c r="B8977" i="4"/>
  <c r="B8978" i="4"/>
  <c r="B8979" i="4"/>
  <c r="B8980" i="4"/>
  <c r="B8981" i="4"/>
  <c r="B8982" i="4"/>
  <c r="B8983" i="4"/>
  <c r="B8984" i="4"/>
  <c r="B8985" i="4"/>
  <c r="B8986" i="4"/>
  <c r="B8987" i="4"/>
  <c r="B8988" i="4"/>
  <c r="B8989" i="4"/>
  <c r="B8990" i="4"/>
  <c r="B8991" i="4"/>
  <c r="B8992" i="4"/>
  <c r="B8993" i="4"/>
  <c r="B8994" i="4"/>
  <c r="B8995" i="4"/>
  <c r="B8996" i="4"/>
  <c r="B8997" i="4"/>
  <c r="B8998" i="4"/>
  <c r="B8999" i="4"/>
  <c r="B9000" i="4"/>
  <c r="B9001" i="4"/>
  <c r="B9002" i="4"/>
  <c r="B9003" i="4"/>
  <c r="B9004" i="4"/>
  <c r="B9005" i="4"/>
  <c r="B9006" i="4"/>
  <c r="B9007" i="4"/>
  <c r="B9008" i="4"/>
  <c r="B9009" i="4"/>
  <c r="B9010" i="4"/>
  <c r="B9011" i="4"/>
  <c r="B9012" i="4"/>
  <c r="B9013" i="4"/>
  <c r="B9014" i="4"/>
  <c r="B9015" i="4"/>
  <c r="B9016" i="4"/>
  <c r="B9017" i="4"/>
  <c r="B9018" i="4"/>
  <c r="B9019" i="4"/>
  <c r="B9020" i="4"/>
  <c r="B9021" i="4"/>
  <c r="B9022" i="4"/>
  <c r="B9023" i="4"/>
  <c r="B9024" i="4"/>
  <c r="B9025" i="4"/>
  <c r="B9026" i="4"/>
  <c r="B9027" i="4"/>
  <c r="B9028" i="4"/>
  <c r="B9029" i="4"/>
  <c r="B9030" i="4"/>
  <c r="B9031" i="4"/>
  <c r="B9032" i="4"/>
  <c r="B9033" i="4"/>
  <c r="B9034" i="4"/>
  <c r="B9035" i="4"/>
  <c r="B9036" i="4"/>
  <c r="B9037" i="4"/>
  <c r="B9038" i="4"/>
  <c r="B9039" i="4"/>
  <c r="B9040" i="4"/>
  <c r="B9041" i="4"/>
  <c r="B9042" i="4"/>
  <c r="B9043" i="4"/>
  <c r="B9044" i="4"/>
  <c r="B9045" i="4"/>
  <c r="B9046" i="4"/>
  <c r="B9047" i="4"/>
  <c r="B9048" i="4"/>
  <c r="B9049" i="4"/>
  <c r="B9050" i="4"/>
  <c r="B9051" i="4"/>
  <c r="B9052" i="4"/>
  <c r="B9053" i="4"/>
  <c r="B9054" i="4"/>
  <c r="B9055" i="4"/>
  <c r="B9056" i="4"/>
  <c r="B9057" i="4"/>
  <c r="B9058" i="4"/>
  <c r="B9059" i="4"/>
  <c r="B9060" i="4"/>
  <c r="B9061" i="4"/>
  <c r="B9062" i="4"/>
  <c r="B9063" i="4"/>
  <c r="B9064" i="4"/>
  <c r="B9065" i="4"/>
  <c r="B9066" i="4"/>
  <c r="B9067" i="4"/>
  <c r="B9068" i="4"/>
  <c r="B9069" i="4"/>
  <c r="B9070" i="4"/>
  <c r="B9071" i="4"/>
  <c r="B9072" i="4"/>
  <c r="B9073" i="4"/>
  <c r="B9074" i="4"/>
  <c r="B9075" i="4"/>
  <c r="B9076" i="4"/>
  <c r="B9077" i="4"/>
  <c r="B9078" i="4"/>
  <c r="B9079" i="4"/>
  <c r="B9080" i="4"/>
  <c r="B9081" i="4"/>
  <c r="B9082" i="4"/>
  <c r="B9083" i="4"/>
  <c r="B9084" i="4"/>
  <c r="B9085" i="4"/>
  <c r="B9086" i="4"/>
  <c r="B9087" i="4"/>
  <c r="B9088" i="4"/>
  <c r="B9089" i="4"/>
  <c r="B9090" i="4"/>
  <c r="B9091" i="4"/>
  <c r="B9092" i="4"/>
  <c r="B9093" i="4"/>
  <c r="B9094" i="4"/>
  <c r="B9095" i="4"/>
  <c r="B9096" i="4"/>
  <c r="B9097" i="4"/>
  <c r="B9098" i="4"/>
  <c r="B9099" i="4"/>
  <c r="B9100" i="4"/>
  <c r="B9101" i="4"/>
  <c r="B9102" i="4"/>
  <c r="B9103" i="4"/>
  <c r="B9104" i="4"/>
  <c r="B9105" i="4"/>
  <c r="B9106" i="4"/>
  <c r="B9107" i="4"/>
  <c r="B9108" i="4"/>
  <c r="B9109" i="4"/>
  <c r="B9110" i="4"/>
  <c r="B9111" i="4"/>
  <c r="B9112" i="4"/>
  <c r="B9113" i="4"/>
  <c r="B9114" i="4"/>
  <c r="B9115" i="4"/>
  <c r="B9116" i="4"/>
  <c r="B9117" i="4"/>
  <c r="B9118" i="4"/>
  <c r="B9119" i="4"/>
  <c r="B9120" i="4"/>
  <c r="B9121" i="4"/>
  <c r="B9122" i="4"/>
  <c r="B9123" i="4"/>
  <c r="B9124" i="4"/>
  <c r="B9125" i="4"/>
  <c r="B9126" i="4"/>
  <c r="B9127" i="4"/>
  <c r="B9128" i="4"/>
  <c r="B9129" i="4"/>
  <c r="B9130" i="4"/>
  <c r="B9131" i="4"/>
  <c r="B9132" i="4"/>
  <c r="B9133" i="4"/>
  <c r="B9134" i="4"/>
  <c r="B9135" i="4"/>
  <c r="B9136" i="4"/>
  <c r="B9137" i="4"/>
  <c r="B9138" i="4"/>
  <c r="B9139" i="4"/>
  <c r="B9140" i="4"/>
  <c r="B9141" i="4"/>
  <c r="B9142" i="4"/>
  <c r="B9143" i="4"/>
  <c r="B9144" i="4"/>
  <c r="B9145" i="4"/>
  <c r="B9146" i="4"/>
  <c r="B9147" i="4"/>
  <c r="B9148" i="4"/>
  <c r="B9149" i="4"/>
  <c r="B9150" i="4"/>
  <c r="B9151" i="4"/>
  <c r="B9152" i="4"/>
  <c r="B9153" i="4"/>
  <c r="B9154" i="4"/>
  <c r="B9155" i="4"/>
  <c r="B9156" i="4"/>
  <c r="B9157" i="4"/>
  <c r="B9158" i="4"/>
  <c r="B9159" i="4"/>
  <c r="B9160" i="4"/>
  <c r="B9161" i="4"/>
  <c r="B9162" i="4"/>
  <c r="B9163" i="4"/>
  <c r="B9164" i="4"/>
  <c r="B9165" i="4"/>
  <c r="B9166" i="4"/>
  <c r="B9167" i="4"/>
  <c r="B9168" i="4"/>
  <c r="B9169" i="4"/>
  <c r="B9170" i="4"/>
  <c r="B9171" i="4"/>
  <c r="B9172" i="4"/>
  <c r="B9173" i="4"/>
  <c r="B9174" i="4"/>
  <c r="B9175" i="4"/>
  <c r="B9176" i="4"/>
  <c r="B9177" i="4"/>
  <c r="B9178" i="4"/>
  <c r="B9179" i="4"/>
  <c r="B9180" i="4"/>
  <c r="B9181" i="4"/>
  <c r="B9182" i="4"/>
  <c r="B9183" i="4"/>
  <c r="B9184" i="4"/>
  <c r="B9185" i="4"/>
  <c r="B9186" i="4"/>
  <c r="B9187" i="4"/>
  <c r="B9188" i="4"/>
  <c r="B9189" i="4"/>
  <c r="B9190" i="4"/>
  <c r="B9191" i="4"/>
  <c r="B9192" i="4"/>
  <c r="B9193" i="4"/>
  <c r="B9194" i="4"/>
  <c r="B9195" i="4"/>
  <c r="B9196" i="4"/>
  <c r="B9197" i="4"/>
  <c r="B9198" i="4"/>
  <c r="B9199" i="4"/>
  <c r="B9200" i="4"/>
  <c r="B9201" i="4"/>
  <c r="B9202" i="4"/>
  <c r="B9203" i="4"/>
  <c r="B9204" i="4"/>
  <c r="B9205" i="4"/>
  <c r="B9206" i="4"/>
  <c r="B9207" i="4"/>
  <c r="B9208" i="4"/>
  <c r="B9209" i="4"/>
  <c r="B9210" i="4"/>
  <c r="B9211" i="4"/>
  <c r="B9212" i="4"/>
  <c r="B9213" i="4"/>
  <c r="B9214" i="4"/>
  <c r="B9215" i="4"/>
  <c r="B9216" i="4"/>
  <c r="B9217" i="4"/>
  <c r="B9218" i="4"/>
  <c r="B9219" i="4"/>
  <c r="B9220" i="4"/>
  <c r="B9221" i="4"/>
  <c r="B9222" i="4"/>
  <c r="B9223" i="4"/>
  <c r="B9224" i="4"/>
  <c r="B9225" i="4"/>
  <c r="B9226" i="4"/>
  <c r="B9227" i="4"/>
  <c r="B9228" i="4"/>
  <c r="B9229" i="4"/>
  <c r="B9230" i="4"/>
  <c r="B9231" i="4"/>
  <c r="B9232" i="4"/>
  <c r="B9233" i="4"/>
  <c r="B9234" i="4"/>
  <c r="B9235" i="4"/>
  <c r="B9236" i="4"/>
  <c r="B9237" i="4"/>
  <c r="B9238" i="4"/>
  <c r="B9239" i="4"/>
  <c r="B9240" i="4"/>
  <c r="B9241" i="4"/>
  <c r="B9242" i="4"/>
  <c r="B9243" i="4"/>
  <c r="B9244" i="4"/>
  <c r="B9245" i="4"/>
  <c r="B9246" i="4"/>
  <c r="B9247" i="4"/>
  <c r="B9248" i="4"/>
  <c r="B9249" i="4"/>
  <c r="B9250" i="4"/>
  <c r="B9251" i="4"/>
  <c r="B9252" i="4"/>
  <c r="B9253" i="4"/>
  <c r="B9254" i="4"/>
  <c r="B9255" i="4"/>
  <c r="B9256" i="4"/>
  <c r="B9257" i="4"/>
  <c r="B9258" i="4"/>
  <c r="B9259" i="4"/>
  <c r="B9260" i="4"/>
  <c r="B9261" i="4"/>
  <c r="B9262" i="4"/>
  <c r="B9263" i="4"/>
  <c r="B9264" i="4"/>
  <c r="B9265" i="4"/>
  <c r="B9266" i="4"/>
  <c r="B9267" i="4"/>
  <c r="B9268" i="4"/>
  <c r="B9269" i="4"/>
  <c r="B9270" i="4"/>
  <c r="B9271" i="4"/>
  <c r="B9272" i="4"/>
  <c r="B9273" i="4"/>
  <c r="B9274" i="4"/>
  <c r="B9275" i="4"/>
  <c r="B9276" i="4"/>
  <c r="B9277" i="4"/>
  <c r="B9278" i="4"/>
  <c r="B9279" i="4"/>
  <c r="B9280" i="4"/>
  <c r="B9281" i="4"/>
  <c r="B9282" i="4"/>
  <c r="B9283" i="4"/>
  <c r="B9284" i="4"/>
  <c r="B9285" i="4"/>
  <c r="B9286" i="4"/>
  <c r="B9287" i="4"/>
  <c r="B9288" i="4"/>
  <c r="B9289" i="4"/>
  <c r="B9290" i="4"/>
  <c r="B9291" i="4"/>
  <c r="B9292" i="4"/>
  <c r="B9293" i="4"/>
  <c r="B9294" i="4"/>
  <c r="B9295" i="4"/>
  <c r="B9296" i="4"/>
  <c r="B9297" i="4"/>
  <c r="B9298" i="4"/>
  <c r="B9299" i="4"/>
  <c r="B9300" i="4"/>
  <c r="B9301" i="4"/>
  <c r="B9302" i="4"/>
  <c r="B9303" i="4"/>
  <c r="B9304" i="4"/>
  <c r="B9305" i="4"/>
  <c r="B9306" i="4"/>
  <c r="B9307" i="4"/>
  <c r="B9308" i="4"/>
  <c r="B9309" i="4"/>
  <c r="B9310" i="4"/>
  <c r="B9311" i="4"/>
  <c r="B9312" i="4"/>
  <c r="B9313" i="4"/>
  <c r="B9314" i="4"/>
  <c r="B9315" i="4"/>
  <c r="B9316" i="4"/>
  <c r="B9317" i="4"/>
  <c r="B9318" i="4"/>
  <c r="B9319" i="4"/>
  <c r="B9320" i="4"/>
  <c r="B9321" i="4"/>
  <c r="B9322" i="4"/>
  <c r="B9323" i="4"/>
  <c r="B9324" i="4"/>
  <c r="B9325" i="4"/>
  <c r="B9326" i="4"/>
  <c r="B9327" i="4"/>
  <c r="B9328" i="4"/>
  <c r="B9329" i="4"/>
  <c r="B9330" i="4"/>
  <c r="B9331" i="4"/>
  <c r="B9332" i="4"/>
  <c r="B9333" i="4"/>
  <c r="B9334" i="4"/>
  <c r="B9335" i="4"/>
  <c r="B9336" i="4"/>
  <c r="B9337" i="4"/>
  <c r="B9338" i="4"/>
  <c r="B9339" i="4"/>
  <c r="B9340" i="4"/>
  <c r="B9341" i="4"/>
  <c r="B9342" i="4"/>
  <c r="B9343" i="4"/>
  <c r="B9344" i="4"/>
  <c r="B9345" i="4"/>
  <c r="B9346" i="4"/>
  <c r="B9347" i="4"/>
  <c r="B9348" i="4"/>
  <c r="B9349" i="4"/>
  <c r="B9350" i="4"/>
  <c r="B9351" i="4"/>
  <c r="B9352" i="4"/>
  <c r="B9353" i="4"/>
  <c r="B9354" i="4"/>
  <c r="B9355" i="4"/>
  <c r="B9356" i="4"/>
  <c r="B9357" i="4"/>
  <c r="B9358" i="4"/>
  <c r="B9359" i="4"/>
  <c r="B9360" i="4"/>
  <c r="B9361" i="4"/>
  <c r="B9362" i="4"/>
  <c r="B9363" i="4"/>
  <c r="B9364" i="4"/>
  <c r="B9365" i="4"/>
  <c r="B9366" i="4"/>
  <c r="B9367" i="4"/>
  <c r="B9368" i="4"/>
  <c r="B9369" i="4"/>
  <c r="B9370" i="4"/>
  <c r="B9371" i="4"/>
  <c r="B9372" i="4"/>
  <c r="B9373" i="4"/>
  <c r="B9374" i="4"/>
  <c r="B9375" i="4"/>
  <c r="B9376" i="4"/>
  <c r="B9377" i="4"/>
  <c r="B9378" i="4"/>
  <c r="B9379" i="4"/>
  <c r="B9380" i="4"/>
  <c r="B9381" i="4"/>
  <c r="B9382" i="4"/>
  <c r="B9383" i="4"/>
  <c r="B9384" i="4"/>
  <c r="B9385" i="4"/>
  <c r="B9386" i="4"/>
  <c r="B9387" i="4"/>
  <c r="B9388" i="4"/>
  <c r="B9389" i="4"/>
  <c r="B9390" i="4"/>
  <c r="B9391" i="4"/>
  <c r="B9392" i="4"/>
  <c r="B9393" i="4"/>
  <c r="B9394" i="4"/>
  <c r="B9395" i="4"/>
  <c r="B9396" i="4"/>
  <c r="B9397" i="4"/>
  <c r="B9398" i="4"/>
  <c r="B9399" i="4"/>
  <c r="B9400" i="4"/>
  <c r="B9401" i="4"/>
  <c r="B9402" i="4"/>
  <c r="B9403" i="4"/>
  <c r="B9404" i="4"/>
  <c r="B9405" i="4"/>
  <c r="B9406" i="4"/>
  <c r="B9407" i="4"/>
  <c r="B9408" i="4"/>
  <c r="B9409" i="4"/>
  <c r="B9410" i="4"/>
  <c r="B9411" i="4"/>
  <c r="B9412" i="4"/>
  <c r="B9413" i="4"/>
  <c r="B9414" i="4"/>
  <c r="B9415" i="4"/>
  <c r="B9416" i="4"/>
  <c r="B9417" i="4"/>
  <c r="B9418" i="4"/>
  <c r="B9419" i="4"/>
  <c r="B9420" i="4"/>
  <c r="B9421" i="4"/>
  <c r="B9422" i="4"/>
  <c r="B9423" i="4"/>
  <c r="B9424" i="4"/>
  <c r="B9425" i="4"/>
  <c r="B9426" i="4"/>
  <c r="B9427" i="4"/>
  <c r="B9428" i="4"/>
  <c r="B9429" i="4"/>
  <c r="B9430" i="4"/>
  <c r="B9431" i="4"/>
  <c r="B9432" i="4"/>
  <c r="B9433" i="4"/>
  <c r="B9434" i="4"/>
  <c r="B9435" i="4"/>
  <c r="B9436" i="4"/>
  <c r="B9437" i="4"/>
  <c r="B9438" i="4"/>
  <c r="B9439" i="4"/>
  <c r="B9440" i="4"/>
  <c r="B9441" i="4"/>
  <c r="B9442" i="4"/>
  <c r="B9443" i="4"/>
  <c r="B9444" i="4"/>
  <c r="B9445" i="4"/>
  <c r="B9446" i="4"/>
  <c r="B9447" i="4"/>
  <c r="B9448" i="4"/>
  <c r="B9449" i="4"/>
  <c r="B9450" i="4"/>
  <c r="B9451" i="4"/>
  <c r="B9452" i="4"/>
  <c r="B9453" i="4"/>
  <c r="B9454" i="4"/>
  <c r="B9455" i="4"/>
  <c r="B9456" i="4"/>
  <c r="B9457" i="4"/>
  <c r="B9458" i="4"/>
  <c r="B9459" i="4"/>
  <c r="B9460" i="4"/>
  <c r="B9461" i="4"/>
  <c r="B9462" i="4"/>
  <c r="B9463" i="4"/>
  <c r="B9464" i="4"/>
  <c r="B9465" i="4"/>
  <c r="B9466" i="4"/>
  <c r="B9467" i="4"/>
  <c r="B9468" i="4"/>
  <c r="B9469" i="4"/>
  <c r="B9470" i="4"/>
  <c r="B9471" i="4"/>
  <c r="B9472" i="4"/>
  <c r="B9473" i="4"/>
  <c r="B9474" i="4"/>
  <c r="B9475" i="4"/>
  <c r="B9476" i="4"/>
  <c r="B9477" i="4"/>
  <c r="B9478" i="4"/>
  <c r="B9479" i="4"/>
  <c r="B9480" i="4"/>
  <c r="B9481" i="4"/>
  <c r="B9482" i="4"/>
  <c r="B9483" i="4"/>
  <c r="B9484" i="4"/>
  <c r="B9485" i="4"/>
  <c r="B9486" i="4"/>
  <c r="B9487" i="4"/>
  <c r="B9488" i="4"/>
  <c r="B9489" i="4"/>
  <c r="B9490" i="4"/>
  <c r="B9491" i="4"/>
  <c r="B9492" i="4"/>
  <c r="B9493" i="4"/>
  <c r="B9494" i="4"/>
  <c r="B9495" i="4"/>
  <c r="B9496" i="4"/>
  <c r="B9497" i="4"/>
  <c r="B9498" i="4"/>
  <c r="B9499" i="4"/>
  <c r="B9500" i="4"/>
  <c r="B9501" i="4"/>
  <c r="B9502" i="4"/>
  <c r="B9503" i="4"/>
  <c r="B9504" i="4"/>
  <c r="B9505" i="4"/>
  <c r="B9506" i="4"/>
  <c r="B9507" i="4"/>
  <c r="B9508" i="4"/>
  <c r="B9509" i="4"/>
  <c r="B9510" i="4"/>
  <c r="B9511" i="4"/>
  <c r="B9512" i="4"/>
  <c r="B9513" i="4"/>
  <c r="B9514" i="4"/>
  <c r="B9515" i="4"/>
  <c r="B9516" i="4"/>
  <c r="B9517" i="4"/>
  <c r="B9518" i="4"/>
  <c r="B9519" i="4"/>
  <c r="B9520" i="4"/>
  <c r="B9521" i="4"/>
  <c r="B9522" i="4"/>
  <c r="B9523" i="4"/>
  <c r="B9524" i="4"/>
  <c r="B9525" i="4"/>
  <c r="B9526" i="4"/>
  <c r="B9527" i="4"/>
  <c r="B9528" i="4"/>
  <c r="B9529" i="4"/>
  <c r="B9530" i="4"/>
  <c r="B9531" i="4"/>
  <c r="B9532" i="4"/>
  <c r="B9533" i="4"/>
  <c r="B9534" i="4"/>
  <c r="B9535" i="4"/>
  <c r="B9536" i="4"/>
  <c r="B9537" i="4"/>
  <c r="B9538" i="4"/>
  <c r="B9539" i="4"/>
  <c r="B9540" i="4"/>
  <c r="B9541" i="4"/>
  <c r="B9542" i="4"/>
  <c r="B9543" i="4"/>
  <c r="B9544" i="4"/>
  <c r="B9545" i="4"/>
  <c r="B9546" i="4"/>
  <c r="B9547" i="4"/>
  <c r="B9548" i="4"/>
  <c r="B9549" i="4"/>
  <c r="B9550" i="4"/>
  <c r="B9551" i="4"/>
  <c r="B9552" i="4"/>
  <c r="B9553" i="4"/>
  <c r="B9554" i="4"/>
  <c r="B9555" i="4"/>
  <c r="B9556" i="4"/>
  <c r="B9557" i="4"/>
  <c r="B9558" i="4"/>
  <c r="B9559" i="4"/>
  <c r="B9560" i="4"/>
  <c r="B9561" i="4"/>
  <c r="B9562" i="4"/>
  <c r="B9563" i="4"/>
  <c r="B9564" i="4"/>
  <c r="B9565" i="4"/>
  <c r="B9566" i="4"/>
  <c r="B9567" i="4"/>
  <c r="B9568" i="4"/>
  <c r="B9569" i="4"/>
  <c r="B9570" i="4"/>
  <c r="B9571" i="4"/>
  <c r="B9572" i="4"/>
  <c r="B9573" i="4"/>
  <c r="B9574" i="4"/>
  <c r="B9575" i="4"/>
  <c r="B9576" i="4"/>
  <c r="B9577" i="4"/>
  <c r="B9578" i="4"/>
  <c r="B9579" i="4"/>
  <c r="B9580" i="4"/>
  <c r="B9581" i="4"/>
  <c r="B9582" i="4"/>
  <c r="B9583" i="4"/>
  <c r="B9584" i="4"/>
  <c r="B9585" i="4"/>
  <c r="B9586" i="4"/>
  <c r="B9587" i="4"/>
  <c r="B9588" i="4"/>
  <c r="B9589" i="4"/>
  <c r="B9590" i="4"/>
  <c r="B9591" i="4"/>
  <c r="B9592" i="4"/>
  <c r="B9593" i="4"/>
  <c r="B9594" i="4"/>
  <c r="B9595" i="4"/>
  <c r="B9596" i="4"/>
  <c r="B9597" i="4"/>
  <c r="B9598" i="4"/>
  <c r="B9599" i="4"/>
  <c r="B9600" i="4"/>
  <c r="B9601" i="4"/>
  <c r="B9602" i="4"/>
  <c r="B9603" i="4"/>
  <c r="B9604" i="4"/>
  <c r="B9605" i="4"/>
  <c r="B9606" i="4"/>
  <c r="B9607" i="4"/>
  <c r="B9608" i="4"/>
  <c r="B9609" i="4"/>
  <c r="B9610" i="4"/>
  <c r="B9611" i="4"/>
  <c r="B9612" i="4"/>
  <c r="B9613" i="4"/>
  <c r="B9614" i="4"/>
  <c r="B9615" i="4"/>
  <c r="B9616" i="4"/>
  <c r="B9617" i="4"/>
  <c r="B9618" i="4"/>
  <c r="B9619" i="4"/>
  <c r="B9620" i="4"/>
  <c r="B9621" i="4"/>
  <c r="B9622" i="4"/>
  <c r="B9623" i="4"/>
  <c r="B9624" i="4"/>
  <c r="B9625" i="4"/>
  <c r="B9626" i="4"/>
  <c r="B9627" i="4"/>
  <c r="B9628" i="4"/>
  <c r="B9629" i="4"/>
  <c r="B9630" i="4"/>
  <c r="B9631" i="4"/>
  <c r="B9632" i="4"/>
  <c r="B9633" i="4"/>
  <c r="B9634" i="4"/>
  <c r="B9635" i="4"/>
  <c r="B9636" i="4"/>
  <c r="B9637" i="4"/>
  <c r="B9638" i="4"/>
  <c r="B9639" i="4"/>
  <c r="B9640" i="4"/>
  <c r="B9641" i="4"/>
  <c r="B9642" i="4"/>
  <c r="B9643" i="4"/>
  <c r="B9644" i="4"/>
  <c r="B9645" i="4"/>
  <c r="B9646" i="4"/>
  <c r="B9647" i="4"/>
  <c r="B9648" i="4"/>
  <c r="B9649" i="4"/>
  <c r="B9650" i="4"/>
  <c r="B9651" i="4"/>
  <c r="B9652" i="4"/>
  <c r="B9653" i="4"/>
  <c r="B9654" i="4"/>
  <c r="B9655" i="4"/>
  <c r="B9656" i="4"/>
  <c r="B9657" i="4"/>
  <c r="B9658" i="4"/>
  <c r="B9659" i="4"/>
  <c r="B9660" i="4"/>
  <c r="B9661" i="4"/>
  <c r="B9662" i="4"/>
  <c r="B9663" i="4"/>
  <c r="B9664" i="4"/>
  <c r="B9665" i="4"/>
  <c r="B9666" i="4"/>
  <c r="B9667" i="4"/>
  <c r="B9668" i="4"/>
  <c r="B9669" i="4"/>
  <c r="B9670" i="4"/>
  <c r="B9671" i="4"/>
  <c r="B9672" i="4"/>
  <c r="B9673" i="4"/>
  <c r="B9674" i="4"/>
  <c r="B9675" i="4"/>
  <c r="B9676" i="4"/>
  <c r="B9677" i="4"/>
  <c r="B9678" i="4"/>
  <c r="B9679" i="4"/>
  <c r="B9680" i="4"/>
  <c r="B9681" i="4"/>
  <c r="B9682" i="4"/>
  <c r="B9683" i="4"/>
  <c r="B9684" i="4"/>
  <c r="B9685" i="4"/>
  <c r="B9686" i="4"/>
  <c r="B9687" i="4"/>
  <c r="B9688" i="4"/>
  <c r="B9689" i="4"/>
  <c r="B9690" i="4"/>
  <c r="B9691" i="4"/>
  <c r="B9692" i="4"/>
  <c r="B9693" i="4"/>
  <c r="B9694" i="4"/>
  <c r="B9695" i="4"/>
  <c r="B9696" i="4"/>
  <c r="B9697" i="4"/>
  <c r="B9698" i="4"/>
  <c r="B9699" i="4"/>
  <c r="B9700" i="4"/>
  <c r="B9701" i="4"/>
  <c r="B9702" i="4"/>
  <c r="B9703" i="4"/>
  <c r="B9704" i="4"/>
  <c r="B9705" i="4"/>
  <c r="B9706" i="4"/>
  <c r="B9707" i="4"/>
  <c r="B9708" i="4"/>
  <c r="B9709" i="4"/>
  <c r="B9710" i="4"/>
  <c r="B9711" i="4"/>
  <c r="B9712" i="4"/>
  <c r="B9713" i="4"/>
  <c r="B9714" i="4"/>
  <c r="B9715" i="4"/>
  <c r="B9716" i="4"/>
  <c r="B9717" i="4"/>
  <c r="B9718" i="4"/>
  <c r="B9719" i="4"/>
  <c r="B9720" i="4"/>
  <c r="B9721" i="4"/>
  <c r="B9722" i="4"/>
  <c r="B9723" i="4"/>
  <c r="B9724" i="4"/>
  <c r="B9725" i="4"/>
  <c r="B9726" i="4"/>
  <c r="B9727" i="4"/>
  <c r="B9728" i="4"/>
  <c r="B9729" i="4"/>
  <c r="B9730" i="4"/>
  <c r="B9731" i="4"/>
  <c r="B9732" i="4"/>
  <c r="B9733" i="4"/>
  <c r="B9734" i="4"/>
  <c r="B9735" i="4"/>
  <c r="B9736" i="4"/>
  <c r="B9737" i="4"/>
  <c r="B9738" i="4"/>
  <c r="B9739" i="4"/>
  <c r="B9740" i="4"/>
  <c r="B9741" i="4"/>
  <c r="B9742" i="4"/>
  <c r="B9743" i="4"/>
  <c r="B9744" i="4"/>
  <c r="B9745" i="4"/>
  <c r="B9746" i="4"/>
  <c r="B9747" i="4"/>
  <c r="B9748" i="4"/>
  <c r="B9749" i="4"/>
  <c r="B9750" i="4"/>
  <c r="B9751" i="4"/>
  <c r="B9752" i="4"/>
  <c r="B9753" i="4"/>
  <c r="B9754" i="4"/>
  <c r="B9755" i="4"/>
  <c r="B9756" i="4"/>
  <c r="B9757" i="4"/>
  <c r="B9758" i="4"/>
  <c r="B9759" i="4"/>
  <c r="B9760" i="4"/>
  <c r="B9761" i="4"/>
  <c r="B9762" i="4"/>
  <c r="B9763" i="4"/>
  <c r="B9764" i="4"/>
  <c r="B9765" i="4"/>
  <c r="B9766" i="4"/>
  <c r="B9767" i="4"/>
  <c r="B9768" i="4"/>
  <c r="B9769" i="4"/>
  <c r="B9770" i="4"/>
  <c r="B9771" i="4"/>
  <c r="B9772" i="4"/>
  <c r="B9773" i="4"/>
  <c r="B9774" i="4"/>
  <c r="B9775" i="4"/>
  <c r="B9776" i="4"/>
  <c r="B9777" i="4"/>
  <c r="B9778" i="4"/>
  <c r="B9779" i="4"/>
  <c r="B9780" i="4"/>
  <c r="B9781" i="4"/>
  <c r="B9782" i="4"/>
  <c r="B9783" i="4"/>
  <c r="B9784" i="4"/>
  <c r="B9785" i="4"/>
  <c r="B9786" i="4"/>
  <c r="B9787" i="4"/>
  <c r="B9788" i="4"/>
  <c r="B9789" i="4"/>
  <c r="B9790" i="4"/>
  <c r="B9791" i="4"/>
  <c r="B9792" i="4"/>
  <c r="B9793" i="4"/>
  <c r="B9794" i="4"/>
  <c r="B9795" i="4"/>
  <c r="B9796" i="4"/>
  <c r="B9797" i="4"/>
  <c r="B9798" i="4"/>
  <c r="B9799" i="4"/>
  <c r="B9800" i="4"/>
  <c r="B9801" i="4"/>
  <c r="B9802" i="4"/>
  <c r="B9803" i="4"/>
  <c r="B9804" i="4"/>
  <c r="B9805" i="4"/>
  <c r="B9806" i="4"/>
  <c r="B9807" i="4"/>
  <c r="B9808" i="4"/>
  <c r="B9809" i="4"/>
  <c r="B9810" i="4"/>
  <c r="B9811" i="4"/>
  <c r="B9812" i="4"/>
  <c r="B9813" i="4"/>
  <c r="B9814" i="4"/>
  <c r="B9815" i="4"/>
  <c r="B9816" i="4"/>
  <c r="B9817" i="4"/>
  <c r="B9818" i="4"/>
  <c r="B9819" i="4"/>
  <c r="B9820" i="4"/>
  <c r="B9821" i="4"/>
  <c r="B9822" i="4"/>
  <c r="B9823" i="4"/>
  <c r="B9824" i="4"/>
  <c r="B9825" i="4"/>
  <c r="B9826" i="4"/>
  <c r="B9827" i="4"/>
  <c r="B9828" i="4"/>
  <c r="B9829" i="4"/>
  <c r="B9830" i="4"/>
  <c r="B9831" i="4"/>
  <c r="B9832" i="4"/>
  <c r="B9833" i="4"/>
  <c r="B9834" i="4"/>
  <c r="B9835" i="4"/>
  <c r="B9836" i="4"/>
  <c r="B9837" i="4"/>
  <c r="B9838" i="4"/>
  <c r="B9839" i="4"/>
  <c r="B9840" i="4"/>
  <c r="B9841" i="4"/>
  <c r="B9842" i="4"/>
  <c r="B9843" i="4"/>
  <c r="B9844" i="4"/>
  <c r="B9845" i="4"/>
  <c r="B9846" i="4"/>
  <c r="B9847" i="4"/>
  <c r="B9848" i="4"/>
  <c r="B9849" i="4"/>
  <c r="B9850" i="4"/>
  <c r="B9851" i="4"/>
  <c r="B9852" i="4"/>
  <c r="B9853" i="4"/>
  <c r="B9854" i="4"/>
  <c r="B9855" i="4"/>
  <c r="B9856" i="4"/>
  <c r="B9857" i="4"/>
  <c r="B9858" i="4"/>
  <c r="B9859" i="4"/>
  <c r="B9860" i="4"/>
  <c r="B9861" i="4"/>
  <c r="B9862" i="4"/>
  <c r="B9863" i="4"/>
  <c r="B9864" i="4"/>
  <c r="B9865" i="4"/>
  <c r="B9866" i="4"/>
  <c r="B9867" i="4"/>
  <c r="B9868" i="4"/>
  <c r="B9869" i="4"/>
  <c r="B9870" i="4"/>
  <c r="B9871" i="4"/>
  <c r="B9872" i="4"/>
  <c r="B9873" i="4"/>
  <c r="B9874" i="4"/>
  <c r="B9875" i="4"/>
  <c r="B9876" i="4"/>
  <c r="B9877" i="4"/>
  <c r="B9878" i="4"/>
  <c r="B9879" i="4"/>
  <c r="B9880" i="4"/>
  <c r="B9881" i="4"/>
  <c r="B9882" i="4"/>
  <c r="B9883" i="4"/>
  <c r="B9884" i="4"/>
  <c r="B9885" i="4"/>
  <c r="B9886" i="4"/>
  <c r="B9887" i="4"/>
  <c r="B9888" i="4"/>
  <c r="B9889" i="4"/>
  <c r="B9890" i="4"/>
  <c r="B9891" i="4"/>
  <c r="B9892" i="4"/>
  <c r="B9893" i="4"/>
  <c r="B9894" i="4"/>
  <c r="B9895" i="4"/>
  <c r="B9896" i="4"/>
  <c r="B9897" i="4"/>
  <c r="B9898" i="4"/>
  <c r="B9899" i="4"/>
  <c r="B9900" i="4"/>
  <c r="B9901" i="4"/>
  <c r="B9902" i="4"/>
  <c r="B9903" i="4"/>
  <c r="B9904" i="4"/>
  <c r="B9905" i="4"/>
  <c r="B9906" i="4"/>
  <c r="B9907" i="4"/>
  <c r="B9908" i="4"/>
  <c r="B9909" i="4"/>
  <c r="B9910" i="4"/>
  <c r="B9911" i="4"/>
  <c r="B9912" i="4"/>
  <c r="B9913" i="4"/>
  <c r="B9914" i="4"/>
  <c r="B9915" i="4"/>
  <c r="B9916" i="4"/>
  <c r="B9917" i="4"/>
  <c r="B9918" i="4"/>
  <c r="B9919" i="4"/>
  <c r="B9920" i="4"/>
  <c r="B9921" i="4"/>
  <c r="B9922" i="4"/>
  <c r="B9923" i="4"/>
  <c r="B9924" i="4"/>
  <c r="B9925" i="4"/>
  <c r="B9926" i="4"/>
  <c r="B9927" i="4"/>
  <c r="B9928" i="4"/>
  <c r="B9929" i="4"/>
  <c r="B9930" i="4"/>
  <c r="B9931" i="4"/>
  <c r="B9932" i="4"/>
  <c r="B9933" i="4"/>
  <c r="B9934" i="4"/>
  <c r="B9935" i="4"/>
  <c r="B9936" i="4"/>
  <c r="B9937" i="4"/>
  <c r="B9938" i="4"/>
  <c r="B9939" i="4"/>
  <c r="B9940" i="4"/>
  <c r="B9941" i="4"/>
  <c r="B9942" i="4"/>
  <c r="B9943" i="4"/>
  <c r="B9944" i="4"/>
  <c r="B9945" i="4"/>
  <c r="B9946" i="4"/>
  <c r="B9947" i="4"/>
  <c r="B9948" i="4"/>
  <c r="B9949" i="4"/>
  <c r="B9950" i="4"/>
  <c r="B9951" i="4"/>
  <c r="B9952" i="4"/>
  <c r="B9953" i="4"/>
  <c r="B9954" i="4"/>
  <c r="B9955" i="4"/>
  <c r="B9956" i="4"/>
  <c r="B9957" i="4"/>
  <c r="B9958" i="4"/>
  <c r="B9959" i="4"/>
  <c r="B9960" i="4"/>
  <c r="B9961" i="4"/>
  <c r="B9962" i="4"/>
  <c r="B9963" i="4"/>
  <c r="B9964" i="4"/>
  <c r="B9965" i="4"/>
  <c r="B9966" i="4"/>
  <c r="B9967" i="4"/>
  <c r="B9968" i="4"/>
  <c r="B9969" i="4"/>
  <c r="B9970" i="4"/>
  <c r="B9971" i="4"/>
  <c r="B9972" i="4"/>
  <c r="B9973" i="4"/>
  <c r="B9974" i="4"/>
  <c r="B9975" i="4"/>
  <c r="B9976" i="4"/>
  <c r="B9977" i="4"/>
  <c r="B9978" i="4"/>
  <c r="B9979" i="4"/>
  <c r="B9980" i="4"/>
  <c r="B9981" i="4"/>
  <c r="B9982" i="4"/>
  <c r="B9983" i="4"/>
  <c r="B9984" i="4"/>
  <c r="B9985" i="4"/>
  <c r="B9986" i="4"/>
  <c r="B9987" i="4"/>
  <c r="B9988" i="4"/>
  <c r="B9989" i="4"/>
  <c r="B9990" i="4"/>
  <c r="B9991" i="4"/>
  <c r="B9992" i="4"/>
  <c r="B9993" i="4"/>
  <c r="B9994" i="4"/>
  <c r="B9995" i="4"/>
  <c r="B9996" i="4"/>
  <c r="B9997" i="4"/>
  <c r="B9998" i="4"/>
  <c r="B9999" i="4"/>
  <c r="B10000" i="4"/>
  <c r="B10001" i="4"/>
  <c r="B7117" i="4"/>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O111" i="2"/>
  <c r="O112" i="2"/>
  <c r="O349" i="2"/>
  <c r="O195" i="2"/>
  <c r="O113" i="2"/>
  <c r="O114" i="2"/>
  <c r="O424" i="2"/>
  <c r="O355" i="2"/>
  <c r="O115" i="2"/>
  <c r="O356" i="2"/>
  <c r="O116" i="2"/>
  <c r="O359" i="2"/>
  <c r="O360" i="2"/>
  <c r="O361" i="2"/>
  <c r="O203" i="2"/>
  <c r="O117" i="2"/>
  <c r="O365" i="2"/>
  <c r="O367" i="2"/>
  <c r="O369" i="2"/>
  <c r="O370" i="2"/>
  <c r="O372" i="2"/>
  <c r="O118" i="2"/>
  <c r="O119" i="2"/>
  <c r="O120" i="2"/>
  <c r="O121" i="2"/>
  <c r="O122" i="2"/>
  <c r="O425" i="2"/>
  <c r="O123" i="2"/>
  <c r="O373" i="2"/>
  <c r="O375" i="2"/>
  <c r="O124" i="2"/>
  <c r="O213" i="2"/>
  <c r="O376" i="2"/>
  <c r="O377" i="2"/>
  <c r="O426" i="2"/>
  <c r="O427" i="2"/>
  <c r="O428" i="2"/>
  <c r="O379" i="2"/>
  <c r="O284" i="2"/>
  <c r="O125" i="2"/>
  <c r="O126" i="2"/>
  <c r="O429" i="2"/>
  <c r="O127" i="2"/>
  <c r="O382" i="2"/>
  <c r="O128" i="2"/>
  <c r="O129" i="2"/>
  <c r="O383" i="2"/>
  <c r="O430" i="2"/>
  <c r="O431" i="2"/>
  <c r="O130" i="2"/>
  <c r="O131" i="2"/>
  <c r="O387" i="2"/>
  <c r="O345" i="2"/>
  <c r="O95" i="2"/>
  <c r="O97" i="2"/>
  <c r="O109" i="2"/>
  <c r="O165" i="2"/>
  <c r="O329" i="2"/>
  <c r="O175" i="2"/>
  <c r="O49" i="2"/>
  <c r="O271" i="2"/>
  <c r="O54" i="2"/>
  <c r="O421" i="2"/>
  <c r="O422" i="2"/>
  <c r="O56" i="2"/>
  <c r="O272" i="2"/>
  <c r="O274" i="2"/>
  <c r="O294" i="2"/>
  <c r="O295" i="2"/>
  <c r="O276" i="2"/>
  <c r="O58" i="2"/>
  <c r="O60" i="2"/>
  <c r="O63" i="2"/>
  <c r="O300" i="2"/>
  <c r="O64" i="2"/>
  <c r="O65" i="2"/>
  <c r="O66" i="2"/>
  <c r="O301" i="2"/>
  <c r="O303" i="2"/>
  <c r="O69" i="2"/>
  <c r="O71" i="2"/>
  <c r="O72" i="2"/>
  <c r="O73" i="2"/>
  <c r="O76" i="2"/>
  <c r="O77" i="2"/>
  <c r="O278" i="2"/>
  <c r="O279" i="2"/>
  <c r="O280" i="2"/>
  <c r="O205" i="2"/>
  <c r="O210" i="2"/>
  <c r="O325" i="2"/>
  <c r="O327" i="2"/>
  <c r="O330" i="2"/>
  <c r="O96" i="2"/>
  <c r="O334" i="2"/>
  <c r="O336" i="2"/>
  <c r="O177" i="2"/>
  <c r="O182" i="2"/>
  <c r="O184" i="2"/>
  <c r="O185" i="2"/>
  <c r="O287" i="2"/>
  <c r="O293" i="2"/>
  <c r="O297" i="2"/>
  <c r="O67" i="2"/>
  <c r="O302" i="2"/>
  <c r="O305" i="2"/>
  <c r="O169" i="2"/>
  <c r="O78" i="2"/>
  <c r="O307" i="2"/>
  <c r="O199" i="2"/>
  <c r="O343" i="2"/>
  <c r="O33" i="2"/>
  <c r="O36" i="2"/>
  <c r="O37" i="2"/>
  <c r="O38" i="2"/>
  <c r="O173" i="2"/>
  <c r="O179" i="2"/>
  <c r="O98" i="2"/>
  <c r="O181" i="2"/>
  <c r="O172" i="2"/>
  <c r="O192" i="2"/>
  <c r="O189" i="2"/>
  <c r="O240" i="2"/>
  <c r="O314" i="2"/>
  <c r="O84" i="2"/>
  <c r="O321" i="2"/>
  <c r="O339" i="2"/>
  <c r="O335" i="2"/>
  <c r="O337" i="2"/>
  <c r="O324" i="2"/>
  <c r="O332" i="2"/>
  <c r="O344" i="2"/>
  <c r="O286" i="2"/>
  <c r="O288" i="2"/>
  <c r="O289" i="2"/>
  <c r="O290" i="2"/>
  <c r="O2" i="2"/>
  <c r="O292" i="2"/>
  <c r="O167" i="2"/>
  <c r="O61" i="2"/>
  <c r="O68" i="2"/>
  <c r="O9" i="2"/>
  <c r="O168" i="2"/>
  <c r="O306" i="2"/>
  <c r="O312" i="2"/>
  <c r="O331" i="2"/>
  <c r="O176" i="2"/>
  <c r="O107" i="2"/>
  <c r="O108" i="2"/>
  <c r="O191" i="2"/>
  <c r="O187" i="2"/>
  <c r="O188" i="2"/>
  <c r="O30" i="2"/>
  <c r="O40" i="2"/>
  <c r="O333" i="2"/>
  <c r="O171" i="2"/>
  <c r="O21" i="2"/>
  <c r="O22" i="2"/>
  <c r="O174" i="2"/>
  <c r="O348" i="2"/>
  <c r="O328" i="2"/>
  <c r="O282" i="2"/>
  <c r="O180" i="2"/>
  <c r="O190" i="2"/>
  <c r="O183" i="2"/>
  <c r="O89" i="2"/>
  <c r="O106" i="2"/>
  <c r="O186" i="2"/>
  <c r="O10" i="2"/>
  <c r="O11" i="2"/>
  <c r="O31" i="2"/>
  <c r="O14" i="2"/>
  <c r="O35" i="2"/>
  <c r="O178" i="2"/>
  <c r="O388" i="2"/>
  <c r="O389" i="2"/>
  <c r="O134" i="2"/>
  <c r="O135" i="2"/>
  <c r="O390" i="2"/>
  <c r="O246" i="2"/>
  <c r="O391" i="2"/>
  <c r="O44" i="2"/>
  <c r="O45" i="2"/>
  <c r="O136" i="2"/>
  <c r="O392" i="2"/>
  <c r="O393" i="2"/>
  <c r="O137" i="2"/>
  <c r="O247" i="2"/>
  <c r="O46" i="2"/>
  <c r="O138" i="2"/>
  <c r="O432" i="2"/>
  <c r="O394" i="2"/>
  <c r="O139" i="2"/>
  <c r="O433" i="2"/>
  <c r="O47" i="2"/>
  <c r="O397" i="2"/>
  <c r="O253" i="2"/>
  <c r="O143" i="2"/>
  <c r="O144" i="2"/>
  <c r="O145" i="2"/>
  <c r="O402" i="2"/>
  <c r="O146" i="2"/>
  <c r="O147" i="2"/>
  <c r="O261" i="2"/>
  <c r="O263" i="2"/>
  <c r="O264" i="2"/>
  <c r="O347" i="2"/>
  <c r="O166" i="2"/>
  <c r="O291" i="2"/>
  <c r="O57" i="2"/>
  <c r="O275" i="2"/>
  <c r="O298" i="2"/>
  <c r="O304" i="2"/>
  <c r="O74" i="2"/>
  <c r="O75" i="2"/>
  <c r="O79" i="2"/>
  <c r="O309" i="2"/>
  <c r="O311" i="2"/>
  <c r="O80" i="2"/>
  <c r="O227" i="2"/>
  <c r="O341" i="2"/>
  <c r="O266" i="2"/>
  <c r="O267" i="2"/>
  <c r="O404" i="2"/>
  <c r="O148" i="2"/>
  <c r="O405" i="2"/>
  <c r="O406" i="2"/>
  <c r="O407" i="2"/>
  <c r="O268" i="2"/>
  <c r="O408" i="2"/>
  <c r="O285" i="2"/>
  <c r="O409" i="2"/>
  <c r="O410" i="2"/>
  <c r="O411" i="2"/>
  <c r="O269" i="2"/>
  <c r="O412" i="2"/>
  <c r="O270" i="2"/>
  <c r="O149" i="2"/>
  <c r="O413" i="2"/>
  <c r="O435" i="2"/>
  <c r="O436" i="2"/>
  <c r="O150" i="2"/>
  <c r="O151" i="2"/>
  <c r="O152" i="2"/>
  <c r="O153" i="2"/>
  <c r="O154" i="2"/>
  <c r="O155" i="2"/>
  <c r="O156" i="2"/>
  <c r="O157" i="2"/>
  <c r="O158" i="2"/>
  <c r="O159" i="2"/>
  <c r="O160" i="2"/>
  <c r="O48" i="2"/>
  <c r="O414" i="2"/>
  <c r="O161" i="2"/>
  <c r="O162" i="2"/>
  <c r="O163" i="2"/>
  <c r="O164" i="2"/>
  <c r="O415" i="2"/>
  <c r="O416" i="2"/>
  <c r="O417" i="2"/>
  <c r="O418" i="2"/>
  <c r="O419" i="2"/>
  <c r="O420" i="2"/>
  <c r="O437" i="2"/>
  <c r="O13" i="2"/>
  <c r="O25" i="2"/>
  <c r="O26" i="2"/>
  <c r="O32" i="2"/>
  <c r="O39" i="2"/>
  <c r="O42" i="2"/>
  <c r="O24" i="2"/>
  <c r="O27" i="2"/>
  <c r="O43" i="2"/>
  <c r="O338" i="2"/>
  <c r="O15" i="2"/>
  <c r="O17" i="2"/>
  <c r="O18" i="2"/>
  <c r="O19" i="2"/>
  <c r="O20" i="2"/>
  <c r="O23" i="2"/>
  <c r="O28" i="2"/>
  <c r="O29" i="2"/>
  <c r="O34" i="2"/>
  <c r="O41" i="2"/>
  <c r="O3" i="2"/>
  <c r="O4" i="2"/>
  <c r="O5" i="2"/>
  <c r="O6" i="2"/>
  <c r="O7" i="2"/>
  <c r="O8" i="2"/>
  <c r="O342" i="2"/>
  <c r="O346" i="2"/>
  <c r="O50" i="2"/>
  <c r="O51" i="2"/>
  <c r="O52" i="2"/>
  <c r="O53" i="2"/>
  <c r="O55" i="2"/>
  <c r="O273" i="2"/>
  <c r="O296" i="2"/>
  <c r="O59" i="2"/>
  <c r="O62" i="2"/>
  <c r="O299" i="2"/>
  <c r="O423" i="2"/>
  <c r="O70" i="2"/>
  <c r="O277" i="2"/>
  <c r="O308" i="2"/>
  <c r="O310" i="2"/>
  <c r="O313" i="2"/>
  <c r="O81" i="2"/>
  <c r="O82" i="2"/>
  <c r="O83" i="2"/>
  <c r="O315" i="2"/>
  <c r="O316" i="2"/>
  <c r="O317" i="2"/>
  <c r="O170" i="2"/>
  <c r="O318" i="2"/>
  <c r="O319" i="2"/>
  <c r="O320" i="2"/>
  <c r="O85" i="2"/>
  <c r="O86" i="2"/>
  <c r="O87" i="2"/>
  <c r="O88" i="2"/>
  <c r="O322" i="2"/>
  <c r="O90" i="2"/>
  <c r="O323" i="2"/>
  <c r="O91" i="2"/>
  <c r="O326" i="2"/>
  <c r="O92" i="2"/>
  <c r="O93" i="2"/>
  <c r="O94" i="2"/>
  <c r="O99" i="2"/>
  <c r="O100" i="2"/>
  <c r="O101" i="2"/>
  <c r="O281" i="2"/>
  <c r="O340" i="2"/>
  <c r="O102" i="2"/>
  <c r="O103" i="2"/>
  <c r="O104" i="2"/>
  <c r="O283" i="2"/>
  <c r="O12" i="2"/>
  <c r="O16" i="2"/>
  <c r="O105" i="2"/>
  <c r="O110" i="2"/>
  <c r="O193" i="2"/>
  <c r="O194" i="2"/>
  <c r="O350" i="2"/>
  <c r="O196" i="2"/>
  <c r="O197" i="2"/>
  <c r="O351" i="2"/>
  <c r="O352" i="2"/>
  <c r="O353" i="2"/>
  <c r="O354" i="2"/>
  <c r="O357" i="2"/>
  <c r="O358" i="2"/>
  <c r="O198" i="2"/>
  <c r="O200" i="2"/>
  <c r="O201" i="2"/>
  <c r="O202" i="2"/>
  <c r="O362" i="2"/>
  <c r="O363" i="2"/>
  <c r="O364" i="2"/>
  <c r="O204" i="2"/>
  <c r="O366" i="2"/>
  <c r="O368" i="2"/>
  <c r="O371" i="2"/>
  <c r="O206" i="2"/>
  <c r="O207" i="2"/>
  <c r="O208" i="2"/>
  <c r="O209" i="2"/>
  <c r="O374" i="2"/>
  <c r="O211" i="2"/>
  <c r="O212" i="2"/>
  <c r="O214" i="2"/>
  <c r="O378" i="2"/>
  <c r="O215" i="2"/>
  <c r="O380" i="2"/>
  <c r="O216" i="2"/>
  <c r="O381" i="2"/>
  <c r="O217" i="2"/>
  <c r="O218" i="2"/>
  <c r="O219" i="2"/>
  <c r="O220" i="2"/>
  <c r="O221" i="2"/>
  <c r="O222" i="2"/>
  <c r="O223" i="2"/>
  <c r="O224" i="2"/>
  <c r="O225" i="2"/>
  <c r="O226" i="2"/>
  <c r="O228" i="2"/>
  <c r="O229" i="2"/>
  <c r="O230" i="2"/>
  <c r="O231" i="2"/>
  <c r="O232" i="2"/>
  <c r="O233" i="2"/>
  <c r="O234" i="2"/>
  <c r="O235" i="2"/>
  <c r="O236" i="2"/>
  <c r="O237" i="2"/>
  <c r="O238" i="2"/>
  <c r="O384" i="2"/>
  <c r="O239" i="2"/>
  <c r="O241" i="2"/>
  <c r="O242" i="2"/>
  <c r="O385" i="2"/>
  <c r="O243" i="2"/>
  <c r="O244" i="2"/>
  <c r="O132" i="2"/>
  <c r="O245" i="2"/>
  <c r="O386" i="2"/>
  <c r="O133" i="2"/>
  <c r="O248" i="2"/>
  <c r="O395" i="2"/>
  <c r="O249" i="2"/>
  <c r="O250" i="2"/>
  <c r="O251" i="2"/>
  <c r="O396" i="2"/>
  <c r="O252" i="2"/>
  <c r="O398" i="2"/>
  <c r="O254" i="2"/>
  <c r="O255" i="2"/>
  <c r="O140" i="2"/>
  <c r="O141" i="2"/>
  <c r="O256" i="2"/>
  <c r="O257" i="2"/>
  <c r="O142" i="2"/>
  <c r="O258" i="2"/>
  <c r="O399" i="2"/>
  <c r="O400" i="2"/>
  <c r="O259" i="2"/>
  <c r="O434" i="2"/>
  <c r="O401" i="2"/>
  <c r="O260" i="2"/>
  <c r="O262" i="2"/>
  <c r="O265" i="2"/>
  <c r="O403"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2" i="2"/>
  <c r="F2" i="2"/>
  <c r="B5" i="1"/>
  <c r="C5" i="1"/>
  <c r="B11" i="1"/>
  <c r="C11" i="1"/>
  <c r="B17" i="1"/>
  <c r="C17" i="1"/>
  <c r="B18" i="1"/>
  <c r="C18" i="1"/>
  <c r="B19" i="1"/>
  <c r="C19" i="1"/>
  <c r="B20" i="1"/>
  <c r="C20" i="1"/>
  <c r="B21" i="1"/>
  <c r="C21" i="1"/>
  <c r="B22" i="1"/>
  <c r="C22" i="1"/>
  <c r="B25" i="1"/>
  <c r="C25" i="1"/>
  <c r="B26" i="1"/>
  <c r="C26" i="1"/>
  <c r="B28" i="1"/>
  <c r="C28" i="1"/>
  <c r="B31" i="1"/>
  <c r="C31" i="1"/>
  <c r="B32" i="1"/>
  <c r="C32" i="1"/>
  <c r="B33" i="1"/>
  <c r="C33" i="1"/>
  <c r="B34" i="1"/>
  <c r="C34" i="1"/>
  <c r="B35" i="1"/>
  <c r="C35" i="1"/>
  <c r="B41" i="1"/>
  <c r="C41" i="1"/>
  <c r="B42" i="1"/>
  <c r="C42" i="1"/>
  <c r="B44" i="1"/>
  <c r="C44" i="1"/>
  <c r="B45" i="1"/>
  <c r="C45"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7" i="1"/>
  <c r="C187" i="1"/>
  <c r="B188" i="1"/>
  <c r="C188" i="1"/>
  <c r="B189" i="1"/>
  <c r="C189" i="1"/>
  <c r="B190" i="1"/>
  <c r="C190" i="1"/>
  <c r="B191" i="1"/>
  <c r="C191" i="1"/>
  <c r="B192" i="1"/>
  <c r="C192" i="1"/>
  <c r="B193" i="1"/>
  <c r="C193" i="1"/>
  <c r="B194" i="1"/>
  <c r="C194" i="1"/>
  <c r="B195" i="1"/>
  <c r="C195" i="1"/>
  <c r="B196" i="1"/>
  <c r="C196" i="1"/>
  <c r="B197" i="1"/>
  <c r="C197" i="1"/>
  <c r="B198" i="1"/>
  <c r="C198" i="1"/>
  <c r="B199" i="1"/>
  <c r="C199" i="1"/>
  <c r="B200" i="1"/>
  <c r="C200" i="1"/>
  <c r="B201" i="1"/>
  <c r="C201" i="1"/>
  <c r="B202" i="1"/>
  <c r="C202" i="1"/>
  <c r="B203" i="1"/>
  <c r="C203" i="1"/>
  <c r="B204" i="1"/>
  <c r="C204" i="1"/>
  <c r="B205" i="1"/>
  <c r="C205" i="1"/>
  <c r="B206" i="1"/>
  <c r="C206" i="1"/>
  <c r="B207" i="1"/>
  <c r="C207" i="1"/>
  <c r="B208" i="1"/>
  <c r="C208" i="1"/>
  <c r="B209" i="1"/>
  <c r="C209"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B231" i="1"/>
  <c r="C231" i="1"/>
  <c r="B232" i="1"/>
  <c r="C232" i="1"/>
  <c r="B233" i="1"/>
  <c r="C233" i="1"/>
  <c r="B234" i="1"/>
  <c r="C234" i="1"/>
  <c r="B235" i="1"/>
  <c r="C235" i="1"/>
  <c r="B236" i="1"/>
  <c r="C236" i="1"/>
  <c r="B237" i="1"/>
  <c r="C237" i="1"/>
  <c r="B238" i="1"/>
  <c r="C238" i="1"/>
  <c r="B239" i="1"/>
  <c r="C239" i="1"/>
  <c r="B240" i="1"/>
  <c r="C240" i="1"/>
  <c r="B241" i="1"/>
  <c r="C241" i="1"/>
  <c r="B242" i="1"/>
  <c r="C242" i="1"/>
  <c r="B243" i="1"/>
  <c r="C243" i="1"/>
  <c r="B244" i="1"/>
  <c r="C244" i="1"/>
  <c r="B245" i="1"/>
  <c r="C245" i="1"/>
  <c r="B246" i="1"/>
  <c r="C246" i="1"/>
  <c r="B247" i="1"/>
  <c r="C247" i="1"/>
  <c r="B248" i="1"/>
  <c r="C248" i="1"/>
  <c r="B249" i="1"/>
  <c r="C249" i="1"/>
  <c r="B250" i="1"/>
  <c r="C250" i="1"/>
  <c r="B251" i="1"/>
  <c r="C251" i="1"/>
  <c r="B252" i="1"/>
  <c r="C252" i="1"/>
  <c r="B253" i="1"/>
  <c r="C253" i="1"/>
  <c r="B254" i="1"/>
  <c r="C254" i="1"/>
  <c r="B255" i="1"/>
  <c r="C255" i="1"/>
  <c r="B256" i="1"/>
  <c r="C256" i="1"/>
  <c r="B257" i="1"/>
  <c r="C257" i="1"/>
  <c r="B258" i="1"/>
  <c r="C258" i="1"/>
  <c r="B259" i="1"/>
  <c r="C259" i="1"/>
  <c r="B260" i="1"/>
  <c r="C260" i="1"/>
  <c r="B261" i="1"/>
  <c r="C261" i="1"/>
  <c r="B262" i="1"/>
  <c r="C262" i="1"/>
  <c r="B263" i="1"/>
  <c r="C263" i="1"/>
  <c r="B264" i="1"/>
  <c r="C264" i="1"/>
  <c r="B265" i="1"/>
  <c r="C265" i="1"/>
  <c r="B266" i="1"/>
  <c r="C266" i="1"/>
  <c r="B267" i="1"/>
  <c r="C267" i="1"/>
  <c r="B268" i="1"/>
  <c r="C268" i="1"/>
  <c r="B269" i="1"/>
  <c r="C269" i="1"/>
  <c r="B270" i="1"/>
  <c r="C270" i="1"/>
  <c r="B271" i="1"/>
  <c r="C271" i="1"/>
  <c r="B272" i="1"/>
  <c r="C272" i="1"/>
  <c r="B273" i="1"/>
  <c r="C273" i="1"/>
  <c r="B274" i="1"/>
  <c r="C274" i="1"/>
  <c r="B275" i="1"/>
  <c r="C275" i="1"/>
  <c r="B276" i="1"/>
  <c r="C276" i="1"/>
  <c r="B277" i="1"/>
  <c r="C277" i="1"/>
  <c r="B278" i="1"/>
  <c r="C278" i="1"/>
  <c r="B279" i="1"/>
  <c r="C279" i="1"/>
  <c r="B280" i="1"/>
  <c r="C280" i="1"/>
  <c r="B281" i="1"/>
  <c r="C281" i="1"/>
  <c r="B282" i="1"/>
  <c r="C282" i="1"/>
  <c r="B283" i="1"/>
  <c r="C283" i="1"/>
  <c r="B284" i="1"/>
  <c r="C284" i="1"/>
  <c r="B285" i="1"/>
  <c r="C285" i="1"/>
  <c r="B286" i="1"/>
  <c r="C286" i="1"/>
  <c r="B287" i="1"/>
  <c r="C287" i="1"/>
  <c r="B288" i="1"/>
  <c r="C288" i="1"/>
  <c r="B289" i="1"/>
  <c r="C289" i="1"/>
  <c r="B290" i="1"/>
  <c r="C290" i="1"/>
  <c r="B291" i="1"/>
  <c r="C291" i="1"/>
  <c r="B292" i="1"/>
  <c r="C292" i="1"/>
  <c r="B293" i="1"/>
  <c r="C293" i="1"/>
  <c r="B294" i="1"/>
  <c r="C294" i="1"/>
  <c r="B295" i="1"/>
  <c r="C295" i="1"/>
  <c r="B296" i="1"/>
  <c r="C296" i="1"/>
  <c r="B297" i="1"/>
  <c r="C297" i="1"/>
  <c r="B298" i="1"/>
  <c r="C298" i="1"/>
  <c r="B299" i="1"/>
  <c r="C299" i="1"/>
  <c r="B300" i="1"/>
  <c r="C300" i="1"/>
  <c r="B301" i="1"/>
  <c r="C301" i="1"/>
  <c r="C10" i="1"/>
  <c r="C2" i="1"/>
  <c r="C30" i="1"/>
  <c r="C39" i="1"/>
  <c r="C63" i="1"/>
  <c r="C23" i="1"/>
  <c r="C14" i="1"/>
  <c r="C24" i="1"/>
  <c r="C12" i="1"/>
  <c r="C7" i="1"/>
  <c r="C47" i="1"/>
  <c r="C43" i="1"/>
  <c r="C36" i="1"/>
  <c r="C13" i="1"/>
  <c r="C3" i="1"/>
  <c r="C16" i="1"/>
  <c r="C15" i="1"/>
  <c r="C4" i="1"/>
  <c r="C37" i="1"/>
  <c r="C29" i="1"/>
  <c r="C40" i="1"/>
  <c r="C6" i="1"/>
  <c r="C62" i="1"/>
  <c r="C27" i="1"/>
  <c r="C46" i="1"/>
  <c r="C8" i="1"/>
  <c r="C9" i="1"/>
  <c r="C38" i="1"/>
  <c r="B10" i="1"/>
  <c r="B2" i="1"/>
  <c r="B30" i="1"/>
  <c r="B39" i="1"/>
  <c r="B63" i="1"/>
  <c r="B23" i="1"/>
  <c r="B14" i="1"/>
  <c r="B24" i="1"/>
  <c r="B12" i="1"/>
  <c r="B7" i="1"/>
  <c r="B47" i="1"/>
  <c r="B43" i="1"/>
  <c r="B36" i="1"/>
  <c r="B13" i="1"/>
  <c r="B3" i="1"/>
  <c r="B16" i="1"/>
  <c r="B15" i="1"/>
  <c r="B4" i="1"/>
  <c r="B37" i="1"/>
  <c r="B29" i="1"/>
  <c r="B40" i="1"/>
  <c r="B6" i="1"/>
  <c r="B62" i="1"/>
  <c r="B27" i="1"/>
  <c r="B46" i="1"/>
  <c r="B8" i="1"/>
  <c r="B9" i="1"/>
  <c r="B38" i="1"/>
  <c r="H132" i="3" l="1"/>
  <c r="H432" i="3"/>
  <c r="H288" i="3"/>
  <c r="H144" i="3"/>
  <c r="H420" i="3"/>
  <c r="H276" i="3"/>
  <c r="H408" i="3"/>
  <c r="H264" i="3"/>
  <c r="H120" i="3"/>
  <c r="H396" i="3"/>
  <c r="H252" i="3"/>
  <c r="H108" i="3"/>
  <c r="H384" i="3"/>
  <c r="H240" i="3"/>
  <c r="H96" i="3"/>
  <c r="H372" i="3"/>
  <c r="H228" i="3"/>
  <c r="H84" i="3"/>
  <c r="H360" i="3"/>
  <c r="H216" i="3"/>
  <c r="H72" i="3"/>
  <c r="H348" i="3"/>
  <c r="H204" i="3"/>
  <c r="H60" i="3"/>
  <c r="H336" i="3"/>
  <c r="H192" i="3"/>
  <c r="H48" i="3"/>
  <c r="H324" i="3"/>
  <c r="H180" i="3"/>
  <c r="H36" i="3"/>
  <c r="H312" i="3"/>
  <c r="H168" i="3"/>
  <c r="H24" i="3"/>
  <c r="H300" i="3"/>
  <c r="H156" i="3"/>
  <c r="H12" i="3"/>
  <c r="H433" i="3"/>
  <c r="H421" i="3"/>
  <c r="H409" i="3"/>
  <c r="H397" i="3"/>
  <c r="H385" i="3"/>
  <c r="H373" i="3"/>
  <c r="H361" i="3"/>
  <c r="H349" i="3"/>
  <c r="H337" i="3"/>
  <c r="H325" i="3"/>
  <c r="H313" i="3"/>
  <c r="H301" i="3"/>
  <c r="H289" i="3"/>
  <c r="H277" i="3"/>
  <c r="H265" i="3"/>
  <c r="H253" i="3"/>
  <c r="H241" i="3"/>
  <c r="H229" i="3"/>
  <c r="H217" i="3"/>
  <c r="H205" i="3"/>
  <c r="H193" i="3"/>
  <c r="H181" i="3"/>
  <c r="H169" i="3"/>
  <c r="H157" i="3"/>
  <c r="H145" i="3"/>
  <c r="H133" i="3"/>
  <c r="H121" i="3"/>
  <c r="H109" i="3"/>
  <c r="H85" i="3"/>
  <c r="H73" i="3"/>
  <c r="H61" i="3"/>
  <c r="H49" i="3"/>
  <c r="H37" i="3"/>
  <c r="H25" i="3"/>
  <c r="H13" i="3"/>
  <c r="H388" i="3"/>
  <c r="H316" i="3"/>
  <c r="H244" i="3"/>
  <c r="H172" i="3"/>
  <c r="H100" i="3"/>
  <c r="H2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22C576-1F7C-4618-97A8-3BDA55490A08}" keepAlive="1" name="Query - Table14" description="Connection to the 'Table14' query in the workbook." type="5" refreshedVersion="8" background="1" saveData="1">
    <dbPr connection="Provider=Microsoft.Mashup.OleDb.1;Data Source=$Workbook$;Location=Table14;Extended Properties=&quot;&quot;" command="SELECT * FROM [Table14]"/>
  </connection>
  <connection id="2" xr16:uid="{48D44F14-FA2A-409A-A818-F2909A2948CA}"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<sst xmlns="http://schemas.openxmlformats.org/spreadsheetml/2006/main" count="5532" uniqueCount="1009">
  <si>
    <t>city_id</t>
  </si>
  <si>
    <t>city_name</t>
  </si>
  <si>
    <t>province</t>
  </si>
  <si>
    <t>User_Id</t>
  </si>
  <si>
    <t>Location</t>
  </si>
  <si>
    <t>Age</t>
  </si>
  <si>
    <t>Semarang, Jawa Tengah</t>
  </si>
  <si>
    <t>Bekasi, Jawa Barat</t>
  </si>
  <si>
    <t>Cirebon, Jawa Barat</t>
  </si>
  <si>
    <t>Lampung, Sumatera Selatan</t>
  </si>
  <si>
    <t>Jakarta Utara, DKI Jakarta</t>
  </si>
  <si>
    <t>Jakarta Selatan, DKI Jakarta</t>
  </si>
  <si>
    <t>Bandung, Jawa Barat</t>
  </si>
  <si>
    <t>Surabaya, Jawa Timur</t>
  </si>
  <si>
    <t>Yogyakarta, DIY</t>
  </si>
  <si>
    <t>Bogor, Jawa Barat</t>
  </si>
  <si>
    <t>Depok, Jawa Barat</t>
  </si>
  <si>
    <t>Jakarta Pusat, DKI Jakarta</t>
  </si>
  <si>
    <t>Jakarta Timur, DKI Jakarta</t>
  </si>
  <si>
    <t>Subang, Jawa Barat</t>
  </si>
  <si>
    <t>Jakarta Barat, DKI Jakarta</t>
  </si>
  <si>
    <t>Palembang, Sumatera Selatan</t>
  </si>
  <si>
    <t>Sragen, Jawa Tengah</t>
  </si>
  <si>
    <t>Ponorogo, Jawa Timur</t>
  </si>
  <si>
    <t>Klaten, Jawa Tengah</t>
  </si>
  <si>
    <t>Solo, Jawa Tengah</t>
  </si>
  <si>
    <t>Tanggerang, Banten</t>
  </si>
  <si>
    <t>Serang, Banten</t>
  </si>
  <si>
    <t>Cilacap, Jawa Tengah</t>
  </si>
  <si>
    <t>Kota Gede, DIY</t>
  </si>
  <si>
    <t>Karawang, Jawa Barat</t>
  </si>
  <si>
    <t>Purwakarat, Jawa Barat</t>
  </si>
  <si>
    <t>Nganjuk, Jawa Timur</t>
  </si>
  <si>
    <t>Madura, Jawa Timur</t>
  </si>
  <si>
    <t>Place_Id</t>
  </si>
  <si>
    <t>Place_Name</t>
  </si>
  <si>
    <t>Description</t>
  </si>
  <si>
    <t>Category</t>
  </si>
  <si>
    <t>City</t>
  </si>
  <si>
    <t>Price</t>
  </si>
  <si>
    <t>Time_Minutes</t>
  </si>
  <si>
    <t>Lat</t>
  </si>
  <si>
    <t>Long</t>
  </si>
  <si>
    <t>Monumen Nasional</t>
  </si>
  <si>
    <t>Monumen Nasional atau yang populer disingkat dengan Monas atau Tugu Monas adalah monumen peringatan setinggi 132 meter (433 kaki) yang didirikan untuk mengenang perlawanan dan perjuangan rakyat Indonesia untuk merebut kemerdekaan dari pemerintahan kolonial Hindia Belanda. Pembangunan monumen ini dimulai pada tanggal 17 Agustus 1961 di bawah perintah presiden Soekarno dan dibuka untuk umum pada tanggal 12 Juli 1975. Tugu ini dimahkotai lidah api yang dilapisi lembaran emas yang melambangkan semangat perjuangan yang menyala-nyala. Monumen Nasional terletak tepat di tengah Lapangan Medan Merdeka, Jakarta Pusat.</t>
  </si>
  <si>
    <t>Budaya</t>
  </si>
  <si>
    <t>Jakarta</t>
  </si>
  <si>
    <t>Kota Tua</t>
  </si>
  <si>
    <t>Kota tua di Jakarta, yang juga bernama Kota Tua, berpusat di Alun-Alun Fatahillah, yaitu alun-alun yang ramai dengan pertunjukan rutin tarian tradisional. Museum Sejarah Jakarta adalah bangunan era Belanda dengan lukisan dan barang antik, sedangkan Museum Wayang memamerkan boneka kayu khas Jawa. Desa Glodok, atau Chinatown, terkenal dengan makanan kaki lima, seperti pangsit dan mi goreng. Di dekatnya, terdapat sekunar dan kapal penangkap ikan di pelabuhan Sunda Kelapa yang kuno</t>
  </si>
  <si>
    <t>Dunia Fantasi</t>
  </si>
  <si>
    <t>Dunia Fantasi atau disebut juga Dufan adalah tempat hiburan yang terletak di kawasan Taman Impian Jaya Ancol, Jakarta Utara, Indonesia. Dufan diresmikan dan dibuka pada tanggal 29 Agustus 1985.</t>
  </si>
  <si>
    <t>Taman Hiburan</t>
  </si>
  <si>
    <t>Taman Mini Indonesia Indah (TMII)</t>
  </si>
  <si>
    <t>Taman Mini Indonesia Indah merupakan suatu kawasan taman wisata bertema budaya Indonesia di Jakarta Timur. Area seluas kurang lebih 150 hektare atau 1,5 kilometer persegi ini terletak pada koordinat 6Â°18â€²6.8â€³LS,106Â°53â€²47.2â€³BT</t>
  </si>
  <si>
    <t>Atlantis Water Adventure</t>
  </si>
  <si>
    <t>Atlantis Water Adventure atau dikenal dengan Atlantis Ancol akan menyuguhkan petualangan wisata air tak terlupakan. Tempat Wisata bertemakan permainan air dengan luas 5 hektar ini memberi sensasi petualangan di 8 kolam utama. Yaitu kolam Antila, Plaza Atlas, Poseidon, Aquarius, Octopus, Kiddy Pool, dan Atlantean. Berlokasi di kawasan Ancol Jakarta Baycity, Atlantis bisa menjadi pilihan destinasi yang pas untuk wisata berenang.</t>
  </si>
  <si>
    <t>Taman Impian Jaya Ancol</t>
  </si>
  <si>
    <t>Taman Impian Jaya Ancol merupakan sebuah objek wisata di Jakarta Utara.\n\n</t>
  </si>
  <si>
    <t>Kebun Binatang Ragunan</t>
  </si>
  <si>
    <t>Kebun Binatang Ragunan adalah sebuah kebun binatang yang terletak di daerah Ragunan, Pasar Minggu, Jakarta Selatan, Indonesia. Kebun binatang seluas 140 hektare ini didirikan pada tahun 1864. Di dalamnya terdapat berbagai koleksi yang terdiri dari 295 spesies dan 4040 spesimen.\nRagunan sempat ditutup selama sekitar tiga minggu sejak 19 September 2005 karena hewan-hewan di dalamnya ada yang terinfeksi flu burung, tetapi dibuka kembali pada 11 Oktober 2005.Kebun binatang ini memiliki banyak spesies hewan yang langka antara lain kakatua, orangutan, gorila, anoa dan gajah</t>
  </si>
  <si>
    <t>Cagar Alam</t>
  </si>
  <si>
    <t>Ocean Ecopark</t>
  </si>
  <si>
    <t xml:space="preserve">Ocean Ecopark Salah satu zona rekreasi Ancol yang menawarkan ruang terbuka hijau serta pengalaman dan tidak melupakan sisi pendidikan bagi para pengunjung. Beragam aktivitas dan wahana seru yang bisa dimainkan di tempat rekreasi keluarga, beberapa diantaranya : Outbondholic, Rumah Energy, Rumah Lebah, Kano, Paintball, Outbondholic, Eco-Market, Learning Farm, Eco-Bike, Faunaland. Kalau berencana berwisata ke Ocean Eco Park ancol tidak perlu khawatir dengan harga tiket masuknya. Karena harga tiket masuk Ocean Eco Park ditawarkan dengan harga yang masih terjangkau._x000D_
</t>
  </si>
  <si>
    <t>Pelabuhan Marina</t>
  </si>
  <si>
    <t>Pelabuhan Marina Ancol berada di kawasan Taman Impian Jaya Ancol, Jakarta. Pelabuhan yang biasa disebut Dermaga Marina Ancol ini adalah kawasan yang tidak hanya untuk keperluan penyeberangan saja, tetapi juga dikembangkan untuk banyak hal, seperti wisata air, olahraga air maupun wahana bermain. Fungsi utama dari pelabuhan ini adalah untuk melayani para penumpang yang ingin menyeberang menuju ke kepulauan Seribu, begitu juga sebaliknya. Banyak orang yang berada di Jakarta dan sekitarnya, menjadikan kepulaun Seribu sebagai tujuan wisata yang utama. Liburan di Pulau Seribu memang mampu menghilangkan kepenatan bekerja di kota metropolitan, sembari menikmati keindahan pantai yang masih terjaga dengan baik. Marina Ancol berada di Jakarta Utara atau secara lengkap beralamat di Kota Tua, Ancol, Pademangan, Kota Jakarta. Sangat mudah menuju ke tempat ini karena tidak terlalu jauh dari pusat kota. Selain itu, ada banyak transportasi umum yang menuju ke tempat ini atau bisa juga menggunakan jasa transportasi online.</t>
  </si>
  <si>
    <t>Bahari</t>
  </si>
  <si>
    <t>Pulau Tidung</t>
  </si>
  <si>
    <t>Pulau Tidung adalah salah satu kelurahan di kecamatan Kepulauan Seribu Selatan, Kabupaten Kepulauan Seribu, Jakarta, Indonesia.</t>
  </si>
  <si>
    <t>Pulau Bidadari</t>
  </si>
  <si>
    <t>Pulau Bidadari merupakan salah satu resor di Kabupaten Kepulauan Seribu, Jakarta. Sebelum bernama Pulau Bidadari, pulau ini memiliki dua nama yaitu Pulau Sakit dan Pulau Purmerend</t>
  </si>
  <si>
    <t>Pulau Pari</t>
  </si>
  <si>
    <t xml:space="preserve">Pulau Pari adalah sebuah pulau yang terletak di Kepulauan Seribu di Daerah Khusus Ibukota Jakarta, Indonesia._x000D_
</t>
  </si>
  <si>
    <t>Pulau Pramuka</t>
  </si>
  <si>
    <t>Pulau Pramuka merupakan salah satu pulau yang berada dalam gugusan Kepulauan Seribu. Pulau ini merupakan pusat administrasi dan pemerintahan Kabupaten Administrasi Kepulauan Seribu. Pulau Pramuka termasuk ke dalam wilayah Kelurahan Pulau Panggang.</t>
  </si>
  <si>
    <t>Pulau Pelangi</t>
  </si>
  <si>
    <t xml:space="preserve">Pulau Pelangi adalah sebuah pulau yang terletak di Kepulauan Seribu di Daerah Khusus Ibukota Jakarta, Indonesia. Pulau Pelangi adalah sebuah pulau yang terletak di Kepulauan Seribu di Daerah Khusus Ibukota Jakarta, Indonesia, Pulau Pelangi / biasa disebut Pulau Petondan Besar ( Pelangi Island ) merupakan pulau resort yang sesuai untuk berlibur. Pulau Resort ini mempunyai konsep natural, karena sebagian wilayahnya di penuhi dengan rerimbunan pohon yang menyejukan mata, Keindahan alam dan lautnya layak untuk dikunjungi. Dikelilingi oleh rimbunan pohon dan laut berwarana biru jernih membuat suasanan sejuk dan nyaman. Kondisi yang ideal untuk wisata bersama keluarga. Dengan akomodasi yang langsung menghadap ke laut membuat turis betah berlama-lama di Pulau Pelangi.\nMenurut informasi, Pulau Pelangi atau Pulau Petondan Besar merupakan pulau yang berada pada gugusan Kepulauan Seribu. Secara administratif termasuk dalam wilayah Kabupaten Administratif Kepulauan Seribu provinsi DKI Jakarta. Bersamaan dengan Pulau Petondan Kecil merupakan sebuah resort berlibur. Letaknya berdekatan dengan gugusan yang sama dengan Pulau Kelor dan Pulau Kelapa.\nUntuk mencapai Pelangi Resort dibutuhkan waktu 90 menit perjalanan dari dermaga Pantai Mutiara. Terdapat kapal speedboat khusus di pier R1 Pantai Mutiara yang membawa penumpang kesana. Letaknya 60 â€“ 70 km dari Pantai Mutiara memang lumayan jauh. Namun perjalanan anda terbayar lunas begitu sampai di Pulau Pelangi._x000D_
</t>
  </si>
  <si>
    <t>Pasar Seni</t>
  </si>
  <si>
    <t>Pasar Seni merupakan Pusat kerajinan dan kesenian yang menjadi wadah bagi seniman berbakat untuk menyalurkan kerajinan seni yang mereka miliki. Seniman dapat bertemu dengan para kolektor seni dan pengusaha untuk saling berbagi informasi dan memasarkan produk yang dimiliki. Didirikan awal tahun 1977, dengan peletakan batu pertama oleh Bang Ali Sadikin, Gubernur pertama DKI Jakarta, tepatnya pada bulan Juli 1977. Dan diresmikan oleh Gubernur H. Tjokropanolo pada tanggal 17 Desember 1977. Sejak diresmikan Pasar Seni, mendapat sambutan positif bagi pada pecinta seni yang ada.</t>
  </si>
  <si>
    <t>Pusat Perbelanjaan</t>
  </si>
  <si>
    <t>Jembatan Kota Intan</t>
  </si>
  <si>
    <t>Jembatan Kota Intan adalah jembatan tertua di Indonesia yang dibangun pada tahun 1628 oleh pemerintah Vereenigde Oostindische Compagnie atau VOC, atau masyarakat kita lebih familiar dengan sebutan Kumpeni. Jembatan itu kini terletak di Kali Besar kawasan Kota Tua wilayah Jakarta Barat dan berada di bawah pengelolaan Dinas Pariwisata dan Kebudayaan Provinsi DKI Jakarta.</t>
  </si>
  <si>
    <t>Museum Fatahillah</t>
  </si>
  <si>
    <t>Museum Fatahillah memiliki nama resmi Museum Sejarah Jakarta adalah sebuah museum yang terletak di Jalan Taman Fatahillah No. 1, Jakarta Barat dengan luas lebih dari 1.300 meter persegi.\nBangunan ini dahulu merupakan balai kota Batavia (bahasa Belanda: Stadhuis van Batavia) yang dibangun pada tahun 1707-1710 atas perintah Gubernur-Jendral Joan van Hoorn. Bangunan ini menyerupai Istana Dam di Amsterdam, terdiri atas bangunan utama dengan dua sayap di bagian timur dan barat serta bangunan sanding yang digunakan sebagai kantor, ruang pengadilan, dan ruang-ruang bawah tanah yang dipakai sebagai penjara. Pada tanggal 30 Maret 1974, bangunan ini kemudian diresmikan oleh bapak Ali Sadikin sebagai Museum Sejarah Jakarta.</t>
  </si>
  <si>
    <t>Museum Bank Indonesia</t>
  </si>
  <si>
    <t>Museum Bank Indonesia adalah sebuah museum di Jakarta, Indonesia yang terletak di Jl. Pintu Besar Utara No.3, Jakarta Barat (depan stasiun Beos Kota), dengan menempati area bekas gedung Bank Indonesia Kota yang merupakan cagar budaya peninggalan De Javasche Bank yang beraliran neo-klasikal, dipadu dengan pengaruh lokal, dan dibangun pertama kali pada tahun 1828.\nPada tahun 1625, di tempat ini pernah dibangun sebuah gereja sederhana untuk umat Protestan. Pada tahun 1628, gereja ini dibongkar karena digunakan untuk tempat meriam besar ketika puluhan ribu tentara Sultan Agung menyerang Batavia untuk pertama kali.Museum ini menyajikan informasi peran Bank Indonesia dalam perjalanan sejarah bangsa yang dimulai sejak sebelum kedatangan bangsa barat di Nusantara hingga terbentuknya Bank Indonesia pada tahun 1953 dan kebijakan-kebijakan Bank Indonesia, meliputi pula latar belakang dan dampak kebijakan Bank Indonesia bagi masyarakat sampai dengan tahun 2005. Penyajiannya dikemas sedemikian rupa dengan memanfaatkan teknologi modern dan multi media, seperti display elektronik, panel statik, televisi plasma, dan diorama sehingga menciptakan kenyamanan pengunjung dalam menikmati Museum Bank Indonesia. Selain itu terdapat pula fakta dan koleksi benda bersejarah pada masa sebelum terbentuknya Bank Indonesia, seperti pada masa kerajaan-kerajaan Nusantara, antara lain berupa koleksi uang numismatik yang ditampilkan juga secara menarik.\nPeresmian Museum Bank Indonesia dilakukan melalui dua tahap, yaitu peresmian tahap I dan mulai dibuka untuk masyarakat (soft opening) pada tanggal 15 Desember 2006 oleh Gubernur Bank Indonesia saat itu, Burhanuddin Abdullah, dan peresmian tahap II (grand opening) oleh Presiden RI Susilo Bambang Yudhoyono, pada tanggal 21 Juli 2009.\nMuseum Bank Indonesia buka setiap hari kecuali Senin dan hari libur nasional.</t>
  </si>
  <si>
    <t>Kidzania</t>
  </si>
  <si>
    <t>KidZania adalah sebuah waralaba swasta Meksiko berupa pusat hiburan keluarga yang saat ini beroperasi di 23 lokasi, yang memungkinkan anak-anak melakukan pekerjaan orang dewasa dan mendapat bayaran. KidZania telah dikunjungi oleh lebih dari 31 juta pengunjung di seluruh dunia sejak pembukaannya, menjadikannya salah satu merek hiburan global yang paling cepat berkembang di dunia.</t>
  </si>
  <si>
    <t>Museum Taman Prasasti</t>
  </si>
  <si>
    <t xml:space="preserve">Museum Taman Prasasti adalah sebuah museum cagar budaya peninggalan masa kolonial Belanda yang berada di Jalan Tanah Abang No. 1, Jakarta Pusat. Museum ini memiliki koleksi prasasti nisan kuno serta miniatur makam khas dari 27 provinsi di Indonesia, beserta koleksi kereta jenazah antik. Museum seluas 1,2 ha ini merupakan museum terbuka yang menampilkan karya seni dari masa lampau tentang kecanggihan para pematung, pemahat, kaligrafer dan sastrawan yang menyatu._x000D_
</t>
  </si>
  <si>
    <t>Museum Wayang</t>
  </si>
  <si>
    <t>Museum Wayang adalah sebuah museum yang berlokasi di Jalan Pintu Besar Utara Nomor 27, Jakarta Barat.</t>
  </si>
  <si>
    <t>Masjid Istiqlal</t>
  </si>
  <si>
    <t>Masjid Istiqlal (arti harfiah: Masjid Merdeka) adalah masjid nasional negara Republik Indonesia yang terletak di bekas Taman Wilhelmina, di Timur Laut Lapangan Medan Merdeka yang di tengahnya berdiri Monumen Nasional (Monas), di pusat ibukota Jakarta. Masjid ini merupakan salah satu dari 10 masjid terbesar kapasitasnya di dunia yang dapat menampung lebih dari 200.000 jamaah. Di seberang Timur masjid ini berdiri Gereja Katedral Jakarta. Ketua Harian Badan Pengelola Masjid Istiqlal (BPMI) sekaligus Imam Besar Masjid Istiqlal adalah Prof. Dr. Nasaruddin Umar, M.A. Pembangunan masjid ini diprakarsai oleh Presiden Republik Indonesia saat itu, Ir. Soekarno. Peletakan batu pertama sebagai tanda dimulainya pembangunan Masjid Istiqlal dilakukan oleh Ir. Soekarno pada tanggal 24 Agustus 1961. Arsitek Masjid Istiqlal adalah Frederich Silaban, seorang Nasrani.Masjid ini memiliki gaya arsitektur modern dengan dinding dan lantai berlapis marmer, dihiasi ornamen geometrik dari baja antikarat. Bangunan utama masjid ini terdiri dari lima lantai dan satu lantai dasar. Bangunan utama itu dimahkotai satu kubah besar berdiameter 45 meter yang ditopang 12 tiang besar. Menara tunggal setinggi total 96,66 meter menjulang di sudut Selatan selasar masjid. Masjid ini mampu menampung lebih dari 200.000 jamaah.Selain digunakan sebagai aktivitas ibadah umat Islam, masjid ini juga digunakan sebagai kantor berbagai organisasi Islam di Indonesia, aktivitas sosial, dan kegiatan umum. Masjid ini juga menjadi salah satu daya tarik wisata yang terkenal di Jakarta. Kebanyakan wisatawan yang berkunjung umumnya wisatawan domestik di samping sebagian wisatawan asing yang beragama Islam. Masyarakat non-Muslim juga dapat berkunjung ke masjid ini setelah sebelumnya mendapat pembekalan informasi mengenai Islam dan Masjid Istiqlal, meskipun bagian yang boleh dikunjungi kaum non-Muslim terbatas dan harus didampingi pemandu.\nPada tiap hari besar Islam seperti Ramadhan, Idul Fitri, Idul Adha, Tahun Baru Hijriyah, Maulid Nabi Muhammad serta Isra dan Mi'raj, Presiden Republik Indonesia selalu mengadakan kegiatan keagamaan di masjid ini yang disiarkan secara langsung melalui televisi nasional (TVRI) dan sebagian televisi swasta.</t>
  </si>
  <si>
    <t>Tempat Ibadah</t>
  </si>
  <si>
    <t>Gereja Katedral</t>
  </si>
  <si>
    <t>Gereja Katedral Jakarta, atau bernama resmi Gereja Santa Maria Diangkat Ke Surga (bahasa Jerman: De Kerk van Onze Lieve Vrouwe ten Hemelopneming; bahasa Inggris: The Church of Our Lady of the Assumption) adalah sebuah gereja di Jakarta. Gedung gereja ini diresmikan pada 1901 dan dibangun dengan arsitektur neo-gotik dari Eropa, yakni arsitektur yang sangat lazim digunakan untuk membangun gedung gereja beberapa abad yang lalu.</t>
  </si>
  <si>
    <t>Museum Nasional</t>
  </si>
  <si>
    <t>Museum Nasional Republik Indonesia atau Museum Gajah, adalah sebuah museum arkeologi, sejarah, etnografi, dan geografi yang terletak di Jakarta Pusat dan persisnya di Jalan Merdeka Barat 12. Museum ini merupakan museum pertama dan terbesar di Asia Tenggara.</t>
  </si>
  <si>
    <t>Pasar Tanah Abang</t>
  </si>
  <si>
    <t>Pasar Tanah Abang atau Pasar Sabtu dibangun oleh Yustinus Vinck pada 30 Agustus 1735. Yustinus Vinck mendirikan Pasar Tanah Abang Pasar atas izin dari Gubernur Jenderal Abraham Patramini. Izin yang diberikan saat itu untuk Pasar Tanah Abang adalah untuk berjualan tekstil serta barang kelontong dan hanya buka setiap hari Sabtu. Oleh karena itu, pasar ini disebut Pasar Sabtu. Pasar ini mampu menyaingi Pasar Senen (Welter Vreden) yang sudah lebih dulu maju.\nPada tahun 1740 terjadi Peristiwa Geger Pecinan, yaitu pembantaian orang-orang Tionghoa, perusakan harta benda, termasuk Pasar Tanah Abang diporakporandakan dan dibakar. Pada tahun 1881, Pasar Tanah Abang kembali dibangun dan yang tadinya dibuka pada hari Sabtu, ditambah hari Rabu, sehingga Pasar Tanah Abang dibuka 2 kali seminggu. Bangunan Pasar pada mulanya sangat sederhana,terdiri dari dinding bambu dan papan serta atap rumbia dari 229 papan dan 139 petak bambu. Pasar Tanah Abang terus mengalami perbaikan hingga akhir abad ke-19 dan bagian lantainya mulai dikeraskan dengan pondasi adukan. Pada tahun 1913, Pasar Tanah Abang kembali diperbaiki. Pada tahun 1926 pemerintah Batavia membongkar Pasar Tanah Abang dan diganti bangunan permanen berupa tiga los panjang dari tembok dan papan serta beratap genteng, dengan kantor pasarnya berada di atas bangunan pasar mirip kandang burung. Pelataran parkir di depan pasar menjadi tempat parkir kuda-kuda penarik delman dan gerobak. Di situ tersedia kobakan air yang cukup besar, dan di seberang jalan ada toko yang khusus menjual dedak makanan kuda. Beberapa puluh meter dari toko dedak ada sebuah gang yang dikenal sebagai Gang Madat, tempat lokalisasi para pemadat.\nPada zaman pendudukan Jepang, pasar ini hampir tidak berfungsi, dan menjadi tempat para gelandangan.\nPasar Tanah Abang semakin berkembang setelah dibangunnya Stasiun Tanah Abang. Di tempat tersebut mulai dibangun tempat-tempat seperti Masjid Al Makmur dan Klenteng Hok Tek Tjen Sien yang keduanya seusia dengan Pasar Tanah Abang. Pada tahun 1973, Pasar Tanah Abang diremajakan, diganti dengan 4 bangunan berlantai empat, dan sudah mengalami dua kali kebakaran, pertama tanggal 30 Desember 1978, Blok A di lantai tiga dan kedua menimpa Blok B tanggal 13 Agustus 1979. Pada tahun 1975 tercatat kiosnya ada 4.351 buah dengan 3.016 pedagang.</t>
  </si>
  <si>
    <t>Pecinan Glodok</t>
  </si>
  <si>
    <t>Kawasan Glodok yang dikenal sebagai pusat perdagangan elektronik sendiri dulunya merupakan bekas Penjara Glodok yang angker. Lokasi ini berada di seberang Glodok-Pancoran di kawasan Harco. Sebelum terjadi kerusuhan Mei 1998, kawasan ini sempat menjadi pusat belanja elektronik bagi wisatawan Jepang, Taiwan, dan Hongkong. Di Pinangsia, masyarakat bisa menemukan produk perlengkapan rumah tangga dan bangunan. Selain wisata belanja, pecinan Glodok-Pancoran juga merupakan situs sejarah awal mula Kota Jakarta. Setelah etnis Tionghoa bermukim dan membangun bisnis, serta perkebunan tebu, Batavia mulai berkembang pesat.</t>
  </si>
  <si>
    <t>Sea World</t>
  </si>
  <si>
    <t>Seaworld Indonesia adalah sebuah miniatur pesona laut yang terdapat dalam kompleks wisata pertama di Taman Impian Jaya Ancol.\nPada tanggal 2 Oktober 1992, Gubernur DKI masa itu, Wiyogo Atmodarminto meletakkan batu pertama pembangunan Seaworld Indonesia. Tidak sampai dua tahun, pada tanggal 3 Juni 1994 SeaWorld Indonesia sudah mulai beroperasi. Area Seaworld seluas 3 hektare dengan luas bangunan utama 4.500 m2 berisi berbagai macam akuarium, lorong Antasena (lorong bawah air), perpustakaan, museum, terapi ikan dokter, glow theatre, komputer edukatif layar sentuh berisi informasi berbagai spesies di Seaworld dan bermacam fasilitas pelengkap untuk pengunjung seperti tempat makan, toko suvenir, dan ruang serba guna.</t>
  </si>
  <si>
    <t>Wisata Agro Edukatif Istana Susu Cibugary</t>
  </si>
  <si>
    <t>Kawasan Wisata Agro Edukatif Istana Susu â€œCibugaryâ€ (Cibubur Garden Dairy ) merupakan suatu kawasan agro peternakan sapi perah bernuansa kebun dan taman. Wisata edukasi Cibubur Garden Dairy (CIBUGARY) merupakan salah wisata edukasi yang diminati siswa sekolah. Edukasi pengenalan peternakan sapi memberikan pengalaman yang tidak dapat dilupakan oleh siswa sekolah. Kegiatan edukasi yang tidak terlalu banyak dan menyenangkan ini sangat disukai siswa sekolah. Dengan berwisata edukasi ini dapat menambah ilmu dan pengalaman secara langsung bagi siswa sekolah. Paket wisata edukatif Istana Susu Cibugary dihargai antara Rp 35.000 sampai Rp 65.000 per orang. Harga tersebut sudah termasuk beberapa botol susu pasteurisasi dan goodybag cibugary.</t>
  </si>
  <si>
    <t>Wisata Kuliner Pecenongan</t>
  </si>
  <si>
    <t xml:space="preserve">Pecenongan merupakan salah satu surga kuliner di Jakarta Pusat yang dikenal sejak zaman Jakarta masih bernama kota Batavia. Dulunya di kawasan ini terdapat pedagang kaki lima yang menjajakan kuliner di pinggir jalan, tetapi tahun demi tahun kawasan Pecenongan semakin ramai dengan adanya rumah makan-rumah makan yang mulai dibangun. Kawasan pecenongan ini cocok bagi kalian yang ingin berwisata kuliner dimalam hari, beragam jenis kuliner yang pastinya membuat kamu kebingungan ingin mencoba yang mana terlebih dahulu. Tak heran jika orang yang sudah pernah mencoba pergi kulineran ke sini pasti akan kembali lagi._x000D_
</t>
  </si>
  <si>
    <t>Taman Menteng</t>
  </si>
  <si>
    <t xml:space="preserve">Taman Menteng adalah sebuah taman yang berlokasi di kawasan Menteng, Jakarta Pusat. Taman ini dulunya ditempati oleh Stadion Menteng.\nTaman ini berdiri di atas lahan seluas 2,9 hektar, dan memiliki koleksi 30 spesies tanaman yang berbeda. Taman Menteng juga memiliki beragam fasilitas pendukung seperti taman bermain untuk anak-anak serta lapangan futsal dan basket. Uniknya, di taman ini terdapat pula 44 sumur resapan untuk membantu penyerapan air hujan ke dalam tanah._x000D_
</t>
  </si>
  <si>
    <t>Wisata Alam Mangrove Angke</t>
  </si>
  <si>
    <t xml:space="preserve">Jangan anggap di Jakarta tidak ada wisata alam. Langsung meluncur ke Jakarta Utara, tepatnya di Kamal Muara Penjaringan atau Pantai Indah Kapuk. Di daerah ini terdapat area wisata alam yaitu Taman Wisata Mangrove Jakarta yang sekarang dan beberapa tahun belakangan tengah hits. Di kawasan ini terdapat tiga area, satu berupa Suaka Margasatwa Muara Angke yang tertutup untuk umum, Hutan Mangrove milik Pemprov DKI tetapi kurang begitu menarik untuk wisata. Selanjutnya Taman Wisata Alam Mangrove Angke yang memang merupakan area wisata berbasis konservasi mangrove._x000D_
</t>
  </si>
  <si>
    <t>Setu Babakan</t>
  </si>
  <si>
    <t>Setu Babakan atau Danau Babakan terletak di Srengseng Sawah, kecamatan Jagakarsa, Kotamadya Jakarta Selatan, Indonesia dekat Depok yang berfungsi sebagai pusat Perkampungan Budaya Betawi, suatu area yang diperuntukkan untuk pelestarian warisan budaya Jakarta, yaitu budaya asli Betawi.\nPerkampungan budaya Betawi ini didirikan pada tanggal 18 Agustus 2000 melalui Surat Keputusan Gubernur DKI Nomor 92 tahun 2000 yang dikeluarkan oleh Gubernur DKI Jakarta pada waktu itu yaitu Sutiyoso\nSitu Babakan merupakan danau buatan dengan area 30 hektare (79 akre) dengan kedalaman 1-5 meter dimana airnya berasal dari Sungai Ciliwung dan saat ini digunakan sebagai tempat wisata alternatif, bagi warga dan para pengunjung.\nTaman disekitarnya ditanami dengan beragam pohon buah-buahan yaitu Mangga, Palem, Melinjo, Rambutan, Jambu, Pandan, Kecapi, Jamblang, Krendang, Guni, Nangka Cimpedak, Nam-nam, dan Jengkol.\nBanyak kuliner khas Betawi terdapat disini, antara lain Kerak Telor, Toge Goreng, Arum Manis, Rujak Bebek, Soto Betawi, Es Potong, Es Duren, Bir Pletok, Nasi Uduk, Nasi Ulam, Lontong Sayur, dll.\nWisata budaya yang disajikan antara laim rumah-rumah khas Betawi yang dibagi menjadi 3 macam, pertama rumah Betawi gudang atau kandang, kedua rumah Betawi Kebaya atau Bapang, dan yang ketiga adalah rumah Joglo, hampir serupa dengan rumah khas Yogyakarta.\nKeseniannya berupa Lenong, Tari Topeng, Tanjidor, Marawis, Gambang Kromong, Tari Lenggang Nyai, dan Tari Narojeng.\nUpacara Adat yang ada di perkampungan Betawi Setu Babakan adalah Penganten Sunat, Pindah Rumah, Khatam Qur'an, dan Nujuh Bulan.\nMayoritas penduduk di Setu Babakan adalah Betawi, dengan program dari pemda DKI untuk memperbaiki sarana dan prasarana yang ada untuk mengakomodasi kebutuhan ruang terbuka hijau, serta area untuk resapan air, setu babakan berbenah diri dengan dukungan penuh dari pemda DKI\nFungsi dari Setu ini bukan hanya untuk tempat melestarikan kebudayaan betawi yang makin tergerus oleh zaman, tetapi digunakan juga sebagai tempat alternatif rekreasi yang berlokasi di selatan jakarta. selain fungsi utamanya sebagai penampung air resapan untuk selatan jakarta,</t>
  </si>
  <si>
    <t>Taman Suropati</t>
  </si>
  <si>
    <t>Taman Suropati (awalnya bernama Burgemeester Bisschopplein) adalah nama sebuah taman di Jakarta. Pada awalnya nama taman ini diambil dari nama wali kota Batavia pertama, G.J. Bisshop (1916â€“1920). Taman ini merupakan pusat kawasan Menteng, berada tepat di antara pertemuan tiga jalan utama, yaitu Menteng Boulevard (Jalan Teuku Umar), Orange Boulevard (Jalan Diponegoro), dan Nassau Boulevard (Jalan Imam Bonjol). Lapangan yang kini disebut sebagai Taman Suropati ini sejak tahun 1920 sudah menggantikan lapangan bundar yang luas dalam Rencana Moojen. Taman Suropati, yang disebut-sebut sebagai titik nol Republik Indonesia, menjadi taman yang rindang dan sejak beberapa tahun yang lalu dihiasi dengan patung-patung karya pematung dari negara-negara pendiri Perhimpunan Bangsa-Bangsa Asia Tenggara.</t>
  </si>
  <si>
    <t>Pasar Taman Puring</t>
  </si>
  <si>
    <t>Taman Puring bukanlah taman secara harfiah. Sejak eksis di tahun 1960 silam, Taman Puring adalah sebuah pasar. Selama bertahun-tahun, pasar ini sempat menjadi pasar gelap alias pasar barang-barang ilegal. Antara tahun 1980-1990an, pasar ini makin dijauhi masyarakat karena menjadi sentra barang-barang hasil tindakan kriminal. Sejak terbakar pada 2002, Pasar Taman Puring perlahan berbenah diri hingga sekarang menjadi destinasi belanja akhir pekan favorit warga Jakarta. Ada ratusan kios sepatu pria mulai dari sepatu kulit, sepatu gunung, sepatu futsal, hingga sepatu gaul khas anak muda. Beragam merk mulai dari Adidas, Caterpillar, Nike, Karrimor, Vans, hingga Converse tersedia dalam berbagai model dan warna.</t>
  </si>
  <si>
    <t>Grand Indonesia Mall</t>
  </si>
  <si>
    <t>Grand Indonesia merupakan mal di Jakarta. Mal ini dibuka pada tahun 2007 oleh Presiden Susilo Bambang Yudhoyono. Pada tahun 2007, Hotel Indonesia mengalami pemugaran. Selanjutnya setelah dibuka kembali, hotel dikelola oleh grup Kempinski dan namanya diganti menjadi Hotel Indonesia-Kempinski.</t>
  </si>
  <si>
    <t>Skyrink - Mall Taman Anggrek</t>
  </si>
  <si>
    <t>Salah satu arena ice skating Jakarta adalah Ice Skating Taman Anggrek. Area ice skating di Taman Anggrek dibuat seluas 1.248 meter persegi. Ice Skating Termegah Di Indonesia adalaH di Taman Anggrek. Tidak hanya termegah di Indonesia tetapi juga termegah di Asia.Maka dari itu tidak mengherankan bahwa banyak sekali pengunjung yang datang.</t>
  </si>
  <si>
    <t>Bumi Perkemahan Cibubur</t>
  </si>
  <si>
    <t xml:space="preserve">Bumi Perkemahan dan Graha Wisata Pramuka Cibubur (Buperta Cibubur) adalah kawasan perkemahan yang terdapat di Cibubur, Ciracas, Jakarta Timur. Kawasan ini memiliki luas 210 hektar dan sudah berkali-kali menjadi lokasi pelaksanaan Jambore Nasional sejak tahun 1973. Buperta Cibubur dibangun di kawasan yang sebelumnya merupakan hutan karet. Pihak pengelola juga bekerja sama dengan TNI AD dan TNI AU dalam pengelolaan Buperta Cibubur.Buperta Cibubur dapat diakses dari Terminal Kampung Rambutan dengan angkutan umum jurusan Kranggan atau Mekarsari Jonggol,_x000D_
</t>
  </si>
  <si>
    <t>Istana Negara Republik Indonesia</t>
  </si>
  <si>
    <t>Istana Negara merupakan pusat kegiatan pemerintahan negara. Banyak kegiatan-kegiatan bersifat kenegaraan digelar di Istana Negara. Seperti kegiatan pelantikan pejabat-pejabat penting negara, maupun pembukaan kongres bersifat nasional dan internasional. Istana Negara fungsinya lebih difokuskan kepada kegiatan resmi kepresidenan, yaitu sebagai kantor Presiden Republik Indonesia. Dilansir situs Sekretaris Negara (Sesneg), Istana Negara awalnya sebagai kediaman pribadi warga Belanda, J.A Van Braam.</t>
  </si>
  <si>
    <t>Museum Macan (Modern and Contemporary Art in Nusantara)</t>
  </si>
  <si>
    <t>Museum Seni Modern dan Kontemporer di Nusantara atau Museum MACAN adalah sebuah museum seni di Kebon Jeruk di Jakarta, Indonesia. Museum ini merupakan yang pertama di Indonesia yang memiliki koleksi seni modern dan kontemporer Indonesia dan internasional.</t>
  </si>
  <si>
    <t>Galeri Nasional Indonesia</t>
  </si>
  <si>
    <t xml:space="preserve">Galeri Nasional Indonesia (bahasa Inggris: National Gallery of Indonesia) adalah sebuah lembaga budaya negara atau sebagai museum seni rupa modern dan kontemporer. Di sini terdapat gedung yang berfungsi antara lain sebagai tempat pameran, dan perhelatan seni rupa Indonesia dan mancanegara. Gedung ini merupakan institusi milik pemerintah di bawah Menteri Pendidikan dan Kebudayaan. Fungsi Galeri Nasional Indonesia adalah melaksanakan pengkajian, pengumpulan, registrasi, perawatan, pengamanan, pameran, kemitraan, layanan edukasi dan publikasi karya seni rupa. Lalu fungsi utamanya adalah melindungi, pengembangan, dan pemanfaatan asset kesenian (seni rupa) sebagai fasilitas pendidikan dan kebudayaan. Galeri Nasional beralamat di Jalan Medan Merdeka Timur No. 14 Jakarta Pusat._x000D_
</t>
  </si>
  <si>
    <t>Museum Bahari Jakarta</t>
  </si>
  <si>
    <t>Museum Bahari adalah museum yang menyimpan koleksi yang berhubungan dengan kebaharian dan kenelayanan bangsa Indonesia dari Sabang hingga Merauke yang berlokasi di seberang Pelabuhan Sunda Kelapa. Museum adalah salah satu dari delapan museum yang berada di bawah pengawasan dari Dinas Kebudayaan Permuseuman Provinsi Daerah Khusus Ibu kota Jakarta.</t>
  </si>
  <si>
    <t>Museum Seni Rupa dan Kramik</t>
  </si>
  <si>
    <t>Museum Seni Rupa dan Keramik (Indonesia: Museum Seni Rupa dan Keramik) adalah sebuah museum di Jakarta, Indonesia. Museum ini didedikasikan khusus untuk menampilkan seni rupa tradisional dan keramik Indonesia. Museum ini terletak di sisi timur Lapangan Fatahillah, dekat Museum Sejarah Jakarta dan Museum Wayang.</t>
  </si>
  <si>
    <t>The Escape Hunt</t>
  </si>
  <si>
    <t>Escape Hunt adalah salah satu tempat rekreasi yang lokasinya terletak di Jakarta Selatan. Di tempat ini, kamu akan berperan sebagai seorang detektif yang berada di sebuah ruangan terkunci dan hanya diberikan waktu 1 jam untuk memecahkan teka-teki yang ada. Tidak perlu khawatir atau takut sendirian, karena di sini kamu bisa mengajak hingga 4 temanmu dalam satu ruangan yang sama dan memecahkan kasus bersama-sama. Menarik sekali, bukan? Pertama kali datang di tempat ini, kamu akan dituntun untuk mengisi data di formulir yang telah disediakan dan diberikan briefing oleh pemandu game mengenai jalan cerita tema/kasus yang sudah kamu tentukan.</t>
  </si>
  <si>
    <t>Monumen Selamat Datang</t>
  </si>
  <si>
    <t xml:space="preserve">Monumen Selamat Datang adalah sebuah monumen yang terletak di tengah Bundaran Hotel Indonesia, Jakarta, Indonesia. Monumen ini berupa patung sepasang manusia yang sedang menggenggam bunga dan melambaikan tangan. Patung tersebut menghadap ke utara yang berarti mereka menyambut orang-orang yang datang dari arah Monumen Nasional._x000D_
</t>
  </si>
  <si>
    <t>Jakarta Aquarium dan Safari</t>
  </si>
  <si>
    <t>Jika telah mengunjungi Seaworld Ancol, mungkin sudah tidak asing lagi dengan serunya menyaksikan biota laut. Jika belum puas, pengunjung dapat mencoba mengunjungi wisata satwa laut unik di Jakarta Aquarium. Jakarta Aquarium menempati areal seluas Â±7000 m2 ini menawarkan atraksi wisata laut modern yang tidak hanya menghibur, juga edukatif. Meskipun tidak seluas SeaWorld Ancol, taman rekreasi ini juga menawarkan wahana dan atraksi yang tak kalah menariknya.</t>
  </si>
  <si>
    <t>Pulau Semak Daun</t>
  </si>
  <si>
    <t>Pulau Semak Daun merupakan salah satu pulau yang terletak digugusan kepulauan Seribu. Secara administratif pulau ini termasuk dalam wilayah kabupaten Kepulauan Seribu provinsi DKI Jakarta sebagai daerah penangkaran penyu sisik dengan pantai yang nyaman untuk berenang karena pantainya yang bersih dan landai, berpasir putih, dan bebas bulu babi, terdapat pula daerah yang bagus untuk menyelam dan snorkeling pemula dan letaknya tidak jauh dari pulau Pramuka.</t>
  </si>
  <si>
    <t>Taman Situ Lembang</t>
  </si>
  <si>
    <t>Taman Situ Lembang adalah sebuah taman kota yang terletak di pusat Jakarta. Situ berarti danau yang payau, sedangkan Lembang adalah nama jalan yang berada di dekat taman tersebut..\nTaman ini merupakan salah satu taman tertua di Jakarta dan memiliki danau kecil yang airnya berasal dari sumber air alam. Di taman ini terletak fasilitas arena pemancingan, trek lari, dan arena permainan anak. Taman Situ Lembang dikelilingi oleh rumah-rumah di kawasan elite Menteng</t>
  </si>
  <si>
    <t>Taman Ismail Marzuki</t>
  </si>
  <si>
    <t>Pusat Kesenian Jakarta Taman Ismail Marzuki yang populer disebut Taman Ismail Marzuki (TIM) merupakan sebuah pusat kesenian dan kebudayaan yang berlokasi di jalan Cikini Raya 73, Jakarta Pusat. Di sini terletak Institut Kesenian Jakarta dan Planetarium Jakarta. Selain itu, TIM juga memiliki enam teater modern, balai pameran, galeri, gedung arsip, dan bioskop. Acara-acara seni dan budaya dipertunjukkan secara rutin di pusat kesenian ini, termasuk pementasan drama, tari, wayang, musik, pembacaan puisi, pameran lukisan dan pertunjukan film. Berbagai jenis kesenian tradisional dan kontemporer, baik yang merupakan tradisi asli Indonesia maupun dari luar negeri juga dapat ditemukan di tempat ini. Nama pusat kesenian ini berasal dari nama pencipta lagu terkenal Indonesia, Ismail Marzuki.</t>
  </si>
  <si>
    <t>Galeri Indonesia Kaya</t>
  </si>
  <si>
    <t>Galeri Indonesia Kaya (disingkat GIK) adalah ruang publik yang memadukan konsep edukasi dan digital dengan tujuan untuk memperkenalkan dan mengapresiasi seni-budaya Indonesia khususnya kepada generasi muda, yang bertempat di Grand Indonesia, Jakarta, Indonesia. Galeri Indonesia Kaya digagas dan dibangun untuk menjadi ruang edutainment budaya berbasis teknologi digital yang dapat mendekatkan dan menyalurkan kreativitas berekspresi generasi muda dalam lingkup tradisi budaya nusantara. Tempat ini memiliki auditorium yang dapat digunakan untuk masyarakat yang membutuhkan tempat berkarya.</t>
  </si>
  <si>
    <t>Museum Joang 45</t>
  </si>
  <si>
    <t>Gedung Joang '45 atau Museum Joang 45 adalah salah satu museum yang berada di Jakarta. Saat ini pengelolaannya dilaksanakan oleh Dinas Pariwisata dan Kebudayaan Provinsi DKI Jakarta. Museum ini terletak di Jalan Menteng Raya 31, Kelurahan Kebon Sirih, Kecamatan Menteng, Jakarta Pusat. Museum ini diresmikan pada tahun 1974 oleh Presiden Soeharto, setelah dilakukan renovasi.</t>
  </si>
  <si>
    <t>Jakarta Planetarium</t>
  </si>
  <si>
    <t>Planetarium dan Observatorium Jakarta adalah satu dari tiga wahana simulasi langit di Indonesia selain di Kutai, Kalimantan Timur, dan Surabaya, Jawa Timur. Planetarium tertua ini letaknya di Taman Ismail Marzuki, Jakarta. Planetarium Jakarta merupakan sarana wisata pendidikan yang dapat menyajikan pertunjukan / peragaan simulasi perbintangan atau benda-benda langit. Pengunjung diajak mengembara di jagat raya untuk memahami konsepsi tentang alam semesta melalui acara demi acara. Planetarium Jakarta berdiri tahun 1964 diprakarsai Presiden Soekarno dan diserahkan ke Pemerintah Provinsi DKI Jakarta pada 1969. Di tempat ini juga tersedia ruang pameran benda- benda angkasa yang menyuguhkan berbagai foto serta keterangan lengkap dari berbagai bentuk galaksi, teori-teori pembentukan galaksi disertai pengenalan tokoh-tokoh di balik munculnya teori.</t>
  </si>
  <si>
    <t>Kampung Cina</t>
  </si>
  <si>
    <t xml:space="preserve">KAMPUNG China adalah hunian dan kawasan perdagangan di Cibubur, Jakarta Timur. Wilayah ini berdiri berkat kerja sama antara Pemerintah Kota Jakarta Timur dengan perusahaan asing untuk menyulap area 300 hektare kawasan wisata Cibubur menjadi kota wisata, mandiri dan town center. Mengutip buku Ensiklopedia Jakarta, kampung itu mulai beroperasi pada tanggal 14 September 2002. Bangunan, nuansa alam, sampai pernak-pernik yang dijual masih berbau kesenian China. Semua produk yang dijajahkan pun berasal dari negeri tirai bambu tersebut. Wilayah itu akan menjadi tujuan wisata pada setiap perayaan hari raya Imlek._x000D_
</t>
  </si>
  <si>
    <t>Rumah Sipitung</t>
  </si>
  <si>
    <t>Rumah Si Pitung di Marunda, Jakarta Utara, Indonesia, merupakan satu dari sedikit rumah panggung Betawi yang tersisa. Rumah panggung ini merupakan representasi hunian panggung masyarakat Betawi yang tinggal di wilayah-wilayah Pesisir. Rumah ini menjadi museum dan masuk dalam cagar budaya. Tidak diketahui kapan persisnya Rumah Si Pitung didirikan. Diperkirakan bangunan tersebut dibangun pada abad ke-20. Rumah panggung yang sering juga disebut Rumah Tinggi Marunda ini mirip dengan rumah tradisional Suku Bugis. Rumah ini tadinya milik Haji Saipudin, seorang saudagar kaya bandar ikan asal Makassar (sumber lain mengatakan Haji Saipudin adalah juragan sero, atau konglomerat kapal). Haji Saipuddin diyakini merupakan sahabat erat Si Pitung. Pitung ditengarai hanya beberapa kali singgah di rumah itu (diperkirakan pada dasawarsa 1890-an). Singgahnya Si Pitung terakhir kali adalah dalam rangka bersembunyi dari kejaran tentara Belanda dengan tuduhan merampok. Pemerintah DKI Jakarta pertama kali memugar rumah panggung yang ditopang oleh 40 buah tiang itu pada tahun 1972. Sebelumnya pada tahun yang sama bangunan ini dibeli oleh Pemprov DKI Jakarta dari keturunan (ahli waris) H. Saipudin. Bangunan tersebut kini menjadi museum dan masuk dalam cagar budaya berdasarkan SK Gubernur No.475 tahun 1993 dan SK Menteri No.140/M/1998. Lembaga yang memberi nama rumah asli Betawi Pesisir ini sebagai rumah Si Pitung adalah Museum Nasional.</t>
  </si>
  <si>
    <t>Taman Agrowisata Cilangkap</t>
  </si>
  <si>
    <t>Taman seluas sekitar 19 hektar ini dimiliki oleh pemerintah Provinsi (Pemprov) DKI Jakarta yang dikelola oleh Dinas Pertanian dan Kehutanan DKI. Taman Wisata Agro Cilangkap ini terletak di Jalan Raya Cilangkap No.45, Jakarta Timur. Taman ini terasa begitu permai dengan tumbuhnya aneka jenis pepohonan rindang. Kesejukan udara yang jauh dari polusi asap kendaraan bermotor, juga dapat dinikmati di taman yang dijadikan alternatif destinasi wisata bagi warga berdomisili di sekitar kawasan tersebut. Taman Wisata Agro Cilangkap juga dilengkapi dengan beberapa fasilitas seperti arena olahraga, jogging track, arena bermain anak, serta bagi sobat Ayojakarta yang memiliki hobi memancing, di sekitar area taman memiliki danau yang biasanya dijadikan area untuk memancing.</t>
  </si>
  <si>
    <t>Klenteng Jin De Yuan</t>
  </si>
  <si>
    <t>Kelenteng Kim Tek Le, atau yang lebih dikenal dengan Kelenteng Jin De Yuan, sudah dibangun sejak 1650. Kelenteng yang disebut-sebut sebagai yang tertua di Jakarta ini didirikan oleh seorang Letnan Tionghoa, Kwee Hoen dan awalnya dinamakan Koan Im Teng. Jin De Yuan juga dikenal sebagai salah satu dari empat kelenteng besar yang dikelola oleh Kong Koan atau Dewan Tionghoa. Mereka adalah Kelenteng Goenoeng Sari, Kelenteng Toa Peh Kong, Kelenteng Jin De yuan sendiri, dan Kelenteng Hian Thian Shang di Tanah Tandjoeng yang kini sudah musnah.</t>
  </si>
  <si>
    <t>Pantai Ancol</t>
  </si>
  <si>
    <t>Pantai Ancol merupakan kawasan wisata yang merupakan destinasi wisata pantai dalam kota Jakarta. Wisatawan dapat menikmati suasana segar Pantai Lagoon, Festival, Indah, Beach Pool dan Carnaval, serta Danau Impian. Berlibur di alam terbuka dipercaya memiliki efek menenangkan dan menyenangkan. Panjang garis pantainya yang kurang lebih 6,5 km menjadi tempat berbagai aktivitas wisata. Wisata pantai ini merupakan BUMD penghasil Pendapatan Asli Daerah kedua terbesar bagi provinsi DKI Jakarta.</t>
  </si>
  <si>
    <t>Taman Lapangan Banteng</t>
  </si>
  <si>
    <t>Lapangan Banteng, dulu bernama Waterlooplein (bahasa Belanda: plein = lapangan) yaitu suatu lapangan yang terletak di Weltevreden, Batavia; tidak jauh dari Gereja Katedral Jakarta. Pada masa itu, Lapangan Banteng dikenal dengan sebutan Lapangan Singa[1] karena di tengahnya terpancang tugu peringatan kemenangan pertempuran di Waterloo, dengan patung singa di atasnya. Pertempuran Waterloo tersebut terjadi tanggal 18 Juni 1815 di dekat kota Waterloo, yaitu sekitar 15 km ke arah selatan dari ibu kota Belgia, Brussels. Pertempuran itu merupakan pertempuran terakhir Napoleon melawan pasukan gabungan Inggris-Belanda-Jerman. Pertempuran ini juga dicatat dalam sejarah sebagai penutup dari seratus hari sejak larinya Napoleon dari pengasingannya di pulau Elba. Sedangkan Tugu Singa tersebut didirikan pada zaman pemerintahan pendudukan tentara Jepang (1942-1945). Setelah Indonesia merdeka, namanya diganti menjadi Lapangan Banteng. Terdapat kemungkinan pada zaman dahulu tempat yang kini menjadi lapangan itu dihuni berbagai macam satwa liar seperti macan, kijang, dan banteng. Pada waktu J.P. Coen membangun kota Batavia di dekat muara Ciliwung, lapangan tersebut dan sekelilingnya masih berupa hutan belantara yang sebagian berpayaâ€“paya. Sebelah timur dijalan Lapangan banteng timur tedapat Kantor Satlantas Polres jakarta Pusat.</t>
  </si>
  <si>
    <t>Taman Ayodya</t>
  </si>
  <si>
    <t>Taman Ayodya, yang dulu bernama Taman Barito, adalah sebuah taman kota yang berada di Jakarta Selatan. Taman ini berlokasi di atas lahan seluas 7.500 m2, dilengkapi dengan kolam buatan seluas 1.500 m2 di tengahnya.\nTaman Ayodya juga dilengkapi dengan jalur pijakan, kursi, gazebo, pendopo, kamar mandi, serta trek jogging.. Di dekat taman ini terdapat hotel dan pasar seperti Hotel Gran Mahakam, Plaza Blok M, Pasar Burung Barito, Mal Kebayoran Baru, dan Pasar Taman Puring.\nTaman ini bersebelahan dengan Taman Langsat hanya dengan menyebrang jalan raya saja.</t>
  </si>
  <si>
    <t>Museum Sumpah Pemuda</t>
  </si>
  <si>
    <t xml:space="preserve">Museum Sumpah Pemuda adalah sebuah museum sejarah perjuangan kemerdekaan Republik Indonesia yang berada di Jalan Kramat Raya No. 106, Jakarta Pusat dan dikelola oleh Kementerian Pendidikan dan Kebudayaan Republik Indonesia. Museum ini dibuka untuk umum, setiap hari Selasa sampai dengan Jumat dari pukul 08.00 hingga 16.00 UTC+7, setiap Sabtu dan Minggu pada pukul 08.00â€”16.00 WIB, dan setiap hari Senin dan hari besar nasional, museum ini ditutup untuk umum.\nMuseum ini memiliki koleksi foto dan benda-benda yang berhubungan dengan sejarah Sumpah Pemuda 1928, serta kegiatan-kegiatan dalam pergerakan nasional kepemudaan Indonesia. Museum Sumpah Pemuda ini didirikan berdasarkan SK Gubernur DKI Jakarta pada tahun 1972 dan menjadi benda cagar budaya nasional._x000D_
</t>
  </si>
  <si>
    <t>Museum Tekstil</t>
  </si>
  <si>
    <t>Museum cinta Tekstil menempati gedung tua di Jalan K.S. Tubun / Kota Bambu Selatan No. 4 Kecamatan Palmerah, Jakarta Barat\n\nGedungnya sendiri pada mulanya adalah rumah pribadi seorang warga negara Prancis yang dibangun pada abad ke-19. Kemudian dibeli oleh konsul Turki bernama Abdul Azis Almussawi Al Kazimi yang menetap di Indonesia. Selanjutnya tahun 1942 dijual kepada Dr. Karel Christian Cruq.\nPada masa perjuangan kemerdekaan Indonesia, gedung ini menjadi markas Barisan Keamanan Rakyat (BKR) dan tahun 1947 didiami oleh Lie Sion Pin. Pada tahun 1952 dibeli oleh Departemen Sosial dan pada tanggal 25 Oktober 1975 diserahkan kepada Pemda DKI Jakarta yang untuk kemudian pada tanggal 28 Juni 1976 diresmikan penggunaannya oleh Ibu Tien Soeharto sebagai Museum Tekstil.</t>
  </si>
  <si>
    <t>Tugu Proklamasi</t>
  </si>
  <si>
    <t>Tugu Proklamasi adalah tugu peringatan proklamasi kemerdekaan Republik Indonesia yang berdiri di kompleks Taman Proklamasi di Jalan Proklamasi, Jakarta Pusat. Taman tersebut berlokasi di bekas kediaman Sukarno di Jalan Pegangsaan Timur 56. Rumah tersebut, telah dihancurkan, adalah lokasi pembacaan proklamasi kemerdekaan.Pada kompleks juga terdapat monumen dua patung Sukarno-Hatta berukuran besar yang berdiri berdampingan, mirip dengan dokumentasi foto ketika naskah proklamasi pertama kali dibacakan. Di tengah-tengah dua patung proklamator terdapat patung naskah proklamasi terbuat dari lempengan batu marmer hitam, dengan susunan dan bentuk tulisan mirip dengan naskah ketikan aslinya.</t>
  </si>
  <si>
    <t>Taman Legenda Keong Emas</t>
  </si>
  <si>
    <t>Taman Legenda Keong Emas merupakan salah satu tempat rekreasi favorit yang ada di kawasan Jakarta Timur. Berada di dalam lokasi Taman Mini Indonesia Indah atau TMII, Taman Legenda Keong Emas TMII juga telah menjadi ikon di dalam pusat sarana wisata terbesar di Indonesia ini. Selain sebagai sarana rekreasi untuk seluruh keluarga, Taman Legenda Keong Emas TMII juga mempunyai visi dan misi untuk mengedukasi masyarakat sekaligus melestarikan warisan kebudayaan Indonesia, salah satunya melalui legenda cerita rakyat.</t>
  </si>
  <si>
    <t>Museum Kebangkitan Nasional</t>
  </si>
  <si>
    <t>Museum Kebangkitan Nasional (bahasa Inggris: Museum of National Awakening) adalah sebuah gedung yang dibangun sebagai monumen tempat lahir dan berkembangnya kesadaran nasional dan juga ditemukannya organisasi pergerakan modern pertama kali dengan nama Boedi Oetomo. Sebelum menjadi museum, bangunan ini dahulunya adalah sekolah kedokteran yang didirikan oleh Belanda dengan nama School tot Opleiding van Inlandsche Artsen disingkat STOVIA atau Sekolah Dokter Bumiputra. Dalam perjalanannya, gedung tersebut selalu beralih fungsi. Lokasi museum ini tidak jauh dari Pasar Senen, tepatnya di Jalan Abdurrahman Saleh No.26, sebelum RSPAD Gatot Subroto, Jakarta Pusat.</t>
  </si>
  <si>
    <t>Museum Sasmita Loka Ahmad Yani</t>
  </si>
  <si>
    <t>Museum Sasmita Loka Ahmad Yani adalah salah satu museum pahlawan nasional yang terletak di jalan Lembang No. 58 dan jalan Laruharhari No. 65, Jakarta Pusat, DKI Jakarta, Indonesia. Museum ini terbuka untuk umum dari hari Selasa hingga hari Minggu, dari pukul 08:00 hingga pukul 14:00 WIB. Setiap hari Senin museum ini ditutup untuk umum.</t>
  </si>
  <si>
    <t>Museum Basoeki Abdullah</t>
  </si>
  <si>
    <t xml:space="preserve">Museum Basoeki Abdullah berisi lukisan dan koleksi pribadi Basoeki Abdullah seperti patung, topeng, wayang dan senjata. Museum yang terletak di Jakarta Selatan ini dikelola oleh Kementerian Pendidikan dan Kebudayaan. Selain digunakan untuk pameran, museum ini juga digunakan untuk menggelar seminar, penelitian, lokakarya serta menerbitkan bermacam bentuk publikasi berupa katalog, biografi, kumpulan artikel dan hasil penelitian._x000D_
</t>
  </si>
  <si>
    <t>Museum Layang-layang</t>
  </si>
  <si>
    <t>Museum Layang-Layang adalah sebuah museum yang terletak di Jl. H. Kamang No. 38, Pondok Labu, Jakarta Selatan. Museum ini merupakan museum layang-layang pertama di Indonesia. Jumlah koleksi layang-layang di museum ini berjumlah 600, tetapi jumlah tersebut terus bertambah seiring datangnya koleksi-koleksi baru dari para pelayang daerah dan luar negeri maupun layang-layang yang dibuat sendiri oleh karyawan museum. Museum Layang-Layang buka setiap hari mulai pukul 09.00-16.00 WIB. Hari libur nasional Museum Layang-layang tutup.</t>
  </si>
  <si>
    <t>Margasatwa Muara Angke</t>
  </si>
  <si>
    <t>Suaka margasatwa Muara Angke adalah sebuah kawasan konservasi berdasarkan SK Menteri Kehutanan RI Nomor: 097/Kpts-II/1988, 29 Februari 1998 di wilayah hutan bakau di pesisir utara Jakarta. Secara administratif, kawasan ini termasuk wilayah Kelurahan Kapuk Muara, Kecamatan Penjaringan, Kotamadya Jakarta Utara.</t>
  </si>
  <si>
    <t>Pasar Petak Sembilan</t>
  </si>
  <si>
    <t>Pecinan Glodok, tepatnya di Pasar Petak Sembilan, Jakarta Barat merupakan salah satu tempat yang menjual berbagai macam kuliner khas China. Kawasan yang sebagaian besar dihuni oleh orang Tionghoa ini terkenal dengan kuliner khas China yang banyak dijajakan oleh para warga. Mulai dari kue keranjang, kue dodol, hingga kue lapis banyak dijajakan di sini. Dengan harga mulai dari Rp 30 ribu hingga Rp 100 ribu, ketiga jenis kue ini menjadi kue yang paling sering dibeli untuk melengkapi perayaan Imlek. Menurut sumber dari penjual, mereka mengaku bahwa kue yang dijajakan didatangkan langsung dari berbagai daerah. Karena berasal dari wilayah yang berbeda, kue-kue ini memilliki ciri khas tersendiri.</t>
  </si>
  <si>
    <t>Freedom Library</t>
  </si>
  <si>
    <t xml:space="preserve">Freedom Library adalah perpustakaan buku yang dibuka umum. Memiliki puluhan ribu koleksi buku yang disusun di rak dan sesuai dengan tema, sehingga mempermudah untuk mencari buku yang diinginkan. Dengan desain ruangan yang modern serta suasana yang tenang membuat pembaca akan betah berlama-lama disini.  Cukup dengan mendaftar menjadi member terlebih dahulu dan tidak dikenakan biaya (Gratis) kalian bisa membaca buku diperpustakaan ini._x000D_
</t>
  </si>
  <si>
    <t>Perpustakaan Nasional</t>
  </si>
  <si>
    <t>Perpustakaan Nasional adalah perpustakaan yang secara khusus didirikan oleh Pemerintah Negara demi menyimpan informasi negara tersebut. Berbeda dengan perpustakaan umum, sangatlah jarang khalayak ramai diperbolehkan meminjam buku. Seringkali sebuah perpustakaan nasional menyimpan koleksi langka dan bersejarah.\nBeberapa perpustakaan awal bisa disebut perpustakaan nasional, seperti Perpustakaan Alexandria yang merupakan Perpustakaan Mesir Kuno. Perpustakaan nasional sering kali berukuran sangat besar dan luas apalagi jika diperbandingkan dengan perpustakaan biasa lainnya di negaranya. Beberapa negara yang tidak independen, tetapi tetap berkeinginan melestarikan budaya khusus mereka umumnya mendirikan sebuah perpustakaan nasional dengan segala atribut kelembagaan tersebut deposito hukum.\nBanyak perpustakaan nasional yang bekerja sama dengan Federasi Internasional dari Asosiasi dan Institusi Perpustakaan (bahasa Inggris: International Federation of Library Associations and Institutions (IFLA)) guna membagas tugas umum, menetapkan, dan mempromosikan standar umum serta pelaksanaan proyek untuk membantu memenuhi tugas mereka. Perpustakaan nasional di Eropa berpartisipasi dalam Perpustakaan Eropa. Ini merupakan pelayanan dari Konferensi Pustakawan Nasional Eropa (bahasa Inggris: Conference of European National Librarians (CENL)).\nSalah satu rencana pertama dari sebuah perpustakaan nasional yang dirancang oleh matematikawan, John Dee, pada tahun 1556 yang diperlihatkan pada Mary I dari Inggris dengan rencana yang visioner untuk pelestarian buku-buku lama, manuskrip, dan catatan dan pendirian perpustakaan nasional, tetapi proposal tersebut tidak disetujui.</t>
  </si>
  <si>
    <t>Cibubur Garden Diary (Cibugary)</t>
  </si>
  <si>
    <t>Cibubur Garden Dairy atau biasa dikenal degan sebutan Cibugary merupakan sebuah perternakan sapi perah dan peternakan kambing yang memiliki nuansa kebun dikawasan Cibubur, sang empunya Bapak Rachmat Baghory mempunyai inisiatif untuk menjadikan tempat tersebut sebagai wisata agro edukatif terutama untuk anak-anak.</t>
  </si>
  <si>
    <t>Waterboom PIK (Pantai Indah Kapuk)</t>
  </si>
  <si>
    <t>Waterbom Jakarta merupakan sebuah wahana permainan air yang cukup populer di kawasan Pantai Indah Kapuk (PIK), Jakarta Utara. Harga tiket masuk Waterboom PIK tidak terlalu menguras kantong, hanya Rp 100 ribu per orang saat weekday atau Rp 200 ribu saat weekend. Waterboom PIK menjadi objek wisata favorit saat liburan karena menawarkan fasilitas memadai dan memiliki wahana permainan air yang terbilang lengkap.</t>
  </si>
  <si>
    <t>Museum Perangko</t>
  </si>
  <si>
    <t>Museum perangko dibangun dengan bentuk bangunan bergaya Jawa Bali di atas lahan seluas 9.590 m2 dan diresmikan oleh Presiden Soeharto pada tanggal 29 September 1983. Museum ini memamerkan koleksi perangko asal Indonesia dan luar negeri. Adapula sepeda pos antik merk Falter buatan Jerman Barat tahun 1950 diletakkan di serambi museum. Halaman depan ada bola dunia dengan merpati yang membawa sebuah surat yang melambangkan bahwa tugas Perum Pos dan Giro menjangkau seluruh dunia.</t>
  </si>
  <si>
    <t>Museum Tengah Kebun</t>
  </si>
  <si>
    <t>Museum di Tengah Kebun adalah sebuah museum penyimpanan Â± 4.000 koleksi seni dan sejarah Indonesia dan luar negeri yang berlokasi di daerah Kemang, Jakarta Selatan. Museum ini dibangun di tengah kebun seluas 3.500 m2. Museum ini dimiliki secara pribadi oleh Sjahrial Djalil, salah satu tokoh periklanan modern Indonesia dan pendiri biro iklan Ad Force Inc. Pada tahun 2013, museum ini terpilih sebagai Museum Swasta Terbaik di Museum Awards dengan koleksi dari 63 negara dan 26 provinsi di Indonesia.[2] Hal yang membuat museum ini berbeda dari museum lainnya adalah penataan sebanyak 2.414 koleksi yang dipamerkan kepada pengunjung diletakkan tidak beraturan di berbagai sudut ruangan, seperti lantai, tangah taman, toilet, dinding luar rumah, dan lain sebagainya.</t>
  </si>
  <si>
    <t>SnowBay Waterpark</t>
  </si>
  <si>
    <t>Waterpark yang menghadirkan wahana imajinatif berkonsep pegunungan bersalju. Tidak ketinggalan dengan atraksi air terbaik yang sangat menyenangkan. Dengan luas sekitar 3 hektar, tempat wisata ini menyediakan wahana â€“ wahana permainan air terbaik. Tak salah jika water park ini diminati dan dipadati oleh pengunjung terutama saat musim liburan datang. Pengunjung dapat menikmati keseruan berbagai atraksi air dengan pemandangan artistik yang menutupi 70% kawasan dengan salju. Pengunjung dapat merasakan rasa lelah dan penat berkurang hanya dengan menyaksikan suasana salju eksotik ini. Pengunjung akan disambut dengan rekreasi air berkelas dunia dengan konsep petualangan yang akan membuat terkesima. Menyuguhkan berbagai aktivitas seru yang dapat dinikmati oleh seluruh keluarga dari segala umur. Tidak hanya permainan air, terdapat juga wahana yang menantang adrenalin, cocok bagi yang ingin melepas stres.</t>
  </si>
  <si>
    <t>Taman Cattleya</t>
  </si>
  <si>
    <t>Kehadiran Taman Cattleya tentu saja sangat bermanfaat bagi masyarakat Ibu Kota, ditengah situasi penatnya kemacetan, tumpukkan pekerjaan, serta polusi yang menjadi ancaman bagi kota-kota besar. Lokasi Taman Cattleya sangat strategis bagi mereka anda yang sedang bingung mencari tempat yang pas di akhir pekan. Lokasi Taman Cattleya berada di dekat pusat perbelanjaan yang sangat terkenal, yaitu Mall Taman Anggrek.</t>
  </si>
  <si>
    <t>Taman Hutan Tebet</t>
  </si>
  <si>
    <t>Taman Tebet dibangun tahun 1960, taman ini sempat tertunda di tahun 1970 dan jadi pemukiman liar sampai tahun 2006. Dahulu, namanya Taman Honda. Bukan tanpa alasan, dinamakan demikian karena restorasi taman ini dilakukan atas kerjasama PT Honda Prospect Motor dan Pemerintah Provinsi DKI Jakarta. Taman seluas 1.800 m2 yang diresmikan oleh gubernur DKI Jakarta (waktu itu) Fauzi Bowo tanggal 28 Juli 2010. Merupakan ruang terbuka hijau yang dapat dimanfaatkan warga Jakarta untuk beraktivitas. Berada di antara jalan Tebet Barat Raya dan jalan Tebet Timur Raya Kecamatan Tebet, Kotamadya Jakarta Selatan. Kawasan taman memiliki anak sungai yang mengalir dari arah Pasarminggu menuju ke Manggarai. Taman Tebet juga dilengkapi dengan sejumlah fasilitas, seperti arena bermain untuk anak dan tempat berolahraga. Untuk arena olahraga sendiri, ada bulu tangkis dan jogging track. Taman yang dirawat oleh petugas ini juga menyediakan musala, kamar mandi, gazebo, dan fasilitas terapi refleksi.</t>
  </si>
  <si>
    <t>Hutan Kota Srengseng</t>
  </si>
  <si>
    <t>Selain Taman Hutan Mangrove dan Pantai Indah Kapuk, salah satu taman yang sudah cukup terkenal lama bisa dijumpai di sekitar Universitas Indonesia Depok, letaknya di pinggiran Jakarta, namanya Hutan Kota Srengseng. Sesuai namanya, kawasan wisata ini terletak di daerah Srengseng Kembangan Jakbar, letaknya dekat dengan daerah Kemayoran, Kebon Jeruk serta Rawa Buaya. Hutan Srengseng ini menjadi salah satu kawasan alam hijua yang bisa dijumpai di Daerah Khusus Ibukota Jakarta. Namun perlu diketahui bukan Srengseng Sawah ya, itu sudah berbeda. Kehadiran Taman Kota ini memberikan peran penting di sektor alam Jakarta yang tengah mengalami perkembangan cukup pesat.</t>
  </si>
  <si>
    <t>Taman Spathodea</t>
  </si>
  <si>
    <t>Objek Wisata Taman Spathodea di Jagakarsa DKI Jakarta Selatan Jakarta adalah salah satu tempat wisata yang berada di Jl. Kebagusan Raya, Kecamatan Jagakarsa, Kota Jakarta Selatan, Daerah Khusus Ibukota Jakarta, Indonesia. Objek Wisata Taman Spathodea di Jagakarsa DKI Jakarta Selatan Jakarta adalah tempat wisata yang ramai dengan wisatawan pada hari biasa maupun saat liburan. Yang menjadi daya tarik Taman Spathodea memiliki banyak jenis tanaman yang ditanam baik pepohonan dan bunga-bunga yang menghiasi area taman. Ada danau kecil yang berada ditengah taman akan membuat nyaman pengunjung. Banyak Fasilitas umum juga tersedia di Taman Spathodea seperti misalnya lintasan jogging, kolam ikan, outdoor gym, taman bermain untuk anak-anak, toilet, parkiran yang cukup luas dan tempat duduk yang cukup nyaman. Taman Spathodea ini hanya buka mulai pukul 05.00 â€“ 18.00 WIB jadi kalo sudah mulai malam taman ini akan ditutup untuk umum.</t>
  </si>
  <si>
    <t>Plaza Indonesia</t>
  </si>
  <si>
    <t>Plaza Indonesia diresmikan pada awal tahun 1990, terdiri dari empat lantai pertokoan kelas atas dengan luas 38.050 m2. Pusat perbelanjaan ini terletak di Bundaran Hotel Indonesia, tepatnya pada perantara jalan M.H. Thamrin dan jalan Kebon Kacang Raya di kawasan bisnis utama Jakarta.\nPlaza Indonesia juga dilengkapi dengan hotel Grand Hyatt Jakarta, sebuah hotel bintang lima berlantai 28 yang resmi dibuka juga pada awal tahun 1990. Hotel ini memiliki lebih dari 300 kamar dengan desain modern minimalis, restoran-restoran eksklusif, dan fasilitas yang sangat lengkap.\nPengembangan Plaza Indonesia berlanjut ketika Entertainment X'nter dibuka disebelah gedung yang ada dengan membidik pangsa pasar anak muda. Kedua gedung disambung dengan sebuah jembatan yang dikelilingi toko-toko.\nKini, Plaza Indonesia telah dilengkapi dengan gedung perkantoran The Plaza Office Tower dan apartement The Keraton Grand Hyatt Residences.\nPlaza Indonesia dikembangkan oleh PT Global Land Development Tbk (sebelumnya bernama PT Kridaperdana Indahgraha Tbk).</t>
  </si>
  <si>
    <t>Mall Thamrin City</t>
  </si>
  <si>
    <t>Thamrin City atau Thamrin City Mall merupakan pusat perbelanjaan besar yang berada di Jakarta Pusat, yang lokasinya terletak Â± 150 meter dari bundaran Hotel Indonesia dan Â± 300 meter dari Pasar Tanah Abang, yang tepatnya berada di Jl. Thamrin Boulevard (d/h Kebon Kacang Raya) dengan akses berbagai arah antara lain dari Jl. Thamrin, Jl. Teluk Betung, maupun dari Jl. KH. Mas Mansyur</t>
  </si>
  <si>
    <t>Museum Satria Mandala</t>
  </si>
  <si>
    <t>Museum Satria Mandala adalah museum sejarah perjuangan Tentara Nasional Indonesia yang terletak di Jalan Gatot Subroto, Jakarta Selatan. Museum yang diresmikan pada tahun 1972 oleh mantan Presiden Indonesia, Soeharto ini awalnya adalah rumah dari salah satu istri mantan Presiden Indonesia, Soekarno, yaitu istrinya yang bernama Ratna Sari Dewi Soekarno. Dalam museum ini dapat ditemui berbagai koleksi peralatan perang di Indonesia, dari masa lampau hingga modern seperti koleksi ranjau, rudal, torpedo, tank, meriam bahkan helikopter dan pesawat terbang (satu di antaranya adalah pesawat Cureng yang pernah diterbangkan oleh Marsekal Udara Agustinus Adisucipto).\nSelain itu museum ini juga menyimpan berbagai macam benda bersejarah yang berkaitan dengan TNI seperti aneka senjata berat maupun ringan, atribut ketentaraan, panji-panji dan lambang-lambang di lingkungan TNI. Selain itu di museum ini dipamerkan juga tandu yang dipergunakan untuk mengusung Panglima Besar Jenderal Soedirman saat dia bergerilya dalam keadaan sakit melawan pendudukan kembali Belanda pada era 1940-an.\nMasih dalam kompleks Museum TNI Satriamandala ini terdapat juga Museum Waspada Purbawisesa yang menampilkan diorama ketika TNI bersama-sama dengan rakyat menumpas gerombolan separatis DI/TII di Jawa Barat, Jawa Tengah, Aceh, Kalimantan Selatan dan Sulawesi Selatan pada era tahun 1960-an. Fasilitas lainnya yang ada di Museum TNI Satriamandala ini antara lain adalah Taman Bacaan Anak, Kios Cenderamata, Kantin serta Gedung Serbaguna yang berkapasitas 600 kursi.</t>
  </si>
  <si>
    <t>Alive Museum Ancol</t>
  </si>
  <si>
    <t>Museum kini tidak hanya menawarkan benda â€“ benda yang bernilai sejarah dan edukatif. Tapi telah disulap menjadi wahana rekreasi seru dengan objek foto yang berbeda. Seperti Alive Museum yang ada di Ancol. Alive Museum menampilkan berbagai seni rupa berupa lukisan 3 dimensi. Dimana pengunjung dapat berfoto dengan latar belakang yang nyata meski hanya dari foto. Dan karena 3 dimensi, tentu foto akan terlihat nyata dengan objeknya.</t>
  </si>
  <si>
    <t>Kawasan Kuliner BSM</t>
  </si>
  <si>
    <t>Tidak seperti Pecenongan, Kawasan Kuliner BSM buka dari pukul 09:00 hingga 18:00. Berlokasi di Jalan M. H. Thamrin, Jakarta Pusat, Kawasan Kuliner BSM merupakan tempat makan murah favorit warga sekitar serta pelancong. Kawasan kuliner Jakarta ini menghadirkan kios dan warung yang berderet di satu area khusus. Pengunjung bisa menyusuri jalur sempit di antara tiap kios untuk memilih hidangan. Kawasan Kuliner BSM menghadirkan hidangan berat dan makanan ringan. Pengunjung bisa menemukan bakso, nasi goreng, aneka soto, nasi Padang, nasi uduk, pecel, sete, gudeg, gado-gado, dan sebagainya. Ada juga berbagai hidangan ringan dan kue-kue, seperti misalnya donat kentang, jamur goreng, sup buah, kentang goreng, dan beragam gorengan. Pengunjung bisa naik bus Trans Jakarta koridor 1 (Blok M-Kota) hingga ke Halte Bank Indonesia, lalu menyeberang jalan ke dekat gedung Bank Mandiri. Dari sana, Kawasan Kuliner BSM cukup mudah ditemukan.</t>
  </si>
  <si>
    <t>Taman Pintar Yogyakarta</t>
  </si>
  <si>
    <t>Taman Pintar Yogyakarta (bahasa Jawa: Hanacaraka,ê¦ ê¦©ê¦¤ê§€â€‹ê¦¥ê¦¶ê¦¤ê§€ê¦ ê¦‚â€‹ê¦”ê¦ªê¦ºê¦´ê¦’ê¦¾ê¦ê¦‚ê¦ , Taman Pintar Ngayogyakarta) adalah wahana wisata yang terdapat di pusat Kota Yogyakarta, tepatnya di Jalan Panembahan Senopati No. 1-3, Yogyakarta, di kawasan Benteng Vredeburg. Taman ini memadukan tempat wisata rekreasi maupun edukasi dalam satu lokasi. Taman Pintar memiliki arena bermain sekaligus sarana edukasi yang terbagi dalam beberapa zona. Akses langsung kepada pusat buku eks Shopping Centre juga menambah nilai lebih Taman Pintar. Tempat rekreasi ini sangat baik untuk anak-anak pada masa perkembangan.\nBeberapa tahun ini Taman Pintar menjadi alternatif tempat berwisata bagi masyarakat Yogyakarta maupun luar kota.Taman ini, khususnya pada wahana pendidikan anak usia dini dilengkapi dengan teknologi interaktif digital serta pemetaan video yang akan memacu imajinasi anak serta ketertarikan mereka terhadap teknologi. Pada saat ini ada 35 zona dan 3.500 alat peraga permainan yang edukatif.</t>
  </si>
  <si>
    <t>Yogyakarta</t>
  </si>
  <si>
    <t>Keraton Yogyakarta</t>
  </si>
  <si>
    <t>Keraton Ngayogyakarta Hadiningrat atau Keraton Yogyakarta (bahasa Jawa: ê¦ê¦«ê¦ ê¦ºê¦´ê¦¤ê§€â€‹ê¦”ê¦ªê¦ºê¦´ê¦’ê¦¾ê¦ê¦‚ê¦ â€‹ê¦²ê¦¢ê¦¶ê¦¤ê¦¶ê¦”ê¦¿ê¦ ê§€, translit. Karaton Ngayogyakarta Hadiningrat) merupakan istana resmi Kesultanan Ngayogyakarta Hadiningrat yang kini berlokasi di Kota Yogyakarta. Keraton ini didirikan oleh Sri Sultan Hamengkubuwana I pada tahun 1755 sebagai Istana/Keraton Yogyakarta yang baru berdiri akibat perpecahan Mataram Islam dengan adanya Perjanjian Giyanti. Keraton ini adalah pecahan dari Keraton Surakarta Hadiningrat dari Kesunanan Surakarta (Kerajaan Surakarta). Sehingga dinasti Mataram diteruskan oleh 2 Kerajaan yakni Kesultanan Yogyakarta dan Kesunanan Surakarta. Total luas wilayah keseluruhan keraton yogyakarta mencapai 184 hektar, yakni meliputi seluruh area di dalam benteng Baluwarti, alun-alun Lor, alun-alun Kidul, gapura Gladak, dan kompleks Masjid Gedhe Yogyakarta. Sementara luas dari kedhaton (inti keraton) mencapai 13 hektar. Walaupun Kesultanan Yogyakarta secara resmi telah menjadi bagian Republik Indonesia pada tahun 1945, kompleks bangunan keraton ini masih berfungsi sebagai tempat tinggal sultan dan rumah tangga istananya yang masih menjalankan tradisi kesultanan hingga saat ini. Keraton ini kini juga merupakan salah satu objek wisata di Kota Yogyakarta. Sebagian kompleks keraton merupakan museum yang menyimpan berbagai koleksi milik kesultanan, termasuk berbagai pemberian dari raja-raja Eropa, replika pusaka keraton, dan gamelan. Dari segi bangunannya, keraton ini merupakan salah satu contoh arsitektur istana Jawa yang terbaik, memiliki balairung-balairung mewah dan lapangan serta paviliun yang luas.</t>
  </si>
  <si>
    <t>Sindu Kusuma Edupark (SKE)</t>
  </si>
  <si>
    <t>Sindu Kusuma Edupark (SKE) merupakan sebuah destinasi rekreasi yang terletak di Jogjakarta. Di tujuh hektar kawasan taman yang selesai dibangun tahun 2014 ini, terdapat bermacam-macam wahana, baik wahana bermain maupun wahana belajar yang bisa dinikmati oleh semua anggota keluarga. Wahana yang paling terkenal dari SKE adalah bianglalanya, yang merupakan sebuah wahana bermain sekaligus ikon SKE sendiri. Bila Singapore memiliki Flyer setinggi 165 meter, sementara Malaysia punya Eye setinggi 88 meter, dan di Thailand ada Asiatique setinggi 60 meter, Indonesia memiliki Cakra Manggilingan dengan tinggi 48 meter. Di tingkat Asia Tenggara, bianglala ini memang mesti berpuas diri duduk di peringkat keenam sebagai bianglala tertinggi, tetapi di tingkat nasional, ia duduk di peringkat pertama.</t>
  </si>
  <si>
    <t>Museum Benteng Vredeburg Yogyakarta</t>
  </si>
  <si>
    <t>Museum Benteng Vredeburg (bahasa Jawa: ê¦©ê¦¸ê¦±ê¦¶ê¦ªê¦¸ê¦©ê§€â€‹ê¦§ê¦ºê¦ ê¦ºê¦â€‹ê¦®ê¦³ê¦½ê¦¢ê¦¼ê¦§ê¦¸ê¦‚ê¦’ê§€, translit. Musiyum BÃ¨tÃ¨ng Vredeburg adalah sebuah benteng yang terletak di depan Gedung Agung dan Kraton Kesultanan Yogyakarta. Sekarang, benteng ini menjadi sebuah museum. Di sejumlah bangunan di dalam benteng ini terdapat diorama mengenai sejarah Indonesia.</t>
  </si>
  <si>
    <t>De Mata Museum Jogja</t>
  </si>
  <si>
    <t>Museum De Mata merupakan salah satu museum yang berisi lukisan 3D terbanyak di dunia. Jumlah lukisannya sekitar 120 dan setiap lukisan memiliki konsep dengan latar belakang yang terlihat seperti nyata. Ada beberapa ukuran lukisan yang ada di Museum De Mata dari ukuran biasa sampai mencapai 5 meter. Ada beberapa macam kategori lukisannya yaitu ornament, lanscape, olahraga, tokoh-tokoh terkenal, superhero, sampai lukisan sirkus. Museum ini didirikan untuk masyarakat menghabiskan liburan dengan menambah pengetahuan. Museum ini menawarkan banyak lukisan-lukisan yang unik misalnya terdapat lukisan dimana anda dapat merasakan keseruan berjalan di atas jembatan kayu yang dibawahnya terdapat jurang yang curam Atau berjuang untuk memadamkan semburanapi panas ari mulut naga, lukisan tersebut tampak seolah-olah nyata. Semua itu terdapat di dalam museum De Mata dengan hasil efek yang menipu mata.</t>
  </si>
  <si>
    <t>Kampung Wisata Taman Sari</t>
  </si>
  <si>
    <t>Taman Sari Yogyakarta atau Taman Sari Keraton Yogyakarta (Hanacaraka:ê¦ ê¦©ê¦¤ê§€ê¦±ê¦«ê¦¶ê¦”ê¦ªê¦ºê¦´ê¦’ê¦¾ê¦ê¦‚ê¦¡, Tamansari Ngayogyakarta) adalah situs bekas taman atau kebun istana Keraton Ngayogyakarta Hadiningrat, yang dapat dibandingkan dengan Kebun Raya Bogor sebagai kebun Istana Bogor. Kebun ini dibangun pada zaman Sultan Hamengku Buwono I (HB I) pada tahun 1758-1765/9. Awalnya, taman yang mendapat sebutan "The Fragrant Garden" ini memiliki luas lebih dari 10 hektare dengan sekitar 57 bangunan baik berupa gedung, kolam pemandian, jembatan gantung, kanal air, maupun danau buatan beserta pulau buatan dan lorong bawah air. Kebun yang digunakan secara efektif antara 1765-1812 ini pada mulanya membentang dari barat daya kompleks Kedhaton sampai tenggara kompleks Magangan. Namun saat ini, sisa-sisa bagian Taman Sari yang dapat dilihat hanyalah yang berada di barat daya kompleks Kedhaton saja.</t>
  </si>
  <si>
    <t>Situs Warungboto</t>
  </si>
  <si>
    <t>Situs Warungboto atau Pesanggrahan Rejawinangun adalah salah satu bangunan cagar budaya yang terletak di Jalan Veteran No.77, Kelurahan Warungboto, Kecamatan Umbulharjo, Kota Yogyakarta, Daerah Istimewa Yogyakarta. Pada awalnya, situs ini merupakan lokasi sebuah pesanggrahan dan pemandian.</t>
  </si>
  <si>
    <t>Nol Kilometer Jl.Malioboro</t>
  </si>
  <si>
    <t>Walaupun hanyalah sebuah persimpangan, namun persimpangan Titik 0 km ini bukanlah sebuah persimpangan biasa. Karena di persimpangan ini bisa dibilang sebagai titik tengah kota Jogja karena lokasinya yang benar-benar di depan Keraton Yogyakarta sebagai pendiri daerah yang istimewa ini. Terlebih lagi di sebelah utaranya adalah pusat keramaian wisata Jogja yaitu Jalan Malioboro, sehingga jika anda sedang nongkrong di persimpangan Titik Nol Kilometer ini benar-benar merasakan titik tengah Jogja yang begitu syahdu. Titik 0 Kilometer Yogyakarta memang tempat favorit wisatawan untuk menghabiskan waktu, terlebih pada sore hari dan malam hari yang setiap hari selalu ramai disesaki oleh para wisatawan yang sekedar hanya untuk nongkrong di dudukan yang banyak disediakan di sekitar perempatan.</t>
  </si>
  <si>
    <t>Gembira Loka Zoo</t>
  </si>
  <si>
    <t>Kebun Binatang Gembira Loka biasa disebut Gembira Loka Zoo (disingkat GL Zoo, bahasa Jawa: ê¦ê¦¼ê¦§ê¦ºê¦´ê¦¤ê§€â€‹ê¦«ê¦—â€‹ê¦’ê¦¼ê¦©ê§€ê¦§ê¦¶ê¦«â€‹ê¦­ê¦ºê¦´ê¦, translit. KÃªbon Raja GÃªmbira Loka) adalah kebun binatang yang berada di Kota Yogyakarta. Berisi berbagai macam spesies dari belahan dunia, seperti orang utan, gajah asia, simpanse, harimau, dan lain sebagainya. Kebun Binatang Gembira Loka menjadi daya tarik tersendiri bagi para wisatawan Yogyakarta. Gembira Loka Zoo sempat rusak parah akibat gempa bumi Yogyakarta tahun 2006. Tetapi, setelah direnovasi Kebun Binatang Gembira Loka tetap dicari para wisatawan.</t>
  </si>
  <si>
    <t>Sumur Gumuling</t>
  </si>
  <si>
    <t>Sumur Gumuling adalah salah satu tempat untuk ibadah atau kegiatan agama pada masa lalu. Sumur Gumuling merupakan masjid pada zaman pemerintahan Sri Sultan Hamengkubuwana I dan II.</t>
  </si>
  <si>
    <t>Desa Wisata Sungai Code Jogja Kota</t>
  </si>
  <si>
    <t>Kampung Code berada di Kelurahan Kotabaru, Kecamatan Gondokusuman Kota Yogyakarta. Lokasi persisnya ada di RT 01/RW 01 di sebelah selatan jembatan Gondolayu di Jl Jenderal Sudirman atau di sebelah timur bantaran Kali Code yang membelah Kota Yogyakarta. Kampung Code terletak persis di bantaran Kali Code yang memanjang ke arah selatan dengan kontur tanah bertebing dari atas ke bawah. Di bagian atas yang mepet Jl Faridan M. Noto sebagian besar digunakan warga untuk usaha jasa/jual beli ban mobil. Sedangkan di bagian bawah menjadi tempat pemukiman warga. Kampung Code yang tadinya kampung biasa, menjelma menjadi sebuah karya seni berkat jasa seorang arsitek sekaligus pemuka agama katolik, Romo YB Manguwijaya.</t>
  </si>
  <si>
    <t>Alun Alun Selatan Yogyakarta</t>
  </si>
  <si>
    <t>Alun-alun Selatan atau yang sekarang lebih dikenal sebagai Alun-alun Kidul (Alkid) yaitu alun-alun yang terletak di sebelah selatan karaton Yogyakarta. Alun-alun ini berbentuk tanah lapang luas berpasir, dengan luas sekitar 160m x 160 m. Alun-alun ini dikelilingi pagar tembok batu bata setinggi 2,20 m, tebal pagar tembok 30 cm, sudah banyak yang runtuh dan rusak. Adapun pagar tembok yang dapat disaksikan sekarang adalah pagar tembok baru, yang dibangun oleh Sri Sultan Hamengkubuwono ke VII pada masa pemerintahannya tahun 1877 -1921 M.</t>
  </si>
  <si>
    <t>Monumen Yogya Kembali</t>
  </si>
  <si>
    <t>Museum Monumen Yogya Kembali (bahasa Jawa: ê¦©ê¦ºê¦´ê¦¤ê¦¸ê¦©ê¦ºê¦¤ê§€â€‹ê¦ªê¦ºê¦´ê¦’ê¦¾â€‹ê¦ê¦¼ê¦©ê§€ê¦§ê¦­ê¦¶, translit. MonumÃ¨n Yogya Kembali) biasa dikenal sebagai Monumen Jogja Kembali disingkat Monjali adalah sebuah museum sejarah perjuangan kemerdekaan Indonesia yang ada di Daerah Istimewa Yogyakarta dan dikelola oleh Kementerian Pariwisata dan Ekonomi Kreatif. Museum yang berada di bagian utara kota ini banyak dikunjungi oleh para pelajar dalam acara darmawisata.\n\nMuseum monumen dengan bentuk kerucut ini terdiri dari 3 lantai dan dilengkapi dengan ruang perpustakaan serta ruang serbaguna. Pada rana pintu masuk dituliskan sejumlah 422 nama pahlawan yang gugur di daerah Wehrkreise III (RIS) antara tanggal 19 Desember 1948 sampai dengan 29 Juni 1949. Dalam 4 ruang museum di lantai 1 terdapat benda-benda koleksi: relief, replika, foto, dokumen, heraldika, berbagai jenis senjata, bentuk evokatif dapur umum dalam suasana perang kemerdekaan 1945-1949. Tandu dan dokar (kereta kuda) yang pernah dipergunakan oleh Panglima Besar Jenderal Soedirman juga disimpan di sini (di ruang museum nomor 2). Monumen Yogya Kembali beralamat di Jl. Ring Road Utara, Kabupaten Sleman, Daerah Istimewa Yogyakarta.</t>
  </si>
  <si>
    <t>Taman Pelangi Yogyakarta</t>
  </si>
  <si>
    <t>Taman Pelangi Yogyakarta merupakan tempat wisata malam yang menampilkan warna-warni lampu lampion, sehingga terlihat seperti pelangi. Taman wisata ini terletak di Jalan Padjajaran (sebelumnya bernama Jalan Ring Road Utara), dan berada di lokasi Museum Monumen Yogya Kembali (Monumen Jogja Kembali) Yogyakarta. Taman Pelangi memiliki lebih dari 20 jenis permainan, 25 stand makan dan stand minum. Taman pelangi ini bisa dinikmati dari sore sampai malam, atau dari jam 17.00 sampai jam 23.00. Malam hari anda akan terasa lengkap dan sempurna di Taman Pelangi dengan banyaknya lampion yang menyala memberikan kesan yang menarik untuk menenangkan pikiran.</t>
  </si>
  <si>
    <t>Kampung Wisata Kadipaten</t>
  </si>
  <si>
    <t>Kampung Wisata Kadipaten secaara kewilayahan berada di Kelurahan Kadipaten Kecamatan Kraton. Keberadaannya juga berfungsi sebagai penyangga obyek wisata Kraton Kasultanan Yogyakarta. Sesuai dengan potensi yang ada Kampung Wisata Kadipaten kemudian mengangkat tema â€œArt and Heritage Turismâ€ sebagai brandinngnya. Kawasan kampung wisata ini menjadi sangat unik dan spesifik karena disana banyak terdapat bangunan situs cagar busaya terutama bangunan Dalem Pangeran. Nama Kadipaten sendiri konon berasal dari nama kawasan yang disana banyak terdapat bangunan situs cagar budaya terutama bangunan Dalem Pangeran. Nama Kadipaten konon berasal dari nama kawasan yang disana banyak ditinggali oleh kerabat Kraton yang sekaligus sebagai pengagung Kraton.</t>
  </si>
  <si>
    <t>Taman Budaya Yogyakarta</t>
  </si>
  <si>
    <t xml:space="preserve">Taman Budaya Yogyakarta (TBY) (Hanacaraka:ê¦ ê¦©ê¦¤ê§€â€‹ê¦§ê¦¸ê¦¢ê¦ªâ€‹ê¦”ê¦ªê¦ºê¦´ê¦’ê¦¾ê¦ê¦‚ê¦ , bahasa Jawa: Taman Budaya Ngayogyakarta) adalah sarana wisata yang terletak di Jalan Sri Wedani No 1, Yogyakarta. TBY memiliki kompleks gedung yang berfungsi sebagai tempat pameran, pertunjukan, dan berbagai kegiatan seni lainnya. TBY merupakan Unit Pelaksana Teknis Dinas (UPTD) pada Dinas Kebudayaan Provinsi Daerah Istimewa Yogyakarta. Fungsi dari TBY adalah sebagai pusat budaya termasuk di dalamnya pengembangan dan pengolahan pusat dokumentasi, etalase, dan informasi seni budaya dan pariwisata._x000D_
</t>
  </si>
  <si>
    <t>Kampung Wisata Sosro Menduran</t>
  </si>
  <si>
    <t>Kampung wisata Sosromenduran merupakan kampung wisata yang sangat unik karena berbasis multi culture, akomodasi dan belanja sekaligus berfungsi sebagai penyangga kawasan Objek Wisata Malioboro. Secara kewilayahan kampung wisata sosromenduran berada di Kelurahan Sosromenduran Kecamatan Gedongtengen. Letaknya sangat strategis karena berada disamping dikawasan Malioboro juga sangat dekat dengan Stasiun Kereta Api Tugu serta banyak terdapat fasilitas kepariwisataan baik hotel, homestay, warung dan restoran, travel, money changer, coffee, rental mobil, sepeda motor bahkan sepeda ontel dan yang sangat menarik di kampung wisata Sosromenduran juga terdapat banyak produsen souvenir kaos oblong yang juga banyak dijual di sepanjang jalan malioboro</t>
  </si>
  <si>
    <t>Monumen Batik Yogyakarta</t>
  </si>
  <si>
    <t>Perhatian pemerintah megenai kebudayan batik ini sangat besar, hal ini dikarenakan kebudayaannya bersinggungan langsung dengan masyarakat Jawa. Memperingati Hari Batik Nasional pada hari ini, traveler bisa berjalan-jalan ke monumen batik yang ada di Jogja. Perhatian pemerintah megenai kebudayan batik ini sangat besar, hal ini dikarenakan kebudayaannya bersinggungan langsung dengan masyarakat Jawa. Memperingati Hari Batik Nasional pada hari ini, traveler bisa berjalan-jalan ke monumen batik yang ada di Jogja.</t>
  </si>
  <si>
    <t>Tugu Pal Putih Jogja</t>
  </si>
  <si>
    <t xml:space="preserve">Tugu Yogyakarta (Jawa: , Tugu Ngayogyakarta) adalah sebuah landmark bersejarah yang penting di kota Yogyakarta, Indonesia. Tugu berarti tugu, yang biasanya dibangun sebagai simbol suatu kawasan yang mengkonseptualisasikan ciri-ciri kawasan tersebut. Karena latar belakang sejarahnya, Tugu Yogyakarta telah menjadi ikon sejarah kota. Tugu Yogyakarta terletak tepat di tengah persimpangan antara Jalan Mangkubumi, Jalan Sudirman, Jalan A.M Sangaji, dan Jalan Dipenogoro kota._x000D_
</t>
  </si>
  <si>
    <t>Tebing Breksi</t>
  </si>
  <si>
    <t>Tebing Breksi merupakan tempat wisata yang berada di wilayah Kabupaten Sleman. Lokasinya berada di sebelah selatan Candi Prambanan dan berdekatan dengan Candi Ijo serta Kompleks Keraton Boko. Lokasi Wisata Tebing Breksi tepatnya berada di Desa Sambirejo, Prambanan, Kabupaten Sleman, Daerah Istimewa Yogyakarta 55572.</t>
  </si>
  <si>
    <t>Candi Donotirto</t>
  </si>
  <si>
    <t>Walaupun melekat dengan kata candi, Candi Donotirto bukanlah peninggalan jaman Hindu-Buddha di Yogyakarta. Tempat ini dibangun oleh pemerintah Belanda. Ada dua bagian, yaitu bagian barat untuk kaum adam dan bagian timur untuk kaum hawa. Masing-masing dialiri oleh 5 buah pancuran air yang bersumber dari Sungai Winogo, berarti ada 10 buah pancuran di sana. Hingga kini, tempat ini tetap dirawat oleh warga sekitar walaupun digunakan sebagai WC umum. Oleh karenanya, janganlah berat tangan untuk menyisihkan uang Anda sebagai ganti biaya perawatan dan kebersihan tempat ini.</t>
  </si>
  <si>
    <t>Kawasan Malioboro</t>
  </si>
  <si>
    <t>Jalan Malioboro adalah nama salah satu kawasan jalan dari tiga jalan di Kota Yogyakarta yang membentang dari Tugu Yogyakarta hingga ke perempatan Kantor Pos Yogyakarta. Secara keseluruhan terdiri dari Jalan Margo Utomo, Jalan Malioboro, dan Jalan Margo Mulyo. Jalan ini merupakan poros Garis Imajiner Kraton Yogyakarta.</t>
  </si>
  <si>
    <t>Bangsal Pagelaran</t>
  </si>
  <si>
    <t xml:space="preserve">Bangunan utama adalah Bangsal Pagelaran yang dahulu dikenal dengan nama Tratag Rambat. Pada zamannya Pagelaran merupakan tempat para penggawa kesultanan menghadap Sultan pada upacara resmi. Sekarang sering digunakan untuk even-even pariwisata, religi, dan lain-lain disamping untuk upacara adat keraton. Sepasang Bangsal Pemandengan terletak di sisi jauh sebelah timur dan barat Pagelaran. Dahulu tempat ini digunakan oleh Sultan untuk menyaksikan latihan perang di Alun-alun Lor._x000D_
</t>
  </si>
  <si>
    <t>Embung Tambakboyo</t>
  </si>
  <si>
    <t>Embung atau waduk Tambakboyo adalah konservasi air yang terletak di Dusun Tambakboyo, Kecamatan Depok, Kabupaten Sleman, Yogyakarta. Waduk ini memanfaatkan sumber air dari sungai Tambak Bayan dan sungai Buntung dengan luasan 7,8 ha. Waduk ini dibangun sejak tahun 2003 hingga 2008 dan diresmikan setahun kemudian.</t>
  </si>
  <si>
    <t>Hutan Pinus Pengger</t>
  </si>
  <si>
    <t>Hutan Pinus Pengger (bahasa Jawa: ê¦„ê¦­ê¦±ê§€â€‹ê¦¥ê¦¶ê¦¤ê¦¸ê¦±ê§€â€‹ê¦¥ê¦¼ê¦â€‹ê¦’ê¦¼ê¦‚â€‹, translit. Alas Pinusâ€‹ PÄ›nggÄ›r) merupakan salah satu objek wisata andalan Kabupaten Bantul. Wisata alam ini berlokasi di Sendangsari, Desa Terong, Kec. Dlingo, Kabupaten Bantul, Daerah Istimewa Yogyakarta.\nHutan Pinus Pengger mudah dijangkau karena terletak dipinggir jalan Patuk-Dlingo km 4,5.\nWalaupun masih terdengar asing, dikalangan penyuka jalan-jalan objek wisata, Hutan Pinus Pengger terbilang cukup populer . Tempat ini masih dirasa asing karena baru dibuka secara resmi pada tanggal 7 April 2016. Hutan Pinus ini sangat digemari oleh para pencipta objek wisata, karena objek wisata ini menyuguhkan pemandangan alam yang sangat indah.</t>
  </si>
  <si>
    <t>Monumen Serangan Umum 1 Maret</t>
  </si>
  <si>
    <t>Monumen Serangan Umum 1 Maret berada di area sekitar Museum Benteng Vredeburg yaitu tepat di depan Kantor Pos Besar Yogyakarta. Monumen ini dibangun untuk memperingati serangan tentara Indonesia terhadap Belanda pada tanggal 1 Maret 1949. Ketika itu Negara Indonesia telah dianggap lumpuh dan tidak ada oleh Belanda. Untuk membuktikan bahwa Negara Indonesia masih ada maka dilakukan serangan besar-besaran. Serangan ini dilakukan oleh Tentara Nasional Indonesia (TNI) yang dipimpin oleh Letnan Kolonel Soeharto, Komandan Brigade 10 daerah Wehrkreise III.</t>
  </si>
  <si>
    <t>Puncak Pinus Becici</t>
  </si>
  <si>
    <t>Puncak Pinus Becici atau Puncak Becici merupakan objek wisata yang berada di Desa Muntuk, Kecamatan Dlingo, Kabupaten Bantul, Yogyakarta. Pemandangan di kawasan ini sangat indah dengan hamparan perbukitan yang banyak di tumbuhi pohon pinus serta dapat melihat pesona Kota Yogyakarta dari ketinggian dengan gardu pandang. Dari bagian utara dapat melihat Candi Prambanan, bagian selatan terlihat garis lurus yang merupakan Pantai Selatan serta dapat melihat Gunung Merapi dan Gunung Sindoro.</t>
  </si>
  <si>
    <t>Bukit Bintang Yogyakarta</t>
  </si>
  <si>
    <t xml:space="preserve">Bukit Bintang merupakan salah satu lokasi nongkrong favorit di Yogyakarta. Saat malam tiba, pemandangan Yogyakarta sangatlah indah!Terletak di perbatasan Bantul dan Gunungkidul, siapa pun yang berkunjung ke kawasan ini dapat menikmati taburan gemintang di langit malam serta kerlip benderang lampu kota dari ketinggian.Kota ini memiliki Bukit Bintang yang selalu ramai dipadati kawula muda untuk menikmati keindahan malam. Bukit Bintang menjadi tempat yang sempurna untuk menikmati senja hingga malam tiba._x000D_
</t>
  </si>
  <si>
    <t>Gedung Agung Yogyakarta</t>
  </si>
  <si>
    <t>Istana Yogyakarta yang dikenal dengan nama Gedung Agung (bahasa Jawa: ê¦’ê¦¼ê¦ê¦ºê¦´ê¦â€‹ê¦„ê¦’ê¦¼ê¦, translit. Gedhong Ageng) terletak di pusat keramaian kota, tepatnya di ujung selatan Jalan Ahmad Yani dahulu dikenal dengan Jalan Margomulyo. Kawasan istana terletak di Kelurahan Ngupasan, Kecamatan Gondomanan, Kota Yogyakarta, dan berada pada ketinggian 120 m dari permukaan laut. Kompleks istana ini menempati lahan seluas 43.585 mÂ².</t>
  </si>
  <si>
    <t>The Lost World Castle</t>
  </si>
  <si>
    <t>The Lost World Castle merupakan salah satu objek wisata di kawasan lereng Gunung Merapi yang terletak di Dusun Petung, Desa Kepuharjo Cangkringan, Sleman, Daerah Istimewa Yogyakarta, Indonesia. Objek wisata ini dibangun menyerupai Benteng Takeshi dan dibangun di atas lahan 1,3 hektare pada tahun 2016.Pengunjung yang ingin memasuki kawasan The Lost World Castle akan dikenakan biaya sebesar Rp 25.000 tiap orang dan belum termasuk biaya parkir. Biaya parkir mobil sebesar Rp5.000,00, sementara biaya parkir untuk sepeda motor sebesar Rp2.000,00.</t>
  </si>
  <si>
    <t>Monumen Sanapati</t>
  </si>
  <si>
    <t>Monumen Sanapati dibangun untuk memeringati 50 tahun persandian Indonesia di Yogyakarta. Persandian di Yogyakarta memiliki andil yang besar dalam mempertahankan kemerdekaan Negara Indonesia. Tercatat pada peristiwa Serangan Umum 1 Maret 1949, sandi buatan Roebiono masih digunakan untuk menyebarkan pesan pada dunia bahwa Indonesia masih ada dan masih bisa melawan. Selanjutnya, peristiwa tersebut dikenal dengan Peristiwa 6 jam di Yogyakarta. Monumen Sanapati terletak di kawasan Kotabaru, tepatnya di tengah persimpangan Jalan Abu Bakar Ali, di taman depan Gereja Santo Antonius. Bangunan Monumen Sanapati berbentuk segitiga berujung lancip menyerupai piramida dengan tinggi 3 meter dan lebar 2,5 meter. Monumen tersebut didesain oleh Drs Kasman dan diresmikan oleh Menteri Sekretaris Negara Republik Indonesia saat itu, Moerdiono, pada 4 April 1996, tepat pada Hari Persandian Indonesia. Pembangunan monument membutuhkan waktu satu bulan dan memakan biaya sebesar 25 juta rupiah.</t>
  </si>
  <si>
    <t>Jurang Tembelan Kanigoro</t>
  </si>
  <si>
    <t>Jurang Tembelan Kanigoro berada di Desa Wisata Mangunan, Dlingo, Bantul. Familiar dengan Desa Mangunan, bukan? Kawasan ini memang memiliki tempat wisata bagus yang murah. Termasuk Jurang Tembelan Kanigoro yang berada tidak jauh dari Kebun Buah Mangunan atau Bukit Panguk Kediwung. Dari Jogja, arahkan kendaraan menuju Jalan Imogiri Timur, setelah sampai di pertigaan dekat Pasar Imogiri ikuti arah menuju Mangunan. Untuk menuju ke sana, cek terlebih dahulu kondisi kendaraan. Jalanan yang naik turun serta tikungan tajam, harus diwaspadai. Bagi yang menggunakan kendaraan besar seperti bus, diharapkan memutar melewati Bukit Bintang Gunung Kidul. Selain itu, selalu berhati-hati dan tetap fokus selama berkendara.</t>
  </si>
  <si>
    <t>The World Landmarks - Merapi Park Yogyakarta</t>
  </si>
  <si>
    <t>Merapi Park merupakan salah satu tempat wisata di Yogyakarta yang terletak di Jalan Kaliurang km 22, Hargobinangun, Kecamatan Pakem, Kabupaten Sleman. Pengoperasian Merapi Park dimulai sejak tanggal 25 Juni 2017. Fasilitas yang tersedia meliputi tempat pengambilan foto</t>
  </si>
  <si>
    <t>Museum Sonobudoyo Unit I</t>
  </si>
  <si>
    <t xml:space="preserve">Museum Sonobudoyo adalah museum dan perpustakaan sejarah dan budaya Jawa di Yogyakarta, Indonesia. Museum ini berisi koleksi artefak Jawa terlengkap, setelah Museum Nasional di Jakarta. Selain keramik era Neolitikum dan patung perunggu abad ke-8, museum ini juga menyimpan koleksi wayang, berbagai senjata kuno (seperti keris), dan topeng Jawa. Museum Sonobudoyo terdiri dari dua unit, Unit I terletak di Jalan Trikora No. 6 Yogyakarta, dan Unit II terletak di Ndalem Condrokiranan, Wijilan, di sebelah timur alun-alun utama (utara) kota._x000D_
</t>
  </si>
  <si>
    <t>Lava Bantal</t>
  </si>
  <si>
    <t>Wilayah DIY menawarkan sejumlah potensi wisata, terlebih pariwisata berbasis sungai. Salah satunya yang kini menjadi salah satu favorut wisatawan adalah Lava Bantal yang berada di Kecamatan Berbah, Kabupaten Sleman. Sesuai namanya, objek wisata ini menawarkan batuan yang diduga berasal dari lava pijar dari gunung api bawah laut yang mengering selama kurun waktu ratusan tahun lalu. Terhampar di Sungai Opak, batuan tersebut menjadi pemandangan unik yang mampu menyita perhatian para pelancong. Konon keberadaan Lava Bantal berkontribusi besar terhadap terbentuknya Pulau Jawa. Fenomena alam seperti yang terjadi di Lava Bantal ini sangat jarang terjadi. Di Pulau Jawa fenomena sejenis hanya bisa ditemukan di Karangsambung (Kebumen), Ciletuh (Jawa Barat), dan di Berbah (DIY). Dengan latar belakang sejarah geologi yang panjang, sejak 2 Oktober 2014 silam pemerintah telah menetapkan objek wisata ini sebagai geo heritage. Artinya, semua keunikan geologis yang ada di objek wisata tersebut tergolong sebagai objek yang dilindungi oleh pemerintah.</t>
  </si>
  <si>
    <t>Bukit Panguk Kediwung</t>
  </si>
  <si>
    <t>Bukit Panguk Kediwung adalah salah satu obyek wisata yang menawarkan pemandangan alam dari ketinggian. Jika dibandingkan dengan obyek wisata perbukitan lain di Bantul memang Bukit Panguk Kediwung termasuk baru karena dibuka pada tahun 2016. Namun jangan salah, lokasi ini sudah mencuri hati banyak pengunjung dari dalam maupun luar kota. Bukit Panguk Kediwung berlokasi di Kediwung, Mangunan, Dlingo, Bantul, Yogyakarta. Jangan khawatir untuk tersesat karena di sepanjang jalan menuju ke lokasi kita akan melihat beberapa papan petunjuk. Kurang lebih berjarak 20 km dari pusat Kota Yogyakarta. Dari pusat Kota Yogyakarta anda bisa bergerak menuju ke selatan tepatnya ke arah Jalan Imogiri Timur, ikuti jalan hingga menemukan Pasar Imogiri, lalu belok kiri dan lanjutkan perjalanan menuju ke arah Dlingo, dari sana anda akan mulai melihat petunjuk jalan menuju Bukit Panguk Kediwung. Akses jalan menuju Bukit Panguk Kediwung sudah diaspal halus hanya saja konturnya sedikit naik turun namun masih dalam kategori aman. Sangat disarankan untuk menggunakan kendaraan pribadi karena akses ke sini menggunakan kendaraan umum cukup sulit.</t>
  </si>
  <si>
    <t>Candi Prambanan</t>
  </si>
  <si>
    <t>Candi Prambanan atau Candi Roro Jonggrang (bahasa Jawa: ê¦•ê¦¤ê§€ê¦ê¦¶â€‹ê¦¥ê¦¿ê¦©ê§€ê¦§ê¦¤ê¦¤ê§€, translit. Candhi Prambanan) adalah kompleks candi Hindu terbesar di Indonesia yang dibangun pada abad ke-9 masehi. Candi ini dipersembahkan untuk Trimurti, tiga dewa utama Hindu yaitu Brahma sebagai dewa pencipta, Wisnu sebagai dewa pemelihara, dan Siwa sebagai dewa pemusnah. Berdasarkan prasasti Siwagrha nama asli kompleks candi ini adalah Siwagrha (bahasa Sanskerta yang bermakna 'Rumah Siwa'), dan memang di garbagriha (ruang utama) candi ini bersemayam arca Siwa Mahadewa setinggi tiga meter yang menujukkan bahwa di candi ini dewa Siwa lebih diutamakan.\nKompleks percandian Candi Prambanan secara keseluruhan berada di wilayah provinsi Daerah Istimewa Yogyakarta, namun pintu administrasinya berada di Daerah Istimewa Surakarta (sekarang bagian Provinsi Jawa Tengah), hal ini yang membuat Candi Prambanan terletak di 2 tempat yakni di Desa Bokoharjo, Kecamatan Prambanan, Kabupaten Sleman, dan di Desa Tlogo, Kecamatan Prambanan, Kabupaten Klaten, atau kurang lebih 17 kilometer timur laut Yogyakarta, 50 kilometer barat daya Surakarta dan 120 kilometer selatan Semarang, persis di perbatasan antara Daerah Istimewa Yogyakarta dan Daerah Istimewa Surakarta.Candi ini adalah termasuk Situs Warisan Dunia UNESCO, candi Hindu terbesar di Indonesia, sekaligus salah satu candi terindah di Asia Tenggara. Arsitektur bangunan ini berbentuk tinggi dan ramping sesuai dengan arsitektur Hindu pada umumnya dengan candi Siwa sebagai candi utama memiliki ketinggian mencapai 47 meter menjulang di tengah kompleks gugusan candi-candi yang lebih kecil. Sebagai salah satu candi termegah di Asia Tenggara, candi Prambanan menjadi daya tarik kunjungan wisatawan dari seluruh dunia.Menurut prasasti Siwagrha, candi ini mulai dibangun pada sekitar tahun 850 masehi oleh Rakai Pikatan, dan terus dikembangkan dan diperluas oleh Balitung Maha Sambu, pada masa kerajaan Medang Mataram.</t>
  </si>
  <si>
    <t>Watu Goyang</t>
  </si>
  <si>
    <t>Watu Goyang ini berasal dari Bahasa Jawa yang berarti Batu yang bergoyang. Dulunya di tempat ini terdapat batu yang berada di puncak yang bias bergoyang ketika disentuh maupun didorong. Batu tersebut sudah ada sejak ratuhan tahun yang lalu. Para pengelola menjelaskan bahwa Watu Goyang ini tidak pernah roboh walaupun disetuh bahkan di panjat, tetapi pihak pengelola melarang kesar untuk pengunjung yang mencoba menaiki Watu Goyang tersebut karena akan sangat berbahaya bagi keselamatan. Keunikan dari batu raksasa itu adalah stukturnya yang memuat tonjolan-tonjolan yang unik. Pemandangan alam yang masih hijau dan gunung merapi terlihat sangat alami, sangat cocok bagi para pengunjung untuk menghilangkan rasa bosan dengan aktivitas sehari-hari di perkotaan. Berada di puncak ini pengunjung akan merasakan sejuknya suhu udara, terutama pada pagi hari. Dan ketika di siang hari, meskipun cuaca sedang panas, maka hembusan angin yang menyapa terasa segar dan nyaman.</t>
  </si>
  <si>
    <t>Kampung Wisata Rejowinangun</t>
  </si>
  <si>
    <t xml:space="preserve">Kampung wisata Rejowinangun terletak di Kelurahan rejowinangun, Kecamatan Kotagede, Kota Yogyakarta tepatnya sebelah selatan Kebun binatang Gembiraloka. Kampung wisata ini telah dirintis sejak tahun 2010 dan dengan kerjasama seluruh elemen masyarakat, pada tanggal 04 Oktober 2013 oleh Kepala dinas Pariwisata Kota Yogyakarta, Kampung Wisata Rejowinangun diresmikan. Kelurahan Rejowinangun merupakan satu kelurahan dari tiga kelurahan yang ada di Kecamatan Kotagede, sebuah kecamatan diujung timur Kota Yogyakarta yang terkenal dengan perak dan bekas kerajaan Mataram. Kelurahan Rejowinangun memiliki banyak potensi yang jika dikembangkan sungguh akan sangat luar biasa, meskpun saat ini yang terkenal baru Kebun Raya Kebun Binatang (KRKB) Gembiraloka yang lokasinya berada di wilayah Kelurahan Rejowinangun. Dengan adanya tempat wisata KRKB Gembiraloka di wilayah ini, berusaha mengembangkan wilayah kelurahan dengan potensi yang ada sehingga wisatawan selain mengunjungi Gembiraloka bisa singgah di kampung wisata ini._x000D_
</t>
  </si>
  <si>
    <t>Kauman Pakualaman Yogyakarta</t>
  </si>
  <si>
    <t xml:space="preserve">Pakualaman adalah sebuah kecamatan di Kota Yogyakarta, Provinsi Daerah Istimewa Yogyakarta, Indonesia. Kecamatan ini terletak di antara Sungai Code dan Sungai Manunggal. Nama 'Pakualaman' diambil dari Puro Paku Alaman, kediaman resmi Sri Paduka Pakualam yang terletak tepat di tengah-tengah kecamatan ini. Sebelumnya, Pakualaman bukan bagian kota Yogyakarta, melainkan Kabupaten Kota Pakualaman, yang dihapus setelah terbentuknya Pemerintah Kota Yogyakarta pada 1947._x000D_
</t>
  </si>
  <si>
    <t>Alun-alun Utara Keraton Yogyakarta</t>
  </si>
  <si>
    <t>Alun-alun utara atau dalam Bahasa Jawa disebut Alun-alun Lor merupakan salah satu land mark Kota Yogyakarta yang berupa sebuah tanah lapang yang berada di depan Keraton Yogyakarta. Disebut Alun-alun Lor karena di Kota Yogyakarta terdapat dua alun-alun yang letaknya di sebelah selatan dan utara dari Keraton Yogyakarta. Alun-alun Lor berbentuk persegi dengan luas 150 x 150 meter dengan dua pohon beringin besar berpagar yang berada di tengah alun-alun. Dua Pohon Beringin Besar itu masing-masing diberi nama Kyai Dewandaru dan Kyai Wijayandaru. Pada masa lalu di sekeliling Alun-alun Lor ditanam 63 Pohon Beringin yang melambangkan umur Nabi Muhammad SAW.</t>
  </si>
  <si>
    <t>Pantai Goa Cemara</t>
  </si>
  <si>
    <t>Pantai Goa Cemara (bahasa Jawa: ê¦¥ê¦±ê¦¶ê¦±ê¦¶ê¦‚â€‹ ê¦’ê¦¸ê¦®â€‹ ê¦•ê¦ºê¦©ê¦«, translit. Pasisir Guwa Cemaraâ€‹) adalah objek wisata pantai yang terletak di Dusun Patihan, Desa Gadingsari, Kecamatan Sanden, Kabupaten Bantul. Daerah Istimewa Yogyakarta. Pantai ini terletak tepatnya berdampingan dengan Pantai Samas dan Pantai Pandansari.\n\nPantai ini memiliki pasir berwarna hitam tapi lembut dengan ombak yang cukup besar kerakteristik pantai selatan. Pantai ini merupakan pantai pengembangan baru dimana terdapat banyak pohong Cemara udang rindang membentuk seperti goa, hal ini yang membuat pantai ini dinamai Goa Cemara. Pohon Cemara ini bertujuan untuk melindungi abrasi air laut dan menahan gumuk pasir supaya tidak mengalamai perpindahan akibat tiupan angin.</t>
  </si>
  <si>
    <t>Blue Lagoon Jogja</t>
  </si>
  <si>
    <t>Blue Lagoon adalah salah satu wisata air Jogja yang sudah sangat terkenal dan banyak dikunjungi oleh wisatawan dari berbagai daerah penjuru. Banyak yang menganggap bahwa Blue Lagoon sebagai surga wisata Jogja tersembunyi. Meskipun keindahan yang ditawarkan oleh tempat ini sangat mahal, namun untuk bisa menikmatinya kamu tidak perlu merogoh kocek dalam2. Karena budget untuk masuk ke area wisata ini tidak semahal yang ada di Islandia.</t>
  </si>
  <si>
    <t>Gumuk Pasir Parangkusumo</t>
  </si>
  <si>
    <t>Gumuk Pasir Parangkusumo (bahasa Jawa: ê¦’ê¦¸ê¦©ê¦¸ê¦ê§€â€‹ê¦¥ê¦±ê¦¶ê¦‚â€‹ê¦¥ê¦«ê¦â€‹ê¦ê¦¸ê¦±ê¦¸ê¦©, translit. Gumuk Pasir Parangkusuma) adalah objek wisata di Kabupaten Bantul, Yogyakarta, letaknya di sebelah barat Pantai Parangtritis, yaitu di Desa Parangtritis, Kecamatan Kretek, Kabupaten Bantul, Daerah Istimewa Yogyakarta. Gumuk Pasir ini memiliki sejumlah keistimewaan terkait dengan jumlahnya hanya terbatas di dunia.\nNama "Gumuk" berasal dari bahasa Jawa yang artinya gundukan-gundukan pasir yang terhampar luas. Gumuk Pasir Yogyakarta terbentuk dari material Gunung Merapi yang kemudian mengalami transportasi melalui Sungai Opak dan Sungai Progo yang kemudian terbawa ombak dan mengendap di pantai. Material yang mengendap kemudian mengering dan terbawa angin lalu terbang kedaratan sehingga mengalami proses deposisi menjadi Gumuk Pasir.</t>
  </si>
  <si>
    <t>Bukit Lintang Sewu</t>
  </si>
  <si>
    <t xml:space="preserve">Bukit Lintang Sewu ini berasal ketika pada saat malam hari di bukit ini terlihat ribuan bintang â€“ bintang yang membentang luas di angkasa. Dalam bahasa Jawa Bukit Seribu Bintang adalah Bukit Lintang Sewu (lintang: bintang, sewu: seribu). Pemandangan alam yang tidak kalah mempesona membuat Bukit Langit Sewu ini menjadi tempat favorit bagi pecinta alam. Pada saat menuju bukit, pengunjung akan disuguhkan dengan pepohonan pinus, tetapi saat sampai pengunjung akan disuguhkan panorama hutan Kayu Putih yang menjadi keunikan tempat wisata ini. Diatas pohon Kayu Putih ini juga terdapat Burung Alap-alap yang melintas diatas pohonnya. Selain itu pengunjung juga akan dimanjakan dengan deretan pegunungan seperti Gunung merbabu, Gunung Sumbing, Menoreh, dan Gunung Merapi._x000D_
</t>
  </si>
  <si>
    <t>Studio Alam Gamplong</t>
  </si>
  <si>
    <t>Studio Gamplong atau Studio Alam Gamplong adalah sebuah tempat wisata yang terletak di Desa Gamplong, Kecamatan Moyudan, Kabupaten Sleman. Tempat tersebut awalnya adalah tempat pengambilan gambar film Sultan Agung: Tahta, Perjuangan, Cinta dan Bumi Manusia karya Hanung Bramantyo. Tempat tersebut didirikan di atas lahan seluas 2,5 hektar. Tempat tersebut diresmikan oleh Presiden Joko Widodo pada 15 Juli 2018.</t>
  </si>
  <si>
    <t>Watu Lumbung</t>
  </si>
  <si>
    <t>Letak Kampung Edukasi Watu Lumbung yang berada di area perbukitan dipenuhi rerimbunan pohon jati, membuat pemandadangan dari tempat ini sangat indah sekali. Watu Lumbung dikonsep oleh M Boy Rifai sebagai tempat yang mengajarkan nilai-nilai edukasi, di mana Boy Rifai telah berhasil menyulap lahan tandus yang dulunya dibiarkan saja, kini menjadi tempat eksotis untuk menikmati malam maupun melihat sunset dan sunrise. Untuk menjaga keasrian di daerah sekitar tempat wisata pengelolah sengaja membangun area ini sebagai kawasan wisata yang selaras dengan alam.</t>
  </si>
  <si>
    <t>Air Terjun Kedung Pedut</t>
  </si>
  <si>
    <t>Air Terjun Kedung Pedut atau biasa disebut Curug Kedung Pedut berasal dari istilah bahasa Jawa. Curug yang berarti air terjun, kedung berarti kubangan atau kolam, dan pedut berarti kabut. Air Terjun Kedung Pedut merupakan salah satu wisata alam yang di Kulonprogo yang dikenal karena keindahan warna airnya.</t>
  </si>
  <si>
    <t>Puncak Kebun Buah Mangunan</t>
  </si>
  <si>
    <t xml:space="preserve">Berlibur di pegunungan memang menyenangkan. Dapat menikmati sejuknya udara serta pemandangan indah dari atas perbukitan. Wisata seperti ini dapat dinikmati di Bantul, tepatnya di Kebun Buah Mangunan. Beruntungnya Jogja dikaruniai bentang alam yang begitu indah. Ada pantai, gunung, bukit, serta kota dan budaya yang sangat menarik. Kebun Buah Mangunan hadir sebagai objek wisata yang begitu menarik minat wisatawan. Apalagi di pagi hari, pemandangannya tak ubahnya seperti negeri di atas awan._x000D_
</t>
  </si>
  <si>
    <t>Desa Wisata Gamplong</t>
  </si>
  <si>
    <t>Desa Wisata Gamplong adalah desa wisata kerajinan tenun yang berada di Padukuhan Gamplong Desa Sumber Rahayu Kecamatan Moyudan Kabupaten Sleman, Yogyakarta. Desa wisata yang terletak di sebelah barat Kota Yogyakarta ini cukup menarik untuk disinggahi wisatawan terlebih karena masih adanya industri kerajinan tenun tradisional dengan menggunakan Alat Tenun Bukan Mesin (ATBM). Dengan ATBM, masyarakat perajin Gamplong mampu menghasilkan kain tenun sebagai bahan stagen (kain panjang untuk melilit bagian perut wanita). Selain kerajinan tenun, perajin juga mampu memproduksi kerajinan anyaman untuk suvenir.</t>
  </si>
  <si>
    <t>Kawasan Wisata Sosrowijayan</t>
  </si>
  <si>
    <t>Tempat wisata Sosrowijayan memang selama ini dikenal sebagai Wisata Kampung bule, lokasinya sendiri berada di pusat kota Yogyakarta sehingga hampir tiap hari di lokasi ini banyak sekali pengunjungnya yang sangat padat. Bagi Anda yang ingin berkunjung ke sini, harus menggunakan kendaraan karena dari arah stasiun Tugu Anda tinggal berjalan selama 200 meter selanjutnya anda pun akan langsung menemukan daerah Sosrowijayan yang mempunyai tanda yaitu Sebuah Jalan Kecil menuju Barat dengan nama yang sama. Wisata unik sosrowijayan menjadi membagi dua daerah yaitu Sosrowijayan Wetan dan Sosrowijayan Kulon dan menjadi penghubung jalan Jogonegaran dan Jalan Malioboro. Akan tetapi untuk Sosrowijayan Wetan yang saat ini langsung terkenal sampai ke penjuru dunia dan dikenal sebagai Kampung turis kedua di Yogyakarta setelah Prawirotaman. Karena disebut Kampung bule maka disini pun anda akan melihat banyak sekali turis dari mancanegara yang menikmati suasana malam di Yogyakarta. Anda pun bisa melihat dua buah busuk seperti yang ada di daerah Prawirotaman ketika memasuki dan pertama. Di daerah ini banyak sekali buku yang dijual seperti novel berbahasa Inggris, buku kecil berbahasa Indonesia, dan beberapa buku yang berkualitas dan pastinya akan memberikan pendidikan bagi para pembacanya.</t>
  </si>
  <si>
    <t>Grojogan Watu Purbo Bangunrejo</t>
  </si>
  <si>
    <t>Objek wisata itu tak adalah Grojogan Watu Purbo yang berada di Bangunrejo, Merdikorejo, Kecamatan Tempel. Objek wisata itu sekitar setahun terakhir cukup populer di kalangan wisatawan karena memiliki pemandangan eksotis berupa air terjun yang memiliki enam tingkatan. Wisatawan yang datang rata-rata menjadikan air terjun itu sebagai latar untuk swafoto karena pemandangannya yang dinilai instagramable. Grojokan Watu Purbo ini tepatnya berlokasi di aliran Kali Krisak, yang merupakan jalur dari lahar dingin yang mengalir dari Gunung Merapi. Pemandangan kawasan ini eksotis karena dikepung pepohonan asri serta hamparan sawah. Munculnya air terjun atau grojogan ini berasal dari enam dam dengan ketinggian bervariasi tak lebih dari 10 meter.</t>
  </si>
  <si>
    <t>Wisata Alam Kalibiru</t>
  </si>
  <si>
    <t>Kalibiru sebenarnya adalah sebuah nama hutan yang saat ini diolah menjadi sebuah tempat wisata alam. Hutan Kalibiru memiliki ketinggian 450 mdpl dan berupa kawasan perbukitan yang subur. Suhu udara di tempat ini sangat sejuk. Kalibiru dikelola oleh pemerintah dan masyarakat setempat sebagai wisata alam dan edukasi. Ada banyak hal yang bisa didapatkan di sana, termasuk outbond, penginapan, dan beberapa spot untuk mencari foto kekinian. Ada juga jalur trekking yang juga bisa dijadikan lokasi camping.</t>
  </si>
  <si>
    <t>Jogja Exotarium</t>
  </si>
  <si>
    <t>Di Yogyakarta, tepatnya di Sleman, ada satu tempat wisata edukasi yang patut dikunjungi. Namanya adalah Jogja Exotarium â€” terdengar unik, kan? Namun sebenarnya, tempat ini merupakan taman hewan berskala kecil. Koleksi hewannya beragam dan bisa diajak berinteraksi secara langsung</t>
  </si>
  <si>
    <t>Puncak Gunung Api Purba - Nglanggeran</t>
  </si>
  <si>
    <t>Gunung Nglanggeran adalah sebuah gunung di Daerah Istimewa Yogyakarta, Indonesia. Gunung ini merupakan suatu gunung api purba yang terbentuk sekitar 0,6-70 juta tahun yang lalu atau yang memiliki umur tersier (Oligo-Miosen). Gunung Nglanggeran memiliki batuan yang sangat khas karena didominasi oleh aglomerat dan breksi gunung api. Gunung ini terletak di Desa Nglanggeran, Kecamatan Patuk, Kabupaten Gunung Kidul yang berada pada deretan Pegunungan Baturagung.</t>
  </si>
  <si>
    <t>Bendung Lepen</t>
  </si>
  <si>
    <t>Bendung Lepen sendiri dulunya merupakan saluran irigasi yang tidak sebersih sekarang ini. Sebelumnya, tempat ini merupakan saluran irigasi yang kumuh disertai taman desa yang tak terurus. Namun, kesadaran para pemuda akan kebersihan lingkungan mengubah kali (sungai/lepen) yang semula begitu kotor menjadi tempat wisata yang disenangi banyak orang. Bendung Lepen sekarang menjadi indah dan dipenuhi ikan nila dan gurame. Jika dulunya hanya menjadi taman wisata yang tidak terurus dan kumuh, sekarang ini Bendung Lepen menjadi destinasi wisata yang nyaman dikunjungi bersama keluarga. Bahkan di kala pandemi COVID-19 ini, Bendung Lepen tidak kekurangan peminat. Masih banyak anak-anak yang menikmati senja dengan riang sambil memberi makan ikan di kali. Tentunya ditemani oleh orang tuanya yang juga bisa mencuci mata melihat aliran air yang jernih dengan ikan warna-warni yang berenang di kali. Selain itu, banyak juga anak muda yang duduk-duduk di taman sembari menikmati udara sore yang sejuk ditemani segelas es teh.</t>
  </si>
  <si>
    <t>Bunker Kaliadem Merapi</t>
  </si>
  <si>
    <t>Bunker Kaliadem merupakan objek wisata yang terletak di lereng selatan Gunung Merapi. Destinasi wisata ini banyak menyimpan jejak erupsi gunung tersebut, terutama tahun 2006 dan 2010. Lokasi fenomenal tersebut berada di ketinggian lebih dari 2.000 meter di atas permukaan laut. Berada di Kabupaten Sleman, wisatawan diajak menyaksikan kegagahan Merapi dari jarak lima kilometer. Kawasan ini memadukan sejarah, keindahaan serta keunikan alam gunung merapi dengan fenomena vulkaniknya.</t>
  </si>
  <si>
    <t>Ledok Sambi</t>
  </si>
  <si>
    <t>Desa wisata Ledok Sambi merupakan desa yang mempunyai nuansa alami asli Jogja, yang berlokasi dekat dengan Gunung Merapi atau berada di Jl. Kaliurang Km. 19,2 Padukuhan Sambi Desa Pakembinangun Kec. Pakem Kabupaten Sleman Daerah Istimewa Yogyakarta. Pemandangan alam yang indah dapat memberikan kesejukan, kesegaran dan ketentraman hati. Sepanjang mata memandang di Desa wisata ini anda akan disuguhkan bentangan luasnya persawahan yang alami dan asri dan juga pepohonan yang hijau nan rindang serta kejernihan air yang dimiliki wilayah Desa Wisata Ledok Sambi. Rumah-rumah Tradisional khas Jogja yang luas dijadikan sebagai tempat bermain sambil menikmati udara sejuk yang menenangkan hati jiwa dan pikiran.</t>
  </si>
  <si>
    <t>Seribu Batu Songgo Langit</t>
  </si>
  <si>
    <t>Nama Seribu Batu Songgo Langit memiliki makna tersendiri. Sebelum jadi tempat wisata, di lokasi ini terdapat ratusan bahkan ribuan batu dan pastinya hutan pinus. Songgo langit berarti penyangga langit, hal ini dikarenakan di Seribu Baru Songgo Langit terdapat bukit yang seakan akan merupakan tiang dari langit .Seribu Batu Songgo Langit merupakan tempat wisata di kawasan Dlingo yang menawarkan berbagai macam atraksi wisata, namun kebanyakan adalah spot foto. Spot foto di Seribu Batu hampir semuanya anti mainstream. Anda akan menemui beberapa spot foto dalam empat bagian di tempat wisata ini. Memasuki gerbang Seribu Batu Songgo Langit anda diharuskan untuk menuruni tangga yang terbuat dari kayu untuk mencapai spot pertama. Spot pertama ini menawarkan rumah dongeng seribu kayu. Spot ini berbentuk rumah kecil-kecil yang menyerupai rumah kurcaci dalam dongeng. Terdapat tujuh buah rumah kurcaci yang ditata secara mengerucut sehingga akan menciptakan angle foto yang bagus.</t>
  </si>
  <si>
    <t>Goa Jomblang</t>
  </si>
  <si>
    <t>Gua Jomblang merupakan gua vertikal yang bertipe collapse doline. Gua ini terbentuk akibat proses geologi amblasnya tanah beserta vegetasi yang ada di atasnya ke dasar bumi yang terjadi ribuan tahun lalu. Runtuhan ini membentuk sinkhole atau sumuran yang dalam bahasa Jawa dikenal dengan istilah luweng. Itulah yang membuat unik karena di dalam gua terdapat luas mulut gua sekitar 50 meter ini sering disebut dengan nama Luweng Jomblang. Gua Jomblang terletak di Kabupaten Gunungkidul, DI Yogyakarta.\nSaat ini Gua Jomblang merupakan tempat konservasi tumbuhan purba dan dikembangkan menjadi tempat wisata minat khusus yang mana dikelola oleh penduduk atau warga setempat. Untuk menuruni gua vertikal ini pihak pengelola sudah menyediakan perlengkapan lengkap sesuai standar keselamatan caving di gua vertikal.\nSinar matahari yang menerobos masuk dari Luweng Grubug setinggi 90 meter membentuk satu tiang cahaya, menyinari flowstone yang indah serta kedalaman gua yang gelap gulita. Air yang menetes dari ketinggian turut mempercantik pemandangan. Tidak salah\njika banyak orang terkagum-kagum datang ke sini ketika menyaksikan lukisan alam yang dikenal dengan istilah "cahaya surga".</t>
  </si>
  <si>
    <t>Desa Wisata Rumah Domes/Teletubbies</t>
  </si>
  <si>
    <t>Kawasan desa teletubbies menjadi perhatian menarik berbagai media, sehingga menjadikan para wisatawan mulai berbondong-bondong datang kesana. Hingga sekarang kawasan ini menjadi objek wisata unik jogja yang menarik dikunjungi. Bagi kawan-kawan datawisata yang sedang berlibur atau berdomisili di Yogyakarta dan sekitar, coba deh rasakan sensasi wisata unik ini, setidaknya bisa dijadikan koleksi foto yang mengusung spot-spot kece instagenic. Mulanya objek wisata Rumah Domes merupakan bentuk bantuan dari NGO, kala itu Yogyakarta terkena musibah bencana alam gempa bumi. Di desa Nglepen setidaknya ada 80 bangunan mengusung desain rumah dome lengkap beserta fasilitas seperti warung makan, toilet umum, area parkir, tempat ibadah, rumah kesehatan dan balai desa yang kerap dimanfaatkan ketika ada hajatan atau acara budaya. Desa wisata Sumberharjo ini memiliki luas kurang lebih 2 hektar serta bangunan dibangun sejak tahun 2006. Selain disebut desa teletubbies, pemukiman disana juga sering disebut New Nglepen.</t>
  </si>
  <si>
    <t>Bukit Wisata Pulepayung</t>
  </si>
  <si>
    <t>Pule Payung Yogyakarta. Sebuah objek wisata populer yang menyajikan keindahan alam dari ketinggian 500 mdpl. Bukit Wisata Pule Payung Yogyakarta merupakan kawasan wisata yang dipenuhi dengan kreativitas yang tinggi, merubah zona biasa menjadi luar biasa. Daya tarik yang pertama dari Pule Payung Yogyakarta adalah objek wisata yang menyajikan pesona alam pegunungan. Sehingga, orang-orang menyebutnya dengan Bukit Wisata. Ketinggian Pule Payung Yogyakarta sekitar 500 mdpl, serta jalan menuju Pule Payung Yogyakarta dapat ditempuh dengan kendaraan roda dua, maupun roda empat. Pesona keindahan Waduk Sermo dapat terlihat jelas saat berada di Pule Payung. Waduk eksotis yang dikelilingi pegunungan yang masih asri. Dan Pule Payung Yogyakarta adalah bukit yang notabene sebagai destinasi wisata alam, diberikan sentuhan kreativitas, serta memprioritaskan aspek keamanan di setiap spotnya, akhirnya menjadi wisata favorit di Jogja.</t>
  </si>
  <si>
    <t>Bentara Budaya Yogyakarta (BBY)</t>
  </si>
  <si>
    <t>Bentara Budaya Yogyakarta adalah pusat budaya yang terletak di Yogyakarta, Indonesia. Bentara Budaya Yogyakarta dibuka pada 26 September 1982, didanai oleh Kompas Gramedia Group. Bentara Budaya Yogyakarta adalah cabang dari Bentara Budaya Jakarta, sebuah lembaga budaya yang dikelola oleh Kompas Gramedia Group yang juga memiliki beberapa pusat budaya di Jakarta, Surakarta (sebagai Balai Soedjatmoko), dan Bali.</t>
  </si>
  <si>
    <t>Goa Rancang Kencono</t>
  </si>
  <si>
    <t>Goa Rancang Kencono yang terletak di Padukuhan Menggoran, Desa Bleberan, Kecamatan Playen, Gunungkidul, Yogyakarta, merupakan salah satu goa yang yang dihuni manusia prasejarah hingga modern. Diperkirakan goa yang terletak di kawasan air terjun Sri Getuk ini sudah dihuni sejak 3000 tahun lalu. Dari buku Ragam Warisan Budaya dan Cagar Budaya Gunungkidul yang ditulis oleh Winarsih (Kepala Seksi Kepurbakalaan dan Permuseuman, Bidang Pelestarian Warisan dan Nilai Budaya, Dinas Kebudayaan Gunungkidul), Arkeologi UGM Yogyakarta pada tahun 2001 sudah pernah melakukan penelitian tersebut. Goa Rancang Kencono sudah dihuni manusia sejak 3000 tahun yang lalu dengan bukti temuan tulang manusia.</t>
  </si>
  <si>
    <t>Goa Cerme</t>
  </si>
  <si>
    <t>Gua Cerme (bahasa Jawa: ê¦’ê¦¸ê¦®â€‹ê¦•ê¦ºê¦‚ê¦©ê¦º, translit. Gua Cerme) adalah gua bersejarah dan sekaligus tempat wisata yang terletak di Dusun Srunggo, Desa Selopamioro, Kecamatan Imogiri, Kabupaten Bantul atau sekitar 20 km selatan Kota Yogyakarta. Gua Cerme memiliki panjang 1,5 km yang tembus hingga sendang di wilayah Panggang, yaitu di Dusun Ploso, Desa Giritirto, Kecamatan Purwosari, Kabupaten Gunungkidul.\nDi samping gua Cerme, di sekitarnya terdapat gua lain yang lebih kecil seperti Goa Dalang, Goa Ledek, Goa Badut dan Goa Kaum yang sering digunakan untuk bersemedi. Untuk mencapai gua, terdapat tangga setinggi 759 m. Kata cerme berasal dari kata ceramah yang mengisyaratkan pembicaraan yang dilakukan walisongo. Gua Cerme dulunya digunakan oleh para Walisongo untuk menyebarkan agama Islam di Jawa. Selain itu, Gua Cerme juga digunakan untuk membahas rencana pendirian Masjid Agung Demak. Setiap Senin atau Selasa wage, selalu diadakan upacara syukuran untuk meminta berkah kepada Tuhan.</t>
  </si>
  <si>
    <t>Wisata Kraton Jogja</t>
  </si>
  <si>
    <t>Kraton Jogja adalah sebuah komplek kerajaan yang berada tepat berdiri di tengah kota Yogyakarta. Kraton yang didirikan seiring perjanjian giyanti pada tahun 1755 yang memecah Kerajaan Mataram Islam menjadi Kerajaan Ngayogyakarta Surakarta ini menyimpan keindahan arsitektur jawa yang tidak diragukan lagi, dan merupakan salah komplek istana terbaik di tanah jawa. Keindahan Kraton Jogja ini tidak terlepas dari pendirinya, yaitu Sri Sultan Hamengkubuwono I yang merupakan arsitek dari kerajaannya ini. Apabila anda sedang wisata ke Kraton Jogja maka apabila anda dari Jalan Malioboro pertama anda akan disambut oleh Gapura Pangurakan yang berasitrektur jawa kental yang bersebelahan dengan bangunan-bangunan Hindia Belanda. Setelah memasukinya anda akan memasuki Alun-alun Utara yang memiliki area yang cukup luas. Di sekelilingnya terdapat Joglo-joglo tertutup yang disebut Gedhong dan terbuka yang dinamakan Tratag. Di area ini terdapat beberapa pilihan kuliner yang sangat pas anda kunjungi sebelum anda memasuki kompleks Kraton Yogyakarta, sehingga anda tidak merasa kelaparan.</t>
  </si>
  <si>
    <t>Desa Wisata Kelor</t>
  </si>
  <si>
    <t>Desa wisata Kelor merupakan salah satu desa yang ada di kabupaten Sleman yang saat ini sedang dikembangkan menjadi desa wisata. Desa wisata Kelor ini menawarkan suasana pedesaan yang penduduknya bermata pencaharian sebagai petani, peternak, dan budidaya jamur. Banyak tanaman hijau yang membentang luas dengan pemandangan alam yang asri. Desa wisata Kelor ini memiliki masyarakat yang ramah dan memiliki lingkungan desa yang sangat nyaman. Desa Kelor ini juga memiliki sungai, dan air di sungai tersebut masih jernih dan indah.</t>
  </si>
  <si>
    <t>Pantai Patihan</t>
  </si>
  <si>
    <t>Pantai ini terletak di daerah Srigading, Sanden dan cukup dekat dengan Pantai Goa Cemara. Tempatnya juga asyik banget buat foto-foto, nggak beda jauh dengan Pandasari.</t>
  </si>
  <si>
    <t>Pantai Kukup</t>
  </si>
  <si>
    <t>Pantai Kukup adalah salah satu pantai yang memiliki hamparan pasir putih yang terkenal di Kabupaten Gunung Kidul, Yogyakarta. Selain memiliki pemandangan pantai yang cantik, pantai ini juga memberikan keunikan tersendiri. Di pantai ini terdapat pulau Karang yang menjadi daya tarik utama bagi para wisatawan lokal atau mancanegara. Karena di pulau Karang ini para wisatawan dapat menikmati keindahan pantai yang sangat menawan. Pantai cantik ini berada di sebelah timurnya Pantai Baron, kurang lebih berjarak sekitar 1 km. Tepatnya berada di Desa Kemadang, Kecamatan Tanjungsari, Kabupaten Gunung Kidul, Yogyakarta. Pantai Kukup ini masih dalam satu barisan dengan Pantai Baron, Pantai Krakal, Pantai Sundak, Pantai Sepanjang dan pantai-pantai lainnya. Jarak dari Kota Jogja ke pantai ini sekitar 40 km sedangkan jarak dari Kota Wonosari sekitar 25 km.</t>
  </si>
  <si>
    <t>Pantai Ngrawe (Mesra)</t>
  </si>
  <si>
    <t>Kabupaten Gunungkidul jadi salah satu wilayah di Yogyakarta dengan koleksi pantai terbanyak. Tak terhitung jumlah pantai yang ada di sepanjang pesisir selatannya. Ada yang tetap alami, ada juga yang sengaja mendapat sentuhan agar lebih apik. Salah satunya adalah Pantai Ngrawe yang terletak di Kemadang, Gunungkidul. Sebagai pantai wisata, pantai yang juga terkenal dengan Pantai Mesra ini populer berkat kekuatan media sosial. Sementara pantai lainnya menawarkan keindahan alami, Pantai Ngrawe justru menyajikan konsep â€œtamanâ€ yang tidak biasa. Tertarik untuk mencoba berwisata di taman pinggir pantai? Pantai ini bisa jadi pilihan yang tepat!</t>
  </si>
  <si>
    <t>Pantai Ngobaran</t>
  </si>
  <si>
    <t>Pantai Ngobaran merupakan salah satu tempat wisata alam yang terletak di gugusan laut pantai selatan tepatnya di Desa Kanigoro, kecamatan Saptosari Kabupaten Gunungkidul Daerah Istimewa Yogyakarta 2 km dari pantai Ngrenehan.\nPantai ini sangat indah jika air surut maka tampaklah kolam kolam kecil yang terbentuk dari karang karang yang tertutp oleh alga (rumput laut yang hijau sebagai bahan baku kosmetik) dan terdapat banyak biota laut lainnya yang mungkin terjebak di kolam karang tersebut. Hal inilah yang menopanng kehidupan nelayan darat yakni para nelayan yang tidak memerlukan kapal atau perahu untuk mendapatkan hasil laut cukup beraktivitas dipinggir pantai. Biota laut yang sering di dapat adalah Lobster, landak laut, kerang-kerangan, bintang laut dan rumput laut itu sendiri tentunya .</t>
  </si>
  <si>
    <t>Pantai Pulang Sawal</t>
  </si>
  <si>
    <t>Pantai Pulang Sawal yang ada di Kecamatan Tepus bisa dicoba. Wisatawan lebih akrab dengan nama Indrayanti untuk merujuk pantai ini. Tidak hanya pengunjung lokal, wisatawan mancanegara pun terpikat dengan pesonanya.</t>
  </si>
  <si>
    <t>Pantai Baron</t>
  </si>
  <si>
    <t>Pantai Baron adalah salah satu objek wisata berupa pantai yang terletak di Desa Kemadang, Kecamatan Tanjungsari, Kabupaten Gunungkidul. Lokasi Pantai Baron dapat ditempuh 40 km daeri pusat kota Yogyakarta. Asal mula nama Pantai Baron berasal dari nama seorang bangsawan asal Belanda yang bernama Baron Skeber. Bangsawan tersebut pernah mendaratkan kapalnya di pantai selatan tepatnya di pantai yang saat ini terkenal dengan sebutan Pantai Baron. Jalan menuju objek wisata Pantai Baron cukup baik untuk dilalui kendaraan pribadi, sepeda motor dan bus.Objek wisata Pantai Baron merupakan pantai yang membentuk cekungan. Seperti pantai lainnya, di Pantai Baron tersedia aneka ikan laut beserta olahannya. Ikan yang biasanya dijual di Pantai Baron adalah udang windu, kakap, bawal putih dan tongkol. Pantai Baron memiliki fasilitas berupa tempat pelelangan ikan, wahana permainan anak-anak, perahu bermesin, dan toko cenderamata. Buah sirkaya, pisang tanduk, sirsak, dan berbagai macam cenderamata yang terbuat dari kerang laut. Cenderamata berbahan kerang yang banyak dijual di Pantai Baron adalah bros, tirai kerang, lampu hias, cermin berhias karang, figura, dan aneka karakter hewan yang juga terbuat dari kerang laut.Upacara sedekah laut adalah upacara yang masih sering dilakukan oleh masyarakat Gunungkidul. Pantai Baron adalah salah satu tempat untuk menyelenggarakan upacara sedekah laut tersebut. Upacara sedekah laut diselenggarakan setiap tanggal satu Syuro dalam penanggalan Jawa. Upacara sedekah laut dilakukan sebagai ungkapan rasa syukur penduduk setempat atas melimpahnya tangkapan ikan di Pantai Baron. Awalnya, sebagaian besar penduduk di sekitar Pantai Baron bukanlah nelayan melainkan petani yang mengolah kebun. Suatu ketika ada seseorang yang memulai menangkap ikan di pinggiran pantai dan mendapatkan banyak ikan, kemudian banyak penduduk yang mengikuti orang tersebut untuk menangkap ikan. Semakin lama, ikan di pinggir pantai semakin sedikit kemudian penduduk mencoba menangkap ikan ketengah laut menggunakan rakit kayu. Adanya kapal di pantai ini karena suatu ketika terjadi tragedi nelayan yang saat menangkap ikan di tengah laut digigit oleh ikan hiu maka kabar ini pun tersiar di mana-mana dan menjadikan pemerintah menyumbangkan perahu untuk nelayan Pantai Baron.Keunikan Pantai Baron adalah adanya sunga bawah tanah yang mengalir cukup deras ke arah lautan. Sungai bawah tanah tersebut mengalir ke arah laut dan membentuk sebuah sungai. Uniknya sungai bawah tanah yang ada di Pantai Baron adalah rasa airnya yang tawar meskipun berada sangat dekat dengan laut. Pengunjung yang tidak berani bermain dan berenang di laut dapat bermain air dan berenang dialiran sungai bawah tanah tersebut. Pemandangan lain yang ada di Pantai Baron adalah sebuah bukit yang berada di sekitar pantai. Pengunjung dapat menikmati keindahan pantai dari atas bukit tersebut.</t>
  </si>
  <si>
    <t>Pantai Pok Tunggal</t>
  </si>
  <si>
    <t>Pantai Pok Tunggal atau biasa disebut "the hidden paradise" (surga yang tersembunyi) adalah salah satu objek wisata yang ada di Yogyakarta tepatnya di Desa Tepus, Tepus, Gunung Kidul, Yogyakarta. Jika dihitung dari kota, maka jarak tempuhnya sejauh 80 km atau sekitar 2 jam perjalanan.\nNama Pantai Pok Tunggal diambil karena dipantai tersebut terdapat sebuah pohon duras tua yang berdiri kokoh hingga saat ini. Pantai ini dikelilingi oleh tebing perbukitan karst. Terdapat tebing-tebing karang yang ditumbuhi oleh pepohonan yang lebat dan didalamnya dihuni oleh kera-kera yang jinak. Uniknya, pantai ini memiliki aliran sungai air tawar dibawah tanah yang menjadi sumber kehidupan bagi masyarakat sekitar pantai. Layaknya pantai selatan lainnya, Pantai Pok Tunggal memiliki pasir putih yang halus dan membentang sepanjang pantai. Sampai saat ini Pantai Pok Tunggal masih terjaga kebersihan dan kealamiannya.\nPantai ini sangat ramai dikunjungi baik saat liburan maupun saat hari biasa. Terdapat banyak sekali aktivitas-aktivitas yang ditawarkan di Pantai Pok Tunggal, seperti diving, snorkeling, berenang, berkemah, berfoto di spot-spot foto yang indah, hingga aktivitas ekstrem seperti rock climbing.</t>
  </si>
  <si>
    <t>Hutan Pinus Asri</t>
  </si>
  <si>
    <t>Hampir semua kawasan di daerah Dlingo dan sekitarnya banyak ditumbuhi pohon pinus. Salah satunya adalah kawasan Hutan Pinus Asri yang ada di Dusun Karangasem. Karena keindahannya, tak heran jika banyak wisatawan datang untuk berfoto. Udara sejuk berkolaborasi dengan jajaran pohon pinus nan indah. Jika diperhatikan, pemandangan pohon pinus ini terlihat seperti pemandangan di Northwest Pacific. Apalagi, kabut tipis di pagi hari menyelimuti dengan tenangnya.</t>
  </si>
  <si>
    <t>Pasar Kebon Empring Bintaran</t>
  </si>
  <si>
    <t>Pasar Kebon Empring merupakan salah satu objek wisata di Kecamatan Piyungan yang menawarkan kuliner tradisional seperti sego atau nasi wader, jangan lombok, sego lele, sego welut, sego wiwit, tengkleng, sego mentel, geblek hingga dawet batok dan seruni. Harga yang ditawarkan relatif murah, mulai dari Rp3.000 sampai Rp17.000. Pasar Kebon Pring mulai dibuka untuk kunjungan wisatawan pada 17 Mei 2018. Dinamakan Pasar Kebon Empring karena hampir sekeliling objek wisata tersebut adalah pohon bambu atau empring dalam bahasa jawa. Lokasi tersebut mulai menjadi objek wisata awalnya karena banyak orang yang berswafoto di jembatan Kali Gawe dalam lokasi pasar Kebon Empring. Setelah jembatan Kali Gawe diresmikan pada Februari 2018, empat bulan kemudian warga setempat memanfaatkannya dan mengembangkan menjadi lokasi wisata dengan menambah sarana dan prasarana penunjang wisata seperti taman, destinasi swafoto, bale di atas Kali Gawe.</t>
  </si>
  <si>
    <t>Bukit Paralayang, Watugupit</t>
  </si>
  <si>
    <t>Bukit Paralayang Parangtritis merupakan tempat wisata di Yogyakarta, tempat ini mensajikan pemandangan pantai parangtritis dari atas bukit dengan ketinggian 900 mdpl dan pemandangan matahari terbenam. selain itu di bukit paralayang parangtritis terdapat olahraga ekstrem paralayang, bagi wisatawan yang tertarik,terdapat ahli yang mendampingi. Awalnya bukit ini hanya perbukitan biasa. Kemudian pada tahun 1991 dibuat landasan beton pertama yang digunakan untuk olahraga paralayang. Kemudian dilanjutkan pembangunan fasilitas pendopo, tangga, dan area parkir pada tahun 1998</t>
  </si>
  <si>
    <t>Kampung Wisata Dipowinatan</t>
  </si>
  <si>
    <t>Kampung Wisata Dipowinatan adalah sebuah kampung yang dikembangkan oleh Dinas Pariwisata Yogyakarta untuk tujuan pariwisata. Kampung tersebut merupakan salah satu dari 17 yang saat ini sedang dikembangkan oleh Pemerintah Kota Yogyakarta. Pepatnya, Kampung Dipowinatan terdapat di Kelurahan Keparakan, Kecamatan Mergangsan, Kota Yogyakarta. Keunggulan utama yang ditonjolkan oleh kampung itu adalah adanya konsep live in atau rekreasi yang berpadu dengan masyarakat sekitar sekaligus membaur dengan unsur budaya dan lokalitas masyarakat yang ada. Di dalam kampung tersebut, pengunjung akan disuguhi beberapa fasilitas unik seperti berkunjung ke rumah-rumah keluarga Jawa dengan mengenakan pakaian adat Jawa dan ditambah dengan adanya hiburan kesenian sekaligus sajian kuliner khas Jawa.</t>
  </si>
  <si>
    <t>Watu Mabur Mangunan</t>
  </si>
  <si>
    <t xml:space="preserve">Kawasan Tebing Watu Mabur ini terbilang belum lama dikenal oleh masyarakat. Hal ini memang terjadi karena dahulu potensi wisata di kawasan Mangunan belum dikembangkan sedemikian rupa. Dahulu Kawasan Tebing Watu Mabur merupakan kawasan yang digunakan untuk perkemahan. Area perkemahannya sendiri cukup luas yang bisa menampung puluhan tenda besar. Sampai sekarang kawasan perkemahannya masih ada, namun jarang digunakan untuk aktivitas perkemahan, karena di Yogyakarta begitu banyak spot untuk berkemah. Mengunjungi Tebing Watu Mabur tidak lengkap jika tidak mencoba beberapa spot fotonya yang sekarang sangat hits. Spot foto yang paling terkenal ialah jalan raya / landasan pacu yang ujungnya tepat menghadap jurang. Sehingga ketika anda foto di tempat ini seperti sedang berada di jalan yang tidak berujung._x000D_
</t>
  </si>
  <si>
    <t>Pintoe Langit Dahromo</t>
  </si>
  <si>
    <t>Pintu Langit Dahromo ini menyediakan berbagai spot selfie yang hitz dan instagramable dengan latar belakang panorama keindahan sebagian Kota Jogja yang istimewa. Adapun berbagai spot foto tersebut seperti spot foto rumah dengan bunga-bunga disekitarnya, pintu langit, gardu pandang yang berbentuk love, dan ada juga sayap capung. Pintu Langit Dahromo berlokasi di Jl. Dahromo, Karang Asem, Muntuk, Dlingo, Bantul, Daerah Istimewa Yogyakarta 55783. Tepatnya berada di jalur wisata perbukitan sebelah selatan bukit Lintang Sewu. Untuk mencapai Pintu Langit ini, rute perjalanan yang dilalui cukup mudah karena berada dekat dengan wisata lainnya.</t>
  </si>
  <si>
    <t>Green Village Gedangsari</t>
  </si>
  <si>
    <t xml:space="preserve">Wisata Green Village Gedangsari Gunungkidul merupakan wisata alam cukup menakjubkan, pesona alam berupa hamparan pepohonan hijau rindang serta udara sejuk, bahkan sekarang telah hadir loh wahana flying fox terpanjang se Asia Tenggara. Berada di dataran tinggi, pengunjung dapat menyaksikan panorama kota Jogja, Klaten hingga kota Solo. Beberapa kegiatan liburan menyenangkan dapat dilakukan ketika liburan di Green Village Gunungkidul. Sepanjang jalan setapak berawal dari gerbang masuk hingga lokasi puncak, tak perlu heran kalau banyak pengunjung berswafoto di sepanjang jalan. Hal tersebut mengingat pesona alam masih asri, sehingga sangat cocok dijadikan background berswafoto bareng keluarga, teman atau pun bareng pasangan. Tentu saja banyak pengunjung membawa tongkat selfie bahkan ada juga menggunakan pesawat drone demi merekam momen keseruan dan keindahan alam Gunungkidul melalui jepretan kamera._x000D_
</t>
  </si>
  <si>
    <t>Kebun Teh Nglinggo</t>
  </si>
  <si>
    <t>Wisata Kebun Teh Nglinggo adalah satu-satunya kebun teh yang berada di Yogyakarta. Sebenarnya kebun teh ini merupakan tempat mata pencaharian penduduk di sekitar Pagerhajo. Kemudian warga mempunyai ide untuk menjadikannya sebagai tempat wisata. Dengan pesona alamnya Kebun Teh Nglinggo menjadi objek wisata yang cukup terkenal di Kulon Progo. Kebun Teh Nglinggo terletak di wilayah Perbukitan Menoreh. Lokasinya di Desa Wisata Nglinggo, Nglinggo Barat, Pagerharjo, Samigaluh, Kabupaten Kulon Progo, DIY. Wisata ini menawarkan objek wisata berupa hamparan perkebunan teh dengan luas sekitar 136 hektare di ketinggian 900-1000 mdpl . Di sana pengunjung dapat melihat para pemetik daun teh dan dapat pula ikut memanen daun teh. Jika kurang puas pengunjung juga dapat naik hingga Puncak Kendeng Gunung Kukusan, dan akan dimanjakan dengan pemandangan alam yang memikat mata juga udara sejuk pegunungan yang masih alami . Dari puncak tersebut pengunjung akan disajikan dengan pemandangan delapan gunung besar yang ada di Jogja dan Jawa Tengah . Pengunjung juga bisa menjelajahi Kebun Teh Nglinggo dengan jeep ataupun motor trail. Meskipun buka dari pukul 06.00-18.00 WIB, tetapi Kebun Teh Nglinggo dapat dijadikan objek wisata untuk berburu sunrise. Karena pengunjung dapat bermalam di home stay sekitar. Untuk harga tiket masuk objek wisata Kebun Teh Nglinggo sebesar Rp 5000 per orang.</t>
  </si>
  <si>
    <t>Geoforest Watu Payung Turunan</t>
  </si>
  <si>
    <t>Bagi para pemburu keindahan matahari terbit yang tinggal atau berdomisili di Yogyakarta dan sekitarnya, Geoforest Watu Payung Turunan merupakan tujuan yang tepat. Keindahan matahari terbit, panorama alam, dan keunikan ornamen merupakan perpaduan sempurna yang tersaji di Geoforest Watu Payung Turunan. Tak hanya untuk memotret, obyek wisata ini juga pas untuk sekadar bersantai menikmati indahnya pagi.</t>
  </si>
  <si>
    <t>Pantai Timang</t>
  </si>
  <si>
    <t xml:space="preserve">Pantai Timang adalah objek wisata berupa pantai yaitu wilayah yang menjadi batas antara lautan dan daratan yang terletak di Kabupaten Gunungkidul, Daerah Istimewa Yogyakarta. Pantai Timang merupakan salah satu pantai di yogyakarta yang pasirnya berwarna putih. Pantai Timang terletak di antara Pantai Siung dan Pantai Sundak Gunungkidul. Aksesn menuju pantai ini cukup sulit, jalan ke arah pantai ini masih banyak yang belum diaspal karena lokasi pantai ini cukup terpencil. Keunikan pantai ini ialah terdapat sebuah pulau yang menjadi habitat lobster laut diseberang pantai._x000D_
</t>
  </si>
  <si>
    <t>Puncak Segoro</t>
  </si>
  <si>
    <t>Puncak Segoro menjadi destinasi wisata terbaru di Yogyakarta yang menawarkan sajian pesona sunset yang mempesona. Puncak Segoro Jogja sendiri berlokasi di pinggir pantai selatan Yogyakarta. Kenapa di beri nama Puncak Segoro, Karena lokasinya berada di atas lautan dengan lanscape pemandangan alam yang luar biasa. Berupa tebing tinggi yang menghadap ke laut kidul membuat keindahan panorama yang di sajikan begitu istimewa.</t>
  </si>
  <si>
    <t>Candi Borobudur</t>
  </si>
  <si>
    <t>Borobudur (bahasa Jawa: ê¦•ê¦¤ê§€ê¦ê¦¶â€‹ê¦§ê¦«ê¦§ê¦¸ê¦ê¦¸ê¦‚, translit. Candhi Barabudhur) adalah sebuah candi Buddha yang terletak di Borobudur, Magelang, Jawa Tengah, Indonesia. Candi ini terletak kurang lebih 100 km di sebelah barat daya Semarang, 86 km di sebelah barat Surakarta, dan 40 km di sebelah barat laut Yogyakarta. Candi berbentuk stupa ini didirikan oleh para penganut agama Buddha Mahayana sekitar tahun 800-an Masehi pada masa pemerintahan wangsa Syailendra. Borobudur adalah candi atau kuil Buddha terbesar di dunia, sekaligus salah satu monumen Buddha terbesar di dunia.\nMonumen ini terdiri atas enam teras berbentuk bujur sangkar yang di atasnya terdapat tiga pelataran melingkar, pada dindingnya dihiasi dengan 2.672 panel relief dan aslinya terdapat 504 arca Buddha. Borobudur memiliki koleksi relief Buddha terlengkap dan terbanyak di dunia. Stupa utama terbesar teletak di tengah sekaligus memahkotai bangunan ini, dikelilingi oleh tiga barisan melingkar 72 stupa berlubang yang di dalamnya terdapat arca Buddha tengah duduk bersila dalam posisi teratai sempurna dengan mudra (sikap tangan) Dharmachakra mudra (memutar roda dharma).\nMonumen ini merupakan model alam semesta dan dibangun sebagai tempat suci untuk memuliakan Buddha sekaligus berfungsi sebagai tempat ziarah untuk menuntun umat manusia beralih dari alam nafsu duniawi menuju pencerahan dan kebijaksanaan sesuai ajaran Buddha. Para peziarah masuk melalui sisi timur dan memulai ritual di dasar candi dengan berjalan melingkari bangunan suci ini searah jarum jam, sambil terus naik ke undakan berikutnya melalui tiga tingkatan ranah dalam kosmologi Buddha. Ketiga tingkatan itu adalah KÄmadhÄtu (ranah hawa nafsu), Rupadhatu (ranah berwujud), dan Arupadhatu (ranah tak berwujud). Dalam perjalanannya para peziarah berjalan melalui serangkaian lorong dan tangga dengan menyaksikan tak kurang dari 1.460 panel relief indah yang terukir pada dinding dan pagar langkan.\nMenurut bukti-bukti sejarah, Borobudur ditinggalkan pada abad ke-14 seiring melemahnya pengaruh kerajaan Hindu dan Buddha di Jawa serta mulai masuknya pengaruh Islam. Dunia mulai menyadari keberadaan bangunan ini sejak ditemukan 1814 oleh Sir Thomas Stamford Raffles, yang saat itu menjabat sebagai Gubernur Jenderal Inggris atas Jawa. Sejak saat itu Borobudur telah mengalami serangkaian upaya penyelamatan dan pemugaran (perbaikan kembali). Proyek pemugaran terbesar digelar pada kurun waktu 1975 hingga 1982 atas upaya Pemerintah Republik Indonesia dan UNESCO, kemudian situs bersejarah ini masuk dalam daftar Situs Warisan Dunia.Borobudur kini masih digunakan sebagai tempat ziarah keagamaan; tiap tahun umat Buddha yang datang dari seluruh Indonesia dan mancanegara berkumpul di Borobudur untuk memperingati Trisuci Waisak. Dalam dunia pariwisata, Borobudur adalah objek wisata tunggal di Indonesia yang paling banyak dikunjungi wisatawan.</t>
  </si>
  <si>
    <t>Candi Ijo</t>
  </si>
  <si>
    <t xml:space="preserve">Candi Ijo (bahasa Jawa: ê¦•ê¦¤ê§€ê¦ê¦¶â€‹ê¦†ê¦—ê¦ºê¦´, translit. Candhi Ijo) adalah sebuah kompleks percandian bercorak Hindu, berada 4 kilometer arah tenggara dari Candi Ratu Boko atau kira-kira 18 kilometer di sebelah timur kota Yogyakarta. Candi ini diperkirakan dibangun antara kurun abad ke-10 sampai dengan ke-11 Masehi pada saat zaman Kerajaan Medang periode Mataram._x000D_
</t>
  </si>
  <si>
    <t>Pantai Indrayanti</t>
  </si>
  <si>
    <t>Pantai Indrayanti menawarkan keindahan alam yang menakjubkan. Hamparan pasir dan birunya laut menjadi pesona yang tiada dua. Pantai Indrayanti merupakan salah satu tempat wisata Yogyakarta yang menjadi rekomendasi bagi wisatawan. Jika kamu merasa jenuh di Malioboro, pantai ini bisa menjadi pilihannya.</t>
  </si>
  <si>
    <t>Pantai Nglambor</t>
  </si>
  <si>
    <t>Pantai Nglambor adalah sebuah pantai eksotis yang terletak di Kelurahan Purwodadi, Kecamatan Tepus, Gunung Kidul, Daerah Istimewa Yogyakarta. Lokasinya persis di sebelah barat dari Pantai Siung dan sebelah timur dari Pantai Jogan. Jaraknya kurang lebih 74 km dari pusat kota Jogja, pantai ini menawarkan panorama pantai yang indah. Terdapat dua batu karang besar yang menyerupai kura-kura persis di depan teluknya.\nAir lautnya yang jernih menjadikan pengunjung bisa dengan leluasa melihat karang, rumput laut, ikan dengan berbagai warna berkejaran, dan aneka biota laut lainnya dari permukaan air. Para pengunjung pun bisa melakukan snorkeling dan berenang di pantai ini tanpa harus khawatir tergulung ombak besar karena memang lokasinya pantainya yang berada di teluk.Seringkali pengunjung berasal dari luar kota bahkan luar negeri, seperti turis dari Belanda, Prancis dan Singapura</t>
  </si>
  <si>
    <t>Pasar Beringharjo</t>
  </si>
  <si>
    <t>Pasar Beringharjo (bahasa Jawa: ê¦¥ê¦±ê¦‚ê¦§ê¦¼ê¦«ê¦¶ê¦ê¦²ê¦‚ê¦—, translit. Pasar Beringharjo) adalah pasar tertua dengan nilai historis dan filosofis yang tidak dapat dipisahkan dengan Keraton Yogyakarta. Beringharjo memiliki makna harafiah hutan pohon beringin yang diharapkan memberikan kesejahteraan bagi warga Yogyakarta. Pasar Beringharjo terletak di Jalan Jenderal Ahmad Yani nomor 16, Yogyakarta. Ada banyak jenis barang yang dapat dibeli di Pasar Beringharjo, mulai dari batik, jajanan pasar, uang kuno, pakaian anak dan dewasa, makanan cepat saji, bahan dasar jamu tradisional, sembako hingga barang antik.</t>
  </si>
  <si>
    <t>Museum Ullen Sentalu</t>
  </si>
  <si>
    <t xml:space="preserve">Museum Ullen Sentalu, (bahasa Jawa: ê¦©ê¦¸ê¦±ê¦¶ê¦ªê¦¸ê¦©ê§€â€‹ê¦ˆê¦­ê§€ê¦­ê¦ºê¦¤ê§€â€‹ê¦±ê¦¼ê¦¤ê§€ê¦ ê¦­ê¦¸, translit. Musiyum UllÃ¨n Sentalu) terletak di Kecamatan Pakem (Kaliurang), Kabupaten Sleman, Daerah Istimewa Yogyakarta, adalah museum yang menampilkan budaya dan kehidupan para bangsawan Dinasti Mataram (Kasunanan Surakarta, Kesultanan Yogyakarta, Praja Mangkunegaran, dan Kadipaten Pakualaman) beserta koleksi bermacam-macam batik (baik gaya Yogyakarta maupun Surakarta).\nMuseum ini juga menampilkan tokoh raja-raja beserta permaisurinya dengan berbagai macam pakaian yang dikenakan, baik untuk acara formal maupun untuk keseharian. \nNama Ullen Sentalu merupakan akronim dari bahasa Jawa: â€œULating bLENcong SEjatiNe TAtaraning LUmakuâ€ yang artinya adalah â€œNyala lampu blencong sebagai petunjuk bagi umat manusia dalam melangkah dan meniti kehidupanâ€. Falsafah ini diambil dari sebuah lampu minyak yang dipergunakan dalam pertunjukkan wayang kulit (blencong) yang merupakan cahaya yang selalu bergerak untuk mengarahkan dan menerangi perjalanan hidup kita. Museum ini didirikan oleh salah seorang bangsawan Yogyakarta yang dikenal sangat dekat dengan keluarga keraton Surakarta dan Yogyakarta.\nDi Museum Ullen Sentalu, dapat diketahui bagaimana para leluhur Jawa membuat batik yang memiliki arti dan makna yang mendalam di dalam setiap coraknya. Ada juga berbagai sejarah mengenai keadaan budaya Jawa dari masa Mataram Kuno hingga Mataram Islam dengan segala aturannya. Keadaan museum yang dibangun dengan baik mampu membuat pengunjung seperti terserap ke masa Jawa kuno yang mengagumkan._x000D_
</t>
  </si>
  <si>
    <t>Museum Gunung Merapi</t>
  </si>
  <si>
    <t>Museum Gunung Merapi (bahasa Jawa: ê§‹ê¦©ê¦¸ê¦±ê¦¶ê¦ªê¦¸ê¦©ê§€â€‹ ê¦’ê¦¸ê¦¤ê¦¸ê¦â€‹ ê¦©ê¦¼ê¦«ê¦¥ê¦¶ê§‰, translit. Musiyum Gunung Merapi) merupakan museum bersejarah yang terdapat di Yogyakarta tepatnya di Jln. Boyong, Dusun Banteng, Desa Hargobinangun, Kecamatan Pakem, Kabupaten Sleman, Daerah Istimewa Yogyakarta sekitar lima kilometer dari kawasan objek wisata Kaliurang. Museum Gunung Merapi telah diresmikan pada tanggal 1 Oktober 2009 oleh Menteri Energi dan Sumber Daya Mineral (ESDM), Purnomo Yusgiantoro.\nDengan luas bangunan sekitar 4,470 yang berdiri di atas tanah seluas 3,5 hektare, museum yang ke depan juga akan dilengkapi dengan taman, area parkir, dan plasa ini ingin dikenal masyarakat sebagai Museum Gunungapi Merapi dengan semboyan Merapi Jendela Bumi .\nMuseum Gunung Merapi ini dapat dijadikan sebagai sarana pendidikan, penyebarluasan informasi aspek kegunungapian khususnya dan kebencanaan geologi lainnya yang bersifat rekreatif-edukatif untuk masyarakat luas dengan tujuan untuk memberikan wawasan dan pemahaman tentang aspek ilmiah, maupun sosial-budaya dan lain-lain yang berkaitan dengan gunungapi dan sumber kebencanaan geologi lainnya. Museum Gunungapi ini diharapkan dapat menjadi solusi alternatif sebagai sarana yang sangat penting dan potensial sebagai pusat layanan informasi kegunungapian dalam upaya mencerdaskan kehidupan masyarakat, serta sebagai media dalam meningkatkan kesadaran dan kewaspadaan masyarakat tentang manfaat dan ancaman bahaya letusan gunungapi serta bencana geologi lainnya .</t>
  </si>
  <si>
    <t>Pantai Parangtritis</t>
  </si>
  <si>
    <t>Pantai Parangtritis (bahasa Jawa: ê¦¥ê¦±ê¦¶ê¦±ê¦¶ê¦‚ ê¦¥ê¦«ê¦ê¦ ê¦¿ê¦¶ê¦ ê¦¶ê¦±ê§€, translit. Pasisir Parangtritis) adalah tempat wisata yang terletak di Desa Parangtritis, Kretek, Kabupaten Bantul, Daerah Istimewa Yogyakarta. Jaraknya kurang lebih 27 km dari pusat Kota Yogyakarta. Pantai ini boleh terbilang adalah salah satu destinasi wisata terkenal di Yogyakarta dan paling favorit diantara para wisatawan sejak lama, bahkan Pantai Parangtritis telah menjadi ikon pariwisata di Yogyakarta. Pantai Parangtritis mempunyai nilai simbolis yang merupakan garis yang bersifat magis yang menghubungkan Panggung Krapyak, Keraton Yogyakarta, Tugu Yogyakarta dan Gunung Merapi yang dikenal sebagai Garis Imajiner Yogyakarta.\nPantai yang terletak di sisi timur Pantai Parangkusumo ini terkenal diantara para wisatawan karena memiliki legenda yang melekat dengan Ratu Kidul sebagai penguasa laut selatan dan keindahannya. Pantai ini merupakan pantai yang cukup luas di Yogyakarta, berbeda dengan pantai-pantai di kawasan Yogyakarta lainya seperti Pantai di Gunungkidul yang ukurannya relatif kecil.</t>
  </si>
  <si>
    <t>Goa Pindul</t>
  </si>
  <si>
    <t>Gua Pindul adalah objek wisata berupa gua yang terletak di Desa Bejiharjo, Kecamatan Karangmojo, Kabupaten Gunungkidul. Gua Pindul dikenal karena cara menyusuri gua yang dilakukan dengan menaiki ban pelampung di atas aliran sungai bawah tanah di dalam gua, kegiatan ini dikenal dengan istilah cave tubing.</t>
  </si>
  <si>
    <t>Candi Ratu Boko</t>
  </si>
  <si>
    <t>Situs Ratu Baka atau Candi Boko (Hanacaraka:ê¦•ê¦¤ê§€ê¦ê¦¶â€‹ê¦«ê¦ ê¦¸â€‹ê¦§ê¦, bahasa Jawa: Candhi Ratu Baka) adalah situs purbakala yang merupakan kompleks sejumlah sisa bangunan yang berada kira-kira 3 km di sebelah selatan dari kompleks Candi Prambanan, 18 km sebelah timur Kota Yogyakarta atau 50 km barat daya Kota Surakarta, Jawa Tengah, Indonesia. Situs Ratu Boko terletak di sebuah bukit pada ketinggian 196 meter dari permukaan laut. Luas keseluruhan kompleks adalah sekitar 25 ha.</t>
  </si>
  <si>
    <t>Pantai Depok Jogja</t>
  </si>
  <si>
    <t>Pantai Depok (bahasa Jawa: ê¦¥ê¦±ê¦¶ê¦±ê¦¶ê¦‚ ê¦ê¦ºê¦¥ê¦ºê¦´ê¦ê§€, translit. Pasisir DhÃ©pok) merupakan objek wisata pantai yang terletak di Kecamatan Kretek, Kabupaten Bantul, Daerah Istimewa Yogyakarta, sekitar tiga puluh kilometer di sebelah selatan Kota Yogyakarta. Pantai ini terkenal akan pasar ikannya yang ikannya merupakan hasil tangkapan nelayan Pantai Depok.</t>
  </si>
  <si>
    <t>Pantai Sundak</t>
  </si>
  <si>
    <t>Pantai Sundak merupakan salah satu pantai indah yang berada di Gunung Kidul tepatnya di dekat Pantai Indrayanti. Pantai ini berpasir putih dan memilii air yang masih bersih, bening, dan menyegarkan. Tetapi ombak di Pantai Sundak ini sangat besar, jadi jika anda ingin bermain air di Pantai Sundak diharapkan untuk berhati-hati. Selain bermain air anda juga bisa berjalan-jalan di tepi pantai sambil menikmati keindahan pantai ini. Jika anda berjalan di tepi pantai sampai sejauh 40 meter anda akan menemukan batu-batu karang kecil berjajar dan batu-batu karang tersebut adalah tempat persembunyian hewan-hewan laut yang kecil, tetapi harus tetap berhati-hati karena batu karang tersebut begitu tajam.</t>
  </si>
  <si>
    <t>Hutan Mangrove Kulon Progo</t>
  </si>
  <si>
    <t xml:space="preserve">Di sini ada kawasan wisata Hutan Mangrove Kulon Progo yang menyajikan keindahan alamnya. hutan Mangrove  ini memberikan pesona tersendiri selain pantai Glagah yang sudah menjadi primadona di Kulon Progo ini. Letak lokasi hutan mangrove  Kulon Progo ini sejatinya sudah masuk ke kawasan Pasir Mendit Kecamatan Temon Kulon Progo._x000D_
</t>
  </si>
  <si>
    <t>Jogja Bay Pirates Adventure Waterpark</t>
  </si>
  <si>
    <t>Jogja Bay Waterpark atau Jogja Bay (bahasa Jawa: ê¦ ê¦¼ê¦­ê¦¸ê¦ê§€ê¦”ê¦ªê¦ºê¦´ê¦’ê¦¾ 'Teluk Ngayogya') adalah salah satu taman wisata air atau waterpark terbesar di Asia Tenggara yang berlokasi di Yogyakarta, Indonesia. Taman wisata air ini dibuka secara resmi pada 20 Desember 2015.</t>
  </si>
  <si>
    <t>Pantai Sepanjang</t>
  </si>
  <si>
    <t>Siapa sangka, ternyata Yogyakarta pun punya â€œKutaâ€-nya sendiri Ialah Pantai Sepanjang, salah satu pantai di Kabuaten Gunungkidul. Daerah yang satu ini memang memiliki koleksi pantai cantik yang tak terhitung jumlahnya. Bahkan pantai ini digadang-gadang sebagai â€˜Kuta Tempo Doeloeâ€˜. Memang, pesona seperti apa yang ditawarkan pantai ini?</t>
  </si>
  <si>
    <t>Pantai Krakal</t>
  </si>
  <si>
    <t>Pantai krakal merupakan pantai strategis untuk singgah, selain bisa menikmati panorama laut, wisatawan juga bisa mencicipi kuliner laut. Terdapat icon berupa bangunan berbentuk ikan diatas bukit yang sering dijadikan tempat foto.</t>
  </si>
  <si>
    <t>Pantai Glagah</t>
  </si>
  <si>
    <t>Pantai Glagah Indah adalah salah satu pantai yang menjadi objek wisata di provinsi Daerah Istimewa Yogyakarta. Pantai Glagah Indah merupakan salah satu pantai di Yogyakarta dengan hamparan pasir yang berwarna hitam dan banyak mengandung pasir besi. Pantai Glagah Indah memiliki akses yang baik</t>
  </si>
  <si>
    <t>Pantai Siung</t>
  </si>
  <si>
    <t>Pantai Siung adalah suatu objek wisata pantai yang terletak di Kec. Tepus, tepatnya berada di Dusun Duwet, Kelurahan Purwodadi, Kecamatan Tepus, Kabupaten Gunungkidul, provinsi Daerah Istimewa Yogyakarta. Lokasinya berjarak kurang lebih 75 km dari kota Yogya dan memiliki jalur panjat tebing dengan 250 jalur berstandar internasional.\nDi sepanjang perjalanan menuju lokasi pantai, Anda akan disuguhi pemandangan bukit kapur yang ditumbuhi pohon-pohon jati. Jalan yang berkelok-kelok dan menaik, merupakan tantangan yang harus Anda lewati sebelum mencapai Pantai Siung. Akan tetapi, perjalanan yang melelahkan akan terbayar ketika Anda sudah berada di kawasan Pantai Siung. Pantai dengan hamparan pasir putih dan suara deburan ombak, akan membuat suasana hati dan pikiran Anda tenang dan damai.\nKarena pantai ini sangat terpencil, fasilitas yang tersedia masih minim. Untuk akomodasi penginapan belum tersedia di sini, tetapi jika Anda ingin bermalam di Pantai Siung, Anda bisa menggunakan pondok pemanjat yang bentuknya mirip rumah panggung dengan kapasitas kurang lebih sekitar 20 orang. Jika Anda ingin bermalam dengan suasana alam, anda bisa membawa tenda sendiri yang bisa Anda gunakan di area camping ground.\nJika Anda dari Kota Yogyakarta, Anda bisa menggunakan jalur Yogyakarta-Wonosari-Tepus-Purwodadi-Pantai Siung. Jika Anda menggunakan transportasi umum, Anda dapat menggunakan bus dari Terminal Giwangan Yogyakarta dengan menggunakan bus jurusan Jogja-Wonosari. Sampai di terminal Wonosari, Anda dapat menggunakan angkutan umum jurusan Wonosari-Jepitu. Sesampai Pertigaan Balai Desa Purwodadi, Anda bisa menggunakan jasa ojek, karena hanya itu transportasi umum yang bisa digunakan sampai ke Pantai Siung.</t>
  </si>
  <si>
    <t>Pantai Sadranan</t>
  </si>
  <si>
    <t>Pantai Sadranan Jogja adalah butiran intan permata tersembunyi yang tiba-tiba memunculkan diri, dari dalam tumpukan harta karun deretan pantai pantai indah di Jogja. Seperti halnya pantai-pantai lain di kawasan Selatan Jogja, Pantai Sadranan juga memiliki ciri khas pasir putih dengan karang koral di area sangaet dekat dengan bibir pantai. Pasir putih ini mengingatkan pada Pantai terkenal semacam Kuta di Bali dan Mandalika di Lombok. Namun pantai di gunung kidul ini punya kelebihan dari 2 pantai terkenal itu, yaitu terdapatnya koral karang di pantai. Selain itu, pantai ini juga masih terbilang sepi. Kedua kelebihan ini, membuat pengunjung benar-benar bisa menikmati keasrian pantai tanpa harus terganggu hiruk pikuknya manusia.</t>
  </si>
  <si>
    <t>Pantai Nguluran</t>
  </si>
  <si>
    <t>Di pantai Nguluran anda hanya bisa melihat hamparan laut luas serta spot foto. Semua fasilitas itu adanya di atas tebing. Sekitar belasan meter dari permukaan air pantai. Spot favorit di resort pantai ini adalah teras kaca. Teras kaca ini dapat dijadikan spot selfie dengan latar belakang pantai. Pengunjung akan mendapatkan foto yang sangat bagus dan indah untuk dipajang di IG, FB, atau media sosial lain. Apalagi jika foto diambil saat sunset. Saat berfoto di teras kaca, pengunjung akan merasakan sensasi yang menegangkan. Sensasi tegang ini timbul akibat teras kaca yang tepat berdiri di atas pinggir laut. Sensasi yang timbul seperti berjalan di atas seutas tali pada ketingian belasan meter di atas air laut. Namun tidak perlu kuatir, pihak pengelola menjamin keselematan para pengunjung, sepanjang tidak melanggar peraturan yang sudah di buat pihak pengelola.</t>
  </si>
  <si>
    <t>Pantai Samas</t>
  </si>
  <si>
    <t>Pantai Samas (bahasa Jawa: ê¦¥ê¦±ê¦¶ê¦±ê¦¶ê¦‚â€‹ê¦±ê¦©ê¦±ê§€, translit. Pasisir Samas) merupakan salah satu pantai yang berada di deretan pantai sebelah timur Pantai Parangtritis. Lokasi Pantai Samas kurang lebih 14 km arah selatan Kota Bantul atau sekitar 35 km dari pusat Kota Yogyakarta, tepatnya di Desa Srigading, Kecamatan Sanden, Kabupaten Bantul, Daerah Istimewa Yogyakarta.</t>
  </si>
  <si>
    <t>Pantai Drini</t>
  </si>
  <si>
    <t>Pantai Drini adalah salah satu objek wisata yang terletak di Desa Banjarejo, Kecamatan Tanjungsari,Gunungkidul, Yogyakarta. Letaknya di sebelah timur Pantai Baron dan berjarak sekitar 1 km ke arah timur Pantai Sepanjang. Namun jarak sebenarnya yang harus ditempuh untuk sampai ke pantai ini sejauh 60 km atau sekitar 2-3 jam dari Kota Yogyakarta. Infrastruktur menuju ke Pantai Drini cukup mulus, walaupun jalan masuk untuk sampai ke pantai ini cukup terjal dan berkelok-kelok. Pantai Drini merupakan pantai yang langsung berhadapan dengan Samudra Hindia. Pantai ini memiliki lereng pantai yang cukup curam sekitar 10 derajat dan merupakan bagian dari Wonosari yang didominasi oleh batuan karst dari Gunung Sewu. Pantai ini belum banyak terjamah oleh wisatawan lokal maupun asing, karena letaknya yang berada di daerah terpencil. Sehingga, Pantai Drini ini dikenal dengan nama Pantai Perawan. Sebutan ini digunakan oleh masyarakat setempat karena kondisi Pantai Drini yang masih bersih, udara yang sejuk, air yang terasa dingin ditambah dengan hamparan pasir putih yang mempesona dan aliran airnya yang tidak seganas Pantai Parangtritis Pantai ini memiliki sebuah tebing besar yang berada di tengah-tengah pantai dan membagi pantai ini menjadi dua sisi, yaitu sisi barat dan sisi timur . Tebing ini terlihat begitu indah sehingga membuatnya seolah-olah seperti pulau kecil yang terapung di tengah pantai. Di atas karang ini dibangun mercusuar dimana dari menaranya mata kita akan dimanjakan dengan pemandangan yang luar biasa indahnya.. Di pantai ini pengunjung juga dapat melihat dengan jelas rumput-rumput laut di antara karang-karang laut dan biota laut lainnya.</t>
  </si>
  <si>
    <t>Air Terjun Sri Gethuk</t>
  </si>
  <si>
    <t>Air Terjun Sri Gethuk merupakan salah satu objek wisata alam yang terletak di Kecamatan Playen, Kabupaten Gunungkidul, Yogyakarta. Air terjun ini berada di tepi Sungai Oyo sehingga untuk menikmatinya harus menyelusuri sungai dengan rakit. Sepanjang perjalanan akan disuguhi pemandangan berupa tebing tebing kapur dikanan-kiri dan rimbunnya pepohonan. Jika di musim kemarau, air sungai akan sangat jernih berwana kehijauan dan tenang.\nAir terjun Sri Gethuk ini memiliki 3 sumber mata air yaitu mata air Ngandong, Dong Poh, dan Ngumbul. Ketiga mata air ini berkumpul dan mengalir melalui tebing tinggi hingga membentuk air terjun Sri Gethuk. Air Terjun Sri Gethuk memiliki tinggi sekira 25 meter dengan 3-5 terjunan air terjun tergantung musim. Air yang tak pernah kering itu jatuh tak membuat kolam namun langsung merayapi bebatuan kapur yang rapi di tepi sungai. Air terjun ini sedang dalam tahap pengembangan untuk menjadi destinasi wisata andalan Kabupaten Gunungkidul selain dari pantai dan pegunungan karst.\nAir Terjun Sri Gethuk juga disebut sebagai Air Terjun Slempret. Nama Slempret sendiri berasal dari legenda yang ada di Desa Bleberan. Menurut cerita yang beredar di masyarakat, air tejun ini merupakan pusatnya para jin dengan pimpinan Jin Anggo Menduro. Air terjun ini bermula dari tiga sumber mata air yaitu Kedungpoh, Ngandong, dan Ngumbul. Ketiga sumber mata air tersebut mengalir menjadi satu dan membentuk butiran-butiran air yang jatuh dari tebing bebatuan karst yang tandus.</t>
  </si>
  <si>
    <t>Candi Sewu</t>
  </si>
  <si>
    <t>Candi Sewu atau Manjusrighra (Hanacaraka:ê¦•ê¦¤ê§€ê¦ê¦¶â€‹ê¦±ê¦ºê¦®ê¦¸, Jawa: Candhi SÃ¨wu) adalah candi Buddha yang dibangun pada abad ke-8 Masehi yang berjarak hanya delapan ratus meter di sebelah utara Candi Prambanan. Candi Sewu merupakan kompleks candi Buddha terbesar kedua setelah Candi Borobudur di Jawa Tengah. Candi Sewu berusia lebih tua daripada Candi Borobudur dan Prambanan. Meskipun aslinya memiliki 249 candi, oleh masyarakat setempat candi ini dinamakan "Sewu" yang berarti seribu dalam bahasa Jawa. Penamaan ini berdasarkan kisah legenda Loro Jonggrang.\nSecara administratif, kompleks Candi Sewu terletak di Dukuh Bener, Desa Bugisan, Kecamatan Prambanan, Kabupaten Klaten, Provinsi Jawa Tengah.</t>
  </si>
  <si>
    <t>Pantai Wediombo</t>
  </si>
  <si>
    <t>Pantai Wediombo (O Jawa: Wedhiamba) adalah sebuah pantai yang berada di Desa Jepitu, Girisubo, Gunungkidul di dekat Pantai Siung, berjarak 80 km dari kota Yogyakarta. Pantai tersebut meliputi sebuah teluk yang dikelilingi pegunungan batu karang dan pasir putih. Di tengah laut, batu karang tampak menonjol. Tempat tersebut juga dipakai untuk selancar. Ketinggian ombak dapat mencapai 3-4 meter. Pantai Wediombo menghadap ke barat dan matahari berada di sisi selatan (pada November-Mei). Dari pantai ini, orang-orang dapat melihat matahari terbenam pada waktu sore. Selin untuk berselancar, Wediombo juga memiliki kolam alami sampai perairan tanpa ombak. Ada pula tempat untuk snorkeling. Wediombo masuk salah satu dari 13 tempat yang masuk Cagar Alam Dunia UNESCO Gunung Sewu.</t>
  </si>
  <si>
    <t>Pantai Jogan</t>
  </si>
  <si>
    <t>Pantai Jogan adalah objek wisata pantai yang terletak di Dusun Duwet, Purwodadi, Tepus, Kabupaten Gunungkidul, Daerah Istimewa Yogyakarta. Lokasinya berjarak kurang lebih 74 km dari Pusat kota Yogyakarta. Pantai ini terletak di jajaran pegunungan Gunungkidul, yang memberikan pemandangan alam tebing dan air terjun yang mengarah ke laut lepas.</t>
  </si>
  <si>
    <t>Pantai Ngrenehan</t>
  </si>
  <si>
    <t>Pantai Ngrenehan merupakan\npantai nelayan. Terletak di desa Kanigoro\nKecamatan Saptosari kurang lebih 30 km di sebelah selatan kota Wonosari. Suatu pantai berupa teluk yang dikelilingi hamparan perbukitan kapur dan memiliki panorama yang sangat memukau dengan deburan ombak menerpa pasir putih. Para wisatawan dapat menyaksikan aktivitas kegiatan nelayan dan menikmati ikan siap saji atau membawa ikan segar sebagai oleh-oleh.</t>
  </si>
  <si>
    <t>Pantai Jungwok</t>
  </si>
  <si>
    <t>Pantai Jungwok adalah pantai yang terletak di Desa Jepitu, Kecamatan Girisubo, Kabupaten Gunungkidul, Daerah Istimewa Yogyakarta. Pantai Jungwok merupakan salah satu pantai yang memiliki panorama yang indah dengan pasir putih yang khas dari pantai di Gunung Kidul. Pantai Jungwok terletak di sebelah Timur Pantai Wediombo dan di sebelah Barat Pantai Ngusalan. Jarak Pantai Jungwok dari Kota Wonosari sekitar 40 km. Akses jalan menuju Pantai Jungwook masih cukup sulit, itu dikarenakan jalan yang masih belum diaspal. Pantai Jungwok sering menjadi destinasi wisata karena tempatnya yang nyaman untuk berkemah.</t>
  </si>
  <si>
    <t>Pantai Greweng</t>
  </si>
  <si>
    <t>Di Kabupaten Gunungkidul, tidak sulit memilih pantai yang masih sepi dan indah. Pantai Greweng yang berada di Kecamatan Girisubo adalah satu di antaranya. Tidak hanya cantik, pantai ini juga dikenal sebagai destinasi untuk berkemah. Namun, siapkan energi lebih untuk mencapai lokasinya yang terpencil.</t>
  </si>
  <si>
    <t>Pantai Sedahan</t>
  </si>
  <si>
    <t>Pantai Sedahan ini memiliki garis pantai yang cukup panjang dan cukup luas untuk dijadikan sebagai arena bermain. Pada kedua sisi pantai, terdapat tebing karang yang mengapit pantai ini dan menjorok ke tengah laut. Pantai Sedahan mempunyai deburan ombak yang khas laut selatan dan hamparan pasir putih dengan butiran butiran yang halus. Air Biru kehijauan yang bening, segar, dan berkilauan teritampa cahaya matahari akan menghipnotis siapa pun untuk bermain air dan menceburkan diri di pantai tersebut. Tetapi pengunjung harus tetap berhati hati karena pantai selatan selalu berarus dan berombak kuat, maka para pengunjung tidak disarankan untuk berenang terlalu jauh dari daratan. Pantai Sedahan ini juga dikenal oleh banyak orang sebagai lokasi memancing yang menyenangkan. Banyak pengunjung yang rela dan menyempatkan datang jauh jauh hanya untuk memancing ikan di Pantai Sedahan ini.</t>
  </si>
  <si>
    <t>Pantai Watu Kodok</t>
  </si>
  <si>
    <t>Pantai Watu Kodok merupakan salah satu pantai yang ada di Gunung Kidul. Pantai Watu Kodok ini memiliki pasir putih dan air laut yang masih berwarna biru yang sangat indah. Di pantai ini terdapat beberapa batu karang yang terjal, batu tersebut menjadi daya tarik para wisatawan dan keunikan bagi pantai itu sendiri. Dan suasana pantai yang masih alami juga menjadikan pantai ini menjadi daya tariknya, tetapi pantai ini masih tergolong pantai baru jadi masih belum banyak wisatawan. Pantai Watu Kodok ini sangat cocok bagi Anda yang ingin menghabiskan waktu liburan bersama keluarga.</t>
  </si>
  <si>
    <t>Pantai Kesirat</t>
  </si>
  <si>
    <t>Pada umumnya pantai identik dengan pasirnya bukan, namun pantai kesirat memiliki keunikan tersendiri yang akan anda temukan disini. Pantai kesirat tidak memiliki pasir namun anda akan menemukan tebing tebing yang memeiliki struktur yang cantik kemudian anda kana menikmati pantai di atasnya, tempat ini juga sangat cocok untuk menikmati sunset. Keindahan pantai ini membuat semua orang tidak bisa melupakannya seperti janji mantan hehee.. pantai kesirat memiliki spot spot foto yang instagramable banget cocok sekali untuk kamu yang suka berfoto. Keunikan lain yang menjadi ciri khas dari wisata Pantai Kesirat adalah hadirnya sebuah pohon yang tampak berdiri kokoh yang menjadi ikon dari tempat wisata ini. Banyak wisatawan yang memanfaatkan pohon ini sebagai latar belakang foto mereka.</t>
  </si>
  <si>
    <t>Pantai Ngandong</t>
  </si>
  <si>
    <t>Pantai Ngandong terletak di Desa Sidoarjo, Kecamatan Tepus, Kabupaten Gunung Kidul, Yogyakarta. Pantai ini sebenarnya tidak jauh dari Pantai Indrayanti yang lebih terkenal dahulu, tepatnya terletak di sebelah barat laut dari pantai Indrayanti. Pantai Ngandong termasuk pantai yang kecil namun mempunyai ciri khas tersendiri yang menjadi daya tarik bagi wisatawan. Meskipun demikian belum banyak wisatawan yang mengetahui destinasi wisata pantai ini. Pantai ini ramai penunjung ketika musim liburan, namun sepi ketika hari-hari biasa.</t>
  </si>
  <si>
    <t>Galaxy Waterpark Jogja</t>
  </si>
  <si>
    <t>Galaxy Waterpark adalah taman rekreasi air yang berdiri di atas lahan seluas 2,5 hektar ini sangat cukup untuk menampung pengunjung di waktu liburan. Dengan lokasi yang sangat luas banyak wahana dan fasilitas yang bisa kamu nikmati. Di tempat ini juga tersedia beberapa kolam, dari kolam anak sampai kolam dewasa. Selain itu fasilitas yang disediakan pengelolapun juga terbilang lengkap untuk mendukung kenyamananmu saat berlibur.</t>
  </si>
  <si>
    <t>Desa Wisata Pulesari</t>
  </si>
  <si>
    <t>Desa Wisata Pulesari semakin menambah deretan profil desa wisata di Jogja yang lahir dari kesadaran masyarakat, atas potensi lokal yang dimiliki. Baik itu dari sisi ragam budaya, pesona alam sekitar, kazanah kuliner, maupun nilai sejarah, dan budaya yang ada. Semuanya dikemas dalam sebuah keseruan wisata. Lokasi Desa Wisata Pulesari berada di Kabupaten Sleman, Daerah Istimewa Yogyakarta (DIY), yang notabene sebagai kabupaten yang dianugerahi banyak sekali tempat wisata. Kehadiran Desa Wisata Pulesari seakan menjadi penambal dari puzle wisata yang belum lengkap. Dan inilah review Desa Wisata Pulosari sebagai referensi awal untuk menentukan lokasi liburan nanti.</t>
  </si>
  <si>
    <t>Desa Wisata Tembi</t>
  </si>
  <si>
    <t>Desa Wisata Tembi, merupakan satu dari sekian desa wisata yang sukses menata kawasannya, sehingga menjadi sebuah kawasan yang layak untuk dikunjungi. Potensi alam, sejarah, serta potensi budaya yang dimiliki Desa Wisata Tembi memang sangat pas untuk dijadikan sebuah desa wisata. Apalagi jarak Desa Wisata Tembi tidak jauh dari pusat kota Jogja. Ternyata, pesona keindahan Desa Wisata Tembi tidak hanya terbatas pada dua hal tersebut saja. Dan inilah info lengkap Desa Wisata Tembi, sebagai referensi awal menentukan lokasi wisata saat liburan nanti. Lokasi Desa Wisata Tembi terletak satu arah menuju Parangtritis. Alamat Desa Wisata Tembi berada di Desa Tembi, Kecamatan Sewon, Kabupaten Bantul, Daerah Istimewa Yogyakarta.</t>
  </si>
  <si>
    <t>Wisata Kaliurang</t>
  </si>
  <si>
    <t>Jogja selalu menarik untuk dikulik, terlebih tempat wisatanya. Berbagai wisata tersedia di Jogja, mulai dari wisata buatan hingga wisata alam. Seperti halnya Taman Wisata Kaliurang, yang memadukan unsur alam dengan taman rekreasi. Taman rekreasi ini berada di kawasan lereng Gunung Merapi. Bukan hal aneh jika objek wisata ini sangat sejuk. Menghabiskan waktu untuk berlibur di sini merupakan pilihan yang tepat.</t>
  </si>
  <si>
    <t>Heha Sky View</t>
  </si>
  <si>
    <t>HeHa Sky View adalah salah satu tempat wisata terbaru di Yogyakarta dan paling hits saat ini. Mau foto estetik ala selebgram atau berfoto di atas rooftop berlantai kaca? Bisa! .Terletak di Yogyakarta yang romantis, Heha Sky View adalah tempat wisata yang punya tiga ciri khas. Berdasarkan akun Instagram milik mereka, tiga hal yang menjadi ciri utama Heha Sky View adalah selfie, resto, dan food stalls. Ada banyak penjual makanan kekinian berkonsep kontainer untuk kamu yang suka memanjakan lidah. Dan kalau ingin menambah stok swafoto ada banyak spot Instagrammable yang patut dicoba.</t>
  </si>
  <si>
    <t>Taman Sungai Mudal</t>
  </si>
  <si>
    <t>Taman Sungai Mudal, sebuah objek wisata alam terbuka yang terletak di Kabupaten Kulon Progo, yang menawarkan pesona sebuah kolam pemandian yang bersumber dari mata air alami. Mata airnya bersumber dari sebuah goa, sehingga kehadiran Taman Sungai Mudal menjadi mengesampingkan kesan angker dari sebuah goa. Apalagi ditambah dengan dukungan fasilitas yang membuat para wisatawan merasa nyaman saat berada di sana. Taman Sungai Mudal menjadi salah-satu wisata Kulon Progo yang selalu menjadi destinasi utama saat liburan tiba. Salah-satu alasan utamanya dikarenakan Taman Sungai Mudal mampu menjadi destinasi wisata keluarga yang menyenangkan.</t>
  </si>
  <si>
    <t>Pantai Sanglen</t>
  </si>
  <si>
    <t>Pantai Sanglen. Lokasinya berada di Desa Kemadang, Gunung Kidul. Pantai indah yang satu ini memang terdengar asing di telinga, namun ternyata pantai ini menyimpan keindahan yang sangat menenangkan. Keadaan ombaknya diam-diam menghanyutkan membuat kita harus berhati-hati jika ingin bermain air ketika sedang pasang, namun ketika surut kamu dapat bemain ombak di sekitar pantainya. Tak jauh dari area pantai terdapat sebuah bukit dengan hiasan pepohonan yang masih rindang serta berwarna hijau alam, kamu dapat naik ke atas bukit melalui tangga yang sudah disediakan.</t>
  </si>
  <si>
    <t>Pantai Congot</t>
  </si>
  <si>
    <t>Selain Pantai Glagah dan Pantai Trisik, ternyata masih ada satu lagi pantai yang berada di Kulon Progo. Yakni Pantai Congot, pantai yang satu ini terkenal sebagai surganya memancing ikan. Maka tak heran jika Pantai Congot banyak dikunjungi oleh mereka para mancing mania, selain itu masyarakat sekitar Pantai Congot menggantungkan hidupnya sebagai nelayan. Pantai Congot memang tak sepopuler pantai lain yang ada di Kulon Progo, mulai banyak dikunjungi wisatawan ketika dibukanya Hutan Mangrove Pasir Mendit. Karena memang lokasinya yang tak terlalu jauh dari Pantai Congot, yakni berada di sebelah barat pantai. Pantai Congot merupakan muara dari Sungai Bogowonto. Ini pulalah yang menyebabkan Pantai Congot menjadi spot favorite para pemancing, karena terdapat banyak jenis ikan yang ada mulai dari ikan air tawar, ikan air payau hingga ikan air asin.</t>
  </si>
  <si>
    <t xml:space="preserve">Gunung Tangkuban Parahu adalah salah satu gunung yang terletak di Provinsi Jawa Barat, Indonesia. Sekitar 20 km ke arah utara Kota Bandung, dengan rimbun pohon pinus dan hamparan kebun teh di sekitarnya, Gunung Tangkuban Parahu mempunyai ketinggian setinggi 2.084 meter. Bentuk gunung ini adalah Stratovulcano dengan pusat erupsi yang berpindah dari timur ke barat. Jenis batuan yang dikeluarkan melalui letusan kebanyakan adalah lava dan sulfur, mineral yang dikeluarkan adalah sulfur belerang, mineral yang dikeluarkan saat gunung tidak aktif adalah uap belerang. Daerah Gunung Tangkuban Parahu dikelola oleh Perum Perhutanan. Suhu rata-rata hariannya adalah 17oC pada siang hari dan 2 Â°C pada malam hari._x000D_
</t>
  </si>
  <si>
    <t>Bandung</t>
  </si>
  <si>
    <t>Jalan Braga</t>
  </si>
  <si>
    <t>Jalan Braga adalah nama sebuah jalan utama di kota Bandung, Indonesia. Nama jalan ini cukup dikenal sejak masa pemerintahan Hindia Belanda. Sampai saat ini nama jalan tersebut tetap dipertahankan sebagai salah satu maskot dan objek wisata kota Bandung yang dahulu dikenal sebagai Parijs van Java.</t>
  </si>
  <si>
    <t>Gedung Sate</t>
  </si>
  <si>
    <t>Gedung Sate, dengan ciri khasnya berupa ornamen tusuk sate pada menara sentralnya, telah lama menjadi penanda atau markah tanah Kota Bandung yang tidak saja dikenal masyarakat di Jawa Barat, tetapi juga seluruh Indonesia bahkan model bangunan itu dijadikan pertanda bagi beberapa bangunan dan tanda-tanda kota di Jawa Barat. Misalnya bentuk gedung bagian depan Stasiun Kereta Api Tasikmalaya. Mulai dibangun tahun 1920, gedung berwarna putih ini masih berdiri kokoh namun anggun dan kini berfungsi sebagai gedung pusat pemerintahan Jawa Barat.\nGedung Sate yang pada masa Hindia Belanda itu disebut Gouvernements Bedrijven (GB), peletakan batu pertama dilakukan oleh Johanna Catherina Coops, puteri sulung Wali Kota Bandung, Bertus Coops dan Petronella Roelofsen, mewakili Gubernur Jenderal di Batavia, J.P. Graaf van Limburg Stirum pada tanggal 27 Juli 1920, merupakan hasil perencanaan sebuah tim yang terdiri dari Ir.J.Gerber, arsitek muda kenamaan lulusan Fakultas Teknik Delft Nederland, Ir. Eh. De Roo dan Ir. G. Hendriks serta pihak Gemeente van Bandoeng, diketuai Kol. Pur. VL. Slors dengan melibatkan 2000 pekerja, 150 orang di antaranya pemahat, atau ahli bongpay pengukir batu nisan dan pengukir kayu berkebangsaan Cina yang berasal dari Konghu atau Kanton, dibantu tukang batu, kuli aduk dan peladen yang berasal dari penduduk Kampung Sekeloa, Kampung Coblong Dago, Kampung Gandok dan Kampung Cibarengkok, yang sebelumnya mereka menggarap Gedong Sirap (Kampus ITB) dan Gedong Papak (Balai Kota Bandung).\n\nSelama kurun waktu 4 tahun pada bulan September 1924 berhasil diselesaikan pembangunan induk bangunan utama Gouverments Bedrijven, termasuk kantor pusat PTT (Pos, Telepon dan Telegraf) dan Perpustakaan.\nArsitektur Gedung Sate merupakan hasil karya arsitek Ir. J.Gerber dan kelompoknya yang tidak terlepas dari masukan maestro arsitek Belanda Dr.Hendrik Petrus Berlage, yang bernuansakan wajah arsitektur tradisional Nusantara.\nBanyak kalangan arsitek dan ahli bangunan menyatakan Gedung Sate adalah bangunan monumental yang anggun mempesona dengan gaya arsitektur unik mengarah kepada bentuk gaya arsitektur Indo-Eropa, (Indo Europeeschen architectuur stijl), sehingga tidak mustahil bila keanggunan Candi Borobudur ikut mewarnai Gedung Sate.\nBeberapa pendapat tentang megahnya Gedung Sate di antaranya Cor Pashier dan Jan Wittenberg dua arsitek Belanda, yang mengatakan "langgam arsitektur Gedung Sate adalah gaya hasil eksperimen sang arsitek yang mengarah pada bentuk gaya arsitektur Indo-Eropa".\nD. Ruhl dalam bukunya Bandoeng en haar Hoogvlakte 1952, "Gedung Sate adalah bangunan terindah di Indonesia".\nIr. H.P.Berlage, sewaktu kunjungan ke Gedung Sate April 1923, menyatakan, "Gedung Sate adalah suatu karya arsitektur besar, yang berhasil memadukan langgam timur dan barat secara harmonis". Seperti halnya gaya arsitektur Italia pada masa renaiscance terutama pada bangunan sayap barat. Sedangkan menara bertingkat di tengah bangunan mirip atap meru atau pagoda. Masih banyak lagi pendapat arsitek Indonesia yang menyatakan kemegahan Gedung Sate misalnya Slamet Wirasonjaya, dan Ir. Harnyoto Kunto.\nKuat dan utuhnya Gedung Sate hingga kini, tidak terlepas dari bahan dan teknis konstruksi yang dipakai. Dinding Gedung Sate terbuat dari kepingan batu ukuran besar (1 Ã— 1 Ã— 2 m) yang diambil dari kawasan perbukitan batu di Bandung timur sekitar Arcamanik dan Gunung Manglayang. Konstruksi bangunan Gedung Sate menggunakan cara konvensional yang profesional dengan memperhatikan standar teknik.\nGedung Sate berdiri di atas lahan seluas 27.990,859 mÂ², luas bangunan 10.877,734 mÂ² terdiri dari Basement 3.039,264 mÂ², Lantai I 4.062,553 mÂ², teras lantai I 212,976 mÂ², Lantai II 3.023,796 mÂ², teras lantai II 212.976 mÂ², menara 121 mÂ² dan teras menara 205,169 mÂ².\nGerber sendiri memadukan beberapa aliran arsitektur ke dalam rancangannya. Untuk jendela, Gerber mengambil tema Moor Spanyol, sedangkan untuk bangunannya dalah Rennaisance Italia. Khusus untuk menara, Gerber memasukkan aliran Asia, yaitu gaya atap pura Bali atau pagoda di Thailand. Di puncaknya terdapat "tusuk sate" dengan 6 buah ornamen sate (versi lain menyebutkan jambu air atau melati), yang melambangkan 6 juta gulden - jumlah biaya yang digunakan untuk membangun Gedung Sate. Ornamen yang terbuat dari batu, terletak di atas pintu utama Gedung Sate, sering dikaitkan dengan candi Borobudur karena bentuknya yang serupa.\nFasade (tampak depan) Gedung Sate ternyata sangat diperhitungkan. Dengan mengikuti sumbu poros utara-selatan (yang juga diterapkan di Gedung Pakuan, yang menghadap Gunung Malabar di selatan), Gedung Sate justru sengaja dibangun menghadap Gunung Tangkuban Perahu di sebelah utara.\nDalam perjalanannya semula diperuntukkan bagi Departemen Lalulintas dan Pekerjaan Umum, bahkan menjadi pusat pemerintahan Hindia Belanda setelah Batavia dianggap sudah tidak memenuhi syarat sebagai pusat pemerintahan karena perkembangannya, sehingga digunakan oleh Jawatan Pekerjaan Umum. Tanggal 3 Desember 1945 terjadi peristiwa yang memakan korban tujuh orang pemuda yang mempertahankan Gedung Sate dari serangan pasukan Gurkha. Untuk mengenang ke tujuh pemuda itu, dibuatkan tugu dari batu yang diletakkan di belakang halaman Gedung Sate. Atas perintah Menteri Pekerjaan Umum pada tanggal 3 Desember 1970 Tugu tersebut dipindahkan ke halaman depan Gedung Sate.\nGedung Sate sejak tahun 1980 dikenal dengan sebutan Kantor Gubernur karena sebagai pusat kegiatan Pemerintah Provinsi Jawa Barat, yang sebelumnya Pemerintahaan Provinsi Jawa Barat menempati Gedung Kerta Mukti di Jalan Braga Bandung.\nRuang kerja Gubernur terdapat di lantai II bersama dengan ruang kerja Wakil Gubernur, Sekretaris Daerah, Para Assisten dan Biro. Saat ini Gubernur di bantu oleh tiga Wakil Gubernur yang menangani Bidang Pemerintahan, Bidang Ekonomi dan Pembangunan, serta Bidang Kesejahteraan Rakyat, seorang Sekretaris Daerah dan Empat Asisten yaitu Asisten Ketataprajaan, Asisten Administrasi Pembangunan, Asisten Kesejahteraan Sosial dan Asisten Administrasi.\nNamun tidak seluruh Asisten menempati Gedung Sate. Asisten Kesejahteraan Sosial dan Asisten Administrasi bersama staf menempati Gedung Baru.\nDi bagian timur dan barat terdapat dua ruang besar yang akan mengingatkan pada ruang dansa (ball room) yang sering terdapat pada bangunan masyarakat Eropa. Ruangan ini lebih sering dikenal dengan sebutan aula barat dan aula timur, sering digunakan kegiatan resmi. Di sekeliling kedua aula ini terdapat ruangan-ruangan yang di tempati beberapa Biro dengan Stafnya.\nPaling atas terdapat lantai yang disebut Menara Gedung Sate, lantai ini tidak dapat dilihat dari bawah, untuk menuju ke lantai teratas menggunakan Lift atau dengan menaiki tangga kayu.\nKesempurnaan megahnya Gedung Sate dilengkapi dengan Gedung Baru yang mengambil sedikit gaya arsitektur Gedung Sate namun dengan gaya konstektual hasil karya arsitek Ir.Sudibyo yang dibangun tahun 1977 diperuntukkan bagi para Pimpinan dan Anggota Dewan Perwakilan Rakyat Daerah Provinsi Jawa Barat dalam melaksanakan tugas dan fungsinya sebagai Lembaga Legislatif Daerah.\nGedung Sate telah menjadi salah satu tujuan objek wisata di kota Bandung. Khusus wisatawan manca negara banyak dari mereka yang sengaja berkunjung karena memiliki keterkaitan emosi maupun history pada Gedung ini. Keterkaitan emosi dan history ini mungkin akan terasa lebih lengkap bila menaiki anak tangga satu per satu yang tersedia menuju menara Gedung Sate. Ada 6 tangga yang harus dilalui dengan masing-masing 10 anak tangga yang harus dinaiki.\nKeindahan Gedung Sate dilengkapi dengan taman disekelilingnya yang terpelihara dengan baik, tidak heran bila taman ini diminati oleh masyarakat kota Bandung dan para wisatawan baik domestik maupun manca negara. Keindahan taman ini sering dijadikan lokasi kegiatan yang bernuansakan kekeluargaan, lokasi shooting video klip musik baik artis lokal maupun artis nasional, lokasi foto keluarga atau foto diri bahkan foto pasangan pengantin.\nKhusus pada hari minggu lingkungan halaman Gedung Sate dijadikan pilihan tempat sebagian besar masyarakat untuk bersantai, sekadar duduk-duduk menikmati udara segar kota Bandung atau berolahraga ringan.\nMembandingkan Gedung Sate dengan bangunan-bangunan pusat pemerintahan (capitol building) di banyak ibu kota negara sepertinya tidak berlebihan. Persamaannya semua dibangun di tengah kompleks hijau dengan menara sentral yang megah. Terlebih dari segi letak gedung sate serta lanskapnya yang relatif mirip dengan Gedung Putih di Washington, DC, Amerika Serikat. Dapat dikatakan Gedung Sate adalah "Gedung Putih"nya kota Bandung.</t>
  </si>
  <si>
    <t>Trans Studio Bandung</t>
  </si>
  <si>
    <t>Trans Studio Bandung adalah kawasan wisata terpadu di Kota Bandung, Indonesia. Trans Studio dibangun pada areal seluas 4,2 hektare dengan investasi mencapai Rp 2 triliun sehingga menjadikan sebagai kawasan hiburan terluas dan terlengkap di Bandung. Wahana yang terdapat menawarkan petualangan dan sensasi baru yang tidak kalah menantang seperti pendahulunya yaitu Trans Studio Resort Makassar yang dibuka pada tahun 2009. Trans Studio Bandung dibuka untuk umum pada tanggal 18 Juni 2011. Trans Studio Bandung adalah taman bermain yang paling komplet di kota Bandung</t>
  </si>
  <si>
    <t>Taman Hutan Raya Ir. H. Djuanda</t>
  </si>
  <si>
    <t>Taman Hutan Raya Ir. H. Djuanda (Tahura Djuanda) merupakan kawasan konservasi yang terpadu antara alam sekunder dengan hutan tanaman dengan jenis Pinus (Pinus merkusil) yang terletak di Sub-Daerah Aliran Sungai Cikapundung dan DAS Citarum yang membentang mulai dari Curug Dago, Dago Pakar sampai Curug Maribaya yang merupakan bagian dari kelompok hutan Gunung Pulosari.\nTahura Djuanda terletak di sebelah utara Kota Bandung berjarak kurang lebih 7 km dari pusat kota, secara geografis berada pada 1070 30â€™ BT dan 60 52â€™ LS, secara administrasi berada di wilayah Desa Ciburial, Kecamatan Cimenyan, Kabupaten Bandung dan sebagian masuk Desa Mekarwangi, Desa Cibodas, Desa Langensari, dan Desa Wangunharja, Kecamatan Lembang, Kabupaten Bandung Barat serta Kelurahan Dago, Kecamatan Coblong, Kota Bandung.\nBerdasarkan hasil rekonstruksi tata batas Tahura Djuanda tahun 2003, luasnya adalah 526,98 ha.</t>
  </si>
  <si>
    <t>Farm House Susu Lembang</t>
  </si>
  <si>
    <t>Sebagai salah satu tempat wisata lembang baru, Farm house Lembang mulai beroperasi sekitar tahun 2015. Tempat wisata di Bandung biasanya terbantu naik oleh medsos, terutama facebook dan instagram. Tampaknya tempat ini memaksimalkan banget hal ini. Dengan desain atmosfer eropa, banyak spot unik yang pastinya bakal menarik untuk swafoto/selfie, dan di posting di media sosial. memang, Farmhouse Lembang sejauh ini menawarkan â€˜wisata fotoâ€™ sebagai daya tarik utamanya. Mirip-mirip dengan Dago Dream Park, hanya berbeda konsep tempatnya saja.</t>
  </si>
  <si>
    <t>Kebun Binatang Bandung</t>
  </si>
  <si>
    <t>Kebun Binatang Bandung merupakan salah satu objek wisata alam flora dan fauna di Kota Bandung, Jawa Barat, Indonesia. Kebun Binatang Bandung terletak berdampingan dengan kampus Institut Teknologi Bandung dan Sungai Cikapundung.</t>
  </si>
  <si>
    <t>Kawah Putih</t>
  </si>
  <si>
    <t>Kawah Putih adalah sebuah tempat wisata di Jawa Barat yang terletak di Desa Alam Endah, Kecamatan Rancabali, Kabupaten Bandung Jawa Barat yang terletak di kaki Gunung Patuha. Kawah putih merupakan sebuah danau yang terbentuk dari letusan Gunung Patuha. Tanah yang bercampur belerang di sekitar kawah ini berwarna putih, lalu warna air yang berada di kawah ini berwarna putih kehijauan, yang unik dari kawah ini adalah airnya kadang berubah warna. Danau Kawah Putih sendiri berada pada ketinggian 2194 m tapi luas total Danau Kawah Putih 25 ha yang dipakai wisata 5 ha dan lokasi kawah sendiri 3 ha.</t>
  </si>
  <si>
    <t>Tebing Karaton</t>
  </si>
  <si>
    <t>Tebing Keraton atau Tebing Karaton merupakan sebuah tebing yang berada di dalam kawasan Taman Hutan Raya Ir. H. Djuanda. Tebing ini terletak di Kampung Ciharegem Puncak, Desa Ciburial, Bandung, Jawa Barat, Indonesia. Dari Tebing Keraton dapat menikmati pemandangan spektakuler. Bukan lampu kota, melainkan hutan!</t>
  </si>
  <si>
    <t>Dusun Bambu</t>
  </si>
  <si>
    <t xml:space="preserve">Dusun Bambu merupakan taman rekreasi berbasis ecotourism di Jawa Barat dengan konsep â€˜Private Sanctuary Lifestyleâ€™ (Konsep Wisata Sehat). Melalui konsep ini, Dusun Bambu siap menghadirkan sarana rekreasi yang aman dan nyaman dengan senantiasa menerapkan standar protokol kesehatan yang ketat. Memadukan keindahan alam dan budaya tradisional, fasilitas di Dusun Bambu didesain untuk pengalaman wisata alam yang paling berkesan, mulai dari berjalan-jalan santai, bersepeda, menikmati kuliner lezat di tengah pesona alam, hingga mengunjungi replika pedesaan tradisional. Terdapat pula kapasitas kunjungan harian ke Dusun Bambu untuk memastikan bahwa anjuran social distancing tetap dijalankan. Dengan begitu, Dusun Bambu siap menjamin keselamatan kunjungan wisata Anda menyajikan pengalaman kunjungan yang tak tergantikan dan penjelajahan rasa yang memuaskan hati._x000D_
</t>
  </si>
  <si>
    <t>Museum Geologi Bandung</t>
  </si>
  <si>
    <t>Museum Geologi didirikan pada tanggal 16 Mei 1929 Museum ini telah direnovasi dengan dana bantuan dari JICA (Japan International Cooperation Agency). Setelah mengalami renovasi, Museum Geologi dibuka kembali dan diresmikan oleh Wakil Presiden RI, Megawati Soekarnoputri pada tanggal 23 Agustus 2000. Sebagai salah satu monumen bersejarah, museum berada di bawah perlindungan pemerintah dan merupakan peninggalan nasional. Dalam Museum ini, tersimpan dan dikelola materi-materi geologi yang berlimpah, seperti fosil, batuan, mineral. Kesemuanya itu dikumpulkan selama kerja lapangan di Indonesia sejak 1850.</t>
  </si>
  <si>
    <t>Museum Konferensi Asia Afrika</t>
  </si>
  <si>
    <t>Museum Konferensi Asia Afrika merupakan salah satu museum yang berada di kota Bandung yang terletak di Jalan Asia Afrika No. 65. Museum ini merupakan memorabilia Konferensi Asia Afrika. Museum ini memiliki hubungan yang sangat erat dengan Gedung Merdeka. Secara keseluruhan Gedung Merdeka memiliki dua bangunan utama, yang pertama disebut Gedung Merdeka sebagai tempat sidang utama, sedangkan yang berada di samping Gedung Merdeka adalah Museum Konferensi Asia Afrika sebagai tempat memorabilia Konferensi Asia Afrika. Latar belakang dibangunnya museum ini adalah adanya keinginan dari para pemimpin bangsa-bangsa di Asia dan Afrika untuk mengetahui tentang Gedung Merdeka dan sekitarnya tempat Konferensi Asia Afrika berlangsung. Hal ini membuat Menteri Luar Negeri Republik Indonesia, Prof. Dr. Mochtar Kusumaatmadja, S.H., LL.M memiliki ide untuk membangun sebuah museum. Ide tersebut disampaikannya pada forum rapat Panitia Peringatan 25 tahun Konferensi Asia Afrika (1980) yang dihadiri oleh Direktur Jenderal Kebudayaan Prof. Dr. Haryati Soebadio sebagai wakil dari Departemen Pendidikan dan Kebudayaan. Kemudian museum ini diresmikan pada tanggal 24 April 1980 bertepatan dengan peringatan 25 tahun Konferensi Asia Afrika.</t>
  </si>
  <si>
    <t>Masjid Raya Bandung</t>
  </si>
  <si>
    <t>Masjid Raya Bandung Provinsi Jawa Barat, yang dulu dikenal dengan nama Masjid Agung Bandung adalah masjid yang berada di Kota Bandung, Jawa Barat, Indonesia. Status masjid ini adalah sebagai masjid provinsi bagi Jawa Barat. Masjid ini pertama dibangun tahun 1810, dan sejak didirikannya, Masjid Agung telah mengalami delapan kali perombakan pada abad ke-19, kemudian lima kali pada abad 20 sampai akhirnya direnovasi lagi pada tahun 2001 sampai peresmian Masjid Raya Bandung 4 Juni 2003 yang diresmikan oleh Gubernur Jabar saat itu, H.R. Nuriana. Masjid baru ini, yang bercorak Arab, menggantikan Masjid Agung yang lama, yang bercorak khas Sunda.\nMasjid Raya Bandung, seperti yang kita lihat sekarang, terdapat dua menara kembar di sisi kiri dan kanan masjid setinggi 81 meter yang selalu dibuka untuk umum setiap hari Sabtu dan Minggu. Atap masjid diganti dari atap joglo menjadi satu kubah besar pada atap tengah dan yang lebih kecil pada atap kiri-kanan masjid serta dinding masjid terbuat dari batu alam kualitas tinggi. Kini luas tanah keseluruhan masjid adalah 23.448 mÂ² dengan luas bangunan 8.575 mÂ² dan dapat menampung sekitar 13.000 jamaah.</t>
  </si>
  <si>
    <t>Dago Dreampark</t>
  </si>
  <si>
    <t>Dago Dreampark merupakan wisata kekinian di Kota Bandung dengan luas 13 hektar yang mengusung konsep Jawa - Sunda &amp; Bali dengan dilengkapi berbagai fasilitas &amp; wahana yang menarik.</t>
  </si>
  <si>
    <t>Orchid Forest Cikole</t>
  </si>
  <si>
    <t>Orchid Forest Cikole Lembang sudah berdiri sejak Agustus tahun 2017. Tempat ini merupakan taman anggrek terluas di Indonesia. Berada di tengah kawasan hutan lindung dan terbentang seluas 12 hektar. Setidaknya terdapat 157 jenis bunga anggrek beraneka macam dikembangkan di sini. Orchid Forest Cikole Bandung memfokuskan diri untuk memperkenalkan dan membudidayakan berbagai tanaman anggrek. Menggunakan metode lokal maupun internasional. Spesies Anggreknya tidak hanya berasal dari Indonesia yang memang merupakan negara kedua terbanyak memiliki varian anggrek. Tanaman anggrek di Orchid Forest juga berasal dari negara lain, seperti Venezuela, Argentina, Filipina, Peru, dan Amerika serikat.</t>
  </si>
  <si>
    <t>Kawasan Punclut</t>
  </si>
  <si>
    <t>Punclut yang merupakan singkatan dari Puncak Ciumbuleuit adalah salah satu kawasan yang terletak di sebelah utara Kota Bandung. Kawasan ini terletak 7 kilometer dari pusat kota Bandung. Pada akhir pekan, kawasan Punclut dipenuhi oleh wisatawan yang datang untuk berwisata dan menikmati pemandangan Kota Bandung. Banyak warga maupun wisatawan yang menggunakan kawasan ini untuk melakukan jalan atau olahraga pagi setiap hari Minggu.</t>
  </si>
  <si>
    <t>Alun-Alun Kota Bandung</t>
  </si>
  <si>
    <t>Alun-alun Bandung adalah pusat kota Bandung yang dicirikan oleh sebidang tanah yang luas. Di sekelilingnya ada bangunan-bangunan fungsional. Tempatnya ada di dekat Grote Postweg.</t>
  </si>
  <si>
    <t>Museum Sri Baduga</t>
  </si>
  <si>
    <t xml:space="preserve">Museum Sri Baduga merupakan sebuah museum yang terletak di kota Bandung, Jawa Barat, Indonesia.\nMuseum ini dikelola oleh pemerintah provinsi Jawa Barat, yang mulai didirikan pada tahun 1974 dengan memanfaatkan bangunan lama bekas Kawedanan Tegallega, yang kemudian diresmikan pada tanggal 5 Juni 1980 oleh Menteri Pendidikan dan Kebudayaan waktu itu, Daoed Joesoef.\nPenamaan museum ini diambil dari gelar salah seorang raja Pajajaran, Sri Baduga Maharaja sebagaimana tertulis pada Prasasti Batutulis. Dan kemudian ditetapkan melalui Kepmendikbud nomor 02223/0/1990 tanggal 4 April 1990._x000D_
</t>
  </si>
  <si>
    <t>Rabbit Town</t>
  </si>
  <si>
    <t>Rabbit Town Bandung merupakan salah satu wisata unik di Bandung yang didirikan pada 11 Januari 2018. Tempat wisata yang menjadikan hewan kelinci sebagai ikon utama. Pada seluruh dekorasi dibuat dengan tampilan selucu mungkin dan juga menampilkan berbagai jenis kelinci lucu. Pengunjung yang tertarik dengan hewan ini bisa membawa pulang kelinci dengan membelinya terlebih dahulu. Tempat wisata ini dimiliki oleh CEO Chairman Kaum Group yaitu Pak Henry Husada. Pak Henry sendiri dengan sengaja menjadikan salah satu rumahnya yang memiliki luas dua hektar dengan 30 kamar, dibangun sebuah objek wisata unik. Selain adanya spesies kelinci, tempat ini juga menyuguhkan spot foto bagus. Tak hanya itu, di dalam wisata ini juga terdapat beberapa wahana untuk anak-anak sehingga bagi pengunjung yang membawa serta anaknya akan merasa betah berlama-lama.</t>
  </si>
  <si>
    <t>Stone Garden Citatah</t>
  </si>
  <si>
    <t xml:space="preserve">Stone  Garden, adalah sebutan nama untuk hamparan tanah yang diisi oleh  formasi batuan tak beraturan yang indah dan membentuk taman alam.Bandung  memiliki banyak wisata alam yang sangat luar biasa. Ternyata Bandung  memiliki wisata alam gua, yaitu Gua Pawon dan wisata Stone Garden. Gua  Pawon merupakan gua yang terbentuk pada zaman purba.Gua ini digunakan  oleh manusia purba sebagai tempat berlindung. Dan uniknya di atas Gua  Pawon terdapat hamparan bebatuan yang sangat indah dengan pemandangan  luar biasa dikenal dengan nama Stone Garden -Taman Batu. Tidak kalah  indah dengan wisata alam Tangkuban Perahu, Kawah Putih Ciwidey, dan Situ  Patengan merupakan kawasan wisata alam yang sering dikunjungi oleh  banyak wisatawan lokal maupun mancanegara. _x000D_
</t>
  </si>
  <si>
    <t>The Great Asia Africa</t>
  </si>
  <si>
    <t>Kota Bandung tampaknya tidak pernah kehabisan ide kreatif dalam mengembangkan destinasi wisata. Berbagai tujuan berlibur tersedia di sini, mulai dari wisata kuliner, sejarah, hingga edukasi. Kemasannya pun dengan cara yang unik dan menarik, seperti yang ada di The Great Asia Africa. Kawasan wisata teranyar di Lembang ini menawarkan pengalaman menjelajahi beberapa negara di dua benua, selaras dengan namanya.</t>
  </si>
  <si>
    <t>Bukit Moko</t>
  </si>
  <si>
    <t>Bandung sebagai destinasi wisata tak pernah ada habisnya. Didukung dengan lanskap yang cantik, kawasan Bandung mampu menarik perhatian wisatawan. Baik dari segi alam, budaya, kuliner, dan seni kreatif secara bersamaan. Dari sekian banyak tempat wisata yang tersedia, Bukit Moko Bandung menjadi salah satu yang cukup populer namanya dalam beberapa tahun belakangan. Berada di ketinggian sekitar 1500 mdpl, Bukit Moko memiliki cuaca yang sejuk. Bagi pengunjung yang tidak biasa di cuaca ini, ada baiknya membawa jaket tebal apalagi jika datang saat musim penghujan.</t>
  </si>
  <si>
    <t>Gunung Papandayan</t>
  </si>
  <si>
    <t>Gunung Papandayan adalah gunung api strato yang terletak di Kabupaten Garut, Jawa Barat tepatnya di Kecamatan Cisurupan. Gunung dengan ketinggian 2665 meter di atas permukaan laut itu terletak sekitar 70 km sebelah tenggara Kota Bandung.\nPada Gunung Papandayan, terdapat beberapa kawah yang terkenal. Di antaranya Kawah Mas, Kawah Baru, Kawah Nangklak, dan Kawah Manuk. Kawah-kawah tersebut mengeluarkan uap dari sisi dalamnya.\nTopografi di dalam kawasan curam, berbukit dan bergunung serta terdapat tebing yang terjal. Menurut kalisifikasi Schmidt dan Ferguson termasuk type iklim B, dengan curah hujan rata-rata 3.000 mm/thn, kelembaban udara 70 â€“ 80 % dan temperatur 10 Â°C.</t>
  </si>
  <si>
    <t>Amazing Art World</t>
  </si>
  <si>
    <t>Amazing Art World Bandung, sebuah objek wisata yang terletak di Bandung, yang menegaskan bahwa destinasi wisata itu bukan hanya sekedar tentang pantai, air terjun, atau wisata alam lainnya saja. Hasil karya lukisanpun ternyata mampu menjadi sebuah destinasi wisata yang sangat menyenangkan. Apalagi lukisan 3D, selain keren, tetapi mampu membuat manipulasi bagi mata para pengunjung. Luasnya Amazing Art World Bandung menjadikannya sebagai salah-satu museum lukisan 3D terbesar, bukan hanya di tingkat nasional, tetapi di dunia.</t>
  </si>
  <si>
    <t>Gua Belanda</t>
  </si>
  <si>
    <t>Gua Belanda Bandung merupakan sebuah gua yang berada dalam kawasan yang sekarang ditetapkan sebagai Taman Hutan Raya Ir. H. Djuanda adalah bentangan pegunungan dari Barat sampai ke Timur yang merupakan â€œtangki air raksasa alamiahâ€ untuk cadangan di musim kemarau. Di daerah Aliran Sungai Cikapundung yang ada di Taman Hutan Raya Ir. H. Djuanda pada masa pendudukan Belanda dibangun Pembangkit Listrik Tenaga Air (PLTA) Bengkok yang merupakan PLTA pertama di Indonesia pada tahun 1918, dimana terowongan tersebut melewati Perbukitan batu pasir tufaan.</t>
  </si>
  <si>
    <t>Taman Balai Kota Bandung</t>
  </si>
  <si>
    <t xml:space="preserve">Taman Balai Kota Bandung merupakan sebuah taman kota yang terletak di Kota Bandung. Taman ini berada di sebelah selatan Balai Kota Bandung. Saat ini, Taman Balai Kota Bandung terdiri dari dua taman yang menyatu, antara lain Taman Dewi Sartika dan Taman Badak. Kedua taman tersebut diresmikan oleh Walikota Bandung saat itu, Ridwan Kamil, pada tanggal 19 Desember 2017._x000D_
</t>
  </si>
  <si>
    <t>Panghegar Waterboom Bandung</t>
  </si>
  <si>
    <t>Panghegar Waterboom Bandung merupakan salah satu destinasi wisata yang wajib dikunjungi bagi wisatawan yang hendak mengajak buah hatinya bermain air. Terletak di Buah Batu, lokasi ini kerap kali diincar saat akhir pekan. Tak hanya menyuguhkan kolam renang, tempat ini juga menyediakan berbagai wahana menarik yang sayang jika dilewatkan. Terdiri dari seluncuran air yang dibagi untuk 2 kategori yaitu seluncuran orang dewasa dan seluncuran anak-anak. Destinasi rekreasi keluarga menawarkan beragam kegiatan seru, baik untuk anak-anak maupun dewasa. Terdapat beberapa jenis kolam yang bisa dicoba: kolam ombak, kolam mini, kolam arus, dan lain sebagainya. Ada pun yang paling baru di Panghegar Waterboom Bandung yaitu kolam air panas yang disajikan bagi wisatawan yang hendak berendam.</t>
  </si>
  <si>
    <t>Gunung Manglayang</t>
  </si>
  <si>
    <t>Gunung Manglayang adalah sebuah gunung bertipe Stratovolcano yang terletak di antara Kota Bandung dan Kabupaten Sumedang, Jawa Barat, Indonesia dan memiliki ketinggian sekitar 1818 mdpl. Pemandangannya cukup indah, tetapi karena relatif tidak terlalu tinggi, sehingga kurang dikenal oleh pendaki-pendaki gunung pada umumnya.Dalam deretan gunung-gunung Burangrang â€“ Tangkuban Perahu â€“ Bukit Tunggul â€“ Gunung Manglayang, Gunung Manglayang menjadi gunung yang terindah dari rangkaian keempat gunung tersebut. Mungkin itulah sebabnya di kalangan para penggiat alam bebas, gunung ini sempat terlupakan terkecuali para penggiat alam bebas dari Bandung dan sekitarnya. Walaupun begitu, Gunung Manglayang tetap menawarkan pesona alamnya tersendiri.</t>
  </si>
  <si>
    <t>Lembang Park &amp; Zoo</t>
  </si>
  <si>
    <t>Di Lembang Park &amp; Zoo ada 370 ekor satwa, lengkap dari berbagai jenis herbivora, karnivora, dan omnivora. Luas total tempat ini mencapai 20 hektar, namun baru 10 hektar yang dikembangkan. Sisanya akan dikembangkan sebagai wisata berkonsep safari. Di area safari tersebut, pengunjung bisa berkeliling menggunakan kendaraan untuk melihat satwa yang bebas dilepas di area tersebut.</t>
  </si>
  <si>
    <t>Taman Lalu Lintas Ade Irma Suryani Nasution</t>
  </si>
  <si>
    <t>Taman Lalu-lintas Ade Irma Suryani adalah sebuah taman rekreasi yang ada di jantung kota Bandung, Jawa Barat, Indonesia. Selain sebagai taman dan tempat bermain, di sini juga dijadikan pusat latihan membaca rambu-rambu lalu lintas. Taman Lalu Lintas memiliki pengertian bahwa sebuah taman lalu lintas atau traffic taman anak-anak adalah sebuah taman di mana anak-anak dapat mempelajari aturan jalan . Sebuah taman lalu lintas juga disebut sebuah desa taman transportasi atau lalu lintas taman atau keselamatan tergantung pada lokal .Taman lalu lintas sering dibuat sebagai daya tarik dalam taman yang lebih besar . Dalam kasus lain, mereka sekali pakai taman dan sering dalam skala kecil . Mereka dapat ditemukan di daerah perkotaan maupun pedesaan .</t>
  </si>
  <si>
    <t>Lawangwangi Creative Space</t>
  </si>
  <si>
    <t>Lawangwangi merupakan sebuah galeri seni dengan konsep retro modern. Mememadukan keindahan alam dan cita rasa kuliner. Hmm, bikin penasaran ya Teman Traveler. Lawangwangi Creative Space sebelumnya hanya sekedar menyediakan Lab Math dan Art Space bagi para pecinta dan penikmat seni. Pengunjung bisa menemukan sebuah ruangan khusus untuk memamerkan kreasi dari beragam seniman. Karya yang ditampilkan berbeda-beda tiap bulan. Namun galeri seni yang mulanya diprediksi dapat menarik banyak pengunjung, rupanya justru kurang diminati. Akhirnya dengan memadukan keindahan alam sekitar bangunan, dibangunlah sebuah kafe modern dengan nuansa seni.</t>
  </si>
  <si>
    <t>Curug Dago</t>
  </si>
  <si>
    <t>Curug Dago Kota Bandung Jawa Barat berada di ketinggian 800 meter di atas permukaan air laut dengan tinggi air terjun mencapai 12 meter. Air terjun ini terbentuk sebagai akibat aliran Sungai Cikapundung yang mengalir sepanjang area Maribaya hingga Kota Bandung. Curug Dago pakar Bandung punya nilai historis yang tinggi dengan jejak sejarah hingga Kerajaan Thailand. Alasannya adalah dengan adanya prasasti Kerajaan Thailand dari abad ke-18 yang bertuliskan nama Raja Chulalongkom III atau Rama V dari Kerajaan Thailand.</t>
  </si>
  <si>
    <t>Kampung Korea Bandung</t>
  </si>
  <si>
    <t xml:space="preserve">Kampung Korea adalah sebuah kawasan di kota Bandung yang dibangun semirip mungkin dengan karakter kota Seoul di Korea Selatan. Tujuan pengembangan kawasan ini adalah sebagai bagian dari kegiatan sister city antara Bandung dengan Seol. Pembangunan dimulai pada tahun 2017 atas inisiatif Ridwan Kamil selaku wali kota Bandung saat itu.\nKeberadaan kampung korea ditujukan untuk meningkatkan pariwisata kota Bandung._x000D_
</t>
  </si>
  <si>
    <t>Kampung Batu Malakasari</t>
  </si>
  <si>
    <t xml:space="preserve">Kampung Batu Malakasari adalah sebuah tempat wisata yang didirikan di bekas penambangan batu. Di lokasi tersebut masih terlihat jelas pahatan-pahatan bekas penambangan Batu. Kini, di bekas penambangan batu itu terisi oleh air yang membentuk menjadi sebuah danau. Tempat wisata ini berkonsep wahana wisata pendidikan, petualangan dan kuliner. Biasanya sering dijadikan destinasi field trip sekolah-sekolah di sekitar Bandung. Berbagai wahana dan fasilitasnya sangat lengkap untuk menunjang program field trip sekolah-sekolah._x000D_
</t>
  </si>
  <si>
    <t>Jendela Alam</t>
  </si>
  <si>
    <t>Tidak hanya menikmati alam sekitar yang masih sejuk dan hijau, anak anda juga bisa mengikuti berbagai kegiatan edukasi yang bermanfaat. Berbagai kegiatan edukasi disediakan dan dirancang sedemikian rupa sehingga menarik buat keluarga. Kegiatan edukasi yang tersedia cocok untuk anak mulai dari usia TK sampai dengan SMA.</t>
  </si>
  <si>
    <t>Curug Tilu Leuwi Opat</t>
  </si>
  <si>
    <t>Curug Tilu Leuwi Opat merupakan salah satu wisata curug di Lembang. Tempatnya sendiri cukup luas. Disini ada area outbond, camping, dan tentunya wisata air terjun dan sungai. Area depan berupa lembah dengan sungai jernih. Biasanya outbond, camping, dan permainan dilakukan di area ini. Lokasi curug tilu leuwi opat sebenarnya bertetangga langsung dengan Dusun Bambu lho. Pernah ke dusun bambu? jika naik ke skywalk lutung kasarung, atau mengunjungi area camping, anda bisa melihat lembah yang berbatasan langsung dengan dusun bambu. Nah, lembah itu termasuk ke dalam area wisata curug tilu leuwi opat. Di lembah ini mengalir sungai dengan air jernih yang bersumber dari Situ Lembang.</t>
  </si>
  <si>
    <t>Kiara Artha Park</t>
  </si>
  <si>
    <t xml:space="preserve">Kiara Artha Park merupakan sebuah kawasan terpadu yang memadukan konsep hunian, bisnis, komersial, dan wisata yang ikonik di Kota Bandung dengan luas + 2.9 hektar. Kiara Artha Park sendiri merupakan salah satu dari sekian banyak  ruang publik bertemakan Taman Kota yang ada di Bandung yang terletak di tengah Kota Bandung . Taman ini melengkapi taman-taman tematik lainnya yang sudah ada di Kota Bandung. Taman  kota ini  kini menjadi salah satu tujuan wisata warga Bandung khususnya dan  bagi masyarakat umum. Meskipun Taman ini baru dibuka yaitu pada tanggal 17 Agustus 2019, warga Bandung  dan masyarakat sangat antusias datang dan menikmati berbagai aktivitas dan wahana yang ada._x000D_
</t>
  </si>
  <si>
    <t>NuArt Sculpture Park</t>
  </si>
  <si>
    <t>NuArt Sculpture Park ini merupakan sebuah gallery miliki seorang seniman ternama di Bandung yang bernama Nyoman Nuarta. Terlahir di Tabanan Bali, Nyoman Nuarta akhirnya menetap di Bandung. Dan ada fakta menarik dari seniman berkelas internasional tersebut, dimana ia dahulu rupanya lulusan dari Fakultas Seni Rupa dari perguruan tinggi ternama di Bandung yakni ITB pada tahun 1979 silam. Kehlian Nyoman Nuarta sebagai seorang maestro pemahat dan juga pematung hebat memang sudah dikenal secara internasional, maka dari itu ia pun membuat NuArt Sculpture Park ini untuk memamerkan semua karya seni yang ia miliki selama ini.</t>
  </si>
  <si>
    <t>Upside Down World Bandung</t>
  </si>
  <si>
    <t xml:space="preserve">Upside Down World Bandung pertama kali dibuka pada 10 Oktober 2016 dengan konsep yang sangat unik. Semua furnitur yang berada di Upside Down World ini dipasang terbalik seolah pengunjung berada di langit-langit ruangan. Dengan konsep rumah terbaik tempat wisata ini memiliki keunikan tersendiri. Pengunjung yang datang ke sini kebanyakan para kawula muda yang ingin berfoto dengan latar yang tak biasa. Di dalam bangunan ini terdapat sepuluh ruangan dengan tema yang berbeda-beda layaknya di dalam sebuah rumah. Ada ruang tamu, kamar tidur anak, ruang keluarga, ruang santai, dapur, kamar mandi, dan lain sebagainya. Pengunjung bisa mengambil gambar pada semua ruangan dan hasil foto dapat dicetak di layanan cetak foto. Jika pengunjung merasa tak biasa dan bingung harus bergaya foto seperti apa, maka akan ada petugas yang dapat mengarahkan gayanya. Atau dengan melihat hasil foto para pengunjung sebelumnya yang dipasang di ruangan itu._x000D_
</t>
  </si>
  <si>
    <t>Pesona Nirwana Waterpark &amp; Cottages</t>
  </si>
  <si>
    <t>Pesona Nirwana Waterpark merupakan sebuah objek wisata wahana air seluas 4000 meter persegi yang berlokasi di Kampung Legok Jeungjing, Desa Panyirapan, Kecamatan Soreang, Kabupaten Bandung.\nBerjarak sekitar 1 Km dari Kantor Pemda Kabupaten Bandung. Lokasi wisata ini dibuka untuk umum setiap hari dan bisa menjadi alternatif pilihan lokasi wisata Kabupaten Bandung selain kawasan wisata Ciwidey\n\nLokasi Pesona Nirwana Waterpark merupakan bekas kawasan tambang galian C dengan tebing curam di hampir sebagian lokasinya dan merupakan bagian dari rencana resort ramah lingkungan dengan total target pembangunan seluas 4 hektar.\nPemilik dari Pesona Nirwana Waterpark adalah I Nyoman Nuarta, seorang pematung asal Bali yang juga terkenal sebagai tokoh pelestarian lingkungan</t>
  </si>
  <si>
    <t>Taman Lansia</t>
  </si>
  <si>
    <t>Berlibur santai di akhir pekan cocok dilakukan dengan menghabiskan waktu di taman. Salah satu taman yang dapat menjadi tujuan wisata adalah Taman Lansia Bandung. Lansia merupakan singkatan dari Lanjut Usia. Meski begitu, taman ini tidak dikhususkan untuk para lansia, namun untuk semua kalangan. Nama lansia kemungkinan diberikan karena usia taman ini yang sudah sangat tua. Bahkan, usianya sudah ratusan tahun, karena sudah ada sejak tahun 1885.</t>
  </si>
  <si>
    <t>Kampoeng Tulip</t>
  </si>
  <si>
    <t>Kampoeng Tulip ialah salah satu objek wisata di Bandung yang lokasinya dipenuhi dengan bunga-bunga tulip yang sangat indah. Tulip sendiri adalah bunga cantik yang identik dengan Negara Kincir Angin yaitu Belanda. Jika Anda ingin menyaksikan bunga tulip, Anda tidak perlu jauh-jauh ke Belanda. Melainkan, cukup pergi ke kota Bandung saja, Anda sudah bisa menemuinya. Lokasi wisata ini memiliki banyak pengunjung, mulai dari wisatawan dalam kota maupun luar kota.</t>
  </si>
  <si>
    <t>Selasar Sunaryo Art Space</t>
  </si>
  <si>
    <t>Selasar Sunaryo Art Space (SSAS) adalah sebuah ruang dan organisasi nirlaba yang bertujuan mendukung pengembangan praktik dan pengkajian seni dan kebudayaan visual di Indonesia. Dididirikan pada tahun 1998 oleh Sunaryo, SSAS aktif menyelenggarakan kegiatan-kegiatan yang berorientasi pada edukasi publik. Dengan arahan &amp; dukungan dari Yayasan Selasar Sunaryo, fokus utama SSAS adalah pada penyelenggaraan program-program seni rupa kontemporer, melalui pameran, diskusi, residensi &amp; lokakarya. Sebagai pusat kebudayaan, SSAS menyelenggarakan kegiatan-kegiatan yang berhubungan dengan disiplin-disiplin seni lain seperti desain, kriya, seni pertunjukan, sastra, arsitektur, dan lain sebagainya. Selain memajang koleksi permanen, SSAS juga menyelenggarakan pameran-pameran tunggal atau bersama yang menampilkan karya-karya para seniman muda dan senior, dari Indonesia maupun mancanegara.</t>
  </si>
  <si>
    <t>Teras Cikapundung BBWS</t>
  </si>
  <si>
    <t>Teras Cikapundung Bandung sebelumnya merupakan daerah yang kumuh dan tak terurus yang berhasil diubah menjadi tempat wisata. Cikapundung adalah sungai yang membelah Kota Bandung yang dimulai dari daerah Bandung Utara dan bermuara di Sungai Citarum, Bandung Selatan. Sebelumnya, taman ini merupakan tempat berkumpulnya orang-orang kreatif seperti para seniman yang ada di Bandung. Terdapat beberapa sanggar seni dan ramainya warung makan di tempat ini, sampai pada akhirnya terlantar dan dibiarkan kotor. Kini Teras Cikapundung Bandung telah berubah menjadi tempat wisata terbuka untuk umum dengan konsep ekologi dan urban. Berbagai fasilitas menarik tersedia di Teras Cikapundung dan bisa digunakan pada saat rekreasi ke obyek wisata yang satu ini. Dilengkapi dengan kolam ikan dan lampu-lampu, membuat taman ini sangat cantik dikunjungi pada malam hari. Terlebih suasananya yang ramai membuat para pengunjung lupa bahwa dulunya tempat ini pernah dijuluki sebagai â€œtempat jin buang anakâ€.</t>
  </si>
  <si>
    <t>Museum Barli</t>
  </si>
  <si>
    <t>Museum Barli adalah sebuah museum yang terletak di Kota Bandung. Museum ini didedikasikan untuk mengenang dan memamerkan hasil karya pelukis Barli Sasmitawinata. Museum ini didirikan pada tahun 1990 dan diresmikan pada Oktober 1992 oleh Soesilo Soedarman, Menteri Pariwisata, Pos, dan Telekomunikasi pada waktu itu. Awalnya museum ini tidak dibuka untuk umum. Namun, saat ini museum dapat dikunjungi oleh siapa saja. Museum ini juga menjadi tempat dari berbagai kegiatan seni seperti pameran karya seni rupa, penjualan karya, diskusi dan sarasehan, pelatihan studio keramik dan lukis.</t>
  </si>
  <si>
    <t>Wisata Batu Kuda</t>
  </si>
  <si>
    <t>Kawasan Batu Kuda berupa perbukitan dengan hutan pinus yang indah. Berada di ketinggian antara 1150 sampai dengan 1300 mdpl, segarnya pegunungan Bandung bisa anda dapatkan disini. Batu Kuda berada di bawah pengawasan Perhutani langsung. Dulu tempat ini terkesan apa adanya. Tapi sekarang sudah jauh lebih tertata. Biasanya, tempat ini jadi tujuan wisata keluarga warga sekitarnya saja. Tapi sekarang, sudah lebih dikenal dan lebih banyak dikunjungi wisatawan juga.</t>
  </si>
  <si>
    <t>Monumen Bandung Lautan Api</t>
  </si>
  <si>
    <t xml:space="preserve">Monumen Bandung Lautan Api, merupakan monumen yang menjadi markah tanah Bandung. Monumen ini setinggi 45 meter, memiliki sisi sebanyak 9 bidang.\nMonumen ini dibangun untuk memperingati peristiwa Bandung Lautan Api, dimana terjadi pembumihangusan Bandung Selatan yang dipimpin oleh Muhammad Toha.\nMonumen ini berada di tengah-tengah kota yaitu terletak di kawasan Lapangan Tegallega. Monumen ini menjadi salah satu monumen terkenal di Bandung.\nMonumen ini menjadi pusat perhatian setiap tanggal 23 Maret mengenang peristiwa Bandung Lautan Api._x000D_
</t>
  </si>
  <si>
    <t>Museum Gedung Sate</t>
  </si>
  <si>
    <t xml:space="preserve">Salah satu museum yang menjadi ikon kota ini adalah Museum Gedung Sate. Museum yang berada di gedung yang sama dengan kantor dinas Gubernur Jawa Barat ini dibangun pada masa kolonial oleh arsitek Belanda, Johan Gerber. Diresmikan pada 8 Desember 2017 dan mengusung 'Smart Museum', Museum Gedung Sate ini menjadi museum interaktif pertama di Indonesia. Konsep tersebut memberikan panduan informasi mengenai bangunan bersejarah menggunakan teknologi digital._x000D_
</t>
  </si>
  <si>
    <t>Monumen Perjuangan Rakyat Jawa Barat</t>
  </si>
  <si>
    <t>Monumen Perjuangan Rakyat Jawa Barat (Monju) adalah Museum Sejarah Perjuangan Rakyat Jawa Barat, di Tatar Pasundan atau Parahyangan. Monumen diresmikan oleh Gubernur Jawa Barat, Raden Nana Nuriana pada tanggal 23 Agustus 1995.</t>
  </si>
  <si>
    <t>Museum Pos Indonesia</t>
  </si>
  <si>
    <t xml:space="preserve">Museum Pos Indonesia telah ada sejak masa Hindia Belanda dengan nama Pos Telegraph dan Telepon (PTT). Pada tahun 1931 telah dibuka Museum PTT yang terletak di bagian sayap kanan bawah Gedung Kantor Pusat PTT, Jalan Cilaki, nomor 55, Bandung, (sekarang nomor 73). Atau tepatnya di sayap timur gedung pusat pemerintahan Provinsi Jawa Barat yang lebih terkenal dengan Gedung Sate. Pada 27 September 1983, Menteri Pariwisata, Pos dan Telekomunikasi meresmikan PTT menjadi Museum Pos Indonesia. Koleksi museum ini terdiri atas prangko-prangko dari Indonesia dan berbagai negara yang sangat bersejarah, dengan jumlah mencapai 131.000.000 keping perangko dan 200 koleksi peralatannya, yakni berupa timbangan paket, alat cetak perangko, surat-surat berharga, armada pengantar surat, dan lain sebagainya. Selain menyimpan peninggalan pos tersebut dalam ruang pamer, Museum ini juga memiliki ruang social center yang dapat diperuntukan bagi aneka kegiatan._x000D_
</t>
  </si>
  <si>
    <t>Ciwangun Indah Camp Official</t>
  </si>
  <si>
    <t>Ciwangun Indah Camp atau CIC adalah sebuah tempat rekreasi berkonsep petualangan alam dan outbound. Tempat ini terletak di kecamatan Parongpong Kabupaten Bandung Barat, bersebelahan dengan dusun bambu. Dengan latar alam hutan di bawah kaki gunung Burangrang, CIC layak dijadikan destinasi wisata. Dengan tempat yang masih terjaga keindahan alamnya, beberapa aktivitas bisa dilakukan di CIC. Aktivitas yang cocok untuk dilakukan di CIC adalah kegiatan yang berbasis petualangan alam. Berikut beberapa kegiatan yang cocok untuk dilakukan di Ciwangun Indah Camp.</t>
  </si>
  <si>
    <t>Wot Batu</t>
  </si>
  <si>
    <t>Wot Batu adalah sebuah konfigurasi energi yang hadir dari perjalanan spiritualitas dan transendental Sunaryo. Dalam ruang terbuka seluas Â±2000 m2 dengan rangkaian 135 +1, batu-batu ditanam dan ditata secara konseptual dan harmoni. Sunaryo menarik garis dari pegunungan di sekitar Bandung, dan dari garis itu dibawanya batu-batu vulkanik sebagai medium mahakarya yang tak lekang oleh waktu. Setiap pahatan, tatahan, dan pecahan bukanlah hasil dari usaha untuk mengubah batu, namun untuk menorehkan catatan untuk sebuah peradaban â€“ warisan dari abad ke-21 untuk masa yang akan datang.\nSunaryo menciptakan Wot Batu sebagai â€˜jembatan spiritualâ€™: penyeimbang antara jiwa manusia dengan wujud ragawi kehidupan, sebagai penghubung di antara empat elemen alam. Dalam Wot Batu, tanah, api, air dan angin berbicara satu sama lain dalam harmoni. Wot Batu menyampaikan gagasan tentang ruang dan waktu â€“ sebuah penyadaran tentang eksistensi manusia dalam dimensi alam yang tak berbatas.</t>
  </si>
  <si>
    <t>Curug Batu Templek</t>
  </si>
  <si>
    <t>Curug Batu Templek Bandung adalah sebuah wisata alam air terjun yang terletak di Kota Bandung Timur. Dari sekian banyak wisata alam air terjun di Bandung, Curug Batu Templek tak kalah menarik karena pemandangan di sekitarnya dipenuhi dengan terbing yang berbatu cadas. Sejarah Curug Batu Templek sangat sederhana, hanya karena di tempat ini dahulunya terdapat penambangan batu yang terdapat sebuah aliran air terjun dan diketahui aliran tersebut berasal dari sungai yang ada di atas tebing sehingga dinamakan Curug Batu Templek.</t>
  </si>
  <si>
    <t>Gereja Katedral Santo Petrus Bandung</t>
  </si>
  <si>
    <t>Gereja Katedral Bandung, atau Katedral Santo Petrus, adalah sebuah gereja yang terletak di Jalan Merdeka, Babakanciamis, Sumurbandung, Bandung, Indonesia. Bangunan ini dirancang oleh Charles Prosper Wolff Schoemaker dan bergaya arsitektur neo-Gothic akhir. Dilihat dari atas, bentuknya menyerupai salib yang simetris. Katedral Santo Petrus mempunyai luas tanah sebesar 2.385 mÂ² dan luas bangunan sebesar 785 mÂ². Gerejanya sendiri diberi nama St. Franciscus Regis pada tanggal 16 Juni 1895. Setelah Bandung memperoleh status gemeente (setingkat kotamadya) pada 1906, diputuskan untuk membangun bangunan gereja baru. Pembangunan bangunan yang baru dilaksanakan sepanjang tahun 1921. Katedral ini lalu diberkati pada 19 Februari 1922 oleh Mgr. Edmundus Luypen, S.J.</t>
  </si>
  <si>
    <t>Museum Mandala Wangsit Siliwangi</t>
  </si>
  <si>
    <t>Museum Wangsit Mandala Siliwangi adalah museum militer yang berada di Kota Bandung, Jawa Barat. Siliwangi merupakan nama komando daerah militer TNI-AD di Jawa Barat dan Banten yang namanya diambil dari raja dari Kerajaan Sunda yang beribu kota di Pakuan Pajajaran yang kekuasaanya konon tak terbatas, juga arif dan bijaksana serta wibawa dalam menjalankan roda pemerintahan. Sedangkan arti Mandala Wangsit merupakan sebuah tempat untuk menyimpan amanat, petuah atau nasihat dari pejuang masa lalu kepada generasi penerus melalu benda-benda yang ditinggalkannya. Museum ini diresmikan oleh panglima divisi Siliwangi Kolonel Ibrahim Adjie pada tanggal 23 Mei 1966. Museum ini berlokasi di Jalan Lembong, kecamatan Sumurbandung. Jalan ini diambil dari nama Letkol Lembong, salah satu prajurit Siliwangi yang menjadi korban dalam Peristiwa Kudeta Angkatan Perang Ratu Adil. Sebelumnya jalan itu bernama Oude Hospitaalweg.</t>
  </si>
  <si>
    <t>Caringin Tilu</t>
  </si>
  <si>
    <t>Bandung tidak pernah kehilangan pesonanya, wisata alamnya selalu membius wisatawan untuk berkunjung. Caringin Tilu salah satunya, wisata dengan pemandangan alam yang indah. Pemandangan Kota Bandung yang terhampar 180 derajat. Tempat favorit wisatawan di kawasan wisata ini adalah Bukit Moko. Dimana di sana tersedia banyak kafe dan tempat makan yang siap menemani libur santai wisatawan. Siang hari, pemandangan alam indah disuguhkan, dan malam hari saatnya digantikan pemandangan lampu kota.</t>
  </si>
  <si>
    <t>Panama Park 825</t>
  </si>
  <si>
    <t>Panama Park Bandung menjadi salah satu tempat bermain di Bandung, Jawa Barat. Wahana rekreasi yang disebut-sebut terbesar di Bandung ini dibuka sejak Mei 2019 lalu. Ada beberapa permainan yang ditawarkan di arena ini, misalnya playground hingga snow park yang berisi salju. Pengguna pun bisa merasakan sensasi salju sebenarnya.</t>
  </si>
  <si>
    <t>Sudut Pandang Bandung</t>
  </si>
  <si>
    <t>Sudut Pandang Cafe Bandung merupakan sebuah destinasi wisata baru di kawasan Pluncut. Sudut Pandang Cafe Bandung ini sendiri tepatnya berada di kawasan Sarae Hills di Jalan Pagermaneuh, RT 05/RW 07, Pagerwangi, Lembang, Kabupaten Bandung Barat, Jawa Barat. Sebagai informasi, Sarae Hills merupakan kawasan wisata di Punclut yang memadukan wisata alam, wisata kuliner, wisata selfie dan kegiatan outbound. Di kawasan ini, kamu bisa berlibur bersama teman atau keluarga sambil menikmati pemandangan alam serta Bandung city view. Sebelumnya Sarae Hills telah bekerja sama dengan beberapa tempat wisata yakni Tafso Barn, Lereng Anteng, De BlankON, Dago Bakery, Cakrawala Sparkling Nature, dan Dâ€™Dieuland. Nah, mulai tanggal 5 September kemarin, Sarae Hills dihiasi dengan sebuah cafe yang tak lain adalah Sudut Pandang Cafe Bandung.</t>
  </si>
  <si>
    <t>Bumi Perkemahan Batu Kuda</t>
  </si>
  <si>
    <t>Bumi Perkemahan Batu Kuda ini terletak di Desa Cibiru Wetan, Kecamatan Cileunyi, Kabupaten Bandung, tepatnya berada di kaki gunung Manglayang. Area Batu Kuda sendiri cukup terkenal di kalangan masyarakat sekitar. Selain karena merupakan titik pertama bagi para pendaki yang hendak melanjutkan perjalanan ke puncak gunung Manglayang, konon pada zaman dahulu, seorang prabu dari sebuah kerajaan di Jawa Barat yang bernama Prabu Layang Kusuma sedang menunggangi kuda nya yang bisa terbang di sekitar gunung Manglayang. Dan secara tiba â€“ tiba kuda yang ditunggangi sang Prabu terjerembab ke dalam kubangan. Sekuat apapun usaha kuda tersebut untuk keluar dari kubangan tersebut tidak membuahkan hasil. Hingga lambat laun kuda milik sang Prabu yang terjerembab tersebut berubah menjadi batu. Maka batu tersebut disebut lah dengan istilah Batu Kuda. Selain itu, sang Prabu sendiri memilih untuk bertapa di dekat Batu Kuda, dan kini tempat sang Prabu bertapa dikenal dengan nama Batu Kursi. Area perkemahan Batu Kuda yang terbilang cukup luas, membuat anda tidak perlu khawatir kehabisan titik berkemah. Tak hanya itu, anda bisa melihat pohon â€“ pohon pinus yang menjulang sejauh mata memandang. Selain digunakan untuk tempat berkemah para pendaki, anda pun bisa mengajak keluarga anda saat liburan. Karena area ini terbuka untuk anda sekeluarga yang sekedar ingin berjalan â€“ jalan menikmati hutan pinus, ataupun menghabiskan malam dengan tidur di hotel bertabur bintang.</t>
  </si>
  <si>
    <t>Bukit Bintang</t>
  </si>
  <si>
    <t>Bukit Bintang (Melayu [bu.ketÌš bi.ntaÅ‹]; disebut dengan nama Bintang Walk atau Starhill, yang terakhir menjadi terjemahan dari nama Melayu) adalah nama dari distrik perbelanjaan dan hiburan di Kuala Lumpur, Malaysia. Daerah ini meliputi Jalan Bukit Bintang dan daerah disekitarnya. Daerah ini telah lama menjadi pusat ritel paling menonjol di Kuala Lumpur yang merupakan rumah bagi banyak pusat perbelanjaan terkenal, kafe al fresco, bar megah, pasar malam, serta jajanan-jenis restoran. Daerah ini populer di kalangan wisatawan dan penduduk lokal, terutama di kalangan pemuda. Sebuah bagian dari Bintang Walk identik disebut sebagai "Arab Street".</t>
  </si>
  <si>
    <t>Taman Vanda</t>
  </si>
  <si>
    <t>Taman Vanda Bandung adalah taman yang terletak di Kota Bandung, Jawa Barat. Taman ini memiliki latar belakang pemandangan air mancur pada malam hari. Pada malam hari dipasang air mancur di 20 titik dengan sorot lampu warna-warni yang memesona.\nUntuk melengkapi masyarakat Bandung yang ingin bersantai, di Taman Vanda disediakan bangku-bangku taman. Pepohonan rimbun yang ditanam di sekitar taman membuatnya menjadi lebih segar dan asri. Bersantai di sini pada siang hari juga sangat asyik dengan angin semilir dan sinar matahari tertutupi rimbunnya pohon-pohon.</t>
  </si>
  <si>
    <t>Taman Budaya Jawa Barat</t>
  </si>
  <si>
    <t>Taman Budaya Jawa Barat (TBJB) didirikan pada tahun 1991 di Kawasan Dago Tea House. TBJB memiliki fasilitas gedung teater tertutup, teater terbuka, ruang pameran, sekertariat, sanggar olah seni, wisma seni, dan cafetaria. Semua fasilitas tersebut diperuntunkan untuk kelancaran beraktifitas dan berkarya para warga Bandung, khususnya para seniman. TBJB menghelat berbagai macam agenda yang menarik seperti pementasan karya seni, lomba seni, eksperimentasi karya seni, seminar, workshop, sarasehan seni dan budaya, penerbitan buku, dsb.</t>
  </si>
  <si>
    <t>Curug Bugbrug</t>
  </si>
  <si>
    <t>Curug Bugbrug Sesuai dengan namanya kata Bugbrug dalam bahasa sunda adalah berarti bertumpuk atau tumpah tindih. Jadi apabila Anda ditanya kenapa air terjun di bandung ini dinamai Curug Bugbrug Maka jawabannya ialah karena air yang jatuh dari atas ke bawah itu seperti terlihat bertumpuk-tumpuk. Dan jatuhnya tersebut terdengar suara di dasar curug seperti â€ brugâ€¦brugâ€¦brug â€ begitu saking kerasnya. Curug yang berada di ketinggian 1.050 meter di atas permukaan air laut, memiliki ketinggian dari 50 meter tingginya dan lebar curug sekitar 2 meter. Tempat ini menjadi pusat buruan wisatawan yang berlibur ke bandung.</t>
  </si>
  <si>
    <t>Babakan Siliwangi City Forest Path Bandung</t>
  </si>
  <si>
    <t>Forest walk Babakan Siliwangi adalah fasilitas publik berupa hutan kota. Hutan ini merupakan hutan kota yang masih aktif di kota Bandung hingga kini. Letaknya strategis berada di kawasan taman sari dekat dengan kampus ITB dan kebun binatang. Kawasan ini bernuansa sejuk karena didominasi oleh pepohonan yang rindang. Jembatan kayu dan besi yang saling terhubung mengelilingi kawasan ini menjadi jalan untuk menyusuri hutan. Pengunjung bisa berjalan di atas jembatan kayu sambil menikmati segarnya udara di kawasan hutan kota ini.</t>
  </si>
  <si>
    <t>Curug Cipanas</t>
  </si>
  <si>
    <t xml:space="preserve">Siapa bilang berendam air panas harus merogoh kocek dalam? Kabupaten Bandung Barat punya solusi bagi pelancong yang ingin merasakan manfaat air panas pegunungan asli tanpa harus membayar mahal. Adalah Curug Cipanas Nagrak, objek wisata alam yang menawarkan pemandian air panas alami. Pemandian air panas ini bahkan tidak hanya sekadar kolam, melainkan berupa air terjun alami di tengah kawasan perkebunan. Mata airnya mengalir deras menjadi sebuah air terjun kecil di tengah lahan perbukitan hijau. Pengunjung akan merasakan sensasi berendam di kolam air panas yang nyaman di tengah alam terbuka._x000D_
</t>
  </si>
  <si>
    <t>Taman Jomblo</t>
  </si>
  <si>
    <t>Taman Jomblo dapat mengacu kepada:\n\nTaman Pasupati, sebuah taman yang didirikan oleh Ridwan Kamil di Bandung\nPedestrian Jomblo, sebuah tempat rekreasi yang didirikan di Jambi\nTaman Jomblo (Mataram), sebuah taman yang didirikan di Mataram, Nusa Tenggara Barat</t>
  </si>
  <si>
    <t>Peta Park</t>
  </si>
  <si>
    <t>Bandung seperti tidak henti menawarkan tempat wisata menarik untuk dikunjungi. Terutama untuk para anak muda. Beberapa waktu lalu Peta Park Bandung dibuka. Tempat wisata yang menawarkan konsep taman-taman yang bersih dan indah. Sangat cocok sebagai tempat bersantai dan menghindari hiruk-pikuk kota. Taman rekreasi yang ada di pusat kota Bandung ini memiliki konsep taman piknik. Karena hal tersebut, saat berada di sini, pengunjung tidak hanya bisa berfoto. Akan tetapi juga bisa melakukan kegiatan yang lainnya misalnya berpiknik.</t>
  </si>
  <si>
    <t>Masjid Daarut Tauhiid Bandung</t>
  </si>
  <si>
    <t>pada bulan Juli 1993 berdirilah sebuah masjid berlantai tiga, tepatnya di Jalan Gegerkalong Girang nomor 38 Bandung. Masjid ini sering dijuluki sebagai masjid seribu tangan karena dibangun secara gotong royong oleh ribuan masyarakat dan jamaah Daarut Tauhid. Pada saat itu, di bagian bawah bangunan Masjid Daarut Tauhid dialokasikan sejumlah kamar tidur yang berfungsi sebagai asrama santri putri atau akhwat yang berkapasitas 70 orang. Adapun lantai dua dan tiga difungsikan untuk shalat sedangkan lantai satu dijadikan area untuk toko (minimarket), ruang khusus akhwat, ruang wudhu, dan kamar mandi. Pada tahun 2015 dilakukan pembangunan perluasan dan renovasi Masjid Daarut Tauhid Bandung secara besar-besaran. Peletakan batu pertama pembangunan masjid dilakukan pada Kamis, 29 Januari 2015. Dua tahun kemudian tepatnya tanggal 20 November 2017 Masjid Daarut Tauhiid rampung pembangunannya dan diresmikan oleh KH. Abdullah Gymnastiar selaku Pembina Pesantren Daarut Tauhiid. Masjid hasil renovasi terbaru dibangun 4 lantai plus basement satu lantai. Pintu masjid terpisah antara ikhwan dan akhwat. Front Office (FO) DKM juga ada pada masing-masing area. Tempat wudhu dan kamar mandi dekat dengan pintu masuk. Salah satu hal yang membedakan Masjid Daarut Tauhid dengan masih lain adalah sangat bersahabat dengan jamaah difabel, yaitu dengan memfasilitasi lift khusus untuk mereka agar memudahkan mereka menaiki ruangan masjid hingga ke lantai 4. Selain itu juga dilengkapi kamar mandi khusus difabel yang terpisah antara ikhwan dan akhwat.</t>
  </si>
  <si>
    <t>Masjid Agung Trans Studio Bandung</t>
  </si>
  <si>
    <t>Masjid Agung Trans Studio Bandung (TSB) berdiri megah. Rumah ibadah seluas 4.000 meter persegi bergaya Timur Tengah ini menjadi oase di tengah-tengah pusat perbelanjaan dan tempat rekreasi. konsep masjid modern yang mengadopsi ala Timur Tengah ini berdasarkan arahan Chairul Tanjung (CT), selaku pemiki CT Corp. Dia langsung menerawang guna mewujudkan desain Masjid Agung TSB yang kental dengan sentuhan Masjid Nabawi.</t>
  </si>
  <si>
    <t>Gereja Tiberias Indonesia Bandung</t>
  </si>
  <si>
    <t>Gereja Tiberias Indonesia (GTI), atau Tiberias Ministry adalah salah satu sinode gereja Kristen Protestan di Indonesia. Salah satu ciri khas dari pelayanan GTI adalah pelayanan Kesembuhan Ilahi melalui Perjamuan Kudus dan Minyak Urapan. Gereja Tiberias Indonesia merupakan gereja pewahyuan yang diperintahkan oleh Tuhan Yesus kepada Pdt. DR. Yesaya Pariadji. Tugas Gereja Tiberias adalah untuk membuktikan bahwa Yesus Kristus adalah Tuhan Allah yang Maha Kuasa dibuktikan melalui mujizat-mujizatNya; bahwa Firman Allah bukan terdiri atas kata-kata, tetapi kuasa; bahwa Firman Allah lebih dari seluruh ilmu pengetahuan manusia; bahwa manusia harus hidup dalam pertobatan, harus hidup dalam kekudusan agar layak berdiri di hadapanNya dan pesta di Kerajaan Sorga.</t>
  </si>
  <si>
    <t>Tektona Waterpark</t>
  </si>
  <si>
    <t>Tektona Waterpark sebuah wahana yang memberikan sensasi bermain air bersama keluarga dan sahabat anda, memberikan keceriaan bagi anak-anak maupun pengunjung dewasa dengan fasilitas modern diantaranya Kolam Ombak dan Kolam Arus, Kolam Anak dan Balita, Semi Olympic serta Mini Slider untuk anak-anak dan Mega Slider untuk dewasa dengan ketinggian hampir dari 30 meter, yang akan memicu adrenaline para pengunjung. Selain itu wahana Tektona Waterpark juga menyediakan pojok kuliner, gazebo serta jasa pompa dan foto aksi yang dapat diperoleh di sudut wahana Tektona Waterpark, dan juga selalu tersedia ruang ganti serta ruang bilas di dalam kawasan Tektona Waterpark.</t>
  </si>
  <si>
    <t>Curug Cilengkrang</t>
  </si>
  <si>
    <t>Curug Cilengkrang bisa menjadi pilihan tujuan objek wisata alam di Bandung. Menawarkan area hutan sejuk serta area air terjun yang menyegarkan. Meski tidak besar, kawasan air terjun cukup bisa untuk menenangkan dan kembali menyegarkan wisatawan. Seolah bertolak belakang dari hingar bingar kota Bandung. Curug Cilengkrang menawarkan wisata alam yang tenang dan begitu hijau. Air terjun yang mempesona, serta hutan dengan pepohonan yang begitu asri. Dimana, tempat ini juga menjadi habitat hidup berbagai satwa liar yang masih terjaga.</t>
  </si>
  <si>
    <t>Jembatan Pasupati</t>
  </si>
  <si>
    <t xml:space="preserve">Jembatan Pasupati atau Jalan Layang Pasupati adalah sebuah jembatan yang menghubungkan bagian utara dan timur Kota Bandung melewati lembah Cikapundung. Panjangnya 2,8 km dan lebarnya 30-60 m. Sebagian jalan itu dibangun di atas Jalan Pasteur, adalah jalan lama dengan pohon palm raja disebelah kanan dan kirinya yang menjadi ciri kota Bandung. Jalan Layang Pasupati juga menjadi salah satu ikon Kota Bandung. Oleh karena itu, pada malam hari bagian tengah Jembatan Pasupati diterangi lampu sorot warna-warni. Jalan layang ini membuat arus lalu lintas dari wilayah sekitar Jabodetabek ke Bandung menjadi lebih mudah. Di bawah Jembatan Pasupati terdapat taman yang bernama Taman Pasupati._x000D_
</t>
  </si>
  <si>
    <t>Pasar Baru</t>
  </si>
  <si>
    <t>Pasar Baru adalah kawasan perdagangan yang berpusat di Jalan Pasar Baru, Kelurahan Pasar Baru, Kecamatan Sawah Besar, Jakarta Pusat. Pusat perbelanjaan ini didirikan pada tahun 1820, dan merupakan pusat perbelanjaan tertua di Jakarta.Ujung selatan Jalan Pasar Baru berbatasan dengan Jalan Antara dan Jalan Pasar Baru Selatan, serta Jalan Pos yang berdekatan dengan Gedung Kesenian Jakarta. Ujung utara Jalan Pasar Baru berbatasan dengan Jalan Kyai Haji Samanhudi, dekat Metro Pasar Baru dan Jalan Gereja Ayam. Di sisi kiri dan kanan Jalan Pasar Baru terdapat toko pakaian, toko tekstil dan tailor, toko alat olahraga dan sepatu, toko kacamata, dan toko perhiasan emas.\nDi Pasar Baru banyak bermukim orang India-Indonesia. Orang India-Indonesia berdagang menjual kain, alat olahraga, dan sepatu di Pasar Baru. Pada tahun 2002 ada sekitar 2.000 keluarga India yang terdaftar sebagai penduduk Jakarta, dan sebagian besar di antara mereka tinggal di pusat kota, khususnya di kawasan Pasar Baru dan Pintu Air. Di kawasan Pasar Baru juga terdapat tempat ibadah masyarakat India-Indonesia.\n\n</t>
  </si>
  <si>
    <t>Taman Sejarah Bandung</t>
  </si>
  <si>
    <t>Taman Sejarah Bandung adalah taman yang terletak di belakang Balai Kota Bandung, kompleks Pemerintahan Kota Bandung. Taman ini berfungsi untuk mengenalkan sejarah di Kota Bandung. Taman ini dilengkapi informasi mengenai pemimpin kota Bandung dari masa ke masa. Pembangunan taman ini menghabiskan anggaran sekitar 3,5 miliar rupiah.</t>
  </si>
  <si>
    <t>Roemah Seni Sarasvati</t>
  </si>
  <si>
    <t>Roemah Seni Sarasvati adalah sebuah galeri yang berlokasi di Jl. Jendral Sudirman 137, Bandung. RSS merupakan project utama Sarasvati Arts Management yang dibangun dengan tujuan untuk memperkenalkan berbagai keragaman seni budaya. RSS juga merupakan tempat bertukar gagasan dan kepedulian untuk menciptakan identitas unik bagi Kota Bandung serta merawat kreativitas dan pengetahuan. Salah satu program kerja yang sedang dirancang adalah Grote Postweg Art Project.</t>
  </si>
  <si>
    <t>Puspa Iptek Sundial</t>
  </si>
  <si>
    <t>Puspa Iptek Sundial adalah wahana pendidikan yang terletak di kawasan Kota Baru Parahyangan, Padalarang, Bandung, Jawa Barat. Puspa Iptek Sundial diresmikan pada tanggal 11 Mei 2002, bertepatan dengan momen Hari Pendidikan Nasional. Keberadaan Puspa Iptek Sundial merupakan upaya penting bagi perwujudan Kota Baru Parahyangan sebagai Kota Mandiri yang berwawasan pendidikan. Mulai tahun 2013 area alat peraga di Puspa Iptek Sundial juga diperluas serta fasilitasnya diperlengkap, seiring dengan semakin tingginya minat dan kepedulian masyarakat terhadap dunia sains dan teknologi.</t>
  </si>
  <si>
    <t>Masjid Salman ITB</t>
  </si>
  <si>
    <t>Masjid Salman ITB adalah masjid kampus yang terletak di Jalan Ganesha 7, Lebak Siliwangi, Coblong, Kota Bandung atau tepat di depan area Kampus ITB Ganesha. Dengan luas lahan 7800 m2 dan luas bangunan masjid 1225 m2, Masjid Salman dilengkapi dengan berbagai fasilitas penunjang seperti kantin, air minum gratis, mini market, dan ruang serbaguna. Masjid yang dibuka pada tahun 1972 ini merupakan masjid kampus pertama di Indonesia.</t>
  </si>
  <si>
    <t>Curug Aseupan</t>
  </si>
  <si>
    <t>Curug Aseupan berada di kawasan Curug Tilu Leuwi Opat. Curug ini merupakan bintang utama dari beberapa curug di sini. Jika diceritakan, kecantikannya bisa lah buat mengisi galeri dan feed instagram. Curug ini sendiri berada di Dusun Ciwangan, Kelurahan Cihanjuang rahayu, kecamatan Parangpong, Kabupaten Bandung Barat. Sekitar 9 KM dari Lembang yang jarangnya cukup berdekatan dengan Curug Cimahi. Bukan hanya menyajikan pemandangan air terjun, di sekitar curug juga terdapat area camping ground yang cukup luas.</t>
  </si>
  <si>
    <t>Museum Pendidikan Nasional</t>
  </si>
  <si>
    <t xml:space="preserve">Museum Pendidikan Nasional Universitas Pendidikan Indonesia diresmikan oleh Gubernur Jawa Barat, H. Ahmad Heryawan, Lc. Pembangunan Museum Pendidikan Nasional ini merupakan salah satu bentuk tanggung jawab UPI sebagai perguruan tinggi yang memiliki kepedulian terhadap kelestarian warisan sejarah budaya bangsa khususnya dibidang pendidikan. Museum pada umumnya memamerkan benda koleksi yang berasal dari masa lalu, namun hal tersebut berbeda dengan Museum Pendidikan Nasional Universitas Pendidikan Indonesia. Museum ini menyajikan bagaimana pendidikan dimasa yang akan datang, karena saat ini pendidikan menjadi bersifat forecasting atau ramalan. Keberadaan Museum Pendidikan Nasional diharapkan mampu menjadi wahana pusat penelitian, serta sumber belajar dan pembelajaran, yang dapat meningkatkan kompetensi pendidik maupun wawasan pembelajar dalam mengupayakan peningkatan mutu pendidikan, sekaligus menjadi tujuan wisata budaya di Jawa Barat dan Nasional. Karena pada dasarnya manusia tidak mempelajari masa lalu, melainkan masa depan._x000D_
</t>
  </si>
  <si>
    <t>Water Park Bandung Indah</t>
  </si>
  <si>
    <t xml:space="preserve">Bandung Indah Waterpark merupakan salah satu kolam renang yang ada di Bandung. Menyediakan berbagai wahana permainan air yang cocok bagi keluarga. Terdapat kolam renang untuk dewasa dan anak-anak. Pengunjung dapat melakukan olahraga renang dan rekreasi._x000D_
</t>
  </si>
  <si>
    <t>Curug Anom</t>
  </si>
  <si>
    <t>Curug Anom adalah sebuah air terjun yang memiliki dinding batu atau tebing berbentuk flat, sehingga sekilas terlihat seperti tembok, padahal ini nyata tebing batu yang memiliki permukaan rata dengan ketinggian kurang lebih 30 meter. Lokasi Curug Anom berada dalam kawasan obyek wisata Natural Hill Lembang, tepatnya di Jln. Kolonel Masturi, Kec. Cisarua, Kab. Bandung Barat, Jawa Barat. Meskipun debit air di Curug Anom Lembang ini tidak terlalu besar, namun karena ukuran tebing yang sangat tinggi, maka cipratan air yang jatuh dari atas akan terasa seperti hujan lokal. Aliran air yang jatuh mengikuti permukaan dinding tebing yang rata dan kemudian membentur dasar air terjun terlihat seprti seuntai kain sutra yang menghiasi dinding batu.</t>
  </si>
  <si>
    <t>Taman Badak</t>
  </si>
  <si>
    <t>Taman Badak ini baru saja diresmikan pada tanggan 19 Desember 2017 oleh Bapak Ridwan Kamil sebagai Wali Kota Bandung. Terdapat Patung Badak yang berusia puluhan tahun di taman ini yang menjadi ikonnya. Patung Badak tersebut direvitalisasi, sehingga kini tampilannya baru dan menjadi spot foto favorit bagi para pengunjung. Selain Patung Badak, juga terdapat Patung Dewi Sartika yang berada di samping Taman Badak yang juga turut direvitalisasi, tetapi Patung Dewi Sartika ini bentuk awalnya kecil dan kini telah diperbesar.</t>
  </si>
  <si>
    <t>Taman Film</t>
  </si>
  <si>
    <t>Taman Film adalah salah satu taman tematik dan ruang terbuka publik di Kota Bandung yang terletak di bawah Jembatan Pasupati, Bandung, Jawa Barat. Taman ini diresmikan oleh Wali kota Bandung, Ridwan Kamil, pada tanggal 14 September 2014. Taman ini memiliki konsep bioskop terbuka yang modern agar warga dapat beraktivitas di taman dan mendapat sarana menonton film secara gratis. Taman Film dikelola Komunitas Film Bandung dan Dinas Pertamanan Kota Bandung.</t>
  </si>
  <si>
    <t>Museum Nike Ardilla</t>
  </si>
  <si>
    <t>Museum Nike Ardilla diresmikan atau dibuka untuk umum tepat di hari dimana almarhumah Nike Ardilla jika masih hidup berusia 21 tahun. Diresmikan langsung sendiri oleh pihak keluarga yaitu ayahnya sendiri (Almarhum) R.Eddy Kusnaedi dengan pemotongan kue ulang tahun, dan disaksikan langsung di depan komunitas Nike Ardilla Fans Club. Museum ini menempati sebuah bangunan Rumah yang akan menjadi saksi bisu serta menyimpan segala kenangan Nike Ardilla selama hidupnya, dan populer juga dengan sebutan Rumah Nike Ardilla (RNA). Sahabat travelerâ€™s, Konsep dasar bangunan Rumah Nike Ardilla (RNA) ini adalah merupakan paduan desain yang menyerupai Planet Hollywood, Hard Rock Cafe dan Museum pada umumnya yang biasa kita lihat. Museum Nike Ardilla ini menempati bangunan 2 lantai seluas 500 meter persegi, dimana lantai pertama digunakan sebagai tempat tinggal keluarga almarhumah Nike Ardila. Sementara di lantai 2 Museum, selain digunakan sebagai ruang pamer barang koleksi Nike Ardilla, Aksesoris serta benda-benda pribadi miliknya, anda juga bisa menyaksikan seperti apa sih ruang pribadi berupa kamar Nike Ardilla dengan segala isinya.</t>
  </si>
  <si>
    <t>Batununggal Indah Club</t>
  </si>
  <si>
    <t xml:space="preserve">Kolam renang Batununggal merupakan salah satu kolam renang yang digemari warga Bandung saat liburan. Kolam renang berada di kawasan komplek perumahan Batununggal Insah Estate. Buat kamu yang paham dengan perumahan tersebut pasti mudah sekali untuk menuju ke lokasi. Kolam renang ini sebenarnya bernama Kolam Renang Batununggal Indah Club atau kolam renang BIC. Kolam renang ini merupakan salah satu fasilitas exclusive bagi para penghuni perumahan. Meskipun merupakan fasilitas perumahan, tetapi pihak pengelola sudah membuka untuk umum. Jadi buat kamu yang berada di Bandung dan sekitarnya tanpa harus tinggal di perumahan tersebut sudah bisa menikmati liburan di sana sob._x000D_
</t>
  </si>
  <si>
    <t>Mountain View Golf Club</t>
  </si>
  <si>
    <t>Selamat Datang di Mountain View Golf Club Dago Pakar Bandung. Golf Course dengan 72 par, 18 hole telah dirancang oleh Juara dunia 5 kali asal Inggris Peter Thompson dan tentu saja achitect terkenal Ross Peret, terletak di dalam kompleks perumahan bergengsi hanya 30 menit dari bandara internasional Bandung atau 20 menit dari pusat kota. Pegolf dan pengunjung yang duduk di barisan depan akan disajikan pemandangan dari Club House dan lapangan golf di pegunungan dekat dengan kota Bandung. Dilengkapi fasilitas kelas dunia, lengkap dengan kamar Vip, Ruang Pijat, Loker mewah untuk pria dan wanita, Champions Bar, Restoran dan Toko Golf yang berdekatan dengan pintu masuk lobi.</t>
  </si>
  <si>
    <t>Gunung Lalakon</t>
  </si>
  <si>
    <t>Gunung Lalakon merupakan sebuah gunung yang terdapat di Kampung Jelegong, Desa Badaraksa, Kecamatan Kutawaringin, Kabupaten Bandung, Jawa Barat dan memiliki ketinggian 870 meter. Gunung Lalakon terkenal dikarenakan bentuknya yang menyerupai kerucut sempurna atau piramida.\nGunung Lalakon dikenal juga dengan nama Gunung Sabelas karena di puncak gunung ini terdapat dua buah tower PLN yang bila dilihat dari kejauhan membentuk angka 11, tower milik PLN ini terhubung dengan PLTA Saguling. Sehingga, untuk keamanan tower beserta fungsinya inilah yang menjadikan perijinan ke gunung ini sedikit ketat, tidak mengagetkan ketika akan mendekati puncak banyak bambu yang dirintangkan ke jalur dengan tujuan menutup jalur pendakian .\nSelain keberadaan tower milik PLN, di gunung ini juga terdapat beberapa situs batuan, seperti Batu Lawang, Batu Pabiasan, Batu Warung, Batu Pupuk, Batu Renges, Batu Gajah, dan sebuah Batu Panjang yang terletak di atas puncak. Menurut salah seorang tokoh masyarakat Kampung Badaraksa, Abah Acu, "secara filosofis, Gunung Lalakon adalah perlambang sebuah lakon dari kehidupan manusia. Batu-batu tadi merepresentasikan berbagai profesi (lakon) yang dipilih oleh manusia."\nPemandangan dari gunung ini cukup bagus, seluruh sudut Kabupaten Bandung bisa terlihat dari puncaknya, termasuk pemandangan Waduk Saguling di sebelah barat. Beberapa sisi gunung ini sudah rusak oleh aktivitas galian liar (galian C), seperti di area Cipatik di sisi utara dan area Situwangi di sisi barat.</t>
  </si>
  <si>
    <t>Sendang Geulis Kahuripan</t>
  </si>
  <si>
    <t>Wilayah ini lebih tepatnya berada di RPH Cikalong Wetan, BKPH Padalarang Perum Perhutani BKPH Bandung Utara. Dilihat dari kawasannya, mengingatkan saya kepada salah satu objek wisata yang berada di jawa tengah. Lebih tepatnya berada di klaten, Umbul Ponggok namanya. Bagi Sobat Native yang sudah pernah ke Umbul Ponggok, objek wisata sendang ini hampir sama persis. Hanya saja, di kawasan ini digunakan secara serba guna. Maksud dari serba guna adalah. Sumber mata air yang keluar dari objek wisata ini digunakan juga oleh sebagian masyarakat sekitar sebagai tempat mencuci. Tunggu dulu, jangan merasa jijik dahulu. Sumber mata air yang menghasilkan sendang ini hampir setiap menit mengalir air-air bersih.</t>
  </si>
  <si>
    <t>Sanghyang Heuleut</t>
  </si>
  <si>
    <t xml:space="preserve">Danau yang satu ini memiliki air jernih bernuansa kehijauan yang berpadu indah dengan tebing batu berukuran besar di sekelilingnya. Di sela-sela bebatuan, kamu bisa menemukan pepohonan dan rerumputan hijau yang menyegarkan mata. Bebatuannya yang tinggi itu bahkan kerap digunakan sebagai tempat para traveler untuk meloncat indah menuju danau purba tersebut. Danau Sanghyang Heuleut memiliki kedalaman sekitar tiga meter. Jadi, sebelum kamu masuk ke dalam danau, pastikan kamu bisa berenang agar tidak tenggelam, atau setidaknya telah memiliki perlengkapan seperti jaket pelampung. _x000D_
</t>
  </si>
  <si>
    <t>Lereng Anteng Panoramic Coffee Place</t>
  </si>
  <si>
    <t>Lereng Anteng Panoramic Coffee adalah sebuah tempat tongkrongan asyik berupa cafe and resto dengan perpaduan antara kafe dan spot wisata alam. Tempat makan satu ini dibuka sejak tanggal 1 Juni 2016 lalu dengan menempati luas areal sekitar 500 mÂ² dan hadir mengusung konsep cozy. Nama kafe ini diambil dari kata Lereng yang artinya tempat di pinggiran dataran tinggi dan Anteng (bahasa Sunda) memiliki arti tempat dengan suasana nyaman. Selain menyajikan aneka menu makanan dan minuman, Lereng Anteng Panoramic Coffe juga menyuguhkan view yang begitu luar biasa indahnya</t>
  </si>
  <si>
    <t>Masjid Pusdai</t>
  </si>
  <si>
    <t>Masjid PUSDAI (pusat dakwah islam) dibangun dalam arsitektur asli di Indonesia, dengan bentuk bentuk yang khas atap Limas. Aplikasikan pada semua atap bangunannya dengan dipadu berbagia gaya arsitektur masjid masjid di seluruh penjuru dunia Islam. Uniknya daripada yang lain, ternyata ada pada bagian kubah (atap masjid) yang terbuat dari sebuah kayu. Sebagian ornamen pada masjid ini, terbuat dari kayu dan terkesan alami dan begitu kuat. Batu marmer juga ikut mendominasi bangunan masjid dengan beberapa hiasan bermotif etnis dalam pola kaligrafinya yang terdapat di bangunan masjid PUSDAI.</t>
  </si>
  <si>
    <t>Masjid Al-Imtizaj</t>
  </si>
  <si>
    <t>Masjid Al Imtizaj adalah salah satu masjid yang bernuansa oriental dan arsitektur bercorak negeri tirai bambu yang berada di Kota Bandung. Letak masjid ini lebih tepatnya berada di Jalan Banceuy nomor 8, Kota Bandung, Jawa Barat.</t>
  </si>
  <si>
    <t>Situ Cileunca</t>
  </si>
  <si>
    <t>Situ Cileunca yang berlokasi di Warnasari, Pangalengan, Bandung, Jawa Barat adalah sebuah danau buatan dengan luas mencapai 1.400 hektar dengan latar belakang perbukitan dan pegunungan yang indah. Selain difungsikan sebagai objek wisata, Situ Cileunca juga berfungsi sebagai pembangkit listrik tenaga air (PLTA). Air yang berasal dari danau tersebut dialirkan melalui Sungai Palayangan. Sungai ini pula yang sering dijadikan sebagai arena ber-arung jeram. Kedalaman danau mencapai 17 meter, dan sebelum tahun 1918, ini merupakan hutan belantara yang kemudian diubah menjadi situ, yang berfungsi melayani kebutuhan air masyarakat.</t>
  </si>
  <si>
    <t>Sunrise Point Cukul</t>
  </si>
  <si>
    <t>Sunrise Point Cukul merupakan salah satu tempat wisata populer bagi wisatawan untuk melihat matahari terbit di kawasan Bandung Selatan. Mereka bisa melihat sunrise dari ketinggian 1.600 meter di atas permukaan laut. Sunrise Point Cukul merupakan salah satu tempat wisata populer bagi wisatawan untuk melihat matahari terbit di kawasan Bandung Selatan. Mereka bisa melihat sunrise dari ketinggian 1.600 meter di atas permukaan laut.</t>
  </si>
  <si>
    <t>Sungai Palayangan</t>
  </si>
  <si>
    <t>Sungai Palayangan terletak di Kawasan Objek Wisata Situ Cileunca Pangalengan Kab. Bandung, sekitar 45 Km atau kurang lebih 2 jam perjalanan dari pusat Kota Bandung. Adalah lokasi Arung Jeram yang paling Populer di Kawasan Bandung Selatan karena memiliki beberapa kelebihan dibandingkan dengan sungai-sungai yang lain.\nBerikut adalah kelebihan-kelebihan Arung Jeram di Sungai Palayangan :</t>
  </si>
  <si>
    <t>Perkebunan Teh Malabar</t>
  </si>
  <si>
    <t>Salah satu perkebunan teh yang cukup terkenal di Jawa Barat adalah perkebunan teh Malabar yang dibangun pada masa penjajahan kolonial Belanda tahun 1896. Perkebunan ini masuk dalam wilayah kecamatan Pangalengan Kabupaten Bandung, kira-kira 45 km dari pusat Kota Bandung. Jika anda berkunjung ke daerah ini, maka mata akan akan dimanjakan dengan aktivitas penduduk setempat yang mayoritas penduduknya menjadi pemetik teh dan memelihara sapi perah. Jadi jangan heran apabila anda memasuki daerah ini, anda akan melihat penduduk yang sedang memetik di kebun teh dan memelihara sapi. Namun, untuk mencapai perkebunan Malabar yang ada di Pangalengan ini, anda harus menempuh perjalanan yang panjang dan berkelok-kelok membuat anda harus berhati-hati.</t>
  </si>
  <si>
    <t>Pemandian Air Panas Ciater</t>
  </si>
  <si>
    <t>Di Subang, terdapat kawasan pemandian Air Panas Ciater yang sering menjadi incaran wisatawan. Kawasan wisata yang buka 24 jam ini memiliki suhu air sekitar 43-46 derajat celcius. Sangat cocok untuk menyegarkan badan wisatawan. Terdapat berbagai kolam pemandian air panas di sini. Baik untuk dewasa maupun anak-anak. Untuk suhu air pada kolam anak terbatas hanya mencapai 39 derajat Celcius sedangkan kolam dewasa bisa mencapai 46 derajat Celcius.</t>
  </si>
  <si>
    <t>Observatorium Bosscha</t>
  </si>
  <si>
    <t>Observatorium Bosscha merupakan salah satu tempat peneropongan bintang tertua di Indonesia. Observatorium Bosscha (dahulu bernama Bosscha Sterrenwacht) dibangun oleh Nederlandsch-Indische Sterrenkundige Vereeniging (NISV) atau Perhimpunan Bintang Hindia Belanda. Observatorium Bosscha berlokasi di Lembang, Jawa Barat, sekitar 15 km di bagian utara Kota Bandung dengan koordinat geografis 107Â° 36' Bujur Timur dan 6Â° 49' Lintang Selatan. Tempat ini berdiri di atas tanah seluas 6 hektare, dan berada pada ketinggian 1310 meter di atas permukaan laut atau pada ketinggian 630 m dari dataran tinggi Bandung. Kode observatorium Persatuan Astronomi Internasional untuk observatorium Bosscha adalah 299. Tahun 2004, Observatorium Bosscha dinyatakan sebagai Benda Cagar Budaya oleh Pemerintah. Karena itu keberadaan Observatorium Bosscha dilindungi oleh UU Nomor 2/1992 tentang Benda Cagar Budaya. Selanjutnya, tahun 2008, Pemerintah menetapkan Observatorium Bosscha sebagai salah satu Objek Vital nasional yang harus diamankan.</t>
  </si>
  <si>
    <t>Taman Bunga Cihideung</t>
  </si>
  <si>
    <t>Taman Bunga Cihideung mempunyai pesona alam yang sederhana namun mampu menghasilkan landscape yang menyita perhatian. Pesona dari kebun / taman bunga ini padahal hanya sebatas tumbuhan sejenis bunga. Lalu ada pula beberapa daya tarik lain sehingga membuat destinasi wisata alam ini masuk ke dalam list wisata Bandung. Salah satunya yaitu area spot foto yang sangat kekinian dan instagramable yang menjadi incaran utama wisatawan remaja. Khususnya bagi para influencer yang sedang mencari latar sempurna untuk sebuah konten.</t>
  </si>
  <si>
    <t>The Lodge Maribaya</t>
  </si>
  <si>
    <t>The Lodge Maribaya adalah salah satu tempat wisata di Lembang yang menawarkan berbagai hal pada pengunjung. Disini kita bisa melakukan berbagai akitivitas seperti camping, trekking mengelilingi area hutan pinus yang indah, acara gathering dan team building, atau bahkan hanya sekedar refreshing menikmati kuliner. Terdapat juga berbagai wahana yang pastinya instagrammable banget. Di kelilingi oleh pegunungan dengan hutan pinus yang khas, udara dan suasana disini memang segar banget. Ingin mengadakan private gathering, atau bahkan acara pernikahan disini? bisa banget. Dengan backdrop pegunungan hijau yang indah, tentunya bakal membuat acara anda lebih berkesan.</t>
  </si>
  <si>
    <t>Taman Begonia</t>
  </si>
  <si>
    <t>Taman Begonia Bandung terletak pada ketinggian 1200 meter di atas laut. Selain balinea, ada beraneka jenis bunga lainnya seperti salvia, impatiens, geranium, dan celosia. Saking indahnya banyak orang yang menyebut setara dengan taman Himawari no Sato di Jepang. Bunga Balinea itu sendiri merupakan jenis bunga Begonia yang berasal dari Bali. Tanaman yang cocok ditanam di berbagai cuaca ini akan tumbuh di sepanjang musim. Bunga Balinea adalah tanaman yang sering ditanam di perkebunan dan pekarangan hotel serta taman kota Keistimewaan Taman Bunga Begonia bukan hanya dari keberadaan bunga dan tanaman yang ada, melainkan juga dari tatanan taman yang menarik. Warna-warni taman bunga juga dilengkapi dengan berbagai bentukan yang cocok untuk berfoto-foto. Bahkan memang banyak pengunjung yang datang ke sini hanya untuk mengabadikan keindahan tamannya. Selain itu, karena berada di dataran tinggi, para pengunjung pasti akan nyaman beraktivitas di sana dengan suhu yang sejuk dan menyegarkan.</t>
  </si>
  <si>
    <t>Tafso Barn</t>
  </si>
  <si>
    <t>Nama Punclut mungkin sudah cukup akrab di telinga wisatawan. Kawasan dataran tinggi di Bandung yang belakangan populer sebagai destinasi wisata. Selain menawarkan pemandangan yang indah, kawasan ini juga memiliki banyak tempat wisata untuk rekreasi. Salah satunya adalah kawasan wisata sekaligus restoran Tafso dan Boda Barn atau sering dikenal juga dengan Tafso Barn. Tempat rekreasi ini memadukan tempat makan dengan nuansa taman dan gudang yang unik. Pemandangan perbukitan yang dipotong garis horison menjadi incaran utama pengunjung. Sangat tepat nongkrong dan bersantai ketika berlibur di Bandung.</t>
  </si>
  <si>
    <t>Curug Luhur Waterfall</t>
  </si>
  <si>
    <t xml:space="preserve">Sekitaran Bandung banyak sekali curug dari yang kekinian, terlupakan, kurang terdengar sampai baru dengar. Salah satunya adalah curug Luhur Cibodas di daerah Maribaya Lembang di sekitar area ini ada 3 curug, penduduk lokal menyebutnya curug Cibodas pernah disebut juga curug Keraton .. tapi sekarang lebih dikenal curug Luhur, selain yang ini ada juga curug Lalay yang tidak terlalu tinggi dan satu lagi curug yang paling tinggi diarea sini yaitu curug Luhur .. posisinya lebih kedalam lagi sekitar 3 km dari pos masuk, masih jarang orang yang kesana_x000D_
</t>
  </si>
  <si>
    <t>Curug Malela</t>
  </si>
  <si>
    <t xml:space="preserve">Curug Malela adalah salah satu destinasi alam yang berupa air terjun. Curug ini memilliki keindahan yang luar biasa. Jadi tak heran banyak para pengunjung yang datang untuk mengunjungi curug ini. Para pengunjung yang datang tidak hanya dari dalam kota saja, namun juga dari luar kota seperti DKI jakarta, Jawa Tengah, Jawa Barat dan masih banyak lagi. Curug ini memiliki ketinggian yang cukup tinggi yaitu sekitar 60 sampai 70 meter. Namun curug ini memiliki lebar yang cukup sempit yaitu sekitar 50 meter saja. Curug yang menjulang tinggi ini memiliki air yang sangat deras dan dingin. Jadi jika kamu berdiri di dekat air terjun ini siap siap pakaianmu akan basah terkena cipratan air. Air terjun Malela tidak hanya terdiri dari satu pancuran air saja, namun terdiri dari beberapa pancuran air yang berdekatan. Karena curug ini memiliki pancuran air yang berjejeran seperti air terjun niagara yang ada di Amerika, banyak para pengunjung yang menyebutnya sebagai â€œNiagara nya Cianjurâ€._x000D_
</t>
  </si>
  <si>
    <t>Curug Cimahi</t>
  </si>
  <si>
    <t>Curug Cimahi adalah air terjun yang terletak di Jalan Kolonel Masturi, Desa Kertawangi, Kecamatan Cisarua, Kabupaten Bandung Barat, Jawa Barat. Dengan ketinggian sekitar 87 meter, menjadikan air terjun ini sebagai salah satu curug tertinggi di wilayah Bandung dan sekitarnya. Nama Cimahi berasal dari nama sungai yang mengalir di atasnya yaitu Sungai Cimahi yang berhulu di Situ (danau) Lembang dan mengalir ke Kota Cimahi. Destinasi wisata ini berjarak kurang lebih 10 kilometer dari Kota Cimahi ke arah Lembang atau 20 kilometer dari Kota Bandung.</t>
  </si>
  <si>
    <t>Situ Patenggang</t>
  </si>
  <si>
    <t>Situ Patenggang atau Situ Patengan adalah suatu danau yang terletak di kawasan objek wisata alam Bandung Selatan, Jawa Barat, Indonesia, tepatnya di Ciwidey. Terletak di ketinggian 1600 meter di atas permukaan laut, danau ini memiliki pemandangan yang sangat eksotik. Situ patenggang juga memiliki pemandangan alam yang asri, karena disekitarnya terdapat hamparan kebun teh.\nLuas Situ Patenggang sekitar 45.000 hektar. Serta total luas cagar alamnya mencapai 123.077,15 hektar. Situ patenggang selalu menjadi pilihan wisatawan terutama bagi mereka yang baru pulang dari tempat wisata Kawah Putih. Jaraknya dari wisata kawah putih hanya sekitar 7 KM dan membutuhkan waktu sekitar 10 menit saja.</t>
  </si>
  <si>
    <t>Kawah Rengganis Cibuni</t>
  </si>
  <si>
    <t>Kawasan Bandung Selatan khususnya Ciwidey memang sudah dikenal sebagai destinasi wisata alam dengan panorama yang indah dan udara yang sejuk, oleh karena itu masyarakat perkotaan memilih berwisata ke Ciwidey untuk â€œmelarikanâ€ diri dari kesibukan mereka di Kota. Wisata Ciwidey yang satu ini tidak kalah eksotis dari Kawah Putih, Rancaupas atau Situ Patenggang. Berdasarkan catatan Sejarah Kawah Rengganis, kawah ini sudah terbentuk akibat proses alam jutaan tahun lalu. Dimana berdasarkan penelitian, Kawah Rengganis ini terbentuk dari dahsyatnya letusan Gunung Sunda Purba, khususnya Gunung Patuha, yang juga menciptakan kawah lainnya, Kawah Putih. Bukti kedahsyatan letusannya bisa kita lihat sendiri, dimana hingga saat ini di Kawah Rengganis masih tercium begitu kuat aroma bau belerang dari areal kawahnya.</t>
  </si>
  <si>
    <t>Pemandian Air Panas Cimanggu</t>
  </si>
  <si>
    <t>Air Panas Cimanggu menjadi salah satu objek wisata di Bandung yang menawarkan berbagai macam daya tarik yang dijamin mengagumkan. Tempat wisata yang satu ini juga dikenal dengan nama Cimanggu Natural Hot Spring. Menikmati pemandian air panas dan juga hijaunya pemandangan di pemandian ini pastinya bisa membuat pikiran Anda lebih rileks. Pikiran rileks pastinya akan membuat Anda lebih bersemangat saat kembali bekerja.</t>
  </si>
  <si>
    <t>Glamping Lakeside Rancabali</t>
  </si>
  <si>
    <t>Glamping Lakeside Rancabali menawarkan tempat berkemah mewah yang cocok untuk Anda jadikan destinasi liburan di akhir pekan. Seperti namanya, glamping atau glamour camping terdiri dari tenda yang berisikan tempat tidur nyaman, kamar mandi di dalam ruangan, pemanas, dan berbagai amenitas layaknya hotel berbintang. Berlokasi di Jalan Raya Ciwidey Rancabali KM 1, Glamping Lakeside berada di sekitar Situ Patenggang dan perkebunan teh yang subur. Tidak heran jika pemandangan dari glamping ini begitu apik dan Instagramable untuk berfoto.</t>
  </si>
  <si>
    <t>Bukit Jamur</t>
  </si>
  <si>
    <t>Bukit Jamur Ciwidey adalah satu dari sekian banyak pesona wisata alam yang berada di Kecamatan Ciwidey, Kabupaten Bandung, Provinsi Jawa barat. Bukit Jamur Ciwidey memang memiliki khas wisata Ciwidey, yaitu objek wisata di tengah hamparan kebun teh, dengan udara yang sangat sejuk.Suasana saat kabut turun di area perkebunan membuat suasana menjadi romatis. Bukit Jamur Ciwidey suasananya cocok juga bagi jomblowan â€“ jomblowati, banyak spot dengan latar alam yang indah, yang dimungkinkan mampu melupakan sang mantan.</t>
  </si>
  <si>
    <t>Kebun Tanaman Obat Sari Alam</t>
  </si>
  <si>
    <t>Kebun Tanaman Obat Sari Alam lebih terkenal dengan sebutan wisata pengobatan herbal, karena disana terdapat banyak sekali tanaman yang dijadikan sebagai pengobatan alternative. Kebun Tanaman Obat Sari Alam lebih dikenal oleh orang Bandung dengan sebutan KTO Sari Alam. Lokasi: Jl. Raya Ciwidey bandung km 26 no 8 rt 1 rw 2 kampung Andir, Cukanggenteng, Kec. Pasirjambu, kab Bandung, Jawa Barat 40972</t>
  </si>
  <si>
    <t>Happyfarm Ciwidey</t>
  </si>
  <si>
    <t xml:space="preserve">Objek wisata alam dan edukasi tengah banyak menjamur akhir-akhir ini. Selain De Ranch dan Farmhouse Lembang, ada juga Happy Farm Ciwidey di Bandung. Objek wisata ini masih terbilang baru, karena baru bulan Juni 2019 ini berdiri. Konsepnya hampir sama, wisata alam dan peternakan dengan unsur edukasi. Sangat cocok menjadi tujuan wisata keluarga, terutama untuk anak-anak. Dan semakin seru karena bermain di area outdoor dengan udara sejuk._x000D_
</t>
  </si>
  <si>
    <t>Saung Angklung Mang Udjo</t>
  </si>
  <si>
    <t>Saung Angklung Udjo (SAU) adalah suatu tempat yang merupakan tempat pertunjukan, pusat kerajinan tangan dari bambu, dan workshop instrumen musik dari bambu. Selain itu, SAU mempunyai tujuan sebagai laboratorium kependidikan dan pusat belajar untuk memelihara kebudayaan Sunda dan khususnya angklung. Didirikan pada tahun 1966 oleh Udjo Ngalagena dan istrinya Uum Sumiati, dengan maksud untuk melestarikan dan memelihara seni dan kebudayaan tradisional Sunda. Berlokasi di Jalan Padasuka 118, Bandung Timur Jawa Barat Indonesia. Dengan suasana tempat yang segar udaranya dan dikelilingi oleh pohon-pohon bambu, dari kerajinan bambu dan interior bambu sampai alat musik bambu. Disamping pertunjukan rutin setiap sore, Saung Angklung Udjo telah berkali-kali mengadakan pertunjukan khusus yang dilakukan pada pagi atau siang hari. Pertunjukkan tersebut tidak terbatas diadakan di lokasi Saung Angklung Udjo saja, tetapi berbagai undangan tampil di berbagai tempat baik di dalam maupun di luar negeri, pada bulan Agustus tahun 2000 di Sasana Budaya Ganesha ITB, Bandung, Saung Angklung Udjo mengadakan konser kolaborasi dengan penyanyi cilik yang dijuluki Shirley Temple-nya Indonesia, yaitu Sherina. Saung Angklung Udjo tidak terbatas pada hanya menjual seni pertunjukan saja, berbagai produk alat musik bambu tradisional (angklung, arumba, calung dan lainnya) dibuat dan dijual kepada para pembeli.</t>
  </si>
  <si>
    <t>Taman Kupu-Kupu Cihanjuang</t>
  </si>
  <si>
    <t>Taman Kupu-Kupu Cihanjuang Bandung ini,sepertinya telah menambah daftar objek wisata di Bandung yang unik dan menarik seperti halnya theme park Jendela Alam Bandung sekaligus bernilai edukasi yang sangat tinggi buat anak-anak dan sebagai sarana pembelajaran kepada anak kita bahwa pelestarian hewan langka dan cantik ini bisa diajarkan sejak usia dini.Dan faktanya, meskipun relatif masih anyar, namun salah satu tempat wisata keluarga di bandung ini nyatanya berhasil banyak menarik atensi atau perhatian wisatawan lokal kota Bandung maupun wisatawan luar daerah yang sedang liburan di Bandung. Lokasi Tempat wisatanya yang memang masih sangat rindang dan sejuk, ditunjang lagi dengan design interior taman kupu-kupu yang ditata sangat begitu detil dan menarik. Apabila melancong ke kawasan wisata yang satu ini, diharapkan anak-anak anda bisa memperoleh informasi tentang bagaimana proses metamorfosis seekor kupu-kupu mulai dari bibit larva hingga tumbuh besar secara sempura.</t>
  </si>
  <si>
    <t>Taman Miniatur Kereta Api</t>
  </si>
  <si>
    <t>Salah satu wisata yang ramai di Bandung adalah Taman Miniatur Kereta Api yang berada di taman wisata Floating Market Lembang. Dengan menghadirkan pernak-pernik kereta api secara lengkap dan sangat detail membuat taman miniatur kereta api ini seolah-olah benar hidup. Tak heran jika objek wisata ini mengundang ribuan orang untuk menikmati sekaligus belajar banyak tentang perkeretaan api baik di Indonesia maupun dunia. Taman miniatur ini menyediakan toko suvenir yang menjual beragam jenis miniatur kendaraan mulai dari mobil, pesawat dan kereta api tentunya. Selain itu, bagi pengunjung yang ingin menikmati sajian aneka ragam kuliner bisa langsung ke Floating Market Lembang. Bagi pengunjung yang berasal dari luar kota dapat menginap di hotel-hotel yang berdekatan dengan lokasi taman miniatur. Jarak hotel dari taman miniatur sekitar 200 meter sampai 1 kilometer. Hotel-hotel tersebut antara lain Grand Hotel Lembang, Hotel Cemara Asri, Hotel Buah Sinuan dan Hotel Pesona Bamboe. Tarif sewa hotel menginap semalam antara Rp 200.000 hingga Rp 1.000.000.</t>
  </si>
  <si>
    <t>Gua Pawon</t>
  </si>
  <si>
    <t xml:space="preserve">Gua Pawon adalah sebuah gua alami dan situs purbakala yang terletak di Desa Gunung Masigit, Kecamatan Cipatat, Padalarang, Kabupaten Bandung Barat, atau sekitar 25 km arah barat Kota Bandung. Merupakan sebuah tempat yang penting bagi orang Sunda karena di sanalah tempat berkumpulnya sesepuh Sunda yang sekarang menduduki bagian barat pulau Jawa. Di sana pernah ditemukan kerangka manusia purba yang konon adalah nenek moyang orang Sunda (masih diteliti di balai Arkeolog Bandung)._x000D_
</t>
  </si>
  <si>
    <t>Bukit Gantole Cililin</t>
  </si>
  <si>
    <t>Bukit Gantole Cililin atau yang dikenal juga dengan sebutan Venue Gantole merupakan sebuah kawasan wisata yang awalnya di buka untuk tujuan terselenggaranya Porda Jabar 2010 dan Pekan Olahraga Nasional 2016 Cabang olahraga Paralayang. Kawasan wisata ini menjadi buah bibir setelah menjadi tuan rumah penyelenggaraan PON 2016. Olahraga paralayang sendiri merupakan jenis olahraga yang di lakukan di atas lereng bukit atau gunung dengan hanya memanfaatkan angin sebagai sumber utama. Oleh karenanya lokasi Bukit Gantole Cililin yang berada di ketinggian 1063 Mdpl dengan hempasan angin yang kencang sangat pas untuk olahraga ini.</t>
  </si>
  <si>
    <t>Bandros City Tour</t>
  </si>
  <si>
    <t>Bandros atau Bus Wisata Bandung adalah bus wisata yang beroperasi di Bandung, Jawa Barat, Indonesia.Digunakan oleh wisatawan di Kota Bandung. Bus tersebut diresmikan oleh Wali Kota Bandung Ridwan Kamil pada malam tahun baru 2014, dan pada 18 Februari 2018 diumumkan bus wisata akan melayani kota Bandung. Seorang pemimpin tur lokal akan menemani turis di dalam bus. Bandros dikelola oleh dua pihak: Dinas Perhubungan Bandung (yang terkait dengan Anggaran Pendapatan dan Belanja Daerah) dan Mang Dudung yang merupakan bagian dari Tanggung Jawab Sosial Perusahaan. Bus memiliki kapasitas 22 orang. Ada enam bus yang dioperasikan oleh divisi Corporate Social Responsibility, dan 12 bus dioperasikan oleh Anggaran Pendapatan dan Belanja Daerah yang dikelola oleh BLUD UPT Dinas Perhubungan Kota Bandung.</t>
  </si>
  <si>
    <t>Kyotoku Floating Market</t>
  </si>
  <si>
    <t>Kyotoku Floating Market Bandung, sebuah wisata kekinian yang mengusung tema hal-hal yang berbau Jepang. Di tempat ini anda akan melihat bangunan-bangunan khas Jepang serta pemandangan bak di negeri sakura. Jepang merupakan salah satu negara selain Korea Selatan yang menjadi tujuan favorit turis dari Indonesia. Karena sudah menjadi negara maju, berkunjung ke Jepang membutuhkan biaya akomodasi yang tidak sedikit, tiket pesawat, serta proses pengurusan visa yang ribet. Tak perlu jauh-jauh pergi ke luar negeri, anda dapat menikmati berwisata dengan nuansa Jepang di Bandung. Pengelola wisata mendesain tempat ini mirip-mirip dengan Kyoto, salah satu wilayah di Jepang yang kental dengan budaya. Melihat bunga sakura yang menjadi ikon Jepangpun tak perlu menunggu bulan April, kawasan wisata ini di lengkapi dengan hiasan bunga sakura sehingga suasana Jepang terasa semakin kental. Bagi anda yang tertarik berfoto memakai kimono atau yukata dengan background ala Jepang untung dipajang di instagram. Berikut review singkat kawasan wisata ini.</t>
  </si>
  <si>
    <t>Rainbow Garden</t>
  </si>
  <si>
    <t>Rainbow Garden Harapan Indah salah satu taman rekreasi yang terutama cocok untuk keluarga. Berkonsep â€˜eat and playâ€™, Rainbow Garden Bekasi memadukan arena permainan anak dengan wisata kuliner. Berbagai wahana dan aktivitas tersedia di taman wisata penuh warna seluas 3000 m2 ini.</t>
  </si>
  <si>
    <t>Kota Mini</t>
  </si>
  <si>
    <t>Destinasi yang sangat menarik bernuansa eropa lengkap dengan fasilitas publiknya membuat anda seolah-olah sedang berada di eropa. Ada rumah sakit, kantor polisi, box telepon, cafe-cafÃ© pinggir jalan, dan bangunan-bangunan klasik lainnya. Masih satu kompleks dengan Floating Market, tempat wisata ini menyajikan arsitektur eropa klasik yang begitu kental, dijamin anda akan enggan beranjak.</t>
  </si>
  <si>
    <t>Chingu Cafe Little Seoul</t>
  </si>
  <si>
    <t xml:space="preserve">Selain populer karena memiliki pemandangan yang indah dan hawa yang sejuk, Bandung juga menawarkan banyak destinasi wisata kreatif. Taman kota, museum, hingga tempat makan pun tidak luput dari keunikan dan daya tariknya masing-masing. Salah satunya adalah Little Seoul Bandung yang berada di area Chingu CafÃ©. Area luar ruangan di kafe ini disulap menyerupai suasana Jalan Dongdaemun di Seoul, Korea Selatan. Tanpa perlu jauh-jauh terbang ke Negeri Ginseng, pengunjung bisa merasakan suasana Seoul di sini._x000D_
</t>
  </si>
  <si>
    <t>Candi Gedong Songo</t>
  </si>
  <si>
    <t>Candi Gedong Songo (bahasa Jawa: ê¦•ê¦¤ê§€ê¦ê¦¶â€‹ê¦’ê¦¼ê¦ê¦ºê¦´ê¦â€‹ê¦±ê¦”, translit. Candhi Gedhong Sanga) adalah nama sebuah kompleks bangunan candi peninggalan budaya Hindu yang terletak di desa Candi, Kecamatan Bandungan, Kabupaten Semarang, Jawa Tengah, Indonesia tepatnya di lereng Gunung Ungaran. Di kompleks candi ini terdapat sembilan buah candi.\nCandi ini diketemukan oleh Raffles pada tahun 1804 dan merupakan peninggalan budaya Hindu dari zaman Wangsa Syailendra abad ke-9 (tahun 927 masehi).Candi ini memiliki persamaan dengan kompleks Candi Dieng di Wonosobo. Candi ini terletak pada ketinggian sekitar 1.200 m di atas permukaan laut sehingga suhu udara di sini cukup dingin (berkisar antara 19-27 Â°C)\nLokasi sembilan candi yang tersebar di lereng Gunung Ungaran ini memiliki pemandangan alam yang indah. Selain itu, objek wisata ini juga dilengkapi dengan pemandian air panas dari mata air yang mengandung belerang, area perkemahan, dan wisata berkuda.</t>
  </si>
  <si>
    <t>Semarang</t>
  </si>
  <si>
    <t>Grand Maerakaca</t>
  </si>
  <si>
    <t>Masyarakat Jawa Tengah mungkin sudah tidak asing dengan nama â€œPuri Maerokocoâ€. Taman wisata ini merupakan â€œTaman Miniâ€ versi Jawa Tengah yang menyajikan replika dan miniatur bangunan khas dari berbagai daerah di Jawa Tengah. Saat ini, Puri Maerakaca sudah berganti nama menjadi Grand Maerakaca. Dengan wahana yang lebih bervariasi, taman rekreasi ini menjadi salah satu destinasi wisata di Semarang yang cocok untuk rekreasi keluarga.</t>
  </si>
  <si>
    <t>Kampung Pelangi</t>
  </si>
  <si>
    <t>Kampung pelangi atau dalam bahasa Inggris disebut Rainbow Village merupakan sebutan untuk daerah atau kampung yang rumah-rumah penduduknya dicat dengan warna-warni. Sebenarnya Kampung Pelangi pada awalnya merupakan daerah kumuh yang dikemudian secara kreatif diubah menjadi daerah yang menarik untuk dijadikan sebagai destinasi wisata, terutama bagi masyarakat yang senang atau sedang mencari spot yang menarik untuk mengabadikan momen.\nBanyak daerah-daerah di Indonesia, terutama di jawa memliki tempat yang disebut Kampung pelangi, antara lain di Malang, Semarang, Jakarta, Bandung, dan kota-kota lainnya. Contoh kampung seperti ini yaitu, kampung warna-warni di Jodipan dan Tridi, Kota Malang, Jawa Timur.</t>
  </si>
  <si>
    <t>Lawang Sewu</t>
  </si>
  <si>
    <t>Lawang Sewu ("Seribu Pintu") (bahasa Jawa: ê¦­ê¦®ê¦â€‹ê¦±ê¦ºê¦®ê¦¸, translit. Lawang SÃ¨wu) adalah landmark di Semarang, Jawa Tengah, Indonesia, yang dibangun sebagai kantor pusat Perusahaan Kereta Api Hindia Belanda. Bangunan era kolonial terkenal sebagai rumah berhantu dan lokasi syuting, meskipun pemerintah kota Semarang telah berusaha mengubah citra itu.</t>
  </si>
  <si>
    <t>Sam Poo Kong Temple</t>
  </si>
  <si>
    <t>Sam Poo Kong (Hanzi: ; Pinyin: SÄnbÇŽo DÃ²ng), juga dikenal sebagai Kuil Gedung Batu, adalah kuil Tionghoa tertua di Semarang, Jawa Tengah, Indonesia. Awalnya didirikan oleh penjelajah Muslim Tionghoa Zheng He (juga dikenal sebagai Sanbao), sekarang dibagi oleh orang Indonesia dari berbagai denominasi agama, termasuk Muslim dan Budha, dan etnis, termasuk Tionghoa dan Jawa.</t>
  </si>
  <si>
    <t>Desa Wisata Lembah Kalipancur</t>
  </si>
  <si>
    <t>Wisata alam tengah menjadi sorotan bagi dunia pariwisata. Wisata alam tidak hanya pegunungan, danau, hutan, air terjun, atau pantai. Tapi juga merambah ke konsep pedesaan, seperti Desa Wisata Lembah Kalipancur. Tempat wisata ini menawarkan rekreasi berkonsep pedesaan yang ada di Kota Semarang. Meskipun berkonsep pedesaan, lokasinya tidak jauh dari pusat kota. Dan objek wisata yang sudah lama berdiri ini, masih tetap diminati oleh wisatawan.</t>
  </si>
  <si>
    <t>Hutan Wisata Tinjomoyo Semarang</t>
  </si>
  <si>
    <t>Awalnya taman wisata hutan Tinjomoyo Semarang (smg) ini merupakan sebuah kebun binatang dengan ragam binatang hutan di dalamnya. Namun terjadi banjir besar, hingga memutuskan jembatan besar yang menjadi akses utama menuju hutan wisata. Hutan Tinjomoyo sendiri memiliki kontur wilayah dengan perpaduan bukit, sungai dan hutan. Tumbuhan yang paling banyak terdapat di sini adalah vegetasi pohon jati serta pinus. Oleh karena itu, tak heran jika kawasan ini cocok sekali dijadikan hutan wisata yang masih alami.Dengan luas lahan 57,5 hektare area tersebut lebih sering dimanfaatkan sebagai tempat berkemah</t>
  </si>
  <si>
    <t>Taman Kasmaran</t>
  </si>
  <si>
    <t>Taman Kasmaran terletak di sebelah kiri Pasar Bunga. Gedung food court dan Taman Kasmaran dibangun dua lantai. Lantai bawah utuk spot dijadikan wisata kuliner, sementara lantai atas menjadi taman. Tidak sekadar taman biasa, Taman Kasmaran itu dilengkapi dengan pemandangan yang amat menarik dengan background Kampung Pelangi. Taman Kasmaran cukup luas, dilengkapi perabotan kursi dan meja ala kafe. Lokasi baru ini diyakini akan menjadi spot alternatif selfie terbaru di Kota Semarang.</t>
  </si>
  <si>
    <t>Pantai Baruna</t>
  </si>
  <si>
    <t>kunjungi Pantai Baruna yang berada di Kota Semarang, Jawa Tengah! Pantai yang satu ini akan memberikan pengalaman wisata yang berbeda. Pasalnya, di sini tidak ada hamparan pasir. Memang Pantai Baruna merupakan objek wisata â€˜tidak resmiâ€™ milik Kota Semarang. Pantai ini berada di belakang kawasan pabrik semen. Sehingga tidak ada kepadatan wisatawan atau tempat berselancar di sini. Yang ada hanyalah hamparan padang rumput dan ilalang di hadapan Laut Jawa yang tenang.</t>
  </si>
  <si>
    <t>Pantai Marina</t>
  </si>
  <si>
    <t xml:space="preserve">Pantai Marina (bahasa Jawa: ê¦¥ê¦±ê¦¶ê¦±ê¦¶ê¦‚â€‹ê¦©ê¦«ê¦¶ê¦¤, translit. Pasisir Marina) adalah salah satu objek wisata pantai yang berada di kota Semarang, Jawa Tengah. Pantai ini menyimpan pemandangan eksotis khas kota Semarang. Dahulu, tempat ini merupakan hutan bakau dan tambak, tapi pemerintah setempat mengubahnya menjadi tempat rekreasi dengan cara reklamasi daratan. Hasil reklamasi dari hutan bakau ini, sekarang berupa perumahan, pertokoan, dan perkantoran, di sebelah selatan pantai._x000D_
</t>
  </si>
  <si>
    <t>Kampoeng Djadhoel Semarang</t>
  </si>
  <si>
    <t>Kampoeng Djadhoel terletak di Kampung Batik Semarang tepatnya di Kampung Batik Tengah RT 04/ RW 02 Kelurahan Rejomulyo, Kecamatan Semarang Timur. Penamaan Kampoeng Djadhoel ini tercetus sejak 18 Desember 2016 oleh Ignatius Luwiyanto (50) warga Kampung Batik Tengah. Sejarah Indonesia menjadi latar belakang penamaan KampoengDjadhoel.</t>
  </si>
  <si>
    <t>Indonesia Kaya Park</t>
  </si>
  <si>
    <t>Lokasi Taman Indonesia Kaya yang berada di pusat kota Semarang, membuat taman seluas 5.000 meter persegi ini bisa difungsikan sebagai wadah berkesenian komunitas seniman Jawa Tengah. Di sini ada Panggung Budaya yang dibangun dengan dua sisi yang semuanya bisa digunakan. Lalu ada Taman Pandawa Lima yang dibuat oleh Komroden Haro, Pelataran Penikmat Seni, Amphitheater, Area Hijau, Gerbang Mural karya lima seniman muda Semarang, dan tak ketinggalan ada Air Mancur Menari. Air Mancur Menari ini dibangun oleh Pemerintah Kota Semarang yang dapat bergerak mengikuti alunan musik klasik dan lagu-lagu perjuangan Indonesia. Air Mancur Menari tersebut dijadwalkan akan menyala setiap hari pada pukul 19.00 - 20.00 dan sampai pukul 21.00 di akhir pekan.</t>
  </si>
  <si>
    <t>Taman Pandanaran</t>
  </si>
  <si>
    <t>Dalam sejarah yang tercatat, dulunya tempat ini merupakan kawasan SPBU yang tak begitu laku. Bekas SPBU tersebut dirombak total menjadi sebuah taman. Konon, luas tanah 600 meter persegi tersebut direnovasi menjadi taman dengan dana sekitar Rp1,8 M. Taman Pandanaran ini beralamatkan di Jalan Pandanaran, Mugassari, Semarang Selatan. Tepatnya, berada di pertigaan antara Jalan Pandanaran dan Jalan MH.Thamrin. Sayangnya, untuk mendapatkan parkir di sini cukup susah. Beberapa pengunjung bahkan harus memarkirkan kendaraannya di depan warung makan di sekitaran taman.</t>
  </si>
  <si>
    <t>Pura Giri Natha</t>
  </si>
  <si>
    <t>Awal berdirinya Pura Agung Giri Natha tidak terlepas dari hadirnya pemeluk umat Hindu dari berbagai daerah yang mulai berdatangan dan menetap di Semarang. Sebelum menetap, umat Hindu yang ada di Semarang awalnya datang untuk bekerja dan mencari ilmu. Sekitar tahun 1967/1968 para pemeluk agama Hindu yang ada di Semarang mengusulkan kepada pemerintah Semarang, untuk dibangunnya tempat peribadatan. Karena sebelumnya umat Hindu ketika melaksanakan sembahyang lokasinya dari rumah ke rumah. Setuju dengan usulan tersebut, akhirnya pemerintah Semarang memberikan pilihan beragam lokasi yang sekira tepat dan pas untuk dibangun sebuah tempat suci yakni pura.</t>
  </si>
  <si>
    <t>Wisata Mangrove Tapak</t>
  </si>
  <si>
    <t>Wisata hutan mangrove Semarang hampir tak pernah sepi dikunjungi wisatawan. Tak jarang pengunjung yang datang ke wisata cantik ini baik berswafoto maupun sekedar jalan-jalan menapaik selasar kayu. Obyek ini pun juga instagramable dan pas dibagikan di sosmed, bahkan banyak diburu oleh mereka yang berkecimpung di bidang fotografi.</t>
  </si>
  <si>
    <t>Pantai Cipta</t>
  </si>
  <si>
    <t xml:space="preserve">Pantai Cipta juga dikenal sebagai Pantai Petikemas, karena jarak dan letaknya dekat dengan Pantai Petikemas. Tempat wisata di semarang Pantai Cipta hanya memiliki sedikit hamparan pasir dan didominasi bebatuan. Pantai Cipta menjadi satu destinasi wisata favorit bagi warga Semarang karena mempunyai keunikan dari pemandangan hingga lingkungan sekitarnya. Berfoto selfie menjadi kegiatan utama di pantai tersebut karena banyak spot menarik yang bisa diabadikan. Pada akhir pekan atau hari libur panjang, para wisatawan sering memenuhi Pantai Cipta untuk sekedar melihat pemandangan pantai. Namun pantai Cipta ini memiliki ombak yang tenang, sehingga aman digunakan untuk berenang. Dipantai Cipta sendiri terdapat banyak ilalang yang menambah indah pemandangan dan menjadi surga para pemburu selfie. Keberadaan ilalang inilah yang menjadi daya tarik para pengunjung untuk datang ke pantai Cipta hanya sekedar untuk berselfie._x000D_
</t>
  </si>
  <si>
    <t>Old City 3D Trick Art Museum</t>
  </si>
  <si>
    <t>Destinasi wisata kekinian satu ini memang tengah naik daun di banyak kota termasuk Semarang. Salah satunya Old City 3D Trick Art Museum, museum dengan tema Seni 3 Dimensi yang menyuguhkan sensasi berbeda dari museum biasa. Karena di dalamnya dipamerkan aneka karya seni 3 dimensi yang atraktif untuk berfoto. Destinasi wisata ini masih terus ramai kunjungan lantaran terus berinovasi. Setiap 3 bulan sekali, pihak pengelola akan mengganti tema atau instalasi karya seninya sehingga pengunjung bisa datang berkali-kali tanpa bosan.</t>
  </si>
  <si>
    <t>GPIB Immanuel Semarang (Gereja Blenduk)</t>
  </si>
  <si>
    <t xml:space="preserve">GPIB Immanuel Semarang (populer dengan nama Gereja Blenduk, kadang-kadang dieja Gereja Blendug, dan sering kali dilafazkan sebagai mBlendhug) (bahasa Jawa: ê¦’ê¦¿ê¦ºê¦—â€‹ê¦§ê§€ê¦­ê¦¼ê¦¤ê§€ê¦ê¦¸ê¦ê§€, translit. GrÃ©ja Blendhuk) adalah Gereja Kristen tertua di Jawa Tengah yang dibangun oleh masyarakat Belanda yang tinggal di kota itu pada 1753, dengan bentuk oktagonal (persegi delapan). Gereja ini sesungguhnya bernama Gereja GPIB Immanuel, di Jl. Letjend. Suprapto 32. Kubahnya besar, dilapisi perunggu, dan di dalamnya terdapat sebuah orgel Barok. Arsitektur di dalamnya dibuat berdasarkan salib Yunani. Gereja ini direnovasi pada 1894 oleh W. Westmaas dan H.P.A. de Wilde, yang menambahkan kedua menara di depan gedung gereja ini. Nama Blenduk adalah julukan dari masyarakat setempat yang berarti kubah. Gereja ini hingga sekarang masih dipergunakan setiap hari Minggu. Di sekitar gereja ini juga terdapat sejumlah bangunan lain dari masa kolonial Belanda._x000D_
</t>
  </si>
  <si>
    <t>Taman Srigunting</t>
  </si>
  <si>
    <t xml:space="preserve">Merupakan salah satu landmark di Kawasan Kota Lama Semarang, Taman Srigunting pada masa kolonial belanda berwujud parade plein untuk panggung parade, kini menjadi sebuah ruang terbuka berupa taman yang menjadi salah satu tempat untuk berkumpul atau berkegiatan komunitas. Taman Srigunting berada di Jalan Letjen Suprapto 32 Kawasan Kota Lama, di sisi selatan terdapat Gedung Marba, di barat daya terdapat Gedung Jiwasraya, di sisi barat terdapat Gereja Blenduk serta di sisi timur terdapat Gedung Kerta Niaga. Taman ini beberapa kali mengalami renovasi, seperti pada tahun 2001 dan tahun 2004. Pada tahun 2001, Taman Srigunting dikembalikan pada fungsi raung terbuka untuk rekreatif, setelah sebelumnya merupakan taman pasif. Pada tahun 2004 renovasi taman ini dengan membuat jalan masuk pada masing-masing sisi, hingga terdapat empat jalan masuk. Dan di tengah tengah dibuat tiang lampu penerangan yang bercabang empat untuk menerangi empat sisi jalan masuk tersebut._x000D_
</t>
  </si>
  <si>
    <t>Semarang Contemporary Art Gallery</t>
  </si>
  <si>
    <t>Salah satu wisata yang berbau seni di Semarang bisa kamu temukan di kawasan Kota Lama yakni Semarang Contemporary Art Gallery atau lebih mudahnya disebut sebagai Galsem yang berarti Galeri Semarang. Semarang Gallery ini adalah salah satu museum seni yang cukup terkenal dan sampai saat ini masih sangat populer di kalangan wisatawan terutama para pecinta seni. Karya-karya seni yang dipamerkan disini merupakan hasil tangan dingin para seniman handal dari seluruh penjuru Nusantara.</t>
  </si>
  <si>
    <t>Umbul Sidomukti</t>
  </si>
  <si>
    <t>Kawasan wisata umbul Sidomukti merupakan salah satu Wisata Alam Pegunungan di Semarang, berada di Desa Sidomukti Kecamatan Bandungan Kabupaten Semarang. Kawasan wisata ini dengan didukung fasiltas &amp; Servis: Outbond Training, Adrenalin Games, Taman Renang Alam, Camping Ground, Pondok Wisata, Pondok Lesehan, serta Meeting Room.</t>
  </si>
  <si>
    <t>Saloka Theme Park</t>
  </si>
  <si>
    <t>SALOKA hadir sebagai taman rekreasi terbesar di Tengah Jawa yang masuk dalam daftar destinasi wisata Pesona Indonesia, serta mengusung konsep kearifan lokal berdasarkan legenda rakyat Baru Klinthing.</t>
  </si>
  <si>
    <t>Wisata Alam Wana Wisata Penggaron</t>
  </si>
  <si>
    <t>Berada sekitar 2 KM dari Kota Ungaran atau sekitar 18 KM dari Kota Semarang, Kawasan Wana Wisata Penggaron secara administratif berada di Desa Susukan, Kecamatan Ungaran, Kabupaten semarang. Area ini merupakan salah satu hutan binaan Kesatuan Bisnis Mandiri Wisata, Benih dan Usaha Lain (KBM WBU I) Perum Perhutani Unit I Jateng. Wana Wisata Penggaron atau Wisata Alam Wana Wisata Penggaron merupakan sebuah tempat wisata hutan yang bisa anda gunakan untuk berlibur bersama keluarga anda, salah satunya untuk camping. Tempat ini banyak di jadikan sebagai tempat untuk camping atau berlibur oleh masyarakat Semarang. Wana Wisata Penggaron sebuah hutan yang eksotis, sayangnya surga di kota semarang ini jarang tersentuh mata. Bagi pengunjung yang bertanya kepada penjaga loket, dengan jawaban yang sederhana dan apa adanya â€œhutan biasa yang sering dipake kemah, tidak ada yang istimewaâ€, tentunya akan merasa kecewa.</t>
  </si>
  <si>
    <t>Masjid Kapal Semarang</t>
  </si>
  <si>
    <t>Masjid Safinatun Najah atau pengunjung biasa menyebutnya dengan Masjid Kapal Semarang kini menjadi wisata religi yang ramai dikunjungi saat bulan Ramadan. Masjid yang berlokasi di berlokasi di Jalan Kyai Padak, Podorejo, Kec. Ngaliyan, Kota Semarang mulai ramai didatangi pengunjung saat menjelang buka puasa. Umumnya tujuan utama mereka yang datang kesini untuk beribadah, selain itu juga ada yang berburu foto serta berkuliner di sekitar kawasan masjid.</t>
  </si>
  <si>
    <t>Taman Bunga Celosia</t>
  </si>
  <si>
    <t>Wisata Semarang menawarkan berbagai tempat wisata menarik. Salah satunya yaitu berkunjung ke Taman Bunga Celosia Bandungan. Lokasinya berada di kaki Gunung Ungaran, Semarang. Menawarkan pemandangan sekitar yang alami dengan panorama pegunungan Ungaran merupakan daya tarik utama taman rekreasi ini. Begitu sampai di sini area parkir yang luas langsung menyambut dan tak ketinggalan gapura selamat datang. Sepanjang perjalanan menuju ke loket tiket, terdapat pagar berbentuk pensil raksasa warna warni. Sebagai tambahan di sekitar pagar terdapat bunga warna-warni yang menghiasi perjalanan menuju loket masuk.</t>
  </si>
  <si>
    <t>Air Terjun Kali Pancur</t>
  </si>
  <si>
    <t>Kali Pancur Getasan merupakan kawasan wisata alam Air Terjun Kali Pancur ini berada di Desa Nogosaren, Kecamatan Getasan, Kabupaten Semarang, sekitar 14 km sebelah barat Kota Salatiga. Untuk menuju ke lokasi objek wisata ini tidak ada sarana transportasi umum, jadi harus membawa kendaraan sendiri.</t>
  </si>
  <si>
    <t>Wisata Kampung Krisan Clapar</t>
  </si>
  <si>
    <t>Wisata Kampung Krisan Gemah Ripah di Dusun Clapar Desa Duren Kecamatan Bandungan Kabupaten Semarang bisa jadi altenatif liburan. Di tempat ini terhampar kebun bunga warna warni yang memesona. Itu adalah kompleks wisata perkebunan bunga krisan beragam varietas. Setidaknya ada 20 varietas yang dikembangkan oleh Kelompok Tani Gemah Ripah sejak dua tahun terakhir ini. Dan objek tersebut mulai dibuka untuk umum sebagai jujukan wisatawan pada 6 November 2016. Di atas lahan terasering seluas sekitar 12 hektar itu, Anda bakal diajak berkeliling di kebun bunga krisan yang khusus untuk kunjungan wisatawan di luasan lahan 6,5 hektar. Setidaknya ada 3 kebun yang disiapkan pihak pengelola untuk pengunjung.</t>
  </si>
  <si>
    <t>Danau Rawa Pening</t>
  </si>
  <si>
    <t xml:space="preserve">Rawa Pening (pening adalah salah satu varian bahasa Jawa dari kata "wening" yang artinya hening, tenang, damai) (bahasa Jawa: ê¦«ê¦®â€‹ê¦¥ê¦¼ê¦¤ê¦¶ê¦, translit. Rawa Pening) adalah danau alam di Kabupaten Semarang, Jawa Tengah. Dengan luas 2.670 hektare ia menempati wilayah Kecamatan Ambarawa, Bawen, Tuntang, dan Banyubiru.Rawa Pening terletak di cekungan terendah lereng Gunung Merbabu, Gunung Telomoyo, dan Gunung Ungaran. Danau ini dangkal dan menjadi hulu bagi Sungai Tuntang._x000D_
</t>
  </si>
  <si>
    <t>Pantai Maron</t>
  </si>
  <si>
    <t>Pantai Maron (bahasa Jawa: ê¦¥ê¦±ê¦¶ê¦±ê¦¶ê¦‚â€‹ê¦©ê¦«ê¦ºê¦´ê¦¤ê§€, translit. Pasisir Maron) yang terletak di sebelah barat Semarang, tepatnya di sekitar muara Sungai Silandak ini, bisa ditempuh dari dua tempat, yaitu dari Bandara Ahmad Yani atau dari Perumahan Graha Padma, Krapyak. Kira-kira berjarak 3 km dari jalan raya kita sudah bisa sampai di lokasi. Jika menggunakan kendaraan bisa ditempuh sekitar 10 menit. Namun jika ingin jalan kaki, dari ujung perumahan Graha Padma saja bisa memakan waktu 30 menit.\nNama Maron sendiri konon karena pantai ini masih merupakan milik Penerbangan TNI Angkatan Darat (Penerbad), karena merah maroon merupakan warna khas baret Penerbad, maka pantai ini disebut Pantai Maron. Memang kurang jelas siapa yang mengelola Pantai Maron. Yang jelas setiap masuk pantai Maron kita cukup membayar 2 ribu rupiah, untuk biaya parkir.\nJika berkunjung ke Pantai Maron pada Sabtu Sore, Minggu Pagi, Minggu Sore, atau hari-hari libur, bisa dipastikan banyak wisatawan dari area Semarang maupun luar kota. Bahkan bisa dikatakan tidak kalah dari jumlah pelancong di Parangtritis, Yogyakarta ataupun Kuta, Bali. Hampir setiap sudut pantai dan warung-warung di tepi pantai penuh oleh pengunjung.</t>
  </si>
  <si>
    <t>Water Blaster Bukit Candi Golf</t>
  </si>
  <si>
    <t>Buat kamu yang bingung mau rekreasi kemana di Semarang, langsung saja ke Water Blaster Semarang. Waterpark yang menyediakan banyak permainan dan atraksi seru yang semuanya layak untuk dicoba. Dengan total lebih dari 20 wahana air yang siap memberikan pengalaman seru buat pecinta tantangan wahana air. Bendulan, Blaster Warior, Jungle Tree, Great Wall sedikit dari puluhan wahana lain yang bisa dimainkan. Tentu semua ditunjang dengan fasilitas yang lengkap seperti Gazebo, Family Gazebo, Vip Court, dll semua ada untuk menambah kenyamanan setiap pengunjung yang akan bermain di Waterpark kota lumpia ini.</t>
  </si>
  <si>
    <t>Waduk Jatibarang</t>
  </si>
  <si>
    <t>Waduk Jatibarang merupakan sebuah waduk yang berada di Kota Semarang. Pembangunan waduk ini selesai setelah sekitar empat tahun pembangunan dan memulai proses pengisian air pada tanggal 5 Mei 2014 bertepatan dengan Hari Air Dunia Ke-22 oleh Menteri Pekerjaan Umum Djoko Kirmanto bersama Gubernur Jawa Tengah Ganjar Pranowo dan Kepala Balai Besar Wilayah Sungai Pemali Juwana Imam Santoso.\nWaduk Jatibarang mulai resmi beroperasi pada 11 Mei 2015. Peresmian tersebut dilakukan oleh Direktur Jenderal Sumber Daya Air Kementerian Pekerjaan Umum dan Perumahan Rakyat, Mudjiadi bertepatan dengan peringatan Hari Air Dunia Ke-23 Tingkat Provinsi Jawa Tengah.\nWaduk Jatibarang mempunyai daya tampung 20,4 juta meter kubik . Selain untuk mengatasi masalah banjir, juga menjadi salah satu destinasi wisata Semarang karena di tengah waduk ini terdapat pulau kecil yang di dalamnya terdapat objek wisata lain yaitu Goa Kreo.</t>
  </si>
  <si>
    <t>Tirto Argo Siwarak</t>
  </si>
  <si>
    <t>Kolam Renang Tirto Argo Siwarak, merupakan kolam renang yang berada di Ungaran. Keberadaannya yang dekat dengan Kota Semarang menjadikan tempat wisata ini cukup populer. Bahkan, tidak jarang wisatawan Semarang dan sekitarnya datang berkunjung. Hadir dengan kolam renang dan taman rekreasi sederhana, justru menjadi daya tarik tersendiri. Terbukti, pengunjung yang datang tidak pernah surut. Bahkan, selalu ada pengunjung dan ramai ketika liburan.</t>
  </si>
  <si>
    <t>Wisata Lereng Kelir</t>
  </si>
  <si>
    <t>Wisata yang ada di kawasan gunung Kelir ini memang mulai populer sejak awal tahun 2021 dan para wisatawan kerap berbondong-bondong menuju kesana untuk meredam rasa penasaran tentang destinasi baru tersebut. Gunung Kelir memiliki ketinggian lebih dari 2000 mdpl dan wisata Lereng kelir berada diatas ketinggian mencapai 1384 mdpl dan 700mdpl Dari ketinggian tersebut membuat hampir seluruh kawasan kota Ambarawa bisa terlihat dan sebagian kecil wilayah Semarang selatan. Wisata gardu pandang Lereng Kelir memang bisa dikatakan lebih tinggi dari tempat wisata gardu pandang lainnya yang ada di Jawa Tengah.</t>
  </si>
  <si>
    <t>Kampoeng Rawa</t>
  </si>
  <si>
    <t>Kampoeng Rawa (disebut juga Kampung Rawa) adalah objek wisata di Ambarawa, Jawa Tengah, yang terletak di sabuk hijau di sekitar Danau Rawa Pening. Dibuka pada Agustus 2012, tempat ini dimiliki dan dioperasikan oleh dua belas kelompok petani dan nelayan yang didanai oleh Artha Prima Credit Union. Kompleks tersebut dimaksudkan untuk mempengaruhi kesejahteraan petani dan melayani lokal disamping mempromosikan ekologi danau di wilayah tersebut. Fasilitasnya meliputi restoran mengapung, pendopo, pusat kerajinan, tempat memancing, dan dok. Pada hari libur, tempat ini dikunjungi oleh ratusan pengunjung. Kompleks ini disengketakan perizinannya karena dibangun di sabuk hijau dan kemungkinan dampak ekologinya.</t>
  </si>
  <si>
    <t>Monumen Palagan Ambarawa</t>
  </si>
  <si>
    <t xml:space="preserve">Monumen Palagan Ambarawa adalah sebuah monumen yang terdapat di Ambarawa, Kabupaten Semarang.\nMonumen ini merupakan simbol untuk mengenang sejarah pertempuran Palagan Ambarawa pada tanggal 12 Desember - 15 Desember 1945 Ambarawa. Pasukan Sekutu yang terdesak dari Magelang mengadakan pengunduran ke Ambarawa, dan pasukan TKR yang dipimpin Kolonel Soedirman berhasil menghancurkan Sekutu pada tanggal 15 Desember 1945, di mana kini diperingati sebagai Hari Infanteri.Monumen Palagan Ambarawa dibangun pada tahun 1973 dan diresmikan pada 15 Desember 1974 oleh Presiden Soeharto. Gambaran singkat sejarah pertempuran bisa dilihat pada relief yang dibuat pada dinding Monumen Palagan Ambarawa.\nDi monumen ini Anda dapat menemukan peninggalan pemerintahan Jepang dan Belanda. Anda dapat melihat seragam para tentara Jepang dan Belanda, senjata perang, seragam tentara Indonesia, dan barang bersejarah lain. Untuk ukuran yang agak besar, Anda dapat menemukan beberapa tank kuno, kendaraa angkut personil dan meriam yang digunakan dalam pertempuran tersebut. Yang paling menarik adalah Anda dapat menemukan pesawat Mustang Belanda yang berhasil ditembak jatuh ke dalam Rawa Pening_x000D_
</t>
  </si>
  <si>
    <t>Benteng Pendem</t>
  </si>
  <si>
    <t xml:space="preserve">Benteng Pendem Cilacap (bahasa Belanda: Kustbatterij op de Landtong te Cilacap), adalah benteng peninggalan Belanda di pesisir pantai Teluk Penyu kabupaten Cilacap, Jawa Tengah yang dibangun pada tahun 1861. Bangunan ini merupakan bekas markas pertahanan tentara Hindia Belanda yang dibangun di area seluas 6,5 hektare secara bertahap selama 18 tahun, dari tahun 1861 hingga 1879. Benteng pendem sempat tertutup tanah pesisir pantai dan tidak terurus. Benteng ini kemudian ditemukan dan mulai digali pemerintah Cilacap tahun 1986. Saat ini, pemerintah Kabupaten Cilacap menjadikan benteng ini sebagai tempat wisata sejarah_x000D_
</t>
  </si>
  <si>
    <t>Wisata Eling Bening</t>
  </si>
  <si>
    <t xml:space="preserve">Sebuah fasilitas wisata yang dikelola dengan cara modern, untuk menimbulkan kenikmatan berwisata seperti halnya yang diinginkan oleh anak-anak muda. Namun tetap menyatu dengan lingkungan, dengan keindahan alam. Tanpa melakukan kerusakan terhadap alam. Fasilitas wisata ini adalah wisata Eling Bening di perbukitan Ngrawan. Eling Bening sejatinya sebuah Restoran yang mengusung konsep wisata keluarga. Eling Bening menawarkan pemandangan alam yang sangat indah dengan view utama Rawa Pening. Keindahan itu disempurnakan lagi dengan  adanya background Gunung Merbabu, Andong dan Telomoyo, yang terlihat berdiri dengan gagah._x000D_
</t>
  </si>
  <si>
    <t>Gua Maria Kerep Ambarawa</t>
  </si>
  <si>
    <t>Gua Maria Kerep (Gua Maria Kerep Ambarawa, disinglkat GMKA), adalah sebuah tempat ziarah yang terletak di Jalan Tentara Pelajar, Kelurahan Panjang, Ambarawa. Tempat ini adalah tempat yang cukup baik untuk berdoa, berziarah, dan menyegarkan diri. Jaraknya sekitar 500 m dari Terminal Ambarawa. Karena jauh dari jalan raya, maka daerah ini cukup tenang. Dari tempat ini dapat terlihat pemandangan Gunung Telomoyo, Gunung Merbabu, dan Danau Rawa Pening. Gua Maria Kerep memiliki fasilitas bagi para peziarah, antara lain Jalan Salib, Tempat Doa Lesehan, Gereja, dan sebuah taman.</t>
  </si>
  <si>
    <t>Museum Kereta Ambarawa</t>
  </si>
  <si>
    <t>Museum Kereta Api Ambarawa (bahasa Inggris: Indonesian Railway Museum, Ambarawa) adalah sebuah stasiun kereta api yang sudah dialihfungsikan menjadi sebuah museum serta merupakan museum perkeretaapian pertama di Indonesia. Museum ini memiliki koleksi kereta api yang pernah berjaya pada zamannya. Museum ini secara administratif berada di Desa Panjang, Ambarawa, Semarang. Museum yang terletak pada ketinggian +474,40 meter ini termasuk dalam Daerah Operasi IV Semarang dan dikelola oleh Unit Pusat Pelestarian dan Desain Arsitektur PT Kereta Api Indonesia bekerja sama dengan Pemerintah Provinsi Jawa Tengah.</t>
  </si>
  <si>
    <t>Hutan Pinus Kayon</t>
  </si>
  <si>
    <t>Tak dipungkiri Hutan Pinus Kayon Getasan dekat Salatiga ini memang merupakan salah satu tempat wisata yang indah dan memanjakan mata. Pengunjung akan disuguhkan dengan jajaran hutan pinus yang rapi dan asri. Deretan pohon ini pun memang memikat dan tentunya Hutan pinus Kayon atau disebut Hutan pinus Kalipasang bisa menjadi salah satu alternatif wisata keluarga. Selain disana sudah terbilang komplit, jalan-jalan di dalam hutan pun sudah berupa cor. Dengan demikian, tentunya makin memanjakan pengunjung saat explorasi kawasan wisata ini.</t>
  </si>
  <si>
    <t>Kota Lama Semarang</t>
  </si>
  <si>
    <t>Kota Lama Semarang (bahasa Jawa: ê¦ê¦¸ê¦›â€‹ê¦­ê¦©â€‹ê¦±ê¦¼ê¦©ê¦«ê¦, translit. Kutha Lama Semarang) adalah suatu kawasan di Semarang yang menjadi pusat perdagangan pada abad 19-20 . Pada masa itu, untuk mengamankan warga dan wilayahnya, kawasan itu dibangun benteng, yang dinamai benteng Vijhoek. Untuk mempercepat jalur perhubungan antar ketiga pintu gerbang dibenteng itu maka dibuat jalan-jalan perhubungan, dengan jalan utamanya dinamai: Heeren Straat. Saat ini bernama Jl. Let Jen Soeprapto. Salah satu lokasi pintu benteng yang ada sampai saat ini adalah Jembatan Berok, yang disebut De Zuider Por.\nKawasan Kota Lama Semarang disebut juga Outstadt. Luas kawasan ini sekitar 31 hektare. Dilihat dari kondisi geografi, tampak bahwa kawasan ini terpisah dengan daerah sekitarnya, sehingga tampak seperti kota tersendiri dengan julukan "Little Netherland". Kawasan Kota Lama Semarang ini merupakan saksi bisu sejarah Indonesia masa kolonial Belanda lebih dari 2 abad, dan lokasinya berdampingan dengan kawasan ekonomi. Di tempat ini ada sekitar 50 bangunan kuno yang masih berdiri dengan kukuh dan mempunyai sejarah Kolonialisme di Semarang. Secara umum karakter bangunan di wilayah ini mengikuti bangunan-bangunan di benua Eropa sekitar tahun 1700-an. Hal ini bisa dilihat dari detail bangunan yang khas dan ornamen-ornamen yang identik dengan gaya Eropa. Seperti ukuran pintu dan jendela yang luar biasa besar, penggunaan kaca-kaca berwarna, bentuk atap yang unik, sampai adanya ruang bawah tanah.Seperti kota-kota lainnya yang berada di bawah pemerintahan kolonial Belanda, dibangun pula benteng sebagai pusat militer. Benteng ini berbentuk segi lima dan pertama kali dibangun di sisi barat kota lama Semarang saat ini. Benteng ini hanya memiliki satu gerbang di sisi selatannya dan lima menara pengawas. Masing-masing menara diberinama: Zeeland, Amsterdam, Utrecht, Raamsdonk dan Bunschoten. Pemerintah Belanda memindahkan permukiman Tionghoa pada tahun 1731 di dekat permukiman Belanda, untuk memudahkan penga- wasan terhadap segala aktivitas orang Tionghoa. Oleh sebab itu, Benteng tidak hanya sebagai pusat militer, tetapi juga sebagai menara pengawas bagi segala aktivitas kegiatan orang Tionghoa.\nKota Lama menjadi salah satu ikon primadona bagi warga Kota Semarang sampai Mancanegara turut datang ke Kota Lama ini. Rencananya Kota Lama Semarang akan diajukan oleh Situs Warisan Dunia UNESCO.</t>
  </si>
  <si>
    <t>Semarang Chinatown</t>
  </si>
  <si>
    <t>Terbentuknya Pecinan Semarang tak terlepas dari Geger Pecinan di Batavia (Jakarta tempo dulu) pada 1740. Kala itu warga Tionghoa memberontak pada penguasa Belanda. Buntut dari tragedi tersebut, banyak penduduk keturunan Tiongkok melarikan diri ke sepanjang pantai utara Jawa hingga akhirnya sampai di Semarang. Hingga 1743, pemberontakan masih terus berlangsung hingga akhirnya mampu dihentikan total oleh tentara Belanda. Pemerintah kolonial lantas memutuskan untuk mengumpulkan warga Tionghoa dalam satu lokasi. Setelah sempat menempati daerah Simongan dekat Klenteng Sam Poo Kong, mereka kemudian dipindah ke Kali Semarang hingga akhirnya dikenal sebagai kawasan Pecinan sampai sekarang.</t>
  </si>
  <si>
    <t>La Kana Chapel</t>
  </si>
  <si>
    <t>La Kana Chapel menawarkan konsep baru standing party, manjakan selera Anda dengan menu memasak langsung spesial masakan segar ala menit di piring Anda. Ini adalah Tempat Pernikahan Kerajaan di Tempat Terindah di Gunung. Bagi Anda yang menginginkan Sentuhan Kemewahan dan Glamour untuk Pesta Outdoor dan Indoor. Kapel La Kana dapat menampung hingga 48 orang di kapel dan 500 lebih di halaman. Dan ballroom dapat menampung 1000 orang</t>
  </si>
  <si>
    <t>Jembatan Biru Ambarawa</t>
  </si>
  <si>
    <t>Jembatan ini terletak di Tuntang, Kab. Semarang, Jawa tengah. dekat dengan rawa pening dan Sungai Tuntang. Kalau yang biasa mondar mandir salatiga-semarang, pasti tidak asing dengan yang namanya Jembatan Tuntang. Nah.. Sungai Tuntang ini berada tepat di bawah Jembatan tuntang yang bermuara di Rawa Pening. Bagi pengunjung yang senang berfoto, Wisata Jembatan Biru memiliki beberapa spot foto terbaik, salah satunya adalah di tengah jembatan. Jika beruntung, pengunjung juga akan melihat kereta uap yang melintas di depan tempat Wisata Jembatan Biru. Dari atas jembatan pengunjung juga bisa melihat Gunung Ungaran, Gunung Temoloyo dan juga Gunung Merbabu.</t>
  </si>
  <si>
    <t>Goa Rong</t>
  </si>
  <si>
    <t>Semarang memiliki wisata di ketinggian bernama Goa Rong. Keberadaan kawasan wisata ini menunjukkan bahwa Semarang tak hanya identik dengan Lawang Sewu atau Kota Lama saja. Meskipun bernama Goa Rong, tempat yang menonjol di sini bukanlah gua nya. Melainkan daerah ketinggian dengan pemandangan yang menakjubkan. Sementara di objek wisata ini, bagian gua-nya hanya lorong yang sempit dan tidak memungkinkan dimasuki oleh manusia. Namun sebaliknya, pemandangan yang tersaji dari atas bukitnya begitu menakjubkan. Wisatawan dapat menghabiskan waktu dengan berfoto, menikmati pemandangan, atau kuliner di cafe. Bahkan, tersedia juga fasilitas outbond.</t>
  </si>
  <si>
    <t>Masjid Agung Ungaran</t>
  </si>
  <si>
    <t>Masjid Agung Al-Mabrur berlokasi di Jln. Ahmad Yani, Desa Sidomulyo, Kecamatan Ungaran Tibur, Kabupaten Semarang, Provinsi Jawa Tengah. Masjid ini juga menjadi Masjid Agung Bagi Kabupaten Semarang, Ibukota Provinsi Jawa Tengah. Masjid Agung Al-Mabrur juga dikenal sebelumnya dengan Masjid Ikatan Persaudaraan Haji Indonesia (IPHI). Pembangunan masjid ini dimulai pada tahun 2010 silam dengan pendirian yang mengambil lahan seluas 3.200 meter persegi, dengan luas bangunannya sekitar 1.550 persegi. Karena memang ditujukan untuk menjadi Masjid Agung Kota Semarang, maka bangunan masjid ini pun didirikan tepat menghadap Alun-Alun Kota Semarang, atau lebih dikenal sebagai â€œAlun-Alun Asmaraâ€ dan berseberangan dengan Rumah Dinas Bupati Semarang.</t>
  </si>
  <si>
    <t>Tugu Muda Semarang</t>
  </si>
  <si>
    <t>Tugu Muda ("Monumen Pemuda" Indonesia) adalah sebuah monumen batu di Semarang, Jawa memperingati perjuangan kemerdekaan oleh pemuda Indonesia. Itu didedikasikan oleh Presiden Sukarno pada 20 Mei 1953 untuk memperingati pertempuran lima hari terus menerus antara pemuda Semarang dan batalyon Jepang yang dipimpin oleh Mayor Kido dari 14-19 Oktober 1945. Pasukan Jepang mengusir Belanda dari Indonesia sebagai "kakak laki-laki Asia"; namun, Jepang lebih kejam terhadap pembangkang daripada rekan-rekan Belanda mereka. Tugu batu tersebut terdiri dari sebuah pondasi, badan dan kepala. Satu sisi tugu dibuat dalam relief, dengan kolam hias dan taman yang mengelilinginya.</t>
  </si>
  <si>
    <t>Kampoeng Kopi Banaran</t>
  </si>
  <si>
    <t>Kampoeng Kopi Banaran, sebuah agro wisata perkebunan kopi di Kabupaten Semarang. Tempat wisata ini memiliki luas 462 hektar yang sebagian dijadikan resort dan tempat wisata. Lokasinya berada di Areal Perkebunan Kopi Kebun Getas Afdeling Assinan tepatnya Jl. Raya Semarang â€“ Solo Km. 35. Lokasi Kampoeng Kopi Banaran yang berada di ketinggian 480 â€“ 600m dpl membuat suhu udara disana sejuk antara 23ÂºC â€“ 27ÂºC. Jadi cocok banget buat pelesir mencari udara dingin dan segar dengan pemandangan indah. Menghilangkan penat kesibukan Kota besar, di tengah perkebunan yang asri.</t>
  </si>
  <si>
    <t>Taman Tabanas</t>
  </si>
  <si>
    <t>Taman Tabanas merupakan sebuah taman yang letaknya berada di Tanjakan Gombel Semarang. Dari Taman Tabanas Semarang ini pengunjung bisa melihat landscape pemandangan kota Semarang menjadikan Taman Tabanas ini menjadi salah satu daya tarik untuk dikunjungi. Di sekitar Taman Tabanas Semarang ini terdapat Cafe, Resto dan Hotel, yang menambah indah dan menjadi satu daya tarik tersendiri Taman Tabanas Semarang. Taman Tabanas juga memiliki nama Gardu Pandang Gombel Semarang meski warga Semarang sendiri lebih mengnal taman ini dengan nama Taman Tabanas.</t>
  </si>
  <si>
    <t>Kampung Tematik Jawi</t>
  </si>
  <si>
    <t>Tak dipungkiri lagi kalau Kampung Jawi Gunungpati Semarang memang sudah viral bahkan banyak dikunjungi masyarakat. Padahal wisata kuliner ini berawal dari kampung kecil, namun kini sudah banyak didatangi baik dari penduduk lokal hingga luar kota. Ketenaran pun kini juga kerap menghiasi lama sosmed. Saat mengunjungi Kampung Jawi Gunungpati ini kamu bisa merasakan atmosfer pedesaan tempo dulu. Selain itu, nuansa malam juga damai dan malam plus pencahayaan yang remang-remang, karena memang pakai lampu Sentir (lampu minyak). Jadi asik banget kalau untuk nongkrong lama-lama.</t>
  </si>
  <si>
    <t>Kampung Batik Gedong Semarang</t>
  </si>
  <si>
    <t>Kampung Batik Semarang merupakan salah satu kampung di Kota Semarang yang unik dan menarik yang selalu dikaitkan dengan batik Semarang sejak zaman dulu hingga sekarang. Kampung Batik Semarang ini letaknya ada di seputar daerah Bubagan Semarang. Kampung Batik Semarang dalam sejarah dari tahun 1970 sampai 1980 an, pada saat itu mati total tidak ada aktivitas membatik. Baru kemudian pada tahun 2005 mulai ada kegiatan, hal ini berlangsung karena ada anggapan â€œkok namanya Kampung Batik Semarangâ€. Akan tetapi, kok tidak ada orang yang membatik, maka mulailah kegiatan seperti pelatihan membatik sering digalakan, hal ini bertujuan untuk memfasilitasi dan merevitalisasi Kampung Batik Semarang. Pada waktu itu terkenal dengan Batik Krajan, Batik Gedong, Batik Tengah, Batik Malang, Batik Kubur Sari dan Batik Kandang Wedus yang terkenal dengan motifnya sendiri-sendiri. Akan tetapi sayang motif itu tidak terekam secara visual, dan ini sebenarnya menjadi harta karun yang belum ditemukan sampai sekarang visual pada motif batik-batik ini.</t>
  </si>
  <si>
    <t>Air Terjun Semirang</t>
  </si>
  <si>
    <t>Terletak di lereng Gunung Ungaran bagian utara, terdapat sebuah air terjun yang eksotis dengan kolam renang yang berwarna hijau yang dikelilingi popohonan dan kesejukan udara pegunungan. Nama lokasi tersebut adalah Air Terjun Semirang atau disebut juga Curug Semirang. Dan masyarakat Semarang menyebutnya dengan Curug Semarang. Karena keindahannya lokasi wisata ini sering dikunjungi oleh para wisatawan pada saat hari-hari biasa, apalagi saat liburan tiba. Air terjun Semirang atau Curug Semirang berada di kawasan hutan lindung dengan luas 10 hektar di bawah pengelolaan perum perhutani. Adapun air terjun ini memiliki ketinggian sekitar 45 meter. Jarak lokasi parkiran dengan lokasi air terjun sekitar 500 meter. Dan selama perjalanan, para pengunjung akan disuguhkan pemandangan alam yang masih asri dengan kesegaran udara yang sangat sejuk.</t>
  </si>
  <si>
    <t>Obyek Wisata Goa Kreo</t>
  </si>
  <si>
    <t>Goa Kreo Semarang yang berada di ibukota Jawa Tengah ini begitu hit di kalangan netizen. Tak heran jika cuaca cerah, antrian menuju ke sana begitu mengular. Meski tak ada angkutan umum menuju ke sana, tak menghalangi rasa penasaran wisatawan. Gua ini terbentuk secara alami yang membedakan gua ini dengan gua lainnya adalah letaknya. lokasinya terletak di tengah waduk jatibarang, sebuah bendungan yang membendung Sungai Kreo.</t>
  </si>
  <si>
    <t>Watu Gunung Ungaran</t>
  </si>
  <si>
    <t>Objek wisata alam memang sangat cocok dikunjungi, terlebih saat akhir pekan. Ditambah lagi, lokasi objek wisata yang tidak terlalu jauh dari pusat kota. Seperti objek wisata Watu Gunung yang ada di Ungaran, Kota Semarang. Berkunjung ke wisata alam dapat membuat pikiran menjadi segar. Terlebih, objek wisata ini menawarkan wisata alam dan air yang menawan. Selain itu, dipadukan juga dengan nuansa adat Jawa yang khas. Dulunya, kawasan Watu Gunung ini bukanlah suatu objek wisata. Hanya tanah yang ditumbuhi pohon pala dan cengkeh yang lebat. Sayangnya, kawasan tersebut gersang dan susah mendapatkan air. Kemudian, di tahun 2004 sang pemilik berinisiatif untuk mendirikan villa pribadi. Dan lama kelamaan, dibuatlah objek wisata yang dibuka untuk umum. Dengan tetap mempertahankan bangunan joglo sebagai ciri khasnya.</t>
  </si>
  <si>
    <t>Brown Canyon</t>
  </si>
  <si>
    <t>Di Indonesia, Brown Canyon adalah sebuah bekas penambangan tanah di Meteseh, Tembalang, Semarang. Lokasi ini menjadi salah satu lokasi (bukan tempat wisata) yang populer di Semarang dan dianggap mirip dengan Grand Canyon di Amerika Serikat. Kemiripan ini terletak pada bukit-bukit yang berubah menjadi tebing-tebing curam.</t>
  </si>
  <si>
    <t>Durian Gardens and Tourism Education Watu Simbar</t>
  </si>
  <si>
    <t>Perlu diketahui, watu simbar ini merupakan lokasi wisata yang menawarkan edukasi dari berbagai macam pohon durian. Walaupun terkesan biasa saja, hal tersebut lah yang sebenarnya menjadi keunikan tempat ini. Apabila seseorang datang kemari, orang tersebut akan bisa mempelajari banyak hal tentang pohon durian. Selain bisa mempelejari berbagai macam hal tentang pohon durian tersebut, tentu lah para pengunjung pun bisa membeli durian yang berada disana.</t>
  </si>
  <si>
    <t>Flower Farm Setiya Aji</t>
  </si>
  <si>
    <t>Di taman bunga Setiya Aji Flower Farm kita bisa melihat warna-warni bunga krisan yang terlihat sangat cantik. Selain itu lokasinya yang berada di dataran tinggi membuat udara di kebun bunga Bandungan ini terasa cukup segar. Taman bunga Setiya Aji Flower Farm Bandungan ini dalam sekejab menarik perhatian wisatawan, terutama kalangan anak muda yang penasaran ingin melihat keindahan bunga-bunga di tempat wisata Semarang tersebut. Kini Setiya Aji Flower Farm menjadi salah satu tempat wisata favorit di Bandungan yang wajib dikunjungi, terutama bagi wisatawan yang sedang mencari objek wisata romantis di Kabupaten Semarang selain di Gedong Songo.</t>
  </si>
  <si>
    <t>Ekowisata Mangrove Wonorejo</t>
  </si>
  <si>
    <t xml:space="preserve">Hutan Wisata Mangrove Surabaya merupakan wisata yang menggabungkan wisata rekreasi dan edukasi. Di area dengan luas kurang lebih 200 hektar ini ditanami berbagai tanaman bakau. Lokasi wisata ini dikelola dengan baik oleh pemerintah Kota Surabaya. Sehingga wisata ini diminati pengunjung karena tertata rapi dan bersih. Aktivitas wisata yang bisa dilakukan antara lain berkeliling hutan mangrove baik menggunakan perahu atau berjalan kaki . Serta wisata edukasi mengenai ekosistem sekitar._x000D_
</t>
  </si>
  <si>
    <t>Surabaya</t>
  </si>
  <si>
    <t>Taman Harmoni Keputih</t>
  </si>
  <si>
    <t>Tempat tersebut ialah Taman Hatmoni Keputih Surabaya yang memiliki segudang koleksi bunga warna-warni. Dulunya tempat ini merupakan lokasi pembuangan sampah atau TPA, namun kini bertransformasi menjadi sebuah wisata taman yang sangat cantik. Bukan hanya cantik, namun bunga-bunga yang bermekaran di Taman Harmoni terlihat sangat instagramable, sehingga tak heran jika mayoritas pengunjung tempat ini merupakan para kaum kawula muda penggiat sosial media. Lantas berapa sih budget untuk memasuki kawasan Taman Harmoni Surabaya ini? Kamu nggak perlu khawatir, karena harga tiket masuk Taman Harmoni Keputih Surabaya ini gratis. Kamu hanya perlu menyiapkan kocek untuk membayar karcis parkir saja.</t>
  </si>
  <si>
    <t>Air Mancur Menari</t>
  </si>
  <si>
    <t>Jembatan Kenjeran dengan air mancur menarinya sejatinya bukan hanya sebuah jembatan penghubung jalan saja, namun juga dimanfaatkan sebagai destinasi wisata oleh pemerintah kota Surabaya. Posisi air mancur menari sendiri berada di ujung jembatan Kenjeran dekat dengan anjungan penyeberangan atau di Taman Hiburan Pantai (THP). Lokasi ini sangat ramah kaum difabel karena tersedia lift yang dapat mereka gunakan untuk mempermudah perjalanan mereka. Sembari menunggu pertunjukan air mancur menari yang spektakuler di jembatan Kenjeran ini, Anda dapat menikmati pemandangan indah matahari terbenam (sunset) di jembatan ini. Jangan lewatkan untuk berfoto dengan laut lepas yang memesona sebagai latar belakangnya. Anda juga dapat menikmati berbagai kuliner lezat khas Jawa Timur di lokasi ini karena banyak pedagang kaki lima yang berjualan di sini. Berbagai mainan anak-anak pun dijual di lokasi ini. Jadi tidak perlu kuatir bahwa anak-anak akan merasa bosan menunggu pertunjukan air mancur menari yang mereka tunggu-tunggu. Silakan atur jadwal kunjungan Anda untuk menyaksikan taman air mancur menari Kenjeran ini dan buktikan sendiri keindahannya. Pastikan bahwa mobilitas Anda terjamin dengan sewa mobil Surabaya karena di lokasi ini masih minim transportasi online pada malam hari.</t>
  </si>
  <si>
    <t>Taman Prestasi</t>
  </si>
  <si>
    <t>Taman Prestasi Surabaya merupakan salah satu taman yang begitu terkenal di Kota Pahlawan dan banyak dikunjungi, sehingga tak heran jika menjadi tempat favorit bagi keluarga terutama pada saat weekend. di tempat lain juga ada loh nama stadion dan taman yang sama persis dengan yang di Surabaya ini, di Bontang, Kaltim yang punya Stadion dengan nama stadion â€œTaman Prestasiâ€. Jalan Ahmad Yani, Sukarasa, Kota Tangerang, Banten 15111, juga ada sebuah taman bernama â€œTaman Prestasiâ€ persis bukan? Di Jogja juga ada sebuah taman yang serupa bernama â€œTaman Pintarâ€.</t>
  </si>
  <si>
    <t>Monumen Kapal Selam</t>
  </si>
  <si>
    <t>Monumen Kapal Selam, atau disingkat Monkasel, adalah sebuah museum kapal selam yang terdapat di Embong Kaliasin, Genteng, Surabaya. Terletak di pusat kota, monumen ini sebenarnya merupakan kapal selam KRI Pasopati 410, salah satu armada Angkatan Laut Republik Indonesia buatan Uni Soviet tahun 1952. Kapal selam ini pernah dilibatkan dalam Pertempuran Laut Aru untuk membebaskan Irian Barat dari pendudukan Belanda.\nKapal selam ini kemudian dibawa ke darat dan dijadikan monumen untuk memperingati keberanian pahlawan Indonesia. Monkasel berada di Jalan Pemuda, tepat di sebelah Plaza Surabaya. Selain interior kapal selam, di sini juga diadakan pemutaran film tentang proses peperangan yang terjadi di Laut Aru. Jika ingin mengunjungi tempat wisata ini, maka akan ditemani oleh seorang pemandu lokal yang terdapat di sana.\nAda cerita unik di balik hadirnya monumen Kapal Selam ini. Pada suatu malam Pak Drajat Budiyanto yang merupakan mantan KKM KRI Pasopati 410 (buatan Rusia) ini dan juga mantan KKM KRI Cakra 401 (buatan Jerman Barat), bermimpi diperintahkan oleh KSAL pada waktu itu untuk membawa kapal selam ini melayari Kali Mas. Ternyata mimpi itu menjadi kenyataan. Dia ditugaskan untuk memajang kapal selam di samping Surabaya Plaza. Caranya dengan memotong kapal selam ini menjadi beberapa bagian, kemudian diangkut ke darat, dan dirangkai dan disambung kembali menjadi kapal selam yang utuh.</t>
  </si>
  <si>
    <t>Taman Kunang-Kunang</t>
  </si>
  <si>
    <t>Taman Kunang â€“ Kunang di Surabaya ini mempunyai luas 400 meter persegi dan Taman Kunang â€“ Kunang di Surabaya ini diresmikan oleh walikota Surabaya, Ibu Tri Rismaharini pada hari sabtu 28 Oktober 2010. Lokasi Taman Kunang â€“ Kunang di Surabaya ini terletak di Jalan Panjaringan Timur, Panjaringan Sari, Kecamatan Rungkut, Kota Surabaya. Taman Kunang â€“ Kunang di Surabaya ini letaknya persis berada di antara dua bangunan rumah susun dan terdapat tulisan â€œTaman Kunang â€“ Kunang,â€ dengan latar belakang putih. Taman Kunang â€“ Kunang di Surabaya mempunyai banyak fasilitas publik yang cukup lengkap diantaranya adalah lapangan futsal, lapangan basket, dan area bermain untuk anak â€“ anak. Taman Kunang â€“ Kunang di Surabaya ini telah menjadi kawasan bermain di Surabaya untuk semua kalangan, mulai dari anak â€“ anak, remaja, maupun dewasa. Bahkan Taman Kunang â€“ Kunang di Surabaya ini juga tidak jarang dikunjungi oleh para lansia.</t>
  </si>
  <si>
    <t>Taman Buah Surabaya</t>
  </si>
  <si>
    <t>Wisata Taman Buah Undaan di Surabaya adalah salah satu tempat wisata yang berada di blok m suturejo utara, kabupaten surabaya, provinsi jawa timur, negara indonesia. Wisata Taman Buah Undaan di Surabaya adalah tempat wisata yang ramai dengan wisatawan pada hari biasa maupun hari liburan. Tempat ini sangat indah dan bisa memberikan sensasi yang berbeda dengan aktivitas kita sehari hari. Wisata Taman Buah Undaan di Surabaya memiliki pesona keindahan yang sangat menarik untuk dikunjungi. Sangat di sayangkan jika anda berada di kota surabaya tidak mengunjungi wisata taman yang mempunyai keindahan yang tiada duanya tersebut. Wisata Taman Buah Undaan di Surabaya sangat cocok untuk mengisi kegiatan liburan anda, apalagi saat liburan panjang seperti libur nasional, ataupun hari ibur lainnya. Keindahan Wisata Taman Buah Undaan di Surabaya ini sangatlah baik bagi anda semua yang berada di dekat atau di kejauhan untuk merapat mengunjungi tempat Wisata Taman Buah Undaan di Surabaya di kota surabaya.</t>
  </si>
  <si>
    <t>Taman Pelangi</t>
  </si>
  <si>
    <t>Kalau pelangi biasanya ada di siang hari pasca hujan, maka di Taman Pelangi Yogyakarta pengunjung justru bisa menikmatinya setiap malam hari. Ya, ini lantaran taman ini merupakan Taman Lampion beraneka warna dan rupa. Buka sejak petang, Taman ini memang sangat cocok dijadikan pilihan destinasi rekreasi keluarga saat malam hari. Namun karena merupakan taman outdoor alias terbuka, maka pilihan paling tepat untuk datang ialah saat cuaca tidak hujan.</t>
  </si>
  <si>
    <t>Hutan Bambu Keputih</t>
  </si>
  <si>
    <t>Surabaya menjadi kota metropolitan kedua setelah Jakarta. Kepadatan penduduk Surabaya pun cukup tinggi, dan karena terletak di pesisir, suhu kota terasa panas. Meski begitu, masih ada tempat sejuk, teduh, dan asri di tengah Kota Surabaya. Ialah Hutan Bambu Surabaya, tepatnya berada di Keputih. Mendengar nama â€œHutan Bambuâ€, mungkin yang terlintas adalah hutan di pedesaan. Tapi jangan salah, di tengah kota pun dapat terwujud tempat asri seperti ini. Suasananya yang asri membuat pengunjung berbondong-bondong datang ke lokasi ini. Dan sekarang, taman rekreasi ini tengah menjadi favorit pengunjung menghabiskan waktu luang.</t>
  </si>
  <si>
    <t>Taman Keputran</t>
  </si>
  <si>
    <t xml:space="preserve">Ntah, mengapa nama taman ini disebut dengan taman keputran, namun jika dikaitkan dengan lokasi taman, berada di persimpangan jalan Keputran Surabaya. Selain itu, di seberang sungai terdapat juga sebuah taman yang bernama Taman Lalu Lintas Surabaya. Keunikan Taman Keputran dibandingkan dengan taman lainnya adalah adanya lampu yang kerangka tiangnya mirip dengan manusia, dengan gaya pose yang berbeda-beda itu, membuat taman ini terlihat ada sentuhan kreatif dan inovatif. Lampu-lampu itu terang dan indah pada malam hari. Untuknya, taman ini cukup representatif sebagai pilihan mendapatkan tempat tongkrongan yang tenang pada malam hari. Tak hanya itu, jalur pijat refleksi kaki juga tersedia disana. Cocok untuk pengunjung yang ingin mencoba pengobatan refleksi kaki sederhana. Melalui pemahaman tentang jalur refleksi secara mendalam, sebagian orang memilih sarana ini dalam usaha menyembuhkan penyakit._x000D_
</t>
  </si>
  <si>
    <t>Food Junction Grand Pakuwon</t>
  </si>
  <si>
    <t>Food Junction Grand Pakuwon sebetulnya merupakan suatu pujasera dengan konsep yang sedikit berbeda dengan tempat lainnya. Tempatnya yang terletak di area Tandes, Surabaya Barat (strategis dengan suasana romantis dan unik) dimana jika dari arah pusat kota hanya membutuhkan waktu 20 menit untuk sampai ke lokasi. Sehingga tidak heran apabila banyak warga Surabaya yang menghabiskan waktu sore hari ditempat ini.</t>
  </si>
  <si>
    <t>Taman Barunawati</t>
  </si>
  <si>
    <t>Taman Barunawati yang lokasinya berada di kota Surabaya bagian utara. Taman yang satu ini bisa menjadi referensi untuk dikunjungi karena cukup recommended terutama bagi warga Surabaya atau bahkan warga luar Surabaya. Layaknya taman pada umumnya, memanglah menjadi tempat berlibur yang paling murah namun ada manfaat tersendiri yang bisa dirasakan oleh pengunjung seperti pikiran jadi tenang. Selain itu kita juga bisa mengajak anak atau anggota keluarga yang masih kecil untuk sekedar bermain di playground yang ada di dalam Taman Barunawati. Taman yang diresmikan pada 9 Oktober 2019 itu sekarang kondisinya nampak indah dan asri sehingga dapat mengalihkan perhatian bagi siapa saja yang melewati jalan Perak Barat Surabaya. Berkunjung ke taman ini pun kita tidak perlu merogoh kocek sepeser pun, namun pengunjung masih dapat menikmati pemandangan dan semua fasilitas yang ada di dalamnya.</t>
  </si>
  <si>
    <t>Kenjeran Park</t>
  </si>
  <si>
    <t>Kenjeran Park merupakan salah satu tempat wisata kekinian di Surabaya. Tempat wisata ini berlokasi tepat di Jalan Sukolilo, Desa Sukolilo Baru, Kecamatan Bulak, Surabaya, Jawa Timur. Dulunya, Kenjeran Park merupakan tempat yang kumuh dan kurang terawat. Tetapi, tempat ini kembali terawat hingga bertransformasi menjadi destinasi wisata modern dan kekinian di tengah Kota Surabaya. Kenjeran Park terdiri dari beberapa kawasan wisata yang bisa pengunjung pilih. Bagi yang membawa anak-anak dan suka berenang, pengunjung bisa mengunjungi Atlantis Land Kenjeran. Lalu, pengunjung juga bisa menyambangi beberapa tempat yang ikonik dari Kenjeran Park. Salah satunya adalah Pagoda Tian Ti. Pagoda Tian Ti ini punya desain yang terinspirasi dari Pagoda Tian Tan di Beijing, China. Namun, Pagoda Tian Ti terdiri dari tiga lantai dengan diameter 60 meter dan tinggi 58 meter. Tempat ikonik lainnya adalah Patung Buddha 4 Wajah. Patung Buddha memiliki ketinggian 36 meter. Tempat menarik lainnya yang bisa pengunjung sambangi adalah Klenteng Sanggar Agung. Di klenteng ini, pengunjung bisa melihat patung Dewi Kwan Im dan sepasang naga merah keemasan yang langsung menghadap ke pantai.</t>
  </si>
  <si>
    <t>Surabaya North Quay</t>
  </si>
  <si>
    <t>Surabaya menjadi kota besar yang sering menjadi tempat tujuan wisata. Berbagai tempat belanja dari tradisional hingga modern ada di Ibukota Jawa Timur ini. Namun, apakah tidak bosan wisata belanja saja di Surabaya? Jika bosan, datanglah ke Surabaya North Quay, objek wisata baru di Surabaya. Surabaya North Quay sebenarnya adalah terminal bagi kapal pesiar mewah yang bersandar. Namun, tempat ini sengaja dibenahi supaya dapat menjadi tempat wisata bagi warga Surabaya dan sekitarnya. Bahkan, tak sedikit yang berasal dari luar daerah yang penasaran ingin menikmati pemandangan menakjubkan. Lautan lepas dengan kapal pesiar mewah yang bersandar di terminal ini, menjadi daya tarik utamanya.</t>
  </si>
  <si>
    <t>Kebun Bibit Wonorejo</t>
  </si>
  <si>
    <t>Meskipun namanya kebun bibit, namun kawasan ini rasanya lebih cocok disebut sebagai taman. Kawasan Kebun Bibit Wonorejo ini terbagi menjadi 2 bagian, yaitu Taman Aktif dan Taman Pasif yang total keduanya mempunyai luas sebesar 5.9 hektare. Cuaca panas yang bikin gerah memang paling enak didinginkan dengan berkunjung ke tempat adem. Selain mall, taman kota di Surabaya seperti Kebun Bibit Wonorejo ini juga pilihan yang tepat. Pengunjung akan dimanjakan dengan udara sejuk. Hal ini karena banyaknya pepohonan yang menjulang tinggi.</t>
  </si>
  <si>
    <t>Taman Ekspresi Dan Perpustakaan</t>
  </si>
  <si>
    <t>Taman Ekspresi Surabaya tidak hanya menyuguhkan taman yang rindang dan asri. Taman di Jalan Gentengkali ini juga punya fasilitas penunjang berupa perpustakaan di sisi barat. Perpustakaan yang dikelola Dinas Perpustakaan dan Kearsipan Kota Surabaya tersebut memiliki 3.412 koleksi buku. Buku-buku yang ada di perpustakaan sangat lengkap dan baru, dari cetakan 2009 sampai terbaru 2019. Mulai buku bahasa, filsafat, psikologi, agama, matematika, ilmu alam, ilmu sosial, keluarga, teknologi, seni, sastra, geografis, sejarah, hingga bacaan untuk anak-anak.</t>
  </si>
  <si>
    <t>Kebun Binatang Surabaya</t>
  </si>
  <si>
    <t xml:space="preserve">Kebun Binatang Surabaya (KBS) (Dialek Arekan: Kebon Binatang Suroboyo) adalah salah satu kebun binatang yang populer di Indonesia dan terletak di Surabaya. KBS merupakan kebun binatang yang pernah terlengkap se-Asia Tenggara, di dalamnya terdapat lebih dari 981 spesies satwa yang berbeda yang terdiri lebih dari 2.806 binatang. Termasuk di dalamnya satwa langka Indonesia maupun dunia terdiri dari Mamalia, Aves, Reptilia, dan Pisces._x000D_
</t>
  </si>
  <si>
    <t>Rumah Batik</t>
  </si>
  <si>
    <t xml:space="preserve">Di rumah batik ini terdapat sekitar 2000 lembar batik yang memiliki ragam corak yang beraneka macam. Aneka batik tersebut terbuat dari berbagai macam jenis bahan yaitu seperti prima, primis, santio, sutra, prishmina dan sarimpit. Tidak hanya kain batik saja yang dapat anda temukan di rumah batik ini melainkan juga ada sarung batik, baju batik, celana batik, rok batik, selendang batik, dan lain sebagainya. Untuk anda yang ingin segera mengunjungi rumah batik di Surabaya ini maka berikut informasi alamat dari rumah batik itu sendiri. Jadi rumah batik tersebut pada mulanya terletak di jalan tambak, dukuh 1, no.4, rt.01, rw.09, kelurahan kapasari, kecamatan genteng, Surabaya. Di tempat ini anda akan melihat berbagai macam batik yang di pajang yaitu mulai dari batik Surabaya, bangkalan, sidoarjo, sumenep, mojokerto, ponorogo, tuban, jombang, dan bojonegoro. Karena koleksi yang di miliki di rumah batik Surabaya ini sangat beragam tentu saja membuat banyak pengunjung yang ingin datang ke lokasi ini. Setelah itu rumah batik ini di pindah di lokasi jalan margorejo, no. 143, Surabaya._x000D_
</t>
  </si>
  <si>
    <t>Ciputra Waterpark</t>
  </si>
  <si>
    <t>Ciputra Waterpark Surabaya â€“ Bermain air di waterpark memang bisa menjadi alternatif rekreasi kaum urban di berbagai kota besar. Tidak hanya Jakarta, Surabaya sebagai salah satu kota metropolis di Indonesia juga sudah mulai bergeliat membangun tempat rekreasi keluarga. Salah satunya waterpark yang bisa menjadi tujuan wisata keluarga adalah Ciputra Waterpark Surabaya. Berlokasi di Waterpark Boulevard, Citraland â€œThe Singapore of Surabayaâ€, Surabaya, waterpark yang berdiri di areal seluas 5 hektar menawarkan beragam aktivitas dan atraksi menarik. Tidak salah jika waterpark yang satu ini mengklaim sebagai water attraction terbesar Indonesia.</t>
  </si>
  <si>
    <t>Masjid Muhammad Cheng Hoo</t>
  </si>
  <si>
    <t>Masjid Cheng Hoo Surabaya adalah Masjid bernuansa Muslim Tionghoa yang berlokasi di Jalan Gading, Ketabang, Genteng, Surabaya atau 1.000 m utara Gedung Balaikota Surabaya. Masjid ini didirikan atas prakarsa para sespuh, penasehat, pengurus PITI, dan pengurus Yayasan Haji Muhammad Cheng Ho Indonesia Jawa Timur serta tokoh masyarakat Tionghoa di Surabaya. Pembangunan masjid ini diawali dengan peletakkan batu pertama 15 Oktober 2001 bertepatan dengan Isra' Mi'raj Nabi Muhammad SAW. Sedangkan pembangunannya baru dilaksanakan 10 Maret 2002 dan baru diresmikan pada 13 Oktober 2002. Masjid Cheng Ho, atau juga dikenal dengan nama Masjid Muhammad Cheng Ho Surabaya, ialah bangunan masjid yang menyerupai kelenteng (rumah ibadah umat Tri Dharma). Gedung ini terletak di areal komplek gedung serba guna PITI (Pembina Imam Tauhid Islam) Jawa Timur Jalan Gading No.2 (Belakang Taman Makam Pahlawan Kusuma Bangsa), Surabaya. Masjid ini didominasi warna merah, hijau, dan kuning. Ornamennya kental nuansa Tiongkok lama. Pintu masuknya menyerupai bentuk pagoda, terdapat juga relief naga dan patung singa dari lilin dengan lafaz Allah dalam huruf Arab di puncak pagoda. Di sisi kiri bangunan terdapat sebuah beduk sebagai pelengkap bangunan masjid.Selain Surabaya di Palembang juga telah ada masjid serupa dengan nama Masjid Cheng Ho Palembang atau Masjid Al Islam Muhammad Cheng Hoo Sriwijaya Palembang. Nama masjid ini merupakan bentuk penghormatan pada Cheng Ho, Laksamana asal Cina yang beragama Islam. Dalam perjalanannya di kawasan Asia Tenggara, Cheng Ho bukan hanya berdagang dan menjalin persahabatan, juga menyebarkan agama Islam.</t>
  </si>
  <si>
    <t>Masjid Nasional Al-Akbar</t>
  </si>
  <si>
    <t xml:space="preserve">Masjid Nasional Al Akbar (atau biasa disebut Masjid Agung Surabaya) ialah masjid terbesar kedua di Indonesia yang berlokasi di Kota Surabaya, Jawa Timur setelah Masjid Istiqlal di Jakarta. Posisi masjid ini berada di wilayah Kelurahan Pagesangan, Kecamatan Jambangan, Surabaya dan tepat di samping Jalan Tol Surabaya-Gempol. Ciri yang mudah dilihat adalah kubahnya yang besar didampingi 4 kubah kecil yang berwarna biru. Serta memiliki satu menara yang tingginya 99 meter. Masjid Nasional Al-Akbar Surabaya dibangun sejak tanggal 4 Agustus 1995, atas gagasan Wali Kota Surabaya saat itu, H. Soenarto Soemoprawiro. Pembangunan Masjid ini ditandai dengan peletakan batu pertama oleh Wakil Presiden RI Try Sutrisno. Namun karena krisis moneter pembangunannya dihentikan sementara waktu. Tahun 1999, masjid ini dibangun lagi dan selesai tahun 2001. Pada 10 November 2000, Masjid ini diresmikan oleh Presiden RI KH. Abdurrahman Wahid._x000D_
</t>
  </si>
  <si>
    <t>Museum TNI AL Loka Jala Crana</t>
  </si>
  <si>
    <t xml:space="preserve">Museum Loka Jala Crana berdiri pada tanggal 19 September 1969 oleh Ibu R. Mulyadi, isteri panglima Angkatan Laut Laksamana R. Moeljadi, dengan nama Museum Akabri Laut. Pada tahun 1973, tepatnya pada tanggal 10 Juli 1973, statusnya ditingkatkan menjadi Museum TNI Angkatan Laut. Selanjutnya tanggal 6 Oktober 1979 namanya berubah kembali menjadi Museum TNI Angkatan Laut Loka Jala Crana. Loka jala Crana berarti tempat untuk menyimpan, mengabadikan dan menyajikan peralatan atau sarana yang dipergunakan oleh TNI Angkatan Laut. Di dalam museum ini terdapat beberapa koleksi peralatan pertempuran Angkatan Laut, disamping itu juga satu koleksi berupa planetarium dan astronavigasi. Museum ini menyuguhkan dan menyelamatkan objek benda-benda bersejarah yang pernah dimiliki serta dipakai oleh prajurit-prajurit TNI Angkatan Laut sejak dari zaman revolusi fisik hingga saat ini, di antaranya berupa berbagai jenis meriam kapal perang, pesawat, helikopter, artileri medan, replica KRI Dewaruci. Ada juga benda bersejarah lain seperti meriam kapal "HRMS De Zeven Provencienâ€œ._x000D_
</t>
  </si>
  <si>
    <t>Jembatan Merah</t>
  </si>
  <si>
    <t>Jembatan Merah merupakan salah satu monumen sejarah di Surabaya, Jawa Timur yang dibiarkan seperti adanya: sebagai jembatan. Jembatan yang menjadi salah satu judul lagu ciptaan Gesang ini, semasa zaman VOC dahulu dinilai penting karena menjadi sarana perhubungan paling vital melewati Kalimas menuju Gedung Karesidenan Surabaya, yang sudah tidak berbekas lagi.\nKawasan Jembatan Merah merupakan daerah perniagaan yang mulai berkembang sebagai akibat dari Perjanjian Paku Buwono II dari Mataram dengan VOC pada 11 November 1743. Dalam perjanjian itu sebagian daerah pantai utara, termasuk Surabaya, diserahkan penguasaannya kepada VOC. Sejak saat itulah Surabaya berada sepenuhnya dalam kekuasaan Belanda. Kini, posisinya sebagai pusat perniagaan terus berlangsung. Di sekitar jembatan terdapat indikator-indikator ekonomi, termasuk salah satunya Plaza Jembatan Merah.\nPerubahan fisiknya terjadi sekitar tahun 1890-an, ketika pagar pembatasnya dengan sungai diubah dari kayu menjadi besi. Kini kondisi jembatan yang menghubungkan Jalan Rajawali dan Jalan Kembang Jepun di sisi utara Surabaya itu, hampir sama persis dengan jembatan lainnya. Pembedanya hanyalah warna merah.</t>
  </si>
  <si>
    <t>Museum De Javasche Bank</t>
  </si>
  <si>
    <t>Museum Bank Indonesia (Bahasa Indonesia: Museum Bank Indonesia) adalah museum bank yang terletak di Surabaya, Indonesia. Secara resmi didirikan oleh Bank Indonesia dan dibuka pada 27 Januari 2012 setelah direstorasi. Museum ini menempati gedung yang dulunya bernama De Javasche Bank, bank sentral Hindia Belanda. Setelah Kemerdekaan Indonesia gedung ini terus berfungsi sebagai kantor cabang Bank Indonesia di Surabaya hingga tahun 1973. Museum tutup pada hari Senin dan hari libur nasional. Tidak ada biaya masuk.</t>
  </si>
  <si>
    <t>Keraton Surabaya</t>
  </si>
  <si>
    <t>Kawasan yang berjuluk Kampung Keraton ini terdiri dari empat gang. Gang ini rata-rata berukuran sempit, lebarnya 2 hingga 3 meter. Saking sempitnya, pengendara sepeda motor terkadang turun dari kendaraan dan harus berjalan kaki. Sementara, panjang jalan sekitar 200 meter. Memang, tak banyak sisa peninggalan Keraton Surabaya ini. Yang tampak kini adalah sisa bangunan peninggalan kolonial Belanda. Kampung Keraton saat ini merupakan salah satu kawasan perdagangan yang sangat ramai di Surabaya, utamanya di Jalan Kramat Gantung. Segala macam kebutuhan rumah tangga dijual di jalan ini.</t>
  </si>
  <si>
    <t>Klenteng Sanggar Agung</t>
  </si>
  <si>
    <t>Kelenteng Sanggar Agung atau Klenteng Hong San Tang adalah sebuah klenteng di Kota Surabaya. Alamatnya berada di Jalan Sukolilo Nomor 100, Pantai Ria Kenjeran, Surabaya. Kuil ini, selain menjadi tempat ibadah bagi pemeluk Tridharma, juga menjadi tempat tujuan wisata bagi para wisatawan. Klenteng ini dibuka pada tahun 1999.\nCiri khas dari klenteng ini adalah sebuah patung Kwan Im setinggi 20 meter yang terletak di tepi laut. Klenteng ini dipersembahkan kepada Nan Hai Guan Shi Yin Pu Sa atau Bodhisatwa Kwan Im Laut Selatan. Patung ini dibangun setelah seorang karyawan Sanggar Agung melihat sesosok wanita berjubah putih berjalan di atas air pada saat ia sedang menutup Klenteng di malam hari. Penampakan tersebut dipercaya sebagai penampakan Kwan Im sendiri. Ikon lain dari Sanggar Agung adalah patung Phra Phrom raksasa berlapis emas.</t>
  </si>
  <si>
    <t>Museum Sepuluh Nopember Kota Surabaya</t>
  </si>
  <si>
    <t xml:space="preserve">Museum Sepuluh November Surabaya adalah salah satu museum yang terletak di Kota Surabaya, dibangun pada tahun 1945. Museum ini dibangun dengan tujuan untuk mempelajari dan memperdalam peristiwa Pertempuran Sepuluh November 1945, Museum Sepuluh November beralamat di Jalan Pahlawan, Surabaya._x000D_
</t>
  </si>
  <si>
    <t>Monumen Tugu Pahlawan</t>
  </si>
  <si>
    <t>Tugu Pahlawan (bahasa Indonesia: Tugu Pahlawan) adalah sebuah monumen di Surabaya, Indonesia. Itu adalah lambang utama kota yang didedikasikan untuk orang-orang yang tewas dalam Pertempuran Surabaya pada 10 November 1945. Museum 10 November terletak di bawah monumen. Monumen ini memiliki tinggi 41,15 meter dan berbentuk lingga. Dibangun untuk memperingati peristiwa 10 November 1945 di Pertempuran Surabaya. Itu adalah tempat setiap 10 November untuk memperingati peristiwa 1945, ketika banyak pahlawan tewas dalam perang kemerdekaan. Peletakan batu pertama dipimpin oleh Soekarno, Presiden Indonesia pertama, didampingi Walikota Surabaya, Doel Arnowo pada 10 November 1951. Diresmikan setahun kemudian, juga oleh Soekarno, pada 10 November 1952 disaksikan oleh Walikota Surabaya, R. Moestadjab Soemowidigdo. Museum 10 November dibangun untuk menjelaskan makna di balik Tugu Pahlawan. Bangunannya terdiri dari 2 lantai, dengan pameran yang melambangkan semangat perjuangan masyarakat Surabaya. Ada auditorium di lantai satu. Museum ini berisi reproduksi foto-foto dokumenter, dan terdapat diorama yang menyajikan delapan peristiwa yang terjadi sekitar bentrokan 10 November 1945.</t>
  </si>
  <si>
    <t>Surabaya Museum (Gedung Siola)</t>
  </si>
  <si>
    <t>Saat ini Museum Surabaya Siola menjelma menjadi sebuah destinasi wisata sejarah yang unik dan menarik untuk dikunjungi. Bukan hanya menyuguhkan cerita masa lampau yang ditampilkan dengan berbagai macam bentuk, Museum Surabaya Siola juga menjadi tempat incaran untuk berburu foto. Bagi pengunjung yang ingin mendatangi Museum Surabaya Siola ini maka tidak harus membayar tiket masuk alias gratis. Siapa saja boleh masuk kedalam Museum Surabaya Siola, karena tempat ini terbuka untuk semua kalangan mulai dari anak-anak sampai dewasa. Manjajal Museum Surabaya untuk dijadikan sebagai destinasi wisata akhir pekanmu sepertinya tidak ada salahnya. Selain bisa mempelajari sejarah Kota Pahlawan, kamu pun akan mendapatkan ilmu pengetahuan yang bermanfaat.</t>
  </si>
  <si>
    <t>Museum Kesehatan Dr. Adhyatma</t>
  </si>
  <si>
    <t>Museum Kesehatan Dr. Adhyatma, MPH adalah museum kesehatan yang dirintis Pemerintah indonesia melalui Departemen Kesehatan pada tanggal 16 Desember 2003. Museum Kesehatan Puslitbang Pelayanan dan Tehnologi kesehatan (PUSLITBANG YANTEKKES) diresmikan oleh Menteri Kesehatan pada tanggal 14 September 2004, sehingga diberi nama Museum Kesehatan Dr. Adhyatma, MPH.Museum Kesehatan Dr. Adhyatma, MPH, berlokasi di Jl. Indrapura 17 Surabaya Jawa Timur.</t>
  </si>
  <si>
    <t>Monumen Jalesveva Jayamahe</t>
  </si>
  <si>
    <t>Monumen Jalesveva Jayamahe atau Monjaya adalah sebuah monumen yang terletak di Kota Surabaya, Jawa Timur. Monumen ini menggambarkan sosok Perwira TNI Angkatan Laut berbusana Pakaian Dinas Upacara (PDU) lengkap dengan pedang kehormatan yang sedang menerawang ke arah laut, serasa siap menantang gelombang dan badai di lautan, begitu pula yang ingin di perlihatkan bahwa angkatan laut Indonesia siap berjaya. Patung tersebut berdiri di atas bangunan dan tingginya mencapai 30,6 meter. Monumen Jalesveva Jayamahe menggambarkan generasi penerus bangsa yang yakin dan optimis untuk mencapai cita-cita bangsa Indonesia.Monumen Jalesveva Jayamahe ini juga sesuai dengan motto angkatan laut Jalesveva Jayamahe yang berarti, Di Laut Kita Berjaya. Monumen ini dibangun pada tahun 1993 oleh Pemimpin Kepala Staf TNI Angkatan Laut Maritim Indonesia yang kemudian dilanjutkan dengan Laksamana TNI Muhamad Arifin dan dirancang oleh I Nyoman Nuarta. Selain sebagai monumen, bangunan ini juga difungsikan sebagai mercusuar bagi kapal-kapal yang ada di laut sekitar.</t>
  </si>
  <si>
    <t>Patung Sura dan Buaya</t>
  </si>
  <si>
    <t>Patung Sura dan Baya (Jawa: Patung Suro lan Boyo) adalah sebuah patung yang merupakan lambang kota Surabaya. Patung ini berada di depan Kebun Binatang Surabaya. Patung ini terdiri atas dua hewan ini yang menjadi inspirasi nama kota Surabaya: ikan sura (hiu) dan baya (buaya).</t>
  </si>
  <si>
    <t>Pantai Ria Kenjeran</t>
  </si>
  <si>
    <t>Obyek wisata Pantai Ria Kenjeran Surabaya merupakan salah satu destinasi wisata ketika mengujungi kota Surabaya. Pantai ini termasuk salah satu wisata andalan kota Surabaya yang selalu ramai pengunjung. Lokasi Pantai Ria Kenjeran terletak di Kecamatan Kenjeran Timur Surabaya, Propinsi Jawa Timur. Kawasan Pantai Ria Kenjeran ini sudah terkenal dengan berbagai wahana dan tempat rekreasi keluarga khususnya bagi warga Kenjeran. Pantai yang juga mendapatkan julukan sebagai Kenpark ini berdekatan dengan Jembatan Suramadu. Pantai Kenjeran biasanya dimanfaatkan masyarakat sekitar untuk melepas penat dari rutinitas setiap hari. Banyak juga wisatawan yang juga berwisata ke pantai ini. Pantai yang terletak tak begitu jauh dari pusat Kota Surabaya ini juga buka setiap hari selama 24 jam, jadi tidak perlu khawatir jika Anda ingin berkunjung kapan saja. Pantai ini memiliki fasilitas yang cukup lengkap, seperti arena bermain untuk anak yang disebut Kya kya Seaside, ada juga Pagoda Tuan Ti, jembatan kayu dengan gazebo untuk bersantai dan foto. Ada juga waterpark dan area bermain anak di sekitar pantai ini. Juga terdapat persewaan perahu yang dapat dinaiki oleh para pengunjung untuk menikmati keindahan Pantai Ria Kenjeran dari area pesisir laut dengan tarif sekitar Rp 5.000,-.</t>
  </si>
  <si>
    <t>Waterpark Kenjeran Surabaya</t>
  </si>
  <si>
    <t xml:space="preserve">Waterpark Kenjeran Surabaya merupakan wisata keluarga dengan permainan air dan olahraga renang. Terdapat berbagai wahana menarik bagi keluarga dan anak-anak. Berlokasi tidak jauh dari kawasan wisata pantai kenjeran dan Atlantis Land Kenjeran. Suasana pepohonan di sekitar area kolam renang memberikan kesan yang teduh di kolam. Terdapat bangunan dengan bentuk istana negeri dongeng yang menghiasi. Dengan warna-warni khas buku cerita anak._x000D_
</t>
  </si>
  <si>
    <t>Balai Kota Surabaya</t>
  </si>
  <si>
    <t>Surabaya sebagai Resort Gemeente (Haminte) secara resmi mulai berdiri pada tanggal 1 April 1906. Sebelumnya Surabaya merupakan bagian dari karesidenan Pemerintah Haminte dijalankan oleh Dewan Haminte yang diketuai oleh asisten residen sebagai Kepala Daerah.\nTahun 1916 diangkat Wali kota Surabaya pertama, A. Meyroos yang bertugas sampai tahun 1921. Baru setelah wali kota yang kedua, G.J. DIJKERMAN, terpilih, rencana membangun gedung Balai Kota diwujudkan.\nGedung utama Balai Kota di Taman Surya di daerah Ketabang itu mulai dibangun pada tahun 1923 dan mulai ditempati pada tahun 1927. Arsiteknya ialah C. Citroen dan pelaksanaannya H.V. Hollandsche Beton Mij. Biaya seluruhnya, termasuk perlengkapan dan lain-lainnya, menghabiskan dana sekitar 1000 gulden.\n\nUkuran gedung utama: panjang 102 m dan lebar 19 m. Konstruksinya terdiri dari tiang-tiang pancang beton bertulang yang ditanam, sedangkan dinding-dindingnya diisi dengan bata dan semen. Atapnya terbuat dari rangka besi dan ditutup dengan sirap, Belakangan atap ini kemudian diganti dengan genteng.\nSetelah Republik Indonesia diproklamirkan, dilantiklah Radjamin Nasution sebagai Wali kota Kota Besar Surabaya. Berdasarkan Penpres 1959 No. 16 maka ditetapkan Wali kota menjadi Kepala Daerah Kota Surabaya. Tahun 1965 Kotapraja Surabaya resmi menjadi Kotamadya.</t>
  </si>
  <si>
    <t>Patung Buddha Empat Rupa</t>
  </si>
  <si>
    <t>Terletak di sudut Pantai Ria Kenjeran, Patung Buddha Empat Rupa ini sering digunakan oleh pemuda-pemudi setempat untuk tempat nongkrong dan berkumpul. Dibangun mulai tahun 2003 dan mempunyai lahan sekitar 1,5 hektare dan berukuran 9Ã—9 meter membuatnya menghabiskan sekitar Rp 4 Milyar dalam pembuatannya. Dan patung ini semakin megah karena dilapisi oleh emas murni yang diimpor langsung dari Thailand. Bangunan ini dikelilingi oleh 4 pilar, yaitu pilar hijau dan pilar emas. Empat wajah yang terdapat di patung ini menggambarkan empat sifat yang baik dari Buddha, yaitu pengasih, murah hati, adil, dan meditasi. Selain melihat patung Buddha ini, jika Kamu berkunjung ke sini maka Kamu akan melihat beberapa patung gajah yang ada di sekeliling patung Buddha ini. Dan menariknya, patung ini dianggap MURI sebagai patung tertinggi di Indonesia.</t>
  </si>
  <si>
    <t>Monumen Bambu Runcing Surabaya</t>
  </si>
  <si>
    <t>Monumen Bambu Runcing adalah ikon pariwisata Surabaya yang berhubungan dengan situs sejarah perjuangan bangsa. Monumen ini terdiri dari 5 pilar dan memiliki tinggi yang tidak sama dan dibentuk seperti bambu runcing. Sayangnya, tidak ada estimasi yang tepat tentang tinggi pada masing-masing pilar. Pada waktu tertentu, akan ada air yang mengalir keluar dari bambu runcing, layaknya air mancur. Selain itu, monumen ini dikelilingi oleh taman kecil yang penuh dengan beragam tanaman hias. Monumen Bambu Runcing ini terletak di jantung kota Surabaya, di tengah ramainya lalu lintas jalan Panglima Sudirman. Para pengunjung yang datang ke Surabaya akan langsung mengenali keberadaan monumen ini saat melintasinya. Monumen ini juga dekat dengan Kebun Binatang Surabaya, Tunjungan Plaza, Surabaya Plaza dan Tugu Pahlawan Surabaya.</t>
  </si>
  <si>
    <t>House of Sampoerna</t>
  </si>
  <si>
    <t>House of Sampoerna adalah sebuah museum tembakau dan markas besar Sampoerna yang terletak di Surabaya. Gaya arsitektur dari bangunan utamanya yang dipengaruhi oleh gaya kolonial Belanda dibangun pada 1862 dan sekarang menjadi situs sejarah. Sebelumnya dipakai sebagai panti asuhan yang diurus oleh Belanda, tempat tersebut dibeli pada 1932 oleh Liem Seeng Teeâ€š pendiri Sampoernaâ€š dengan tujuan dipakai sebagai fasilitas produksi rokok besar pertama Sampoerna.</t>
  </si>
  <si>
    <t>Atlantis Land Surabaya</t>
  </si>
  <si>
    <t>Sejak diresmikan pada bulan Desember 2017, Atlantis Land Kenjeran Surabaya sudah sukses mendatangkan banyak pengunjung. Taman wisata air ini menjadi taman air terbesar di Kota Surabaya. Lokasinya terletak satu wilayah dengan Kenjeran Park, atau familiar disebut Ken Park. Tepatnya di Jalan Pantai Ria Kenjeran, Sukolilo Baru, Bulak, Surabaya, Jawa Timur. Taman wisata air ini memiliki luas sekitar 15 hektar dengan desain asli milik arsitek Australia. Tema yang diambil untuk taman wisata air ini adalah istana bawah laut. Dengan tema tersebut, gerbang masuk Atlantis Land Kenjeran Surabaya memiliki dinding bangunan utama berwarna biru. Dinding utama tersebut dihiasi dengan garis-garis menyerupai ombak berwarna putih. Atapnya berwarna kuning kecokelatan dan menjulang tinggi bagai istana. Di kedua sisi bangunan utama, terdapat bangunan berdinding cokelat dengan ornamen belahan kayu. Bangunan ini memberi kesan bagaikan kapal pesiar yang belum rampung dibuat. Sebuah patung neptunus berwarna kuning juga terlihat menghiasi salah satu sudut tembok taman ini. Dekorasi yang ada di Atlantis Land Kenjeran akan memberi suasana bagaikan berada di sebuah kastil.</t>
  </si>
  <si>
    <t>Taman Hiburan Rakyat</t>
  </si>
  <si>
    <t>Taman Hiburan Rakyat atau THR tentunya sudah tak asing lagi bagi masyarakat Surabaya. Taman ini berletak di belakang Taman Remaja Surabaya (TRS) dan juga ada di belakang Hi-Tech Mall. THR biasanya digunakan untuk pertunjukan kesenian daerah. Taman ini menjadi ikon Surabaya karena sejarahnya yang cukup menarik.</t>
  </si>
  <si>
    <t>Taman Mundu</t>
  </si>
  <si>
    <t>Taman Mundu merupakan salah satu taman atau ruang terbuka hijau terutama bagi warga kota Surabaya, taman ini lebih tepatnya berada di Jl. Tambaksari atau berada di seberang Stadion Gelora Sepuluh November Tambaksari Surabaya. Taman Mundu dibangun menempati area seluas 4.800 meter persegi dan pembangunannya diresmikan pada 10 Juli 2010. Taman yang cantik ini mempunyai berbagai fasilitas yang bisa dinikmati dan digunakan oleh warga Surabaya atau siapapun yang mengunjungi taman ini, diantarnya fasilitas arena bermain bagi anak-anak,</t>
  </si>
  <si>
    <t>Museum Mpu Tantular</t>
  </si>
  <si>
    <t>Museum Negeri Mpu Tantular adalah sebuah museum negeri yang berlokasi di kecamatan Buduran, Sidoarjo, Jawa Timur. Awalnya, museum ini bernama Stedelijk Historisch Museum Soerabaia, didirikan oleh Godfried von Faber pada tahun 1933 dan diresmikan pada tanggal 25 Juli 1937. Saat ini, museum ini dikelola oleh Unit Pelaksana Teknis pada Departemen Kebudayaan dan Pariwisata.</t>
  </si>
  <si>
    <t>Taman Bungkul</t>
  </si>
  <si>
    <t>Taman Bungkul adalah taman wisata kota yang terletak di pusat kota Surabaya, tepatnya di Jalan Raya Darmo. Taman ini berdiri di area seluas 900 meter persegi. Dilengkapi berbagai fasilitas penunjang, seperti amfiteater berdiameter 33 meter, lajur joging, lahan papan luncur, taman bermain anak-anak, air mancur, dan pujasera. Selain itu, taman ini juga dilengkapi akses internet nirkabel yang terbuka untuk umum sehingga siapapun bisa mengakses internet selama di taman ini. Letaknya yang berada di jantung Kota Surabaya membuat taman ini tidak hanya berfungsi sebagai lahan hijau saja, tetapi juga sebagai destinasi wisata yang populer di Surabaya.</t>
  </si>
  <si>
    <t>Taman Air Mancur Menari Kenjeran</t>
  </si>
  <si>
    <t>Air mancur menari atau dancing fountain juga ada di kawasan jembatan kenjeran Surabaya. Air mancur ini di buat bersamaan dengan pembuatan jembatan kenjeran, di resmikan pada tanggal 9 juli 2016 lalu. Sejak diresmikannya air mancur dan jembatan yang membentang di atas laut dengan panjang 800 meter ini menjadi tujuan wisata bagi warga Surabaya dan sekitarnya. Dancing fountain yang indah tidak lepas dari komponen-komponen yang bekerja di dalamnya seperti nozzle sebagai tempat keluarnya air, dari nozzle inilah semburan air bisa berubah ubah. Air yang keluar di dorong oleh pompa air mancur yang mendorong dari tempat rendah ke tempat lebih tinggi. Pemilihan lampu yang tepat akan menambah kualitas pencahayaan lebih terang, sebaiknya menggunakan underwater led atau waterproof led karena lampu ini bersifat tahan air. Tentu akan menambah tampilan air mancur menari lebih memikat.</t>
  </si>
  <si>
    <t>Taman Flora Bratang Surabaya</t>
  </si>
  <si>
    <t>Taman Flora adalah salah satu taman kota di Surabaya yang merupakan fasilitas publik dari Pemkot setempat. Sehingga tempat ini memang sengaja dibuat untuk dinikmati oleh khalayak umum. Karena taman ini merupakan fasilitas publik yang didirikan oleh Pemkot Surabaya maka bagi siapa saja jika ingin memanfaatkan taman kota ini tidak perlu membayar tiket masuk alias gratis.</t>
  </si>
  <si>
    <t>Gereja Perawan Maria Tak Berdosa Surabaya</t>
  </si>
  <si>
    <t xml:space="preserve">Gereja Katolik Kelahiran Santa Perawan Maria merupakan salah satu gereja tua di kota Surabaya, Jawa Timur, Indonesia. Berlokasi di Jalan Kepanjen, Surabaya, bangunan religius ini berdampingan dengan gedung SMA Katolik Frateran Surabaya._x000D_
</t>
  </si>
  <si>
    <t>Bekasi</t>
  </si>
  <si>
    <t>Cirebon</t>
  </si>
  <si>
    <t>Lampung</t>
  </si>
  <si>
    <t>DKI Jakarta</t>
  </si>
  <si>
    <t>Bogor</t>
  </si>
  <si>
    <t>Depok</t>
  </si>
  <si>
    <t>Subang</t>
  </si>
  <si>
    <t>Palembang</t>
  </si>
  <si>
    <t>Sragen</t>
  </si>
  <si>
    <t>Ponorogo</t>
  </si>
  <si>
    <t>Klaten</t>
  </si>
  <si>
    <t>Solo</t>
  </si>
  <si>
    <t>Tanggerang</t>
  </si>
  <si>
    <t>Banten</t>
  </si>
  <si>
    <t>Serang</t>
  </si>
  <si>
    <t>Cilacap</t>
  </si>
  <si>
    <t>Kota Gede</t>
  </si>
  <si>
    <t>Karawang</t>
  </si>
  <si>
    <t>Nganjuk</t>
  </si>
  <si>
    <t>Madura</t>
  </si>
  <si>
    <t>place_id</t>
  </si>
  <si>
    <t>latitude</t>
  </si>
  <si>
    <t>longitude</t>
  </si>
  <si>
    <t>city</t>
  </si>
  <si>
    <t>Central Jakarta</t>
  </si>
  <si>
    <t>West Jakarta</t>
  </si>
  <si>
    <t>North Jakarta</t>
  </si>
  <si>
    <t>East Jakarta</t>
  </si>
  <si>
    <t>South Jakarta</t>
  </si>
  <si>
    <t>Garut</t>
  </si>
  <si>
    <t>city2</t>
  </si>
  <si>
    <t>Sleman</t>
  </si>
  <si>
    <t>Purwakarta</t>
  </si>
  <si>
    <t>city3</t>
  </si>
  <si>
    <t>Thousand Islands</t>
  </si>
  <si>
    <t>Bantul</t>
  </si>
  <si>
    <t>Gunung Tangkuban perahu</t>
  </si>
  <si>
    <t>Sidoarjo</t>
  </si>
  <si>
    <t>Bandung regency</t>
  </si>
  <si>
    <t>Gunungkidul</t>
  </si>
  <si>
    <t>Kulon Progo</t>
  </si>
  <si>
    <t>Bukit Paralayang Watugupit</t>
  </si>
  <si>
    <t>Magelang</t>
  </si>
  <si>
    <t>Central Java</t>
  </si>
  <si>
    <t>West Bandung regency</t>
  </si>
  <si>
    <t>Puncak Bintang</t>
  </si>
  <si>
    <t>Semarang regency</t>
  </si>
  <si>
    <t>West Java</t>
  </si>
  <si>
    <t>South Sumatera</t>
  </si>
  <si>
    <t>East Java</t>
  </si>
  <si>
    <t>FINAL LOCATION.CSV</t>
  </si>
  <si>
    <t>user_id</t>
  </si>
  <si>
    <t>age</t>
  </si>
  <si>
    <t>fk_city_id</t>
  </si>
  <si>
    <t>city_name1</t>
  </si>
  <si>
    <t>FINAL USER.CSV</t>
  </si>
  <si>
    <t>category_id</t>
  </si>
  <si>
    <t>category</t>
  </si>
  <si>
    <t>eng-category</t>
  </si>
  <si>
    <t>Ocean</t>
  </si>
  <si>
    <t>Culture</t>
  </si>
  <si>
    <t>Shopping Centre</t>
  </si>
  <si>
    <t>Amusement Park</t>
  </si>
  <si>
    <t>Place of Worship</t>
  </si>
  <si>
    <t>Nature Preserve</t>
  </si>
  <si>
    <t>FINAL CATEGORY.CSV</t>
  </si>
  <si>
    <t>Place_Ratings</t>
  </si>
  <si>
    <t>rating</t>
  </si>
  <si>
    <t>FINAL TOUR_RATING.CSV</t>
  </si>
  <si>
    <t>Package</t>
  </si>
  <si>
    <t>Place_Tourism1</t>
  </si>
  <si>
    <t>Place_Tourism2</t>
  </si>
  <si>
    <t>Place_Tourism3</t>
  </si>
  <si>
    <t>Place_Tourism4</t>
  </si>
  <si>
    <t>Place_Tourism5</t>
  </si>
  <si>
    <t>Gunung Tangkuban Perahu</t>
  </si>
  <si>
    <t>place_id1</t>
  </si>
  <si>
    <t>place_id2</t>
  </si>
  <si>
    <t>place_id3</t>
  </si>
  <si>
    <t>place_id4</t>
  </si>
  <si>
    <t>place_id5</t>
  </si>
  <si>
    <t>FINAL TOUR_PACKAGE.CSV</t>
  </si>
  <si>
    <t>Column1</t>
  </si>
  <si>
    <t>FINAL TOURISM.CSV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</si>
</sst>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bottom style="thin">
        <color theme="1"/>
      </bottom>
      <diagonal/>
    </border>
  </borders>
  <cellStyleXfs count="1">
    <xf numFmtId="0" fontId="0" fillId="0" borderId="0"/>
  </cellStyleXfs>
  <cellXfs count="4">
    <xf numFmtId="0" fontId="0" fillId="0" borderId="0" xfId="0"/>
    <xf numFmtId="0" fontId="0" fillId="2" borderId="0" xfId="0" applyFill="1"/>
    <xf numFmtId="0" fontId="0" fillId="0" borderId="1" xfId="0" applyBorder="1"/>
    <xf numFmtId="0" fontId="0" fillId="0" borderId="0" xfId="0" applyAlignment="1">
      <alignment wrapText="1"/>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7DDC866-6B7A-431C-9571-7C9F82939658}" autoFormatId="16" applyNumberFormats="0" applyBorderFormats="0" applyFontFormats="0" applyPatternFormats="0" applyAlignmentFormats="0" applyWidthHeightFormats="0">
  <queryTableRefresh nextId="3">
    <queryTableFields count="2">
      <queryTableField id="1" name="Package" tableColumnId="1"/>
      <queryTableField id="2" name="place_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07F5F85-C277-41DA-B596-AFC28F9F2F1E}" autoFormatId="16" applyNumberFormats="0" applyBorderFormats="0" applyFontFormats="0" applyPatternFormats="0" applyAlignmentFormats="0" applyWidthHeightFormats="0">
  <queryTableRefresh nextId="3">
    <queryTableFields count="2">
      <queryTableField id="1" name="Package" tableColumnId="1"/>
      <queryTableField id="2" name="place_id" tableColumnId="2"/>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4E6D9F-841A-479B-8890-8A5205BE77D4}" name="Table2" displayName="Table2" ref="A1:C301" totalsRowShown="0">
  <autoFilter ref="A1:C301" xr:uid="{B64E6D9F-841A-479B-8890-8A5205BE77D4}"/>
  <sortState xmlns:xlrd2="http://schemas.microsoft.com/office/spreadsheetml/2017/richdata2" ref="A2:C301">
    <sortCondition ref="B1:B301"/>
  </sortState>
  <tableColumns count="3">
    <tableColumn id="1" xr3:uid="{ED8DB72E-843B-49F5-B6EA-8899033167DD}" name="user_id"/>
    <tableColumn id="2" xr3:uid="{F0A33860-B9F6-4478-A7D8-B692EA293B61}" name="city_name" dataDxfId="14">
      <calculatedColumnFormula>TRIM(LEFT(Table1[[#This Row],[Location]],SEARCH(",",Table1[[#This Row],[Location]],1)-1))</calculatedColumnFormula>
    </tableColumn>
    <tableColumn id="3" xr3:uid="{7570CB75-67CA-42FC-A7AA-E01C064F9E3D}" name="province" dataDxfId="13">
      <calculatedColumnFormula>TRIM(MID(Table1[[#This Row],[Location]],SEARCH(",",Table1[[#This Row],[Location]],1)+1,LEN(Table1[[#This Row],[Location]])))</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4E44FC-D9D0-4B58-B4FC-EF646D6DBFA4}" name="Table5" displayName="Table5" ref="E1:G40" totalsRowShown="0">
  <autoFilter ref="E1:G40" xr:uid="{164E44FC-D9D0-4B58-B4FC-EF646D6DBFA4}"/>
  <sortState xmlns:xlrd2="http://schemas.microsoft.com/office/spreadsheetml/2017/richdata2" ref="E2:G40">
    <sortCondition ref="E1:E40"/>
  </sortState>
  <tableColumns count="3">
    <tableColumn id="1" xr3:uid="{8357CDD8-A636-49E1-9CA4-659F17987215}" name="city_id"/>
    <tableColumn id="2" xr3:uid="{D4D420D8-A804-451F-B19B-5E9E9F698DBD}" name="city_name"/>
    <tableColumn id="3" xr3:uid="{2B1AB385-D51E-4A76-895D-E934E89E38F8}" name="provin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44F84F3-B3F3-4BEB-800C-8C4EEEFB412A}" name="Table29" displayName="Table29" ref="I1:L301" totalsRowShown="0">
  <autoFilter ref="I1:L301" xr:uid="{144F84F3-B3F3-4BEB-800C-8C4EEEFB412A}"/>
  <sortState xmlns:xlrd2="http://schemas.microsoft.com/office/spreadsheetml/2017/richdata2" ref="I2:L301">
    <sortCondition ref="I1:I301"/>
  </sortState>
  <tableColumns count="4">
    <tableColumn id="1" xr3:uid="{48A28F4E-B479-425F-8EAB-8864AB24CFED}" name="user_id"/>
    <tableColumn id="2" xr3:uid="{74C89044-F721-490F-A696-B7C51372C230}" name="city_name1" dataDxfId="12"/>
    <tableColumn id="3" xr3:uid="{58FC873C-AF87-4C44-A32B-8BDEF2BD9679}" name="fk_city_id" dataDxfId="11">
      <calculatedColumnFormula>_xlfn.XLOOKUP(Table29[[#This Row],[city_name1]], Table5[city_name], Table5[city_id], "Not Found")</calculatedColumnFormula>
    </tableColumn>
    <tableColumn id="6" xr3:uid="{8AE2A24F-427D-4A73-880E-F17430F57E32}" name="ag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3C865CB-F801-41DB-84FD-C56E178745CC}" name="Table10" displayName="Table10" ref="N1:P7" totalsRowShown="0">
  <autoFilter ref="N1:P7" xr:uid="{73C865CB-F801-41DB-84FD-C56E178745CC}"/>
  <tableColumns count="3">
    <tableColumn id="2" xr3:uid="{BE797AC4-1A56-46E0-A482-D96D11559C19}" name="category_id"/>
    <tableColumn id="1" xr3:uid="{283F6845-CB47-445B-8864-D133E7CA07CA}" name="eng-category"/>
    <tableColumn id="3" xr3:uid="{D11DF02F-A717-4592-96CF-94E678FAAC50}" name="category"/>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855417D-7E95-42EF-AF11-81AF63F63F37}" name="Table13" displayName="Table13" ref="R1:T10001" totalsRowShown="0">
  <autoFilter ref="R1:T10001" xr:uid="{8855417D-7E95-42EF-AF11-81AF63F63F37}"/>
  <sortState xmlns:xlrd2="http://schemas.microsoft.com/office/spreadsheetml/2017/richdata2" ref="R2:T10001">
    <sortCondition ref="R1:R10001"/>
  </sortState>
  <tableColumns count="3">
    <tableColumn id="1" xr3:uid="{4EAD5AF3-9134-43ED-9705-415A8A95BEC2}" name="user_id"/>
    <tableColumn id="2" xr3:uid="{BE525937-4C6C-4D1E-B87F-F882B41755A5}" name="place_id"/>
    <tableColumn id="3" xr3:uid="{FE218807-308A-4B0C-9ADE-76A083DDC6E2}" name="rating"/>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D642772-EFB4-42A4-A57D-190135A9A569}" name="Table14_117" displayName="Table14_117" ref="V1:W406" tableType="queryTable" totalsRowShown="0">
  <autoFilter ref="V1:W406" xr:uid="{BD642772-EFB4-42A4-A57D-190135A9A569}"/>
  <tableColumns count="2">
    <tableColumn id="1" xr3:uid="{EB4C8C87-67A3-463C-A134-080F433D7D87}" uniqueName="1" name="Package" queryTableFieldId="1"/>
    <tableColumn id="2" xr3:uid="{B806E2E3-C969-495C-9356-DAD1B5E9B905}" uniqueName="2" name="place_id"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E5EADD-B338-4734-BF8C-7E284E34DAB2}" name="Table4" displayName="Table4" ref="Y1:AG437" totalsRowShown="0">
  <autoFilter ref="Y1:AG437" xr:uid="{57E5EADD-B338-4734-BF8C-7E284E34DAB2}"/>
  <tableColumns count="9">
    <tableColumn id="1" xr3:uid="{CD2D7809-010B-49E7-86A7-604AF922B25C}" name="Place_Id"/>
    <tableColumn id="2" xr3:uid="{D3DC3DD0-F794-4DFC-A247-31056ACE096C}" name="Place_Name"/>
    <tableColumn id="3" xr3:uid="{E7E83085-5D69-4B6B-AA06-1DF30DA1990D}" name="Description"/>
    <tableColumn id="4" xr3:uid="{FB37A8D8-2390-49EA-A508-7D9F3CF08336}" name="category_id"/>
    <tableColumn id="5" xr3:uid="{D6112229-BCDC-4CB9-85C0-24D096CF8504}" name="city_id"/>
    <tableColumn id="6" xr3:uid="{22CACEC8-88E0-4BDF-A38C-E9C05D609819}" name="Price"/>
    <tableColumn id="7" xr3:uid="{BB02E2FC-3BB3-49F6-90E8-11D066ABEEB1}" name="Time_Minutes"/>
    <tableColumn id="8" xr3:uid="{428BE096-6D25-40C3-8A56-60A6D3A0C470}" name="Lat"/>
    <tableColumn id="9" xr3:uid="{29F9ED24-50DC-4460-8984-2C83696C0FD2}" name="Long"/>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B866B4-024C-415F-8AEE-72099ECA36BF}" name="Table1" displayName="Table1" ref="A1:C301" totalsRowShown="0">
  <autoFilter ref="A1:C301" xr:uid="{F8B866B4-024C-415F-8AEE-72099ECA36BF}"/>
  <tableColumns count="3">
    <tableColumn id="1" xr3:uid="{691713CD-DD95-4307-9D30-5A24511F121D}" name="User_Id"/>
    <tableColumn id="2" xr3:uid="{041ABD41-28EB-45CB-9FAA-660F2E33C4A3}" name="Location"/>
    <tableColumn id="3" xr3:uid="{82EFB4D1-04E7-462F-A517-F06055986C67}" name="Age"/>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2119EC-25F8-40B6-B8D1-5B5C06ECA3FB}" name="Table6" displayName="Table6" ref="E1:G440" totalsRowShown="0">
  <autoFilter ref="E1:G440" xr:uid="{2F2119EC-25F8-40B6-B8D1-5B5C06ECA3FB}"/>
  <tableColumns count="3">
    <tableColumn id="1" xr3:uid="{289255C4-CAD8-49C2-A7D2-907601C064E7}" name="place_id" dataDxfId="10">
      <calculatedColumnFormula>Table3[[#This Row],[Place_Id]]</calculatedColumnFormula>
    </tableColumn>
    <tableColumn id="2" xr3:uid="{11667629-3C49-40F2-9D83-607C70969527}" name="latitude">
      <calculatedColumnFormula>Table3[[#This Row],[Lat]]</calculatedColumnFormula>
    </tableColumn>
    <tableColumn id="3" xr3:uid="{A14FCA80-8D59-4D52-8DE3-8E3AC7F6A5A6}" name="longitude">
      <calculatedColumnFormula>Table3[[#This Row],[Long]]</calculatedColumnFormula>
    </tableColumn>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F1FFB59-B09F-484E-9912-71D4B98067D6}" name="Table7" displayName="Table7" ref="I1:Q437" totalsRowShown="0">
  <autoFilter ref="I1:Q437" xr:uid="{3F1FFB59-B09F-484E-9912-71D4B98067D6}"/>
  <sortState xmlns:xlrd2="http://schemas.microsoft.com/office/spreadsheetml/2017/richdata2" ref="I2:Q437">
    <sortCondition ref="Q1:Q437"/>
  </sortState>
  <tableColumns count="9">
    <tableColumn id="1" xr3:uid="{56214B9A-152D-40C2-A9E9-A124B6E515BF}" name="place_id"/>
    <tableColumn id="2" xr3:uid="{3A24A901-A253-4974-8DDE-EC015FA34EF8}" name="latitude"/>
    <tableColumn id="3" xr3:uid="{6A8AE3B3-C377-427C-9A04-43F0FECF8274}" name="longitude"/>
    <tableColumn id="4" xr3:uid="{689E8F38-6144-4012-8D5B-53FA4D038FEC}" name="Place_Name"/>
    <tableColumn id="5" xr3:uid="{3B8FCCC9-642C-412F-BEC0-8EE3B8E4008B}" name="city"/>
    <tableColumn id="6" xr3:uid="{D6A26F12-3892-4249-B6D0-68E0C2E7CF95}" name="city2"/>
    <tableColumn id="7" xr3:uid="{39A93C3C-0EFF-4794-8490-3907812719CF}" name="city3" dataDxfId="9">
      <calculatedColumnFormula>IF(ISBLANK(Table7[[#This Row],[city]]),Table7[[#This Row],[city2]],Table7[[#This Row],[city]])</calculatedColumnFormula>
    </tableColumn>
    <tableColumn id="8" xr3:uid="{F34A41F5-B0BF-40F4-AA9B-E95E1E4109EA}" name="province"/>
    <tableColumn id="9" xr3:uid="{D67484F0-4027-4421-B0B0-365EF80DEA39}" name="Category"/>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FC644B-70E2-49E7-88CF-4316970CEB93}" name="Table3" displayName="Table3" ref="A1:L437" totalsRowShown="0">
  <autoFilter ref="A1:L437" xr:uid="{CDFC644B-70E2-49E7-88CF-4316970CEB93}"/>
  <sortState xmlns:xlrd2="http://schemas.microsoft.com/office/spreadsheetml/2017/richdata2" ref="A2:L437">
    <sortCondition ref="A1:A437"/>
  </sortState>
  <tableColumns count="12">
    <tableColumn id="1" xr3:uid="{4B4C5E67-170F-480F-A0A5-DE98E0D509EC}" name="Place_Id"/>
    <tableColumn id="2" xr3:uid="{05CECA66-55AB-48D8-81AC-C3FF760E2EC3}" name="Place_Name"/>
    <tableColumn id="3" xr3:uid="{2A7A2C55-F0E2-4B87-8ACE-208E7BBC487F}" name="Description"/>
    <tableColumn id="18" xr3:uid="{08236DC5-88EE-44AD-B054-15F16CF66767}" name="Column1" dataDxfId="0">
      <calculatedColumnFormula array="1">TRANSLATE(Table3[[#This Row],[Description]],"id","en")</calculatedColumnFormula>
    </tableColumn>
    <tableColumn id="4" xr3:uid="{FC2318D9-55F9-4DB8-8EC2-3933D826C27B}" name="Category"/>
    <tableColumn id="15" xr3:uid="{A7A60F24-000D-4BA8-A23C-9F3658DAE6F0}" name="category_id" dataDxfId="2">
      <calculatedColumnFormula>_xlfn.XLOOKUP(Table3[[#This Row],[Category]],Table10[category],Table10[category_id],"Not found")</calculatedColumnFormula>
    </tableColumn>
    <tableColumn id="5" xr3:uid="{53A97FCD-3BA7-4634-B016-77DEAFFF002D}" name="City" dataDxfId="3">
      <calculatedColumnFormula>_xlfn.XLOOKUP(Table3[[#This Row],[Place_Id]],Table7[place_id],Table7[city3],"Not found")</calculatedColumnFormula>
    </tableColumn>
    <tableColumn id="16" xr3:uid="{1FDE0696-9DF3-4ED3-8740-501A978C433C}" name="city_id" dataDxfId="1">
      <calculatedColumnFormula>_xlfn.XLOOKUP(Table3[[#This Row],[City]],Table5[city_name],Table5[city_id],"Not found")</calculatedColumnFormula>
    </tableColumn>
    <tableColumn id="6" xr3:uid="{637C4175-A5B0-499B-9788-DDBCA307EEC2}" name="Price"/>
    <tableColumn id="8" xr3:uid="{81335B52-DEC5-4E0B-8BE7-226600957500}" name="Time_Minutes"/>
    <tableColumn id="10" xr3:uid="{E361C79A-87C3-4AE9-9469-BB903FC4D791}" name="Lat"/>
    <tableColumn id="11" xr3:uid="{A197D301-665A-4CBB-A615-0629F0DEBA79}" name="Long"/>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94A204C-C1FB-4BA4-BCAA-33A981026BD8}" name="Table112" displayName="Table112" ref="A1:C10001" totalsRowShown="0">
  <autoFilter ref="A1:C10001" xr:uid="{094A204C-C1FB-4BA4-BCAA-33A981026BD8}"/>
  <sortState xmlns:xlrd2="http://schemas.microsoft.com/office/spreadsheetml/2017/richdata2" ref="A2:C10001">
    <sortCondition ref="B1:B10001"/>
  </sortState>
  <tableColumns count="3">
    <tableColumn id="1" xr3:uid="{4FDC09D4-9E99-4016-BF71-AF1BD768CBA2}" name="User_Id"/>
    <tableColumn id="2" xr3:uid="{D8D552BA-E9CF-46AE-8D8F-1A74B821AF2F}" name="Place_Id"/>
    <tableColumn id="3" xr3:uid="{51FA0E1A-C40B-4F94-B764-583FC3028697}" name="Place_Ratings"/>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8B44084-F833-4202-95E8-C2533048DD69}" name="Table14_1" displayName="Table14_1" ref="A1:B406" tableType="queryTable" totalsRowShown="0">
  <autoFilter ref="A1:B406" xr:uid="{58B44084-F833-4202-95E8-C2533048DD69}"/>
  <tableColumns count="2">
    <tableColumn id="1" xr3:uid="{6C7115DB-23D6-4943-9FF0-3B1AFD166BE2}" uniqueName="1" name="Package" queryTableFieldId="1"/>
    <tableColumn id="2" xr3:uid="{8801A49E-C450-4D90-8378-CC75A7F4D701}" uniqueName="2" name="place_id" queryTableFieldId="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A920D30-BACB-4D64-98F2-472805669CB7}" name="Table14" displayName="Table14" ref="A1:K101" totalsRowShown="0">
  <autoFilter ref="A1:K101" xr:uid="{1A920D30-BACB-4D64-98F2-472805669CB7}"/>
  <sortState xmlns:xlrd2="http://schemas.microsoft.com/office/spreadsheetml/2017/richdata2" ref="A2:K101">
    <sortCondition ref="A1:A101"/>
  </sortState>
  <tableColumns count="11">
    <tableColumn id="1" xr3:uid="{61BD3BD6-FED7-4E21-87FB-23A81DC3CAA5}" name="Package"/>
    <tableColumn id="2" xr3:uid="{9D22813C-011D-4D47-953E-9573D5C9C801}" name="Place_Tourism1"/>
    <tableColumn id="7" xr3:uid="{6B9443CD-136E-40E0-B436-1FB3A6866AFA}" name="place_id1" dataDxfId="8">
      <calculatedColumnFormula>_xlfn.XLOOKUP(Table14[[#This Row],[Place_Tourism1]],Table3[Place_Name],Table3[Place_Id], "Not found")</calculatedColumnFormula>
    </tableColumn>
    <tableColumn id="3" xr3:uid="{E291C164-ECAF-4185-A77F-A3129EED5B4C}" name="Place_Tourism2"/>
    <tableColumn id="8" xr3:uid="{C6F996A0-3CA9-4DCA-8A6D-D6D587B3F0D2}" name="place_id2" dataDxfId="7">
      <calculatedColumnFormula>_xlfn.XLOOKUP(Table14[[#This Row],[Place_Tourism2]],Table3[Place_Name],Table3[Place_Id], "Not found")</calculatedColumnFormula>
    </tableColumn>
    <tableColumn id="4" xr3:uid="{2148AF64-6319-4F35-A440-9459AD1F1296}" name="Place_Tourism3"/>
    <tableColumn id="9" xr3:uid="{9B1B2100-B760-4FA9-BC61-DF81187CCC7E}" name="place_id3" dataDxfId="6">
      <calculatedColumnFormula>_xlfn.XLOOKUP(Table14[[#This Row],[Place_Tourism3]],Table3[Place_Name],Table3[Place_Id], "Not found")</calculatedColumnFormula>
    </tableColumn>
    <tableColumn id="5" xr3:uid="{AA5B3EC0-3F58-4E0F-A03D-84AF0F4AE93C}" name="Place_Tourism4"/>
    <tableColumn id="10" xr3:uid="{A2A77139-5933-4019-A536-29A9088ECA41}" name="place_id4" dataDxfId="5">
      <calculatedColumnFormula>_xlfn.XLOOKUP(Table14[[#This Row],[Place_Tourism4]],Table3[Place_Name],Table3[Place_Id], "Not found")</calculatedColumnFormula>
    </tableColumn>
    <tableColumn id="6" xr3:uid="{D4A7FE2B-604F-45E8-BF56-2C7D32C9CF01}" name="Place_Tourism5"/>
    <tableColumn id="11" xr3:uid="{BAB7F1B6-6B51-425C-BFD4-B5111F622C62}" name="place_id5" dataDxfId="4">
      <calculatedColumnFormula>_xlfn.XLOOKUP(Table14[[#This Row],[Place_Tourism5]],Table3[Place_Name],Table3[Place_Id], "Not found")</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B21B-D003-4C64-A1B2-4C959C44AC3C}">
  <dimension ref="A1:AG10001"/>
  <sheetViews>
    <sheetView tabSelected="1" zoomScale="160" zoomScaleNormal="160" workbookViewId="0">
      <selection activeCell="N16" sqref="N16"/>
    </sheetView>
  </sheetViews>
  <sheetFormatPr defaultRowHeight="15" x14ac:dyDescent="0.25"/>
  <cols>
    <col min="2" max="2" width="15.140625" bestFit="1" customWidth="1"/>
    <col min="3" max="3" width="18.7109375" bestFit="1" customWidth="1"/>
    <col min="6" max="6" width="12" customWidth="1"/>
    <col min="7" max="7" width="16.5703125" bestFit="1" customWidth="1"/>
    <col min="10" max="10" width="14.5703125" hidden="1" customWidth="1"/>
    <col min="11" max="11" width="11.7109375" bestFit="1" customWidth="1"/>
    <col min="14" max="14" width="13.5703125" bestFit="1" customWidth="1"/>
    <col min="15" max="15" width="16" bestFit="1" customWidth="1"/>
    <col min="16" max="16" width="18.5703125" bestFit="1" customWidth="1"/>
    <col min="20" max="20" width="13.42578125" customWidth="1"/>
    <col min="26" max="26" width="12.28515625" customWidth="1"/>
    <col min="27" max="28" width="11.42578125" customWidth="1"/>
    <col min="31" max="31" width="13.42578125" customWidth="1"/>
  </cols>
  <sheetData>
    <row r="1" spans="1:33" x14ac:dyDescent="0.25">
      <c r="A1" t="s">
        <v>976</v>
      </c>
      <c r="B1" t="s">
        <v>1</v>
      </c>
      <c r="C1" t="s">
        <v>2</v>
      </c>
      <c r="E1" t="s">
        <v>0</v>
      </c>
      <c r="F1" t="s">
        <v>1</v>
      </c>
      <c r="G1" t="s">
        <v>2</v>
      </c>
      <c r="I1" t="s">
        <v>976</v>
      </c>
      <c r="J1" t="s">
        <v>979</v>
      </c>
      <c r="K1" t="s">
        <v>978</v>
      </c>
      <c r="L1" t="s">
        <v>977</v>
      </c>
      <c r="N1" t="s">
        <v>981</v>
      </c>
      <c r="O1" t="s">
        <v>983</v>
      </c>
      <c r="P1" t="s">
        <v>982</v>
      </c>
      <c r="R1" t="s">
        <v>976</v>
      </c>
      <c r="S1" t="s">
        <v>945</v>
      </c>
      <c r="T1" t="s">
        <v>992</v>
      </c>
      <c r="V1" t="s">
        <v>994</v>
      </c>
      <c r="W1" t="s">
        <v>945</v>
      </c>
      <c r="Y1" t="s">
        <v>34</v>
      </c>
      <c r="Z1" t="s">
        <v>35</v>
      </c>
      <c r="AA1" t="s">
        <v>36</v>
      </c>
      <c r="AB1" t="s">
        <v>981</v>
      </c>
      <c r="AC1" t="s">
        <v>0</v>
      </c>
      <c r="AD1" t="s">
        <v>39</v>
      </c>
      <c r="AE1" t="s">
        <v>40</v>
      </c>
      <c r="AF1" t="s">
        <v>41</v>
      </c>
      <c r="AG1" t="s">
        <v>42</v>
      </c>
    </row>
    <row r="2" spans="1:33" x14ac:dyDescent="0.25">
      <c r="A2">
        <v>1</v>
      </c>
      <c r="B2" t="str">
        <f>TRIM(LEFT(Table1[[#This Row],[Location]],SEARCH(",",Table1[[#This Row],[Location]],1)-1))</f>
        <v>Semarang</v>
      </c>
      <c r="C2" t="str">
        <f>TRIM(MID(Table1[[#This Row],[Location]],SEARCH(",",Table1[[#This Row],[Location]],1)+1,LEN(Table1[[#This Row],[Location]])))</f>
        <v>Jawa Tengah</v>
      </c>
      <c r="E2">
        <v>1</v>
      </c>
      <c r="F2" t="s">
        <v>939</v>
      </c>
      <c r="G2" t="s">
        <v>938</v>
      </c>
      <c r="I2">
        <v>1</v>
      </c>
      <c r="J2" t="s">
        <v>719</v>
      </c>
      <c r="K2">
        <f>_xlfn.XLOOKUP(Table29[[#This Row],[city_name1]], Table5[city_name], Table5[city_id], "Not Found")</f>
        <v>5</v>
      </c>
      <c r="L2">
        <v>20</v>
      </c>
      <c r="N2">
        <v>1</v>
      </c>
      <c r="O2" t="s">
        <v>984</v>
      </c>
      <c r="P2" t="s">
        <v>65</v>
      </c>
      <c r="R2">
        <v>1</v>
      </c>
      <c r="S2">
        <v>5</v>
      </c>
      <c r="T2">
        <v>5</v>
      </c>
      <c r="V2">
        <v>1</v>
      </c>
      <c r="W2">
        <v>25</v>
      </c>
      <c r="Y2">
        <v>1</v>
      </c>
      <c r="Z2" t="s">
        <v>43</v>
      </c>
      <c r="AA2" t="s">
        <v>44</v>
      </c>
      <c r="AB2">
        <v>2</v>
      </c>
      <c r="AC2">
        <v>9</v>
      </c>
      <c r="AD2">
        <v>20000</v>
      </c>
      <c r="AE2">
        <v>15</v>
      </c>
      <c r="AF2">
        <v>-6.1753923999999998</v>
      </c>
      <c r="AG2">
        <v>106.82715279999999</v>
      </c>
    </row>
    <row r="3" spans="1:33" x14ac:dyDescent="0.25">
      <c r="A3">
        <v>2</v>
      </c>
      <c r="B3" t="str">
        <f>TRIM(LEFT(Table1[[#This Row],[Location]],SEARCH(",",Table1[[#This Row],[Location]],1)-1))</f>
        <v>Bekasi</v>
      </c>
      <c r="C3" t="str">
        <f>TRIM(MID(Table1[[#This Row],[Location]],SEARCH(",",Table1[[#This Row],[Location]],1)+1,LEN(Table1[[#This Row],[Location]])))</f>
        <v>Jawa Barat</v>
      </c>
      <c r="E3">
        <v>2</v>
      </c>
      <c r="F3" t="s">
        <v>937</v>
      </c>
      <c r="G3" t="s">
        <v>938</v>
      </c>
      <c r="I3">
        <v>2</v>
      </c>
      <c r="J3" t="s">
        <v>925</v>
      </c>
      <c r="K3">
        <f>_xlfn.XLOOKUP(Table29[[#This Row],[city_name1]], Table5[city_name], Table5[city_id], "Not Found")</f>
        <v>24</v>
      </c>
      <c r="L3">
        <v>21</v>
      </c>
      <c r="N3">
        <v>2</v>
      </c>
      <c r="O3" t="s">
        <v>985</v>
      </c>
      <c r="P3" t="s">
        <v>45</v>
      </c>
      <c r="R3">
        <v>1</v>
      </c>
      <c r="S3">
        <v>15</v>
      </c>
      <c r="T3">
        <v>3</v>
      </c>
      <c r="V3">
        <v>1</v>
      </c>
      <c r="W3">
        <v>58</v>
      </c>
      <c r="Y3">
        <v>2</v>
      </c>
      <c r="Z3" t="s">
        <v>47</v>
      </c>
      <c r="AA3" t="s">
        <v>48</v>
      </c>
      <c r="AB3">
        <v>2</v>
      </c>
      <c r="AC3">
        <v>14</v>
      </c>
      <c r="AD3">
        <v>0</v>
      </c>
      <c r="AE3">
        <v>90</v>
      </c>
      <c r="AF3">
        <v>-6.1376448000000003</v>
      </c>
      <c r="AG3">
        <v>106.81712450000001</v>
      </c>
    </row>
    <row r="4" spans="1:33" x14ac:dyDescent="0.25">
      <c r="A4">
        <v>3</v>
      </c>
      <c r="B4" t="str">
        <f>TRIM(LEFT(Table1[[#This Row],[Location]],SEARCH(",",Table1[[#This Row],[Location]],1)-1))</f>
        <v>Cirebon</v>
      </c>
      <c r="C4" t="str">
        <f>TRIM(MID(Table1[[#This Row],[Location]],SEARCH(",",Table1[[#This Row],[Location]],1)+1,LEN(Table1[[#This Row],[Location]])))</f>
        <v>Jawa Barat</v>
      </c>
      <c r="E4">
        <v>3</v>
      </c>
      <c r="F4" t="s">
        <v>940</v>
      </c>
      <c r="G4" t="s">
        <v>968</v>
      </c>
      <c r="I4">
        <v>3</v>
      </c>
      <c r="J4" t="s">
        <v>926</v>
      </c>
      <c r="K4">
        <f>_xlfn.XLOOKUP(Table29[[#This Row],[city_name1]], Table5[city_name], Table5[city_id], "Not Found")</f>
        <v>26</v>
      </c>
      <c r="L4">
        <v>23</v>
      </c>
      <c r="N4">
        <v>3</v>
      </c>
      <c r="O4" t="s">
        <v>989</v>
      </c>
      <c r="P4" t="s">
        <v>60</v>
      </c>
      <c r="R4">
        <v>1</v>
      </c>
      <c r="S4">
        <v>20</v>
      </c>
      <c r="T4">
        <v>4</v>
      </c>
      <c r="V4">
        <v>1</v>
      </c>
      <c r="W4">
        <v>60</v>
      </c>
      <c r="Y4">
        <v>3</v>
      </c>
      <c r="Z4" t="s">
        <v>49</v>
      </c>
      <c r="AA4" t="s">
        <v>50</v>
      </c>
      <c r="AB4">
        <v>5</v>
      </c>
      <c r="AC4">
        <v>11</v>
      </c>
      <c r="AD4">
        <v>270000</v>
      </c>
      <c r="AE4">
        <v>360</v>
      </c>
      <c r="AF4">
        <v>-6.1253124000000003</v>
      </c>
      <c r="AG4">
        <v>106.83353769999999</v>
      </c>
    </row>
    <row r="5" spans="1:33" x14ac:dyDescent="0.25">
      <c r="A5">
        <v>4</v>
      </c>
      <c r="B5" t="str">
        <f>TRIM(LEFT(Table1[[#This Row],[Location]],SEARCH(",",Table1[[#This Row],[Location]],1)-1))</f>
        <v>Bekasi</v>
      </c>
      <c r="C5" t="str">
        <f>TRIM(MID(Table1[[#This Row],[Location]],SEARCH(",",Table1[[#This Row],[Location]],1)+1,LEN(Table1[[#This Row],[Location]])))</f>
        <v>Jawa Barat</v>
      </c>
      <c r="E5">
        <v>4</v>
      </c>
      <c r="F5" t="s">
        <v>935</v>
      </c>
      <c r="G5" t="s">
        <v>968</v>
      </c>
      <c r="I5">
        <v>4</v>
      </c>
      <c r="J5" t="s">
        <v>925</v>
      </c>
      <c r="K5">
        <f>_xlfn.XLOOKUP(Table29[[#This Row],[city_name1]], Table5[city_name], Table5[city_id], "Not Found")</f>
        <v>24</v>
      </c>
      <c r="L5">
        <v>21</v>
      </c>
      <c r="N5">
        <v>4</v>
      </c>
      <c r="O5" t="s">
        <v>986</v>
      </c>
      <c r="P5" t="s">
        <v>78</v>
      </c>
      <c r="R5">
        <v>1</v>
      </c>
      <c r="S5">
        <v>21</v>
      </c>
      <c r="T5">
        <v>2</v>
      </c>
      <c r="V5">
        <v>2</v>
      </c>
      <c r="W5">
        <v>25</v>
      </c>
      <c r="Y5">
        <v>4</v>
      </c>
      <c r="Z5" t="s">
        <v>52</v>
      </c>
      <c r="AA5" t="s">
        <v>53</v>
      </c>
      <c r="AB5">
        <v>5</v>
      </c>
      <c r="AC5">
        <v>10</v>
      </c>
      <c r="AD5">
        <v>10000</v>
      </c>
      <c r="AF5">
        <v>-6.3024459000000004</v>
      </c>
      <c r="AG5">
        <v>106.89515590000001</v>
      </c>
    </row>
    <row r="6" spans="1:33" x14ac:dyDescent="0.25">
      <c r="A6">
        <v>5</v>
      </c>
      <c r="B6" t="str">
        <f>TRIM(LEFT(Table1[[#This Row],[Location]],SEARCH(",",Table1[[#This Row],[Location]],1)-1))</f>
        <v>Lampung</v>
      </c>
      <c r="C6" t="str">
        <f>TRIM(MID(Table1[[#This Row],[Location]],SEARCH(",",Table1[[#This Row],[Location]],1)+1,LEN(Table1[[#This Row],[Location]])))</f>
        <v>Sumatera Selatan</v>
      </c>
      <c r="E6">
        <v>5</v>
      </c>
      <c r="F6" t="s">
        <v>719</v>
      </c>
      <c r="G6" t="s">
        <v>968</v>
      </c>
      <c r="I6">
        <v>5</v>
      </c>
      <c r="J6" t="s">
        <v>927</v>
      </c>
      <c r="K6">
        <f>_xlfn.XLOOKUP(Table29[[#This Row],[city_name1]], Table5[city_name], Table5[city_id], "Not Found")</f>
        <v>20</v>
      </c>
      <c r="L6">
        <v>20</v>
      </c>
      <c r="N6">
        <v>5</v>
      </c>
      <c r="O6" t="s">
        <v>987</v>
      </c>
      <c r="P6" t="s">
        <v>51</v>
      </c>
      <c r="R6">
        <v>1</v>
      </c>
      <c r="S6">
        <v>41</v>
      </c>
      <c r="T6">
        <v>5</v>
      </c>
      <c r="V6">
        <v>2</v>
      </c>
      <c r="W6">
        <v>34</v>
      </c>
      <c r="Y6">
        <v>5</v>
      </c>
      <c r="Z6" t="s">
        <v>54</v>
      </c>
      <c r="AA6" t="s">
        <v>55</v>
      </c>
      <c r="AB6">
        <v>5</v>
      </c>
      <c r="AC6">
        <v>11</v>
      </c>
      <c r="AD6">
        <v>94000</v>
      </c>
      <c r="AE6">
        <v>60</v>
      </c>
      <c r="AF6">
        <v>-6.1241899999999996</v>
      </c>
      <c r="AG6">
        <v>106.839134</v>
      </c>
    </row>
    <row r="7" spans="1:33" x14ac:dyDescent="0.25">
      <c r="A7">
        <v>6</v>
      </c>
      <c r="B7" t="str">
        <f>TRIM(LEFT(Table1[[#This Row],[Location]],SEARCH(",",Table1[[#This Row],[Location]],1)-1))</f>
        <v>Jakarta Utara</v>
      </c>
      <c r="C7" t="str">
        <f>TRIM(MID(Table1[[#This Row],[Location]],SEARCH(",",Table1[[#This Row],[Location]],1)+1,LEN(Table1[[#This Row],[Location]])))</f>
        <v>DKI Jakarta</v>
      </c>
      <c r="E7">
        <v>6</v>
      </c>
      <c r="F7" t="s">
        <v>971</v>
      </c>
      <c r="G7" t="s">
        <v>968</v>
      </c>
      <c r="I7">
        <v>6</v>
      </c>
      <c r="J7" t="s">
        <v>951</v>
      </c>
      <c r="K7">
        <f>_xlfn.XLOOKUP(Table29[[#This Row],[city_name1]], Table5[city_name], Table5[city_id], "Not Found")</f>
        <v>11</v>
      </c>
      <c r="L7">
        <v>18</v>
      </c>
      <c r="N7">
        <v>6</v>
      </c>
      <c r="O7" t="s">
        <v>988</v>
      </c>
      <c r="P7" t="s">
        <v>93</v>
      </c>
      <c r="R7">
        <v>1</v>
      </c>
      <c r="S7">
        <v>48</v>
      </c>
      <c r="T7">
        <v>2</v>
      </c>
      <c r="V7">
        <v>2</v>
      </c>
      <c r="W7">
        <v>68</v>
      </c>
      <c r="Y7">
        <v>6</v>
      </c>
      <c r="Z7" t="s">
        <v>56</v>
      </c>
      <c r="AA7" t="s">
        <v>57</v>
      </c>
      <c r="AB7">
        <v>5</v>
      </c>
      <c r="AC7">
        <v>11</v>
      </c>
      <c r="AD7">
        <v>25000</v>
      </c>
      <c r="AE7">
        <v>10</v>
      </c>
      <c r="AF7">
        <v>-6.1173332</v>
      </c>
      <c r="AG7">
        <v>106.8579951</v>
      </c>
    </row>
    <row r="8" spans="1:33" x14ac:dyDescent="0.25">
      <c r="A8">
        <v>7</v>
      </c>
      <c r="B8" t="str">
        <f>TRIM(LEFT(Table1[[#This Row],[Location]],SEARCH(",",Table1[[#This Row],[Location]],1)-1))</f>
        <v>Jakarta Selatan</v>
      </c>
      <c r="C8" t="str">
        <f>TRIM(MID(Table1[[#This Row],[Location]],SEARCH(",",Table1[[#This Row],[Location]],1)+1,LEN(Table1[[#This Row],[Location]])))</f>
        <v>DKI Jakarta</v>
      </c>
      <c r="E8">
        <v>7</v>
      </c>
      <c r="F8" t="s">
        <v>936</v>
      </c>
      <c r="G8" t="s">
        <v>968</v>
      </c>
      <c r="I8">
        <v>7</v>
      </c>
      <c r="J8" t="s">
        <v>953</v>
      </c>
      <c r="K8">
        <f>_xlfn.XLOOKUP(Table29[[#This Row],[city_name1]], Table5[city_name], Table5[city_id], "Not Found")</f>
        <v>12</v>
      </c>
      <c r="L8">
        <v>39</v>
      </c>
      <c r="R8">
        <v>1</v>
      </c>
      <c r="S8">
        <v>67</v>
      </c>
      <c r="T8">
        <v>4</v>
      </c>
      <c r="V8">
        <v>3</v>
      </c>
      <c r="W8">
        <v>70</v>
      </c>
      <c r="Y8">
        <v>7</v>
      </c>
      <c r="Z8" t="s">
        <v>58</v>
      </c>
      <c r="AA8" t="s">
        <v>59</v>
      </c>
      <c r="AB8">
        <v>3</v>
      </c>
      <c r="AC8">
        <v>12</v>
      </c>
      <c r="AD8">
        <v>4000</v>
      </c>
      <c r="AF8">
        <v>-6.3124593000000004</v>
      </c>
      <c r="AG8">
        <v>106.82018650000001</v>
      </c>
    </row>
    <row r="9" spans="1:33" x14ac:dyDescent="0.25">
      <c r="A9">
        <v>8</v>
      </c>
      <c r="B9" t="str">
        <f>TRIM(LEFT(Table1[[#This Row],[Location]],SEARCH(",",Table1[[#This Row],[Location]],1)-1))</f>
        <v>Bandung</v>
      </c>
      <c r="C9" t="str">
        <f>TRIM(MID(Table1[[#This Row],[Location]],SEARCH(",",Table1[[#This Row],[Location]],1)+1,LEN(Table1[[#This Row],[Location]])))</f>
        <v>Jawa Barat</v>
      </c>
      <c r="E9">
        <v>8</v>
      </c>
      <c r="F9" t="s">
        <v>933</v>
      </c>
      <c r="G9" t="s">
        <v>968</v>
      </c>
      <c r="I9">
        <v>8</v>
      </c>
      <c r="J9" t="s">
        <v>472</v>
      </c>
      <c r="K9">
        <f>_xlfn.XLOOKUP(Table29[[#This Row],[city_name1]], Table5[city_name], Table5[city_id], "Not Found")</f>
        <v>22</v>
      </c>
      <c r="L9">
        <v>40</v>
      </c>
      <c r="N9" t="s">
        <v>990</v>
      </c>
      <c r="R9">
        <v>1</v>
      </c>
      <c r="S9">
        <v>76</v>
      </c>
      <c r="T9">
        <v>2</v>
      </c>
      <c r="V9">
        <v>3</v>
      </c>
      <c r="W9">
        <v>1</v>
      </c>
      <c r="Y9">
        <v>8</v>
      </c>
      <c r="Z9" t="s">
        <v>61</v>
      </c>
      <c r="AA9" t="s">
        <v>62</v>
      </c>
      <c r="AB9">
        <v>5</v>
      </c>
      <c r="AC9">
        <v>11</v>
      </c>
      <c r="AD9">
        <v>180000</v>
      </c>
      <c r="AF9">
        <v>-6.1258017000000002</v>
      </c>
      <c r="AG9">
        <v>106.83632489999999</v>
      </c>
    </row>
    <row r="10" spans="1:33" x14ac:dyDescent="0.25">
      <c r="A10">
        <v>9</v>
      </c>
      <c r="B10" t="str">
        <f>TRIM(LEFT(Table1[[#This Row],[Location]],SEARCH(",",Table1[[#This Row],[Location]],1)-1))</f>
        <v>Surabaya</v>
      </c>
      <c r="C10" t="str">
        <f>TRIM(MID(Table1[[#This Row],[Location]],SEARCH(",",Table1[[#This Row],[Location]],1)+1,LEN(Table1[[#This Row],[Location]])))</f>
        <v>Jawa Timur</v>
      </c>
      <c r="E10">
        <v>9</v>
      </c>
      <c r="F10" t="s">
        <v>949</v>
      </c>
      <c r="G10" t="s">
        <v>928</v>
      </c>
      <c r="I10">
        <v>9</v>
      </c>
      <c r="J10" t="s">
        <v>834</v>
      </c>
      <c r="K10">
        <f>_xlfn.XLOOKUP(Table29[[#This Row],[city_name1]], Table5[city_name], Table5[city_id], "Not Found")</f>
        <v>19</v>
      </c>
      <c r="L10">
        <v>38</v>
      </c>
      <c r="R10">
        <v>1</v>
      </c>
      <c r="S10">
        <v>89</v>
      </c>
      <c r="T10">
        <v>3</v>
      </c>
      <c r="V10">
        <v>3</v>
      </c>
      <c r="W10">
        <v>22</v>
      </c>
      <c r="Y10">
        <v>9</v>
      </c>
      <c r="Z10" t="s">
        <v>63</v>
      </c>
      <c r="AA10" t="s">
        <v>64</v>
      </c>
      <c r="AB10">
        <v>1</v>
      </c>
      <c r="AC10">
        <v>11</v>
      </c>
      <c r="AD10">
        <v>175000</v>
      </c>
      <c r="AF10">
        <v>1.0788800000000001</v>
      </c>
      <c r="AG10">
        <v>103.931398</v>
      </c>
    </row>
    <row r="11" spans="1:33" x14ac:dyDescent="0.25">
      <c r="A11">
        <v>10</v>
      </c>
      <c r="B11" t="str">
        <f>TRIM(LEFT(Table1[[#This Row],[Location]],SEARCH(",",Table1[[#This Row],[Location]],1)-1))</f>
        <v>Bekasi</v>
      </c>
      <c r="C11" t="str">
        <f>TRIM(MID(Table1[[#This Row],[Location]],SEARCH(",",Table1[[#This Row],[Location]],1)+1,LEN(Table1[[#This Row],[Location]])))</f>
        <v>Jawa Barat</v>
      </c>
      <c r="E11">
        <v>10</v>
      </c>
      <c r="F11" t="s">
        <v>952</v>
      </c>
      <c r="G11" t="s">
        <v>928</v>
      </c>
      <c r="I11">
        <v>10</v>
      </c>
      <c r="J11" t="s">
        <v>925</v>
      </c>
      <c r="K11">
        <f>_xlfn.XLOOKUP(Table29[[#This Row],[city_name1]], Table5[city_name], Table5[city_id], "Not Found")</f>
        <v>24</v>
      </c>
      <c r="L11">
        <v>39</v>
      </c>
      <c r="N11" t="s">
        <v>993</v>
      </c>
      <c r="R11">
        <v>1</v>
      </c>
      <c r="S11">
        <v>101</v>
      </c>
      <c r="T11">
        <v>4</v>
      </c>
      <c r="V11">
        <v>4</v>
      </c>
      <c r="W11">
        <v>10</v>
      </c>
      <c r="Y11">
        <v>10</v>
      </c>
      <c r="Z11" t="s">
        <v>66</v>
      </c>
      <c r="AA11" t="s">
        <v>67</v>
      </c>
      <c r="AB11">
        <v>1</v>
      </c>
      <c r="AC11">
        <v>13</v>
      </c>
      <c r="AD11">
        <v>150000</v>
      </c>
      <c r="AF11">
        <v>-5.8032053000000001</v>
      </c>
      <c r="AG11">
        <v>106.52379070000001</v>
      </c>
    </row>
    <row r="12" spans="1:33" x14ac:dyDescent="0.25">
      <c r="A12">
        <v>11</v>
      </c>
      <c r="B12" t="str">
        <f>TRIM(LEFT(Table1[[#This Row],[Location]],SEARCH(",",Table1[[#This Row],[Location]],1)-1))</f>
        <v>Yogyakarta</v>
      </c>
      <c r="C12" t="str">
        <f>TRIM(MID(Table1[[#This Row],[Location]],SEARCH(",",Table1[[#This Row],[Location]],1)+1,LEN(Table1[[#This Row],[Location]])))</f>
        <v>DIY</v>
      </c>
      <c r="E12">
        <v>11</v>
      </c>
      <c r="F12" t="s">
        <v>951</v>
      </c>
      <c r="G12" t="s">
        <v>928</v>
      </c>
      <c r="I12">
        <v>11</v>
      </c>
      <c r="J12" t="s">
        <v>220</v>
      </c>
      <c r="K12">
        <f>_xlfn.XLOOKUP(Table29[[#This Row],[city_name1]], Table5[city_name], Table5[city_id], "Not Found")</f>
        <v>39</v>
      </c>
      <c r="L12">
        <v>20</v>
      </c>
      <c r="R12">
        <v>1</v>
      </c>
      <c r="S12">
        <v>103</v>
      </c>
      <c r="T12">
        <v>3</v>
      </c>
      <c r="V12">
        <v>4</v>
      </c>
      <c r="W12">
        <v>11</v>
      </c>
      <c r="Y12">
        <v>11</v>
      </c>
      <c r="Z12" t="s">
        <v>68</v>
      </c>
      <c r="AA12" t="s">
        <v>69</v>
      </c>
      <c r="AB12">
        <v>1</v>
      </c>
      <c r="AC12">
        <v>13</v>
      </c>
      <c r="AD12">
        <v>5000</v>
      </c>
      <c r="AF12">
        <v>-6.0358330000000002</v>
      </c>
      <c r="AG12">
        <v>106.746944</v>
      </c>
    </row>
    <row r="13" spans="1:33" x14ac:dyDescent="0.25">
      <c r="A13">
        <v>12</v>
      </c>
      <c r="B13" t="str">
        <f>TRIM(LEFT(Table1[[#This Row],[Location]],SEARCH(",",Table1[[#This Row],[Location]],1)-1))</f>
        <v>Bogor</v>
      </c>
      <c r="C13" t="str">
        <f>TRIM(MID(Table1[[#This Row],[Location]],SEARCH(",",Table1[[#This Row],[Location]],1)+1,LEN(Table1[[#This Row],[Location]])))</f>
        <v>Jawa Barat</v>
      </c>
      <c r="E13">
        <v>12</v>
      </c>
      <c r="F13" t="s">
        <v>953</v>
      </c>
      <c r="G13" t="s">
        <v>928</v>
      </c>
      <c r="I13">
        <v>12</v>
      </c>
      <c r="J13" t="s">
        <v>929</v>
      </c>
      <c r="K13">
        <f>_xlfn.XLOOKUP(Table29[[#This Row],[city_name1]], Table5[city_name], Table5[city_id], "Not Found")</f>
        <v>25</v>
      </c>
      <c r="L13">
        <v>37</v>
      </c>
      <c r="N13" t="s">
        <v>1006</v>
      </c>
      <c r="R13">
        <v>1</v>
      </c>
      <c r="S13">
        <v>154</v>
      </c>
      <c r="T13">
        <v>2</v>
      </c>
      <c r="V13">
        <v>4</v>
      </c>
      <c r="W13">
        <v>12</v>
      </c>
      <c r="Y13">
        <v>12</v>
      </c>
      <c r="Z13" t="s">
        <v>70</v>
      </c>
      <c r="AA13" t="s">
        <v>71</v>
      </c>
      <c r="AB13">
        <v>1</v>
      </c>
      <c r="AC13">
        <v>13</v>
      </c>
      <c r="AD13">
        <v>150000</v>
      </c>
      <c r="AF13">
        <v>-5.9074327999999996</v>
      </c>
      <c r="AG13">
        <v>106.58639890000001</v>
      </c>
    </row>
    <row r="14" spans="1:33" x14ac:dyDescent="0.25">
      <c r="A14">
        <v>13</v>
      </c>
      <c r="B14" t="str">
        <f>TRIM(LEFT(Table1[[#This Row],[Location]],SEARCH(",",Table1[[#This Row],[Location]],1)-1))</f>
        <v>Depok</v>
      </c>
      <c r="C14" t="str">
        <f>TRIM(MID(Table1[[#This Row],[Location]],SEARCH(",",Table1[[#This Row],[Location]],1)+1,LEN(Table1[[#This Row],[Location]])))</f>
        <v>Jawa Barat</v>
      </c>
      <c r="E14">
        <v>13</v>
      </c>
      <c r="F14" t="s">
        <v>959</v>
      </c>
      <c r="G14" t="s">
        <v>928</v>
      </c>
      <c r="I14">
        <v>13</v>
      </c>
      <c r="J14" t="s">
        <v>930</v>
      </c>
      <c r="K14">
        <f>_xlfn.XLOOKUP(Table29[[#This Row],[city_name1]], Table5[city_name], Table5[city_id], "Not Found")</f>
        <v>27</v>
      </c>
      <c r="L14">
        <v>18</v>
      </c>
      <c r="R14">
        <v>1</v>
      </c>
      <c r="S14">
        <v>179</v>
      </c>
      <c r="T14">
        <v>3</v>
      </c>
      <c r="V14">
        <v>4</v>
      </c>
      <c r="W14">
        <v>13</v>
      </c>
      <c r="Y14">
        <v>13</v>
      </c>
      <c r="Z14" t="s">
        <v>72</v>
      </c>
      <c r="AA14" t="s">
        <v>73</v>
      </c>
      <c r="AB14">
        <v>1</v>
      </c>
      <c r="AC14">
        <v>13</v>
      </c>
      <c r="AD14">
        <v>5000</v>
      </c>
      <c r="AF14">
        <v>-5.7459619999999996</v>
      </c>
      <c r="AG14">
        <v>106.6136577</v>
      </c>
    </row>
    <row r="15" spans="1:33" x14ac:dyDescent="0.25">
      <c r="A15">
        <v>14</v>
      </c>
      <c r="B15" t="str">
        <f>TRIM(LEFT(Table1[[#This Row],[Location]],SEARCH(",",Table1[[#This Row],[Location]],1)-1))</f>
        <v>Jakarta Pusat</v>
      </c>
      <c r="C15" t="str">
        <f>TRIM(MID(Table1[[#This Row],[Location]],SEARCH(",",Table1[[#This Row],[Location]],1)+1,LEN(Table1[[#This Row],[Location]])))</f>
        <v>DKI Jakarta</v>
      </c>
      <c r="E15">
        <v>14</v>
      </c>
      <c r="F15" t="s">
        <v>950</v>
      </c>
      <c r="G15" t="s">
        <v>928</v>
      </c>
      <c r="I15">
        <v>14</v>
      </c>
      <c r="J15" t="s">
        <v>949</v>
      </c>
      <c r="K15">
        <f>_xlfn.XLOOKUP(Table29[[#This Row],[city_name1]], Table5[city_name], Table5[city_id], "Not Found")</f>
        <v>9</v>
      </c>
      <c r="L15">
        <v>26</v>
      </c>
      <c r="N15" t="s">
        <v>1008</v>
      </c>
      <c r="R15">
        <v>1</v>
      </c>
      <c r="S15">
        <v>208</v>
      </c>
      <c r="T15">
        <v>5</v>
      </c>
      <c r="V15">
        <v>4</v>
      </c>
      <c r="W15">
        <v>14</v>
      </c>
      <c r="Y15">
        <v>14</v>
      </c>
      <c r="Z15" t="s">
        <v>74</v>
      </c>
      <c r="AA15" t="s">
        <v>75</v>
      </c>
      <c r="AB15">
        <v>1</v>
      </c>
      <c r="AC15">
        <v>13</v>
      </c>
      <c r="AD15">
        <v>900000</v>
      </c>
      <c r="AF15">
        <v>-5.5870550000000003</v>
      </c>
      <c r="AG15">
        <v>106.5885</v>
      </c>
    </row>
    <row r="16" spans="1:33" x14ac:dyDescent="0.25">
      <c r="A16">
        <v>15</v>
      </c>
      <c r="B16" t="str">
        <f>TRIM(LEFT(Table1[[#This Row],[Location]],SEARCH(",",Table1[[#This Row],[Location]],1)-1))</f>
        <v>Jakarta Timur</v>
      </c>
      <c r="C16" t="str">
        <f>TRIM(MID(Table1[[#This Row],[Location]],SEARCH(",",Table1[[#This Row],[Location]],1)+1,LEN(Table1[[#This Row],[Location]])))</f>
        <v>DKI Jakarta</v>
      </c>
      <c r="E16">
        <v>15</v>
      </c>
      <c r="F16" t="s">
        <v>944</v>
      </c>
      <c r="G16" t="s">
        <v>974</v>
      </c>
      <c r="I16">
        <v>15</v>
      </c>
      <c r="J16" t="s">
        <v>952</v>
      </c>
      <c r="K16">
        <f>_xlfn.XLOOKUP(Table29[[#This Row],[city_name1]], Table5[city_name], Table5[city_id], "Not Found")</f>
        <v>10</v>
      </c>
      <c r="L16">
        <v>34</v>
      </c>
      <c r="R16">
        <v>1</v>
      </c>
      <c r="S16">
        <v>215</v>
      </c>
      <c r="T16">
        <v>2</v>
      </c>
      <c r="V16">
        <v>5</v>
      </c>
      <c r="W16">
        <v>82</v>
      </c>
      <c r="Y16">
        <v>15</v>
      </c>
      <c r="Z16" t="s">
        <v>76</v>
      </c>
      <c r="AA16" t="s">
        <v>77</v>
      </c>
      <c r="AB16">
        <v>4</v>
      </c>
      <c r="AC16">
        <v>9</v>
      </c>
      <c r="AD16">
        <v>0</v>
      </c>
      <c r="AE16">
        <v>90</v>
      </c>
      <c r="AF16">
        <v>-6.1766867999999997</v>
      </c>
      <c r="AG16">
        <v>106.8417666</v>
      </c>
    </row>
    <row r="17" spans="1:33" x14ac:dyDescent="0.25">
      <c r="A17">
        <v>16</v>
      </c>
      <c r="B17" t="str">
        <f>TRIM(LEFT(Table1[[#This Row],[Location]],SEARCH(",",Table1[[#This Row],[Location]],1)-1))</f>
        <v>Bekasi</v>
      </c>
      <c r="C17" t="str">
        <f>TRIM(MID(Table1[[#This Row],[Location]],SEARCH(",",Table1[[#This Row],[Location]],1)+1,LEN(Table1[[#This Row],[Location]])))</f>
        <v>Jawa Barat</v>
      </c>
      <c r="E17">
        <v>16</v>
      </c>
      <c r="F17" t="s">
        <v>943</v>
      </c>
      <c r="G17" t="s">
        <v>974</v>
      </c>
      <c r="I17">
        <v>16</v>
      </c>
      <c r="J17" t="s">
        <v>925</v>
      </c>
      <c r="K17">
        <f>_xlfn.XLOOKUP(Table29[[#This Row],[city_name1]], Table5[city_name], Table5[city_id], "Not Found")</f>
        <v>24</v>
      </c>
      <c r="L17">
        <v>40</v>
      </c>
      <c r="R17">
        <v>1</v>
      </c>
      <c r="S17">
        <v>222</v>
      </c>
      <c r="T17">
        <v>3</v>
      </c>
      <c r="V17">
        <v>5</v>
      </c>
      <c r="W17">
        <v>21</v>
      </c>
      <c r="Y17">
        <v>16</v>
      </c>
      <c r="Z17" t="s">
        <v>79</v>
      </c>
      <c r="AA17" t="s">
        <v>80</v>
      </c>
      <c r="AB17">
        <v>2</v>
      </c>
      <c r="AC17">
        <v>14</v>
      </c>
      <c r="AD17">
        <v>0</v>
      </c>
      <c r="AF17">
        <v>-6.1314571999999998</v>
      </c>
      <c r="AG17">
        <v>106.8106169</v>
      </c>
    </row>
    <row r="18" spans="1:33" x14ac:dyDescent="0.25">
      <c r="A18">
        <v>17</v>
      </c>
      <c r="B18" t="str">
        <f>TRIM(LEFT(Table1[[#This Row],[Location]],SEARCH(",",Table1[[#This Row],[Location]],1)-1))</f>
        <v>Semarang</v>
      </c>
      <c r="C18" t="str">
        <f>TRIM(MID(Table1[[#This Row],[Location]],SEARCH(",",Table1[[#This Row],[Location]],1)+1,LEN(Table1[[#This Row],[Location]])))</f>
        <v>Jawa Tengah</v>
      </c>
      <c r="E18">
        <v>17</v>
      </c>
      <c r="F18" t="s">
        <v>934</v>
      </c>
      <c r="G18" t="s">
        <v>974</v>
      </c>
      <c r="I18">
        <v>17</v>
      </c>
      <c r="J18" t="s">
        <v>719</v>
      </c>
      <c r="K18">
        <f>_xlfn.XLOOKUP(Table29[[#This Row],[city_name1]], Table5[city_name], Table5[city_id], "Not Found")</f>
        <v>5</v>
      </c>
      <c r="L18">
        <v>31</v>
      </c>
      <c r="R18">
        <v>1</v>
      </c>
      <c r="S18">
        <v>246</v>
      </c>
      <c r="T18">
        <v>4</v>
      </c>
      <c r="V18">
        <v>5</v>
      </c>
      <c r="W18">
        <v>41</v>
      </c>
      <c r="Y18">
        <v>17</v>
      </c>
      <c r="Z18" t="s">
        <v>81</v>
      </c>
      <c r="AA18" t="s">
        <v>82</v>
      </c>
      <c r="AB18">
        <v>2</v>
      </c>
      <c r="AC18">
        <v>14</v>
      </c>
      <c r="AD18">
        <v>5000</v>
      </c>
      <c r="AF18">
        <v>-6.1364489000000004</v>
      </c>
      <c r="AG18">
        <v>106.8130661</v>
      </c>
    </row>
    <row r="19" spans="1:33" x14ac:dyDescent="0.25">
      <c r="A19">
        <v>18</v>
      </c>
      <c r="B19" t="str">
        <f>TRIM(LEFT(Table1[[#This Row],[Location]],SEARCH(",",Table1[[#This Row],[Location]],1)-1))</f>
        <v>Yogyakarta</v>
      </c>
      <c r="C19" t="str">
        <f>TRIM(MID(Table1[[#This Row],[Location]],SEARCH(",",Table1[[#This Row],[Location]],1)+1,LEN(Table1[[#This Row],[Location]])))</f>
        <v>DIY</v>
      </c>
      <c r="E19">
        <v>18</v>
      </c>
      <c r="F19" t="s">
        <v>962</v>
      </c>
      <c r="G19" t="s">
        <v>974</v>
      </c>
      <c r="I19">
        <v>18</v>
      </c>
      <c r="J19" t="s">
        <v>220</v>
      </c>
      <c r="K19">
        <f>_xlfn.XLOOKUP(Table29[[#This Row],[city_name1]], Table5[city_name], Table5[city_id], "Not Found")</f>
        <v>39</v>
      </c>
      <c r="L19">
        <v>39</v>
      </c>
      <c r="R19">
        <v>1</v>
      </c>
      <c r="S19">
        <v>258</v>
      </c>
      <c r="T19">
        <v>5</v>
      </c>
      <c r="V19">
        <v>5</v>
      </c>
      <c r="W19">
        <v>39</v>
      </c>
      <c r="Y19">
        <v>18</v>
      </c>
      <c r="Z19" t="s">
        <v>83</v>
      </c>
      <c r="AA19" t="s">
        <v>84</v>
      </c>
      <c r="AB19">
        <v>2</v>
      </c>
      <c r="AC19">
        <v>14</v>
      </c>
      <c r="AD19">
        <v>2000</v>
      </c>
      <c r="AF19">
        <v>-6.1371270000000004</v>
      </c>
      <c r="AG19">
        <v>106.813005</v>
      </c>
    </row>
    <row r="20" spans="1:33" x14ac:dyDescent="0.25">
      <c r="A20">
        <v>19</v>
      </c>
      <c r="B20" t="str">
        <f>TRIM(LEFT(Table1[[#This Row],[Location]],SEARCH(",",Table1[[#This Row],[Location]],1)-1))</f>
        <v>Cirebon</v>
      </c>
      <c r="C20" t="str">
        <f>TRIM(MID(Table1[[#This Row],[Location]],SEARCH(",",Table1[[#This Row],[Location]],1)+1,LEN(Table1[[#This Row],[Location]])))</f>
        <v>Jawa Barat</v>
      </c>
      <c r="E20">
        <v>19</v>
      </c>
      <c r="F20" t="s">
        <v>834</v>
      </c>
      <c r="G20" t="s">
        <v>974</v>
      </c>
      <c r="I20">
        <v>19</v>
      </c>
      <c r="J20" t="s">
        <v>926</v>
      </c>
      <c r="K20">
        <f>_xlfn.XLOOKUP(Table29[[#This Row],[city_name1]], Table5[city_name], Table5[city_id], "Not Found")</f>
        <v>26</v>
      </c>
      <c r="L20">
        <v>26</v>
      </c>
      <c r="R20">
        <v>1</v>
      </c>
      <c r="S20">
        <v>265</v>
      </c>
      <c r="T20">
        <v>5</v>
      </c>
      <c r="V20">
        <v>6</v>
      </c>
      <c r="W20">
        <v>72</v>
      </c>
      <c r="Y20">
        <v>19</v>
      </c>
      <c r="Z20" t="s">
        <v>85</v>
      </c>
      <c r="AA20" t="s">
        <v>86</v>
      </c>
      <c r="AB20">
        <v>5</v>
      </c>
      <c r="AC20">
        <v>12</v>
      </c>
      <c r="AD20">
        <v>185000</v>
      </c>
      <c r="AE20">
        <v>300</v>
      </c>
      <c r="AF20">
        <v>-6.2250734999999997</v>
      </c>
      <c r="AG20">
        <v>106.8097144</v>
      </c>
    </row>
    <row r="21" spans="1:33" x14ac:dyDescent="0.25">
      <c r="A21">
        <v>20</v>
      </c>
      <c r="B21" t="str">
        <f>TRIM(LEFT(Table1[[#This Row],[Location]],SEARCH(",",Table1[[#This Row],[Location]],1)-1))</f>
        <v>Lampung</v>
      </c>
      <c r="C21" t="str">
        <f>TRIM(MID(Table1[[#This Row],[Location]],SEARCH(",",Table1[[#This Row],[Location]],1)+1,LEN(Table1[[#This Row],[Location]])))</f>
        <v>Sumatera Selatan</v>
      </c>
      <c r="E21">
        <v>20</v>
      </c>
      <c r="F21" t="s">
        <v>927</v>
      </c>
      <c r="G21" t="s">
        <v>973</v>
      </c>
      <c r="I21">
        <v>20</v>
      </c>
      <c r="J21" t="s">
        <v>927</v>
      </c>
      <c r="K21">
        <f>_xlfn.XLOOKUP(Table29[[#This Row],[city_name1]], Table5[city_name], Table5[city_id], "Not Found")</f>
        <v>20</v>
      </c>
      <c r="L21">
        <v>30</v>
      </c>
      <c r="R21">
        <v>1</v>
      </c>
      <c r="S21">
        <v>292</v>
      </c>
      <c r="T21">
        <v>3</v>
      </c>
      <c r="V21">
        <v>6</v>
      </c>
      <c r="W21">
        <v>45</v>
      </c>
      <c r="Y21">
        <v>20</v>
      </c>
      <c r="Z21" t="s">
        <v>87</v>
      </c>
      <c r="AA21" t="s">
        <v>88</v>
      </c>
      <c r="AB21">
        <v>2</v>
      </c>
      <c r="AC21">
        <v>9</v>
      </c>
      <c r="AD21">
        <v>2000</v>
      </c>
      <c r="AE21">
        <v>90</v>
      </c>
      <c r="AF21">
        <v>-6.1722241000000002</v>
      </c>
      <c r="AG21">
        <v>106.81896949999999</v>
      </c>
    </row>
    <row r="22" spans="1:33" x14ac:dyDescent="0.25">
      <c r="A22">
        <v>21</v>
      </c>
      <c r="B22" t="str">
        <f>TRIM(LEFT(Table1[[#This Row],[Location]],SEARCH(",",Table1[[#This Row],[Location]],1)-1))</f>
        <v>Semarang</v>
      </c>
      <c r="C22" t="str">
        <f>TRIM(MID(Table1[[#This Row],[Location]],SEARCH(",",Table1[[#This Row],[Location]],1)+1,LEN(Table1[[#This Row],[Location]])))</f>
        <v>Jawa Tengah</v>
      </c>
      <c r="E22">
        <v>21</v>
      </c>
      <c r="F22" t="s">
        <v>932</v>
      </c>
      <c r="G22" t="s">
        <v>973</v>
      </c>
      <c r="I22">
        <v>21</v>
      </c>
      <c r="J22" t="s">
        <v>719</v>
      </c>
      <c r="K22">
        <f>_xlfn.XLOOKUP(Table29[[#This Row],[city_name1]], Table5[city_name], Table5[city_id], "Not Found")</f>
        <v>5</v>
      </c>
      <c r="L22">
        <v>30</v>
      </c>
      <c r="R22">
        <v>1</v>
      </c>
      <c r="S22">
        <v>302</v>
      </c>
      <c r="T22">
        <v>2</v>
      </c>
      <c r="V22">
        <v>6</v>
      </c>
      <c r="W22">
        <v>75</v>
      </c>
      <c r="Y22">
        <v>21</v>
      </c>
      <c r="Z22" t="s">
        <v>89</v>
      </c>
      <c r="AA22" t="s">
        <v>90</v>
      </c>
      <c r="AB22">
        <v>2</v>
      </c>
      <c r="AC22">
        <v>14</v>
      </c>
      <c r="AD22">
        <v>5000</v>
      </c>
      <c r="AE22">
        <v>150</v>
      </c>
      <c r="AF22">
        <v>-6.1349071999999998</v>
      </c>
      <c r="AG22">
        <v>106.8124452</v>
      </c>
    </row>
    <row r="23" spans="1:33" x14ac:dyDescent="0.25">
      <c r="A23">
        <v>22</v>
      </c>
      <c r="B23" t="str">
        <f>TRIM(LEFT(Table1[[#This Row],[Location]],SEARCH(",",Table1[[#This Row],[Location]],1)-1))</f>
        <v>Subang</v>
      </c>
      <c r="C23" t="str">
        <f>TRIM(MID(Table1[[#This Row],[Location]],SEARCH(",",Table1[[#This Row],[Location]],1)+1,LEN(Table1[[#This Row],[Location]])))</f>
        <v>Jawa Barat</v>
      </c>
      <c r="E23">
        <v>22</v>
      </c>
      <c r="F23" t="s">
        <v>472</v>
      </c>
      <c r="G23" t="s">
        <v>972</v>
      </c>
      <c r="I23">
        <v>22</v>
      </c>
      <c r="J23" t="s">
        <v>931</v>
      </c>
      <c r="K23">
        <f>_xlfn.XLOOKUP(Table29[[#This Row],[city_name1]], Table5[city_name], Table5[city_id], "Not Found")</f>
        <v>32</v>
      </c>
      <c r="L23">
        <v>25</v>
      </c>
      <c r="R23">
        <v>1</v>
      </c>
      <c r="S23">
        <v>307</v>
      </c>
      <c r="T23">
        <v>4</v>
      </c>
      <c r="V23">
        <v>7</v>
      </c>
      <c r="W23">
        <v>83</v>
      </c>
      <c r="Y23">
        <v>22</v>
      </c>
      <c r="Z23" t="s">
        <v>91</v>
      </c>
      <c r="AA23" t="s">
        <v>92</v>
      </c>
      <c r="AB23">
        <v>6</v>
      </c>
      <c r="AC23">
        <v>9</v>
      </c>
      <c r="AD23">
        <v>0</v>
      </c>
      <c r="AF23">
        <v>-6.1701699999999997</v>
      </c>
      <c r="AG23">
        <v>106.83139</v>
      </c>
    </row>
    <row r="24" spans="1:33" x14ac:dyDescent="0.25">
      <c r="A24">
        <v>23</v>
      </c>
      <c r="B24" t="str">
        <f>TRIM(LEFT(Table1[[#This Row],[Location]],SEARCH(",",Table1[[#This Row],[Location]],1)-1))</f>
        <v>Jakarta Barat</v>
      </c>
      <c r="C24" t="str">
        <f>TRIM(MID(Table1[[#This Row],[Location]],SEARCH(",",Table1[[#This Row],[Location]],1)+1,LEN(Table1[[#This Row],[Location]])))</f>
        <v>DKI Jakarta</v>
      </c>
      <c r="E24">
        <v>23</v>
      </c>
      <c r="F24" t="s">
        <v>963</v>
      </c>
      <c r="G24" t="s">
        <v>972</v>
      </c>
      <c r="I24">
        <v>23</v>
      </c>
      <c r="J24" t="s">
        <v>950</v>
      </c>
      <c r="K24">
        <f>_xlfn.XLOOKUP(Table29[[#This Row],[city_name1]], Table5[city_name], Table5[city_id], "Not Found")</f>
        <v>14</v>
      </c>
      <c r="L24">
        <v>37</v>
      </c>
      <c r="R24">
        <v>1</v>
      </c>
      <c r="S24">
        <v>327</v>
      </c>
      <c r="T24">
        <v>2</v>
      </c>
      <c r="V24">
        <v>7</v>
      </c>
      <c r="W24">
        <v>8</v>
      </c>
      <c r="Y24">
        <v>23</v>
      </c>
      <c r="Z24" t="s">
        <v>94</v>
      </c>
      <c r="AA24" t="s">
        <v>95</v>
      </c>
      <c r="AB24">
        <v>6</v>
      </c>
      <c r="AC24">
        <v>9</v>
      </c>
      <c r="AD24">
        <v>0</v>
      </c>
      <c r="AF24">
        <v>-6.169225</v>
      </c>
      <c r="AG24">
        <v>106.833063</v>
      </c>
    </row>
    <row r="25" spans="1:33" x14ac:dyDescent="0.25">
      <c r="A25">
        <v>24</v>
      </c>
      <c r="B25" t="str">
        <f>TRIM(LEFT(Table1[[#This Row],[Location]],SEARCH(",",Table1[[#This Row],[Location]],1)-1))</f>
        <v>Bekasi</v>
      </c>
      <c r="C25" t="str">
        <f>TRIM(MID(Table1[[#This Row],[Location]],SEARCH(",",Table1[[#This Row],[Location]],1)+1,LEN(Table1[[#This Row],[Location]])))</f>
        <v>Jawa Barat</v>
      </c>
      <c r="E25">
        <v>24</v>
      </c>
      <c r="F25" t="s">
        <v>925</v>
      </c>
      <c r="G25" t="s">
        <v>972</v>
      </c>
      <c r="I25">
        <v>24</v>
      </c>
      <c r="J25" t="s">
        <v>925</v>
      </c>
      <c r="K25">
        <f>_xlfn.XLOOKUP(Table29[[#This Row],[city_name1]], Table5[city_name], Table5[city_id], "Not Found")</f>
        <v>24</v>
      </c>
      <c r="L25">
        <v>36</v>
      </c>
      <c r="R25">
        <v>1</v>
      </c>
      <c r="S25">
        <v>327</v>
      </c>
      <c r="T25">
        <v>2</v>
      </c>
      <c r="V25">
        <v>7</v>
      </c>
      <c r="W25">
        <v>75</v>
      </c>
      <c r="Y25">
        <v>24</v>
      </c>
      <c r="Z25" t="s">
        <v>96</v>
      </c>
      <c r="AA25" t="s">
        <v>97</v>
      </c>
      <c r="AB25">
        <v>2</v>
      </c>
      <c r="AC25">
        <v>9</v>
      </c>
      <c r="AD25">
        <v>5000</v>
      </c>
      <c r="AF25">
        <v>-6.1764020999999998</v>
      </c>
      <c r="AG25">
        <v>106.82159009999999</v>
      </c>
    </row>
    <row r="26" spans="1:33" x14ac:dyDescent="0.25">
      <c r="A26">
        <v>25</v>
      </c>
      <c r="B26" t="str">
        <f>TRIM(LEFT(Table1[[#This Row],[Location]],SEARCH(",",Table1[[#This Row],[Location]],1)-1))</f>
        <v>Lampung</v>
      </c>
      <c r="C26" t="str">
        <f>TRIM(MID(Table1[[#This Row],[Location]],SEARCH(",",Table1[[#This Row],[Location]],1)+1,LEN(Table1[[#This Row],[Location]])))</f>
        <v>Sumatera Selatan</v>
      </c>
      <c r="E26">
        <v>25</v>
      </c>
      <c r="F26" t="s">
        <v>929</v>
      </c>
      <c r="G26" t="s">
        <v>972</v>
      </c>
      <c r="I26">
        <v>25</v>
      </c>
      <c r="J26" t="s">
        <v>927</v>
      </c>
      <c r="K26">
        <f>_xlfn.XLOOKUP(Table29[[#This Row],[city_name1]], Table5[city_name], Table5[city_id], "Not Found")</f>
        <v>20</v>
      </c>
      <c r="L26">
        <v>40</v>
      </c>
      <c r="R26">
        <v>1</v>
      </c>
      <c r="S26">
        <v>335</v>
      </c>
      <c r="T26">
        <v>4</v>
      </c>
      <c r="V26">
        <v>8</v>
      </c>
      <c r="W26">
        <v>2</v>
      </c>
      <c r="Y26">
        <v>25</v>
      </c>
      <c r="Z26" t="s">
        <v>98</v>
      </c>
      <c r="AA26" t="s">
        <v>99</v>
      </c>
      <c r="AB26">
        <v>4</v>
      </c>
      <c r="AC26">
        <v>9</v>
      </c>
      <c r="AD26">
        <v>0</v>
      </c>
      <c r="AE26">
        <v>45</v>
      </c>
      <c r="AF26">
        <v>-6.1890096000000003</v>
      </c>
      <c r="AG26">
        <v>106.8119312</v>
      </c>
    </row>
    <row r="27" spans="1:33" x14ac:dyDescent="0.25">
      <c r="A27">
        <v>26</v>
      </c>
      <c r="B27" t="str">
        <f>TRIM(LEFT(Table1[[#This Row],[Location]],SEARCH(",",Table1[[#This Row],[Location]],1)-1))</f>
        <v>Palembang</v>
      </c>
      <c r="C27" t="str">
        <f>TRIM(MID(Table1[[#This Row],[Location]],SEARCH(",",Table1[[#This Row],[Location]],1)+1,LEN(Table1[[#This Row],[Location]])))</f>
        <v>Sumatera Selatan</v>
      </c>
      <c r="E27">
        <v>26</v>
      </c>
      <c r="F27" t="s">
        <v>926</v>
      </c>
      <c r="G27" t="s">
        <v>972</v>
      </c>
      <c r="I27">
        <v>26</v>
      </c>
      <c r="J27" t="s">
        <v>932</v>
      </c>
      <c r="K27">
        <f>_xlfn.XLOOKUP(Table29[[#This Row],[city_name1]], Table5[city_name], Table5[city_id], "Not Found")</f>
        <v>21</v>
      </c>
      <c r="L27">
        <v>38</v>
      </c>
      <c r="R27">
        <v>1</v>
      </c>
      <c r="S27">
        <v>343</v>
      </c>
      <c r="T27">
        <v>2</v>
      </c>
      <c r="V27">
        <v>8</v>
      </c>
      <c r="W27">
        <v>18</v>
      </c>
      <c r="Y27">
        <v>26</v>
      </c>
      <c r="Z27" t="s">
        <v>100</v>
      </c>
      <c r="AA27" t="s">
        <v>101</v>
      </c>
      <c r="AB27">
        <v>4</v>
      </c>
      <c r="AC27">
        <v>14</v>
      </c>
      <c r="AD27">
        <v>0</v>
      </c>
      <c r="AE27">
        <v>20</v>
      </c>
      <c r="AF27">
        <v>-6.1427588000000002</v>
      </c>
      <c r="AG27">
        <v>106.8140791</v>
      </c>
    </row>
    <row r="28" spans="1:33" x14ac:dyDescent="0.25">
      <c r="A28">
        <v>27</v>
      </c>
      <c r="B28" t="str">
        <f>TRIM(LEFT(Table1[[#This Row],[Location]],SEARCH(",",Table1[[#This Row],[Location]],1)-1))</f>
        <v>Bogor</v>
      </c>
      <c r="C28" t="str">
        <f>TRIM(MID(Table1[[#This Row],[Location]],SEARCH(",",Table1[[#This Row],[Location]],1)+1,LEN(Table1[[#This Row],[Location]])))</f>
        <v>Jawa Barat</v>
      </c>
      <c r="E28">
        <v>27</v>
      </c>
      <c r="F28" t="s">
        <v>930</v>
      </c>
      <c r="G28" t="s">
        <v>972</v>
      </c>
      <c r="I28">
        <v>27</v>
      </c>
      <c r="J28" t="s">
        <v>929</v>
      </c>
      <c r="K28">
        <f>_xlfn.XLOOKUP(Table29[[#This Row],[city_name1]], Table5[city_name], Table5[city_id], "Not Found")</f>
        <v>25</v>
      </c>
      <c r="L28">
        <v>22</v>
      </c>
      <c r="R28">
        <v>1</v>
      </c>
      <c r="S28">
        <v>372</v>
      </c>
      <c r="T28">
        <v>3</v>
      </c>
      <c r="V28">
        <v>8</v>
      </c>
      <c r="W28">
        <v>1</v>
      </c>
      <c r="Y28">
        <v>27</v>
      </c>
      <c r="Z28" t="s">
        <v>102</v>
      </c>
      <c r="AA28" t="s">
        <v>103</v>
      </c>
      <c r="AB28">
        <v>5</v>
      </c>
      <c r="AC28">
        <v>11</v>
      </c>
      <c r="AD28">
        <v>115000</v>
      </c>
      <c r="AE28">
        <v>180</v>
      </c>
      <c r="AF28">
        <v>-6.1264775</v>
      </c>
      <c r="AG28">
        <v>106.842963</v>
      </c>
    </row>
    <row r="29" spans="1:33" x14ac:dyDescent="0.25">
      <c r="A29">
        <v>28</v>
      </c>
      <c r="B29" t="str">
        <f>TRIM(LEFT(Table1[[#This Row],[Location]],SEARCH(",",Table1[[#This Row],[Location]],1)-1))</f>
        <v>Sragen</v>
      </c>
      <c r="C29" t="str">
        <f>TRIM(MID(Table1[[#This Row],[Location]],SEARCH(",",Table1[[#This Row],[Location]],1)+1,LEN(Table1[[#This Row],[Location]])))</f>
        <v>Jawa Tengah</v>
      </c>
      <c r="E29">
        <v>28</v>
      </c>
      <c r="F29" t="s">
        <v>954</v>
      </c>
      <c r="G29" t="s">
        <v>972</v>
      </c>
      <c r="I29">
        <v>28</v>
      </c>
      <c r="J29" t="s">
        <v>933</v>
      </c>
      <c r="K29">
        <f>_xlfn.XLOOKUP(Table29[[#This Row],[city_name1]], Table5[city_name], Table5[city_id], "Not Found")</f>
        <v>8</v>
      </c>
      <c r="L29">
        <v>38</v>
      </c>
      <c r="R29">
        <v>1</v>
      </c>
      <c r="S29">
        <v>392</v>
      </c>
      <c r="T29">
        <v>5</v>
      </c>
      <c r="V29">
        <v>8</v>
      </c>
      <c r="W29">
        <v>70</v>
      </c>
      <c r="Y29">
        <v>28</v>
      </c>
      <c r="Z29" t="s">
        <v>104</v>
      </c>
      <c r="AA29" t="s">
        <v>105</v>
      </c>
      <c r="AB29">
        <v>5</v>
      </c>
      <c r="AC29">
        <v>10</v>
      </c>
      <c r="AD29">
        <v>35000</v>
      </c>
      <c r="AF29">
        <v>-6.3568093000000001</v>
      </c>
      <c r="AG29">
        <v>106.9062371</v>
      </c>
    </row>
    <row r="30" spans="1:33" x14ac:dyDescent="0.25">
      <c r="A30">
        <v>29</v>
      </c>
      <c r="B30" t="str">
        <f>TRIM(LEFT(Table1[[#This Row],[Location]],SEARCH(",",Table1[[#This Row],[Location]],1)-1))</f>
        <v>Ponorogo</v>
      </c>
      <c r="C30" t="str">
        <f>TRIM(MID(Table1[[#This Row],[Location]],SEARCH(",",Table1[[#This Row],[Location]],1)+1,LEN(Table1[[#This Row],[Location]])))</f>
        <v>Jawa Timur</v>
      </c>
      <c r="E30">
        <v>29</v>
      </c>
      <c r="F30" t="s">
        <v>942</v>
      </c>
      <c r="G30" t="s">
        <v>972</v>
      </c>
      <c r="I30">
        <v>29</v>
      </c>
      <c r="J30" t="s">
        <v>934</v>
      </c>
      <c r="K30">
        <f>_xlfn.XLOOKUP(Table29[[#This Row],[city_name1]], Table5[city_name], Table5[city_id], "Not Found")</f>
        <v>17</v>
      </c>
      <c r="L30">
        <v>34</v>
      </c>
      <c r="R30">
        <v>1</v>
      </c>
      <c r="S30">
        <v>404</v>
      </c>
      <c r="T30">
        <v>5</v>
      </c>
      <c r="V30">
        <v>8</v>
      </c>
      <c r="W30">
        <v>22</v>
      </c>
      <c r="Y30">
        <v>29</v>
      </c>
      <c r="Z30" t="s">
        <v>106</v>
      </c>
      <c r="AA30" t="s">
        <v>107</v>
      </c>
      <c r="AB30">
        <v>4</v>
      </c>
      <c r="AC30">
        <v>9</v>
      </c>
      <c r="AD30">
        <v>0</v>
      </c>
      <c r="AF30">
        <v>-6.1667886999999997</v>
      </c>
      <c r="AG30">
        <v>106.8265261</v>
      </c>
    </row>
    <row r="31" spans="1:33" x14ac:dyDescent="0.25">
      <c r="A31">
        <v>30</v>
      </c>
      <c r="B31" t="str">
        <f>TRIM(LEFT(Table1[[#This Row],[Location]],SEARCH(",",Table1[[#This Row],[Location]],1)-1))</f>
        <v>Depok</v>
      </c>
      <c r="C31" t="str">
        <f>TRIM(MID(Table1[[#This Row],[Location]],SEARCH(",",Table1[[#This Row],[Location]],1)+1,LEN(Table1[[#This Row],[Location]])))</f>
        <v>Jawa Barat</v>
      </c>
      <c r="E31">
        <v>30</v>
      </c>
      <c r="F31" t="s">
        <v>967</v>
      </c>
      <c r="G31" t="s">
        <v>972</v>
      </c>
      <c r="I31">
        <v>30</v>
      </c>
      <c r="J31" t="s">
        <v>930</v>
      </c>
      <c r="K31">
        <f>_xlfn.XLOOKUP(Table29[[#This Row],[city_name1]], Table5[city_name], Table5[city_id], "Not Found")</f>
        <v>27</v>
      </c>
      <c r="L31">
        <v>30</v>
      </c>
      <c r="R31">
        <v>1</v>
      </c>
      <c r="S31">
        <v>427</v>
      </c>
      <c r="T31">
        <v>3</v>
      </c>
      <c r="V31">
        <v>9</v>
      </c>
      <c r="W31">
        <v>40</v>
      </c>
      <c r="Y31">
        <v>30</v>
      </c>
      <c r="Z31" t="s">
        <v>108</v>
      </c>
      <c r="AA31" t="s">
        <v>109</v>
      </c>
      <c r="AB31">
        <v>5</v>
      </c>
      <c r="AC31">
        <v>9</v>
      </c>
      <c r="AD31">
        <v>0</v>
      </c>
      <c r="AF31">
        <v>-6.1964087000000001</v>
      </c>
      <c r="AG31">
        <v>106.8293106</v>
      </c>
    </row>
    <row r="32" spans="1:33" x14ac:dyDescent="0.25">
      <c r="A32">
        <v>31</v>
      </c>
      <c r="B32" t="str">
        <f>TRIM(LEFT(Table1[[#This Row],[Location]],SEARCH(",",Table1[[#This Row],[Location]],1)-1))</f>
        <v>Jakarta Selatan</v>
      </c>
      <c r="C32" t="str">
        <f>TRIM(MID(Table1[[#This Row],[Location]],SEARCH(",",Table1[[#This Row],[Location]],1)+1,LEN(Table1[[#This Row],[Location]])))</f>
        <v>DKI Jakarta</v>
      </c>
      <c r="E32">
        <v>31</v>
      </c>
      <c r="F32" t="s">
        <v>957</v>
      </c>
      <c r="G32" t="s">
        <v>972</v>
      </c>
      <c r="I32">
        <v>31</v>
      </c>
      <c r="J32" t="s">
        <v>953</v>
      </c>
      <c r="K32">
        <f>_xlfn.XLOOKUP(Table29[[#This Row],[city_name1]], Table5[city_name], Table5[city_id], "Not Found")</f>
        <v>12</v>
      </c>
      <c r="L32">
        <v>26</v>
      </c>
      <c r="R32">
        <v>2</v>
      </c>
      <c r="S32">
        <v>2</v>
      </c>
      <c r="T32">
        <v>5</v>
      </c>
      <c r="V32">
        <v>9</v>
      </c>
      <c r="W32">
        <v>42</v>
      </c>
      <c r="Y32">
        <v>31</v>
      </c>
      <c r="Z32" t="s">
        <v>110</v>
      </c>
      <c r="AA32" t="s">
        <v>111</v>
      </c>
      <c r="AB32">
        <v>3</v>
      </c>
      <c r="AC32">
        <v>11</v>
      </c>
      <c r="AD32">
        <v>25000</v>
      </c>
      <c r="AF32">
        <v>-6.105334</v>
      </c>
      <c r="AG32">
        <v>106.735584</v>
      </c>
    </row>
    <row r="33" spans="1:33" x14ac:dyDescent="0.25">
      <c r="A33">
        <v>32</v>
      </c>
      <c r="B33" t="str">
        <f>TRIM(LEFT(Table1[[#This Row],[Location]],SEARCH(",",Table1[[#This Row],[Location]],1)-1))</f>
        <v>Bekasi</v>
      </c>
      <c r="C33" t="str">
        <f>TRIM(MID(Table1[[#This Row],[Location]],SEARCH(",",Table1[[#This Row],[Location]],1)+1,LEN(Table1[[#This Row],[Location]])))</f>
        <v>Jawa Barat</v>
      </c>
      <c r="E33">
        <v>32</v>
      </c>
      <c r="F33" t="s">
        <v>931</v>
      </c>
      <c r="G33" t="s">
        <v>972</v>
      </c>
      <c r="I33">
        <v>32</v>
      </c>
      <c r="J33" t="s">
        <v>925</v>
      </c>
      <c r="K33">
        <f>_xlfn.XLOOKUP(Table29[[#This Row],[city_name1]], Table5[city_name], Table5[city_id], "Not Found")</f>
        <v>24</v>
      </c>
      <c r="L33">
        <v>34</v>
      </c>
      <c r="R33">
        <v>2</v>
      </c>
      <c r="S33">
        <v>18</v>
      </c>
      <c r="T33">
        <v>5</v>
      </c>
      <c r="V33">
        <v>9</v>
      </c>
      <c r="W33">
        <v>49</v>
      </c>
      <c r="Y33">
        <v>32</v>
      </c>
      <c r="Z33" t="s">
        <v>112</v>
      </c>
      <c r="AA33" t="s">
        <v>113</v>
      </c>
      <c r="AB33">
        <v>2</v>
      </c>
      <c r="AC33">
        <v>12</v>
      </c>
      <c r="AD33">
        <v>0</v>
      </c>
      <c r="AF33">
        <v>-6.3416667000000002</v>
      </c>
      <c r="AG33">
        <v>106.8238889</v>
      </c>
    </row>
    <row r="34" spans="1:33" x14ac:dyDescent="0.25">
      <c r="A34">
        <v>33</v>
      </c>
      <c r="B34" t="str">
        <f>TRIM(LEFT(Table1[[#This Row],[Location]],SEARCH(",",Table1[[#This Row],[Location]],1)-1))</f>
        <v>Ponorogo</v>
      </c>
      <c r="C34" t="str">
        <f>TRIM(MID(Table1[[#This Row],[Location]],SEARCH(",",Table1[[#This Row],[Location]],1)+1,LEN(Table1[[#This Row],[Location]])))</f>
        <v>Jawa Timur</v>
      </c>
      <c r="E34">
        <v>33</v>
      </c>
      <c r="F34" t="s">
        <v>969</v>
      </c>
      <c r="G34" t="s">
        <v>972</v>
      </c>
      <c r="I34">
        <v>33</v>
      </c>
      <c r="J34" t="s">
        <v>934</v>
      </c>
      <c r="K34">
        <f>_xlfn.XLOOKUP(Table29[[#This Row],[city_name1]], Table5[city_name], Table5[city_id], "Not Found")</f>
        <v>17</v>
      </c>
      <c r="L34">
        <v>24</v>
      </c>
      <c r="R34">
        <v>2</v>
      </c>
      <c r="S34">
        <v>23</v>
      </c>
      <c r="T34">
        <v>3</v>
      </c>
      <c r="V34">
        <v>10</v>
      </c>
      <c r="W34">
        <v>6</v>
      </c>
      <c r="Y34">
        <v>33</v>
      </c>
      <c r="Z34" t="s">
        <v>114</v>
      </c>
      <c r="AA34" t="s">
        <v>115</v>
      </c>
      <c r="AB34">
        <v>5</v>
      </c>
      <c r="AC34">
        <v>9</v>
      </c>
      <c r="AD34">
        <v>0</v>
      </c>
      <c r="AF34">
        <v>-6.1994033999999996</v>
      </c>
      <c r="AG34">
        <v>106.8326228</v>
      </c>
    </row>
    <row r="35" spans="1:33" x14ac:dyDescent="0.25">
      <c r="A35">
        <v>34</v>
      </c>
      <c r="B35" t="str">
        <f>TRIM(LEFT(Table1[[#This Row],[Location]],SEARCH(",",Table1[[#This Row],[Location]],1)-1))</f>
        <v>Sragen</v>
      </c>
      <c r="C35" t="str">
        <f>TRIM(MID(Table1[[#This Row],[Location]],SEARCH(",",Table1[[#This Row],[Location]],1)+1,LEN(Table1[[#This Row],[Location]])))</f>
        <v>Jawa Tengah</v>
      </c>
      <c r="E35">
        <v>34</v>
      </c>
      <c r="F35" t="s">
        <v>960</v>
      </c>
      <c r="G35" t="s">
        <v>220</v>
      </c>
      <c r="I35">
        <v>34</v>
      </c>
      <c r="J35" t="s">
        <v>933</v>
      </c>
      <c r="K35">
        <f>_xlfn.XLOOKUP(Table29[[#This Row],[city_name1]], Table5[city_name], Table5[city_id], "Not Found")</f>
        <v>8</v>
      </c>
      <c r="L35">
        <v>31</v>
      </c>
      <c r="R35">
        <v>2</v>
      </c>
      <c r="S35">
        <v>78</v>
      </c>
      <c r="T35">
        <v>5</v>
      </c>
      <c r="V35">
        <v>10</v>
      </c>
      <c r="W35">
        <v>2</v>
      </c>
      <c r="Y35">
        <v>34</v>
      </c>
      <c r="Z35" t="s">
        <v>116</v>
      </c>
      <c r="AA35" t="s">
        <v>117</v>
      </c>
      <c r="AB35">
        <v>4</v>
      </c>
      <c r="AC35">
        <v>12</v>
      </c>
      <c r="AD35">
        <v>0</v>
      </c>
      <c r="AE35">
        <v>60</v>
      </c>
      <c r="AF35">
        <v>-6.2413689999999997</v>
      </c>
      <c r="AG35">
        <v>106.7890587</v>
      </c>
    </row>
    <row r="36" spans="1:33" x14ac:dyDescent="0.25">
      <c r="A36">
        <v>35</v>
      </c>
      <c r="B36" t="str">
        <f>TRIM(LEFT(Table1[[#This Row],[Location]],SEARCH(",",Table1[[#This Row],[Location]],1)-1))</f>
        <v>Klaten</v>
      </c>
      <c r="C36" t="str">
        <f>TRIM(MID(Table1[[#This Row],[Location]],SEARCH(",",Table1[[#This Row],[Location]],1)+1,LEN(Table1[[#This Row],[Location]])))</f>
        <v>Jawa Tengah</v>
      </c>
      <c r="E36">
        <v>35</v>
      </c>
      <c r="F36" t="s">
        <v>964</v>
      </c>
      <c r="G36" t="s">
        <v>220</v>
      </c>
      <c r="I36">
        <v>35</v>
      </c>
      <c r="J36" t="s">
        <v>935</v>
      </c>
      <c r="K36">
        <f>_xlfn.XLOOKUP(Table29[[#This Row],[city_name1]], Table5[city_name], Table5[city_id], "Not Found")</f>
        <v>4</v>
      </c>
      <c r="L36">
        <v>24</v>
      </c>
      <c r="R36">
        <v>2</v>
      </c>
      <c r="S36">
        <v>85</v>
      </c>
      <c r="T36">
        <v>4</v>
      </c>
      <c r="V36">
        <v>10</v>
      </c>
      <c r="W36">
        <v>18</v>
      </c>
      <c r="Y36">
        <v>35</v>
      </c>
      <c r="Z36" t="s">
        <v>118</v>
      </c>
      <c r="AA36" t="s">
        <v>119</v>
      </c>
      <c r="AB36">
        <v>4</v>
      </c>
      <c r="AC36">
        <v>9</v>
      </c>
      <c r="AD36">
        <v>0</v>
      </c>
      <c r="AE36">
        <v>120</v>
      </c>
      <c r="AF36">
        <v>-6.1951801</v>
      </c>
      <c r="AG36">
        <v>106.8204412</v>
      </c>
    </row>
    <row r="37" spans="1:33" x14ac:dyDescent="0.25">
      <c r="A37">
        <v>36</v>
      </c>
      <c r="B37" t="str">
        <f>TRIM(LEFT(Table1[[#This Row],[Location]],SEARCH(",",Table1[[#This Row],[Location]],1)-1))</f>
        <v>Solo</v>
      </c>
      <c r="C37" t="str">
        <f>TRIM(MID(Table1[[#This Row],[Location]],SEARCH(",",Table1[[#This Row],[Location]],1)+1,LEN(Table1[[#This Row],[Location]])))</f>
        <v>Jawa Tengah</v>
      </c>
      <c r="E37">
        <v>36</v>
      </c>
      <c r="F37" t="s">
        <v>941</v>
      </c>
      <c r="G37" t="s">
        <v>220</v>
      </c>
      <c r="I37">
        <v>36</v>
      </c>
      <c r="J37" t="s">
        <v>936</v>
      </c>
      <c r="K37">
        <f>_xlfn.XLOOKUP(Table29[[#This Row],[city_name1]], Table5[city_name], Table5[city_id], "Not Found")</f>
        <v>7</v>
      </c>
      <c r="L37">
        <v>20</v>
      </c>
      <c r="R37">
        <v>2</v>
      </c>
      <c r="S37">
        <v>105</v>
      </c>
      <c r="T37">
        <v>2</v>
      </c>
      <c r="V37">
        <v>10</v>
      </c>
      <c r="W37">
        <v>17</v>
      </c>
      <c r="Y37">
        <v>36</v>
      </c>
      <c r="Z37" t="s">
        <v>120</v>
      </c>
      <c r="AA37" t="s">
        <v>121</v>
      </c>
      <c r="AB37">
        <v>5</v>
      </c>
      <c r="AC37">
        <v>14</v>
      </c>
      <c r="AD37">
        <v>110000</v>
      </c>
      <c r="AE37">
        <v>180</v>
      </c>
      <c r="AF37">
        <v>-6.1789959999999997</v>
      </c>
      <c r="AG37">
        <v>106.79194099999999</v>
      </c>
    </row>
    <row r="38" spans="1:33" x14ac:dyDescent="0.25">
      <c r="A38">
        <v>37</v>
      </c>
      <c r="B38" t="str">
        <f>TRIM(LEFT(Table1[[#This Row],[Location]],SEARCH(",",Table1[[#This Row],[Location]],1)-1))</f>
        <v>Tanggerang</v>
      </c>
      <c r="C38" t="str">
        <f>TRIM(MID(Table1[[#This Row],[Location]],SEARCH(",",Table1[[#This Row],[Location]],1)+1,LEN(Table1[[#This Row],[Location]])))</f>
        <v>Banten</v>
      </c>
      <c r="E38">
        <v>37</v>
      </c>
      <c r="F38" t="s">
        <v>965</v>
      </c>
      <c r="G38" t="s">
        <v>220</v>
      </c>
      <c r="I38">
        <v>37</v>
      </c>
      <c r="J38" t="s">
        <v>937</v>
      </c>
      <c r="K38">
        <f>_xlfn.XLOOKUP(Table29[[#This Row],[city_name1]], Table5[city_name], Table5[city_id], "Not Found")</f>
        <v>2</v>
      </c>
      <c r="L38">
        <v>21</v>
      </c>
      <c r="R38">
        <v>2</v>
      </c>
      <c r="S38">
        <v>107</v>
      </c>
      <c r="T38">
        <v>2</v>
      </c>
      <c r="V38">
        <v>10</v>
      </c>
      <c r="W38">
        <v>21</v>
      </c>
      <c r="Y38">
        <v>37</v>
      </c>
      <c r="Z38" t="s">
        <v>122</v>
      </c>
      <c r="AA38" t="s">
        <v>123</v>
      </c>
      <c r="AB38">
        <v>5</v>
      </c>
      <c r="AC38">
        <v>10</v>
      </c>
      <c r="AD38">
        <v>10000</v>
      </c>
      <c r="AF38">
        <v>-6.3602486999999996</v>
      </c>
      <c r="AG38">
        <v>106.89384200000001</v>
      </c>
    </row>
    <row r="39" spans="1:33" x14ac:dyDescent="0.25">
      <c r="A39">
        <v>38</v>
      </c>
      <c r="B39" t="str">
        <f>TRIM(LEFT(Table1[[#This Row],[Location]],SEARCH(",",Table1[[#This Row],[Location]],1)-1))</f>
        <v>Serang</v>
      </c>
      <c r="C39" t="str">
        <f>TRIM(MID(Table1[[#This Row],[Location]],SEARCH(",",Table1[[#This Row],[Location]],1)+1,LEN(Table1[[#This Row],[Location]])))</f>
        <v>Banten</v>
      </c>
      <c r="E39">
        <v>38</v>
      </c>
      <c r="F39" t="s">
        <v>956</v>
      </c>
      <c r="G39" t="s">
        <v>220</v>
      </c>
      <c r="I39">
        <v>38</v>
      </c>
      <c r="J39" t="s">
        <v>939</v>
      </c>
      <c r="K39">
        <f>_xlfn.XLOOKUP(Table29[[#This Row],[city_name1]], Table5[city_name], Table5[city_id], "Not Found")</f>
        <v>1</v>
      </c>
      <c r="L39">
        <v>26</v>
      </c>
      <c r="R39">
        <v>2</v>
      </c>
      <c r="S39">
        <v>111</v>
      </c>
      <c r="T39">
        <v>2</v>
      </c>
      <c r="V39">
        <v>11</v>
      </c>
      <c r="W39">
        <v>2</v>
      </c>
      <c r="Y39">
        <v>38</v>
      </c>
      <c r="Z39" t="s">
        <v>124</v>
      </c>
      <c r="AA39" t="s">
        <v>125</v>
      </c>
      <c r="AB39">
        <v>2</v>
      </c>
      <c r="AC39">
        <v>9</v>
      </c>
      <c r="AD39">
        <v>0</v>
      </c>
      <c r="AF39">
        <v>-6.168069</v>
      </c>
      <c r="AG39">
        <v>106.8239727</v>
      </c>
    </row>
    <row r="40" spans="1:33" x14ac:dyDescent="0.25">
      <c r="A40">
        <v>39</v>
      </c>
      <c r="B40" t="str">
        <f>TRIM(LEFT(Table1[[#This Row],[Location]],SEARCH(",",Table1[[#This Row],[Location]],1)-1))</f>
        <v>Cilacap</v>
      </c>
      <c r="C40" t="str">
        <f>TRIM(MID(Table1[[#This Row],[Location]],SEARCH(",",Table1[[#This Row],[Location]],1)+1,LEN(Table1[[#This Row],[Location]])))</f>
        <v>Jawa Tengah</v>
      </c>
      <c r="E40">
        <v>39</v>
      </c>
      <c r="F40" t="s">
        <v>220</v>
      </c>
      <c r="G40" t="s">
        <v>220</v>
      </c>
      <c r="I40">
        <v>39</v>
      </c>
      <c r="J40" t="s">
        <v>940</v>
      </c>
      <c r="K40">
        <f>_xlfn.XLOOKUP(Table29[[#This Row],[city_name1]], Table5[city_name], Table5[city_id], "Not Found")</f>
        <v>3</v>
      </c>
      <c r="L40">
        <v>32</v>
      </c>
      <c r="R40">
        <v>2</v>
      </c>
      <c r="S40">
        <v>147</v>
      </c>
      <c r="T40">
        <v>2</v>
      </c>
      <c r="V40">
        <v>11</v>
      </c>
      <c r="W40">
        <v>16</v>
      </c>
      <c r="Y40">
        <v>39</v>
      </c>
      <c r="Z40" t="s">
        <v>126</v>
      </c>
      <c r="AA40" t="s">
        <v>127</v>
      </c>
      <c r="AB40">
        <v>2</v>
      </c>
      <c r="AC40">
        <v>14</v>
      </c>
      <c r="AD40">
        <v>100000</v>
      </c>
      <c r="AE40">
        <v>120</v>
      </c>
      <c r="AF40">
        <v>-6.1909419999999997</v>
      </c>
      <c r="AG40">
        <v>106.767622</v>
      </c>
    </row>
    <row r="41" spans="1:33" x14ac:dyDescent="0.25">
      <c r="A41">
        <v>40</v>
      </c>
      <c r="B41" t="str">
        <f>TRIM(LEFT(Table1[[#This Row],[Location]],SEARCH(",",Table1[[#This Row],[Location]],1)-1))</f>
        <v>Semarang</v>
      </c>
      <c r="C41" t="str">
        <f>TRIM(MID(Table1[[#This Row],[Location]],SEARCH(",",Table1[[#This Row],[Location]],1)+1,LEN(Table1[[#This Row],[Location]])))</f>
        <v>Jawa Tengah</v>
      </c>
      <c r="I41">
        <v>40</v>
      </c>
      <c r="J41" t="s">
        <v>719</v>
      </c>
      <c r="K41">
        <f>_xlfn.XLOOKUP(Table29[[#This Row],[city_name1]], Table5[city_name], Table5[city_id], "Not Found")</f>
        <v>5</v>
      </c>
      <c r="L41">
        <v>27</v>
      </c>
      <c r="R41">
        <v>2</v>
      </c>
      <c r="S41">
        <v>166</v>
      </c>
      <c r="T41">
        <v>2</v>
      </c>
      <c r="V41">
        <v>11</v>
      </c>
      <c r="W41">
        <v>55</v>
      </c>
      <c r="Y41">
        <v>40</v>
      </c>
      <c r="Z41" t="s">
        <v>128</v>
      </c>
      <c r="AA41" t="s">
        <v>129</v>
      </c>
      <c r="AB41">
        <v>2</v>
      </c>
      <c r="AC41">
        <v>9</v>
      </c>
      <c r="AD41">
        <v>0</v>
      </c>
      <c r="AF41">
        <v>-6.1785481999999998</v>
      </c>
      <c r="AG41">
        <v>106.8327716</v>
      </c>
    </row>
    <row r="42" spans="1:33" x14ac:dyDescent="0.25">
      <c r="A42">
        <v>41</v>
      </c>
      <c r="B42" t="str">
        <f>TRIM(LEFT(Table1[[#This Row],[Location]],SEARCH(",",Table1[[#This Row],[Location]],1)-1))</f>
        <v>Yogyakarta</v>
      </c>
      <c r="C42" t="str">
        <f>TRIM(MID(Table1[[#This Row],[Location]],SEARCH(",",Table1[[#This Row],[Location]],1)+1,LEN(Table1[[#This Row],[Location]])))</f>
        <v>DIY</v>
      </c>
      <c r="F42" t="s">
        <v>975</v>
      </c>
      <c r="I42">
        <v>41</v>
      </c>
      <c r="J42" t="s">
        <v>220</v>
      </c>
      <c r="K42">
        <f>_xlfn.XLOOKUP(Table29[[#This Row],[city_name1]], Table5[city_name], Table5[city_id], "Not Found")</f>
        <v>39</v>
      </c>
      <c r="L42">
        <v>24</v>
      </c>
      <c r="R42">
        <v>2</v>
      </c>
      <c r="S42">
        <v>167</v>
      </c>
      <c r="T42">
        <v>2</v>
      </c>
      <c r="V42">
        <v>11</v>
      </c>
      <c r="W42">
        <v>29</v>
      </c>
      <c r="Y42">
        <v>41</v>
      </c>
      <c r="Z42" t="s">
        <v>130</v>
      </c>
      <c r="AA42" t="s">
        <v>131</v>
      </c>
      <c r="AB42">
        <v>2</v>
      </c>
      <c r="AC42">
        <v>11</v>
      </c>
      <c r="AD42">
        <v>2000</v>
      </c>
      <c r="AE42">
        <v>120</v>
      </c>
      <c r="AF42">
        <v>-6.1269552999999997</v>
      </c>
      <c r="AG42">
        <v>106.8085899</v>
      </c>
    </row>
    <row r="43" spans="1:33" x14ac:dyDescent="0.25">
      <c r="A43">
        <v>42</v>
      </c>
      <c r="B43" t="str">
        <f>TRIM(LEFT(Table1[[#This Row],[Location]],SEARCH(",",Table1[[#This Row],[Location]],1)-1))</f>
        <v>Kota Gede</v>
      </c>
      <c r="C43" t="str">
        <f>TRIM(MID(Table1[[#This Row],[Location]],SEARCH(",",Table1[[#This Row],[Location]],1)+1,LEN(Table1[[#This Row],[Location]])))</f>
        <v>DIY</v>
      </c>
      <c r="I43">
        <v>42</v>
      </c>
      <c r="J43" t="s">
        <v>941</v>
      </c>
      <c r="K43">
        <f>_xlfn.XLOOKUP(Table29[[#This Row],[city_name1]], Table5[city_name], Table5[city_id], "Not Found")</f>
        <v>36</v>
      </c>
      <c r="L43">
        <v>37</v>
      </c>
      <c r="R43">
        <v>2</v>
      </c>
      <c r="S43">
        <v>176</v>
      </c>
      <c r="T43">
        <v>3</v>
      </c>
      <c r="V43">
        <v>12</v>
      </c>
      <c r="W43">
        <v>78</v>
      </c>
      <c r="Y43">
        <v>42</v>
      </c>
      <c r="Z43" t="s">
        <v>132</v>
      </c>
      <c r="AA43" t="s">
        <v>133</v>
      </c>
      <c r="AB43">
        <v>2</v>
      </c>
      <c r="AC43">
        <v>14</v>
      </c>
      <c r="AD43">
        <v>5000</v>
      </c>
      <c r="AF43">
        <v>-6.1342597999999997</v>
      </c>
      <c r="AG43">
        <v>106.81455200000001</v>
      </c>
    </row>
    <row r="44" spans="1:33" x14ac:dyDescent="0.25">
      <c r="A44">
        <v>43</v>
      </c>
      <c r="B44" t="str">
        <f>TRIM(LEFT(Table1[[#This Row],[Location]],SEARCH(",",Table1[[#This Row],[Location]],1)-1))</f>
        <v>Cirebon</v>
      </c>
      <c r="C44" t="str">
        <f>TRIM(MID(Table1[[#This Row],[Location]],SEARCH(",",Table1[[#This Row],[Location]],1)+1,LEN(Table1[[#This Row],[Location]])))</f>
        <v>Jawa Barat</v>
      </c>
      <c r="F44" t="s">
        <v>980</v>
      </c>
      <c r="I44">
        <v>43</v>
      </c>
      <c r="J44" t="s">
        <v>926</v>
      </c>
      <c r="K44">
        <f>_xlfn.XLOOKUP(Table29[[#This Row],[city_name1]], Table5[city_name], Table5[city_id], "Not Found")</f>
        <v>26</v>
      </c>
      <c r="L44">
        <v>33</v>
      </c>
      <c r="R44">
        <v>2</v>
      </c>
      <c r="S44">
        <v>185</v>
      </c>
      <c r="T44">
        <v>2</v>
      </c>
      <c r="V44">
        <v>12</v>
      </c>
      <c r="W44">
        <v>76</v>
      </c>
      <c r="Y44">
        <v>43</v>
      </c>
      <c r="Z44" t="s">
        <v>134</v>
      </c>
      <c r="AA44" t="s">
        <v>135</v>
      </c>
      <c r="AB44">
        <v>5</v>
      </c>
      <c r="AC44">
        <v>12</v>
      </c>
      <c r="AD44">
        <v>70000</v>
      </c>
      <c r="AE44">
        <v>120</v>
      </c>
      <c r="AF44">
        <v>-6.2555033</v>
      </c>
      <c r="AG44">
        <v>106.81225910000001</v>
      </c>
    </row>
    <row r="45" spans="1:33" x14ac:dyDescent="0.25">
      <c r="A45">
        <v>44</v>
      </c>
      <c r="B45" t="str">
        <f>TRIM(LEFT(Table1[[#This Row],[Location]],SEARCH(",",Table1[[#This Row],[Location]],1)-1))</f>
        <v>Subang</v>
      </c>
      <c r="C45" t="str">
        <f>TRIM(MID(Table1[[#This Row],[Location]],SEARCH(",",Table1[[#This Row],[Location]],1)+1,LEN(Table1[[#This Row],[Location]])))</f>
        <v>Jawa Barat</v>
      </c>
      <c r="I45">
        <v>44</v>
      </c>
      <c r="J45" t="s">
        <v>931</v>
      </c>
      <c r="K45">
        <f>_xlfn.XLOOKUP(Table29[[#This Row],[city_name1]], Table5[city_name], Table5[city_id], "Not Found")</f>
        <v>32</v>
      </c>
      <c r="L45">
        <v>21</v>
      </c>
      <c r="R45">
        <v>2</v>
      </c>
      <c r="S45">
        <v>208</v>
      </c>
      <c r="T45">
        <v>5</v>
      </c>
      <c r="V45">
        <v>12</v>
      </c>
      <c r="W45">
        <v>69</v>
      </c>
      <c r="Y45">
        <v>44</v>
      </c>
      <c r="Z45" t="s">
        <v>136</v>
      </c>
      <c r="AA45" t="s">
        <v>137</v>
      </c>
      <c r="AB45">
        <v>2</v>
      </c>
      <c r="AC45">
        <v>9</v>
      </c>
      <c r="AD45">
        <v>0</v>
      </c>
      <c r="AE45">
        <v>15</v>
      </c>
      <c r="AF45">
        <v>-6.1949978000000003</v>
      </c>
      <c r="AG45">
        <v>106.8230496</v>
      </c>
    </row>
    <row r="46" spans="1:33" x14ac:dyDescent="0.25">
      <c r="A46">
        <v>45</v>
      </c>
      <c r="B46" t="str">
        <f>TRIM(LEFT(Table1[[#This Row],[Location]],SEARCH(",",Table1[[#This Row],[Location]],1)-1))</f>
        <v>Karawang</v>
      </c>
      <c r="C46" t="str">
        <f>TRIM(MID(Table1[[#This Row],[Location]],SEARCH(",",Table1[[#This Row],[Location]],1)+1,LEN(Table1[[#This Row],[Location]])))</f>
        <v>Jawa Barat</v>
      </c>
      <c r="I46">
        <v>45</v>
      </c>
      <c r="J46" t="s">
        <v>942</v>
      </c>
      <c r="K46">
        <f>_xlfn.XLOOKUP(Table29[[#This Row],[city_name1]], Table5[city_name], Table5[city_id], "Not Found")</f>
        <v>29</v>
      </c>
      <c r="L46">
        <v>25</v>
      </c>
      <c r="R46">
        <v>2</v>
      </c>
      <c r="S46">
        <v>208</v>
      </c>
      <c r="T46">
        <v>3</v>
      </c>
      <c r="V46">
        <v>13</v>
      </c>
      <c r="W46">
        <v>4</v>
      </c>
      <c r="Y46">
        <v>45</v>
      </c>
      <c r="Z46" t="s">
        <v>138</v>
      </c>
      <c r="AA46" t="s">
        <v>139</v>
      </c>
      <c r="AB46">
        <v>5</v>
      </c>
      <c r="AC46">
        <v>14</v>
      </c>
      <c r="AD46">
        <v>185000</v>
      </c>
      <c r="AF46">
        <v>-6.1752646999999996</v>
      </c>
      <c r="AG46">
        <v>106.79046839999999</v>
      </c>
    </row>
    <row r="47" spans="1:33" x14ac:dyDescent="0.25">
      <c r="A47">
        <v>46</v>
      </c>
      <c r="B47" t="str">
        <f>TRIM(LEFT(Table1[[#This Row],[Location]],SEARCH(",",Table1[[#This Row],[Location]],1)-1))</f>
        <v>Purwakarat</v>
      </c>
      <c r="C47" t="str">
        <f>TRIM(MID(Table1[[#This Row],[Location]],SEARCH(",",Table1[[#This Row],[Location]],1)+1,LEN(Table1[[#This Row],[Location]])))</f>
        <v>Jawa Barat</v>
      </c>
      <c r="I47">
        <v>46</v>
      </c>
      <c r="J47" t="s">
        <v>957</v>
      </c>
      <c r="K47">
        <f>_xlfn.XLOOKUP(Table29[[#This Row],[city_name1]], Table5[city_name], Table5[city_id], "Not Found")</f>
        <v>31</v>
      </c>
      <c r="L47">
        <v>38</v>
      </c>
      <c r="R47">
        <v>2</v>
      </c>
      <c r="S47">
        <v>262</v>
      </c>
      <c r="T47">
        <v>3</v>
      </c>
      <c r="V47">
        <v>13</v>
      </c>
      <c r="W47">
        <v>82</v>
      </c>
      <c r="Y47">
        <v>46</v>
      </c>
      <c r="Z47" t="s">
        <v>140</v>
      </c>
      <c r="AA47" t="s">
        <v>141</v>
      </c>
      <c r="AB47">
        <v>1</v>
      </c>
      <c r="AC47">
        <v>13</v>
      </c>
      <c r="AD47">
        <v>40000</v>
      </c>
      <c r="AF47">
        <v>-5.7296715999999996</v>
      </c>
      <c r="AG47">
        <v>106.5714158</v>
      </c>
    </row>
    <row r="48" spans="1:33" x14ac:dyDescent="0.25">
      <c r="A48">
        <v>47</v>
      </c>
      <c r="B48" t="str">
        <f>TRIM(LEFT(Table1[[#This Row],[Location]],SEARCH(",",Table1[[#This Row],[Location]],1)-1))</f>
        <v>Jakarta Utara</v>
      </c>
      <c r="C48" t="str">
        <f>TRIM(MID(Table1[[#This Row],[Location]],SEARCH(",",Table1[[#This Row],[Location]],1)+1,LEN(Table1[[#This Row],[Location]])))</f>
        <v>DKI Jakarta</v>
      </c>
      <c r="I48">
        <v>47</v>
      </c>
      <c r="J48" t="s">
        <v>951</v>
      </c>
      <c r="K48">
        <f>_xlfn.XLOOKUP(Table29[[#This Row],[city_name1]], Table5[city_name], Table5[city_id], "Not Found")</f>
        <v>11</v>
      </c>
      <c r="L48">
        <v>31</v>
      </c>
      <c r="R48">
        <v>2</v>
      </c>
      <c r="S48">
        <v>281</v>
      </c>
      <c r="T48">
        <v>2</v>
      </c>
      <c r="V48">
        <v>13</v>
      </c>
      <c r="W48">
        <v>25</v>
      </c>
      <c r="Y48">
        <v>47</v>
      </c>
      <c r="Z48" t="s">
        <v>142</v>
      </c>
      <c r="AA48" t="s">
        <v>143</v>
      </c>
      <c r="AB48">
        <v>5</v>
      </c>
      <c r="AC48">
        <v>9</v>
      </c>
      <c r="AD48">
        <v>0</v>
      </c>
      <c r="AF48">
        <v>-6.1978860999999998</v>
      </c>
      <c r="AG48">
        <v>106.8346708</v>
      </c>
    </row>
    <row r="49" spans="1:33" x14ac:dyDescent="0.25">
      <c r="A49">
        <v>48</v>
      </c>
      <c r="B49" t="str">
        <f>TRIM(LEFT(Table1[[#This Row],[Location]],SEARCH(",",Table1[[#This Row],[Location]],1)-1))</f>
        <v>Jakarta Selatan</v>
      </c>
      <c r="C49" t="str">
        <f>TRIM(MID(Table1[[#This Row],[Location]],SEARCH(",",Table1[[#This Row],[Location]],1)+1,LEN(Table1[[#This Row],[Location]])))</f>
        <v>DKI Jakarta</v>
      </c>
      <c r="I49">
        <v>48</v>
      </c>
      <c r="J49" t="s">
        <v>953</v>
      </c>
      <c r="K49">
        <f>_xlfn.XLOOKUP(Table29[[#This Row],[city_name1]], Table5[city_name], Table5[city_id], "Not Found")</f>
        <v>12</v>
      </c>
      <c r="L49">
        <v>35</v>
      </c>
      <c r="R49">
        <v>2</v>
      </c>
      <c r="S49">
        <v>320</v>
      </c>
      <c r="T49">
        <v>3</v>
      </c>
      <c r="V49">
        <v>14</v>
      </c>
      <c r="W49">
        <v>25</v>
      </c>
      <c r="Y49">
        <v>48</v>
      </c>
      <c r="Z49" t="s">
        <v>144</v>
      </c>
      <c r="AA49" t="s">
        <v>145</v>
      </c>
      <c r="AB49">
        <v>2</v>
      </c>
      <c r="AC49">
        <v>9</v>
      </c>
      <c r="AD49">
        <v>5000</v>
      </c>
      <c r="AF49">
        <v>-6.1891585999999998</v>
      </c>
      <c r="AG49">
        <v>106.8397738</v>
      </c>
    </row>
    <row r="50" spans="1:33" x14ac:dyDescent="0.25">
      <c r="A50">
        <v>49</v>
      </c>
      <c r="B50" t="str">
        <f>TRIM(LEFT(Table1[[#This Row],[Location]],SEARCH(",",Table1[[#This Row],[Location]],1)-1))</f>
        <v>Jakarta Pusat</v>
      </c>
      <c r="C50" t="str">
        <f>TRIM(MID(Table1[[#This Row],[Location]],SEARCH(",",Table1[[#This Row],[Location]],1)+1,LEN(Table1[[#This Row],[Location]])))</f>
        <v>DKI Jakarta</v>
      </c>
      <c r="I50">
        <v>49</v>
      </c>
      <c r="J50" t="s">
        <v>949</v>
      </c>
      <c r="K50">
        <f>_xlfn.XLOOKUP(Table29[[#This Row],[city_name1]], Table5[city_name], Table5[city_id], "Not Found")</f>
        <v>9</v>
      </c>
      <c r="L50">
        <v>24</v>
      </c>
      <c r="R50">
        <v>2</v>
      </c>
      <c r="S50">
        <v>321</v>
      </c>
      <c r="T50">
        <v>4</v>
      </c>
      <c r="V50">
        <v>14</v>
      </c>
      <c r="W50">
        <v>34</v>
      </c>
      <c r="Y50">
        <v>49</v>
      </c>
      <c r="Z50" t="s">
        <v>146</v>
      </c>
      <c r="AA50" t="s">
        <v>147</v>
      </c>
      <c r="AB50">
        <v>2</v>
      </c>
      <c r="AC50">
        <v>9</v>
      </c>
      <c r="AD50">
        <v>0</v>
      </c>
      <c r="AE50">
        <v>90</v>
      </c>
      <c r="AF50">
        <v>-6.1948499000000004</v>
      </c>
      <c r="AG50">
        <v>106.8200607</v>
      </c>
    </row>
    <row r="51" spans="1:33" x14ac:dyDescent="0.25">
      <c r="A51">
        <v>50</v>
      </c>
      <c r="B51" t="str">
        <f>TRIM(LEFT(Table1[[#This Row],[Location]],SEARCH(",",Table1[[#This Row],[Location]],1)-1))</f>
        <v>Bekasi</v>
      </c>
      <c r="C51" t="str">
        <f>TRIM(MID(Table1[[#This Row],[Location]],SEARCH(",",Table1[[#This Row],[Location]],1)+1,LEN(Table1[[#This Row],[Location]])))</f>
        <v>Jawa Barat</v>
      </c>
      <c r="I51">
        <v>50</v>
      </c>
      <c r="J51" t="s">
        <v>925</v>
      </c>
      <c r="K51">
        <f>_xlfn.XLOOKUP(Table29[[#This Row],[city_name1]], Table5[city_name], Table5[city_id], "Not Found")</f>
        <v>24</v>
      </c>
      <c r="L51">
        <v>19</v>
      </c>
      <c r="R51">
        <v>2</v>
      </c>
      <c r="S51">
        <v>366</v>
      </c>
      <c r="T51">
        <v>2</v>
      </c>
      <c r="V51">
        <v>14</v>
      </c>
      <c r="W51">
        <v>15</v>
      </c>
      <c r="Y51">
        <v>50</v>
      </c>
      <c r="Z51" t="s">
        <v>148</v>
      </c>
      <c r="AA51" t="s">
        <v>149</v>
      </c>
      <c r="AB51">
        <v>2</v>
      </c>
      <c r="AC51">
        <v>9</v>
      </c>
      <c r="AD51">
        <v>2000</v>
      </c>
      <c r="AF51">
        <v>-6.1861838000000002</v>
      </c>
      <c r="AG51">
        <v>106.8364761</v>
      </c>
    </row>
    <row r="52" spans="1:33" x14ac:dyDescent="0.25">
      <c r="A52">
        <v>51</v>
      </c>
      <c r="B52" t="str">
        <f>TRIM(LEFT(Table1[[#This Row],[Location]],SEARCH(",",Table1[[#This Row],[Location]],1)-1))</f>
        <v>Bogor</v>
      </c>
      <c r="C52" t="str">
        <f>TRIM(MID(Table1[[#This Row],[Location]],SEARCH(",",Table1[[#This Row],[Location]],1)+1,LEN(Table1[[#This Row],[Location]])))</f>
        <v>Jawa Barat</v>
      </c>
      <c r="I52">
        <v>51</v>
      </c>
      <c r="J52" t="s">
        <v>929</v>
      </c>
      <c r="K52">
        <f>_xlfn.XLOOKUP(Table29[[#This Row],[city_name1]], Table5[city_name], Table5[city_id], "Not Found")</f>
        <v>25</v>
      </c>
      <c r="L52">
        <v>29</v>
      </c>
      <c r="R52">
        <v>2</v>
      </c>
      <c r="S52">
        <v>370</v>
      </c>
      <c r="T52">
        <v>3</v>
      </c>
      <c r="V52">
        <v>14</v>
      </c>
      <c r="W52">
        <v>68</v>
      </c>
      <c r="Y52">
        <v>51</v>
      </c>
      <c r="Z52" t="s">
        <v>150</v>
      </c>
      <c r="AA52" t="s">
        <v>151</v>
      </c>
      <c r="AB52">
        <v>5</v>
      </c>
      <c r="AC52">
        <v>9</v>
      </c>
      <c r="AD52">
        <v>12000</v>
      </c>
      <c r="AE52">
        <v>120</v>
      </c>
      <c r="AF52">
        <v>-6.1900819</v>
      </c>
      <c r="AG52">
        <v>106.8388532</v>
      </c>
    </row>
    <row r="53" spans="1:33" x14ac:dyDescent="0.25">
      <c r="A53">
        <v>52</v>
      </c>
      <c r="B53" t="str">
        <f>TRIM(LEFT(Table1[[#This Row],[Location]],SEARCH(",",Table1[[#This Row],[Location]],1)-1))</f>
        <v>Karawang</v>
      </c>
      <c r="C53" t="str">
        <f>TRIM(MID(Table1[[#This Row],[Location]],SEARCH(",",Table1[[#This Row],[Location]],1)+1,LEN(Table1[[#This Row],[Location]])))</f>
        <v>Jawa Barat</v>
      </c>
      <c r="I53">
        <v>52</v>
      </c>
      <c r="J53" t="s">
        <v>942</v>
      </c>
      <c r="K53">
        <f>_xlfn.XLOOKUP(Table29[[#This Row],[city_name1]], Table5[city_name], Table5[city_id], "Not Found")</f>
        <v>29</v>
      </c>
      <c r="L53">
        <v>18</v>
      </c>
      <c r="R53">
        <v>2</v>
      </c>
      <c r="S53">
        <v>383</v>
      </c>
      <c r="T53">
        <v>5</v>
      </c>
      <c r="V53">
        <v>15</v>
      </c>
      <c r="W53">
        <v>81</v>
      </c>
      <c r="Y53">
        <v>52</v>
      </c>
      <c r="Z53" t="s">
        <v>152</v>
      </c>
      <c r="AA53" t="s">
        <v>153</v>
      </c>
      <c r="AB53">
        <v>2</v>
      </c>
      <c r="AC53">
        <v>10</v>
      </c>
      <c r="AD53">
        <v>15000</v>
      </c>
      <c r="AF53">
        <v>-6.3651356999999997</v>
      </c>
      <c r="AG53">
        <v>106.7617984</v>
      </c>
    </row>
    <row r="54" spans="1:33" x14ac:dyDescent="0.25">
      <c r="A54">
        <v>53</v>
      </c>
      <c r="B54" t="str">
        <f>TRIM(LEFT(Table1[[#This Row],[Location]],SEARCH(",",Table1[[#This Row],[Location]],1)-1))</f>
        <v>Subang</v>
      </c>
      <c r="C54" t="str">
        <f>TRIM(MID(Table1[[#This Row],[Location]],SEARCH(",",Table1[[#This Row],[Location]],1)+1,LEN(Table1[[#This Row],[Location]])))</f>
        <v>Jawa Barat</v>
      </c>
      <c r="I54">
        <v>53</v>
      </c>
      <c r="J54" t="s">
        <v>931</v>
      </c>
      <c r="K54">
        <f>_xlfn.XLOOKUP(Table29[[#This Row],[city_name1]], Table5[city_name], Table5[city_id], "Not Found")</f>
        <v>32</v>
      </c>
      <c r="L54">
        <v>28</v>
      </c>
      <c r="R54">
        <v>2</v>
      </c>
      <c r="S54">
        <v>388</v>
      </c>
      <c r="T54">
        <v>2</v>
      </c>
      <c r="V54">
        <v>15</v>
      </c>
      <c r="W54">
        <v>35</v>
      </c>
      <c r="Y54">
        <v>53</v>
      </c>
      <c r="Z54" t="s">
        <v>154</v>
      </c>
      <c r="AA54" t="s">
        <v>155</v>
      </c>
      <c r="AB54">
        <v>2</v>
      </c>
      <c r="AC54">
        <v>11</v>
      </c>
      <c r="AD54">
        <v>5000</v>
      </c>
      <c r="AE54">
        <v>90</v>
      </c>
      <c r="AF54">
        <v>-6.1001599999999998</v>
      </c>
      <c r="AG54">
        <v>106.96057</v>
      </c>
    </row>
    <row r="55" spans="1:33" x14ac:dyDescent="0.25">
      <c r="A55">
        <v>54</v>
      </c>
      <c r="B55" t="str">
        <f>TRIM(LEFT(Table1[[#This Row],[Location]],SEARCH(",",Table1[[#This Row],[Location]],1)-1))</f>
        <v>Serang</v>
      </c>
      <c r="C55" t="str">
        <f>TRIM(MID(Table1[[#This Row],[Location]],SEARCH(",",Table1[[#This Row],[Location]],1)+1,LEN(Table1[[#This Row],[Location]])))</f>
        <v>Banten</v>
      </c>
      <c r="I55">
        <v>54</v>
      </c>
      <c r="J55" t="s">
        <v>939</v>
      </c>
      <c r="K55">
        <f>_xlfn.XLOOKUP(Table29[[#This Row],[city_name1]], Table5[city_name], Table5[city_id], "Not Found")</f>
        <v>1</v>
      </c>
      <c r="L55">
        <v>31</v>
      </c>
      <c r="R55">
        <v>2</v>
      </c>
      <c r="S55">
        <v>389</v>
      </c>
      <c r="T55">
        <v>2</v>
      </c>
      <c r="V55">
        <v>15</v>
      </c>
      <c r="W55">
        <v>80</v>
      </c>
      <c r="Y55">
        <v>54</v>
      </c>
      <c r="Z55" t="s">
        <v>156</v>
      </c>
      <c r="AA55" t="s">
        <v>157</v>
      </c>
      <c r="AB55">
        <v>5</v>
      </c>
      <c r="AC55">
        <v>10</v>
      </c>
      <c r="AD55">
        <v>0</v>
      </c>
      <c r="AF55">
        <v>-6.3401513999999999</v>
      </c>
      <c r="AG55">
        <v>106.9012561</v>
      </c>
    </row>
    <row r="56" spans="1:33" x14ac:dyDescent="0.25">
      <c r="A56">
        <v>55</v>
      </c>
      <c r="B56" t="str">
        <f>TRIM(LEFT(Table1[[#This Row],[Location]],SEARCH(",",Table1[[#This Row],[Location]],1)-1))</f>
        <v>Tanggerang</v>
      </c>
      <c r="C56" t="str">
        <f>TRIM(MID(Table1[[#This Row],[Location]],SEARCH(",",Table1[[#This Row],[Location]],1)+1,LEN(Table1[[#This Row],[Location]])))</f>
        <v>Banten</v>
      </c>
      <c r="I56">
        <v>55</v>
      </c>
      <c r="J56" t="s">
        <v>937</v>
      </c>
      <c r="K56">
        <f>_xlfn.XLOOKUP(Table29[[#This Row],[city_name1]], Table5[city_name], Table5[city_id], "Not Found")</f>
        <v>2</v>
      </c>
      <c r="L56">
        <v>19</v>
      </c>
      <c r="R56">
        <v>2</v>
      </c>
      <c r="S56">
        <v>406</v>
      </c>
      <c r="T56">
        <v>5</v>
      </c>
      <c r="V56">
        <v>16</v>
      </c>
      <c r="W56">
        <v>50</v>
      </c>
      <c r="Y56">
        <v>55</v>
      </c>
      <c r="Z56" t="s">
        <v>158</v>
      </c>
      <c r="AA56" t="s">
        <v>159</v>
      </c>
      <c r="AB56">
        <v>6</v>
      </c>
      <c r="AC56">
        <v>14</v>
      </c>
      <c r="AD56">
        <v>0</v>
      </c>
      <c r="AF56">
        <v>-6.1444736999999998</v>
      </c>
      <c r="AG56">
        <v>106.8126018</v>
      </c>
    </row>
    <row r="57" spans="1:33" x14ac:dyDescent="0.25">
      <c r="A57">
        <v>56</v>
      </c>
      <c r="B57" t="str">
        <f>TRIM(LEFT(Table1[[#This Row],[Location]],SEARCH(",",Table1[[#This Row],[Location]],1)-1))</f>
        <v>Kota Gede</v>
      </c>
      <c r="C57" t="str">
        <f>TRIM(MID(Table1[[#This Row],[Location]],SEARCH(",",Table1[[#This Row],[Location]],1)+1,LEN(Table1[[#This Row],[Location]])))</f>
        <v>DIY</v>
      </c>
      <c r="I57">
        <v>56</v>
      </c>
      <c r="J57" t="s">
        <v>941</v>
      </c>
      <c r="K57">
        <f>_xlfn.XLOOKUP(Table29[[#This Row],[city_name1]], Table5[city_name], Table5[city_id], "Not Found")</f>
        <v>36</v>
      </c>
      <c r="L57">
        <v>18</v>
      </c>
      <c r="R57">
        <v>2</v>
      </c>
      <c r="S57">
        <v>412</v>
      </c>
      <c r="T57">
        <v>3</v>
      </c>
      <c r="V57">
        <v>16</v>
      </c>
      <c r="W57">
        <v>17</v>
      </c>
      <c r="Y57">
        <v>56</v>
      </c>
      <c r="Z57" t="s">
        <v>160</v>
      </c>
      <c r="AA57" t="s">
        <v>161</v>
      </c>
      <c r="AB57">
        <v>1</v>
      </c>
      <c r="AC57">
        <v>11</v>
      </c>
      <c r="AD57">
        <v>25000</v>
      </c>
      <c r="AF57">
        <v>-6.1194214999999996</v>
      </c>
      <c r="AG57">
        <v>106.8502435</v>
      </c>
    </row>
    <row r="58" spans="1:33" x14ac:dyDescent="0.25">
      <c r="A58">
        <v>57</v>
      </c>
      <c r="B58" t="str">
        <f>TRIM(LEFT(Table1[[#This Row],[Location]],SEARCH(",",Table1[[#This Row],[Location]],1)-1))</f>
        <v>Yogyakarta</v>
      </c>
      <c r="C58" t="str">
        <f>TRIM(MID(Table1[[#This Row],[Location]],SEARCH(",",Table1[[#This Row],[Location]],1)+1,LEN(Table1[[#This Row],[Location]])))</f>
        <v>DIY</v>
      </c>
      <c r="I58">
        <v>57</v>
      </c>
      <c r="J58" t="s">
        <v>220</v>
      </c>
      <c r="K58">
        <f>_xlfn.XLOOKUP(Table29[[#This Row],[city_name1]], Table5[city_name], Table5[city_id], "Not Found")</f>
        <v>39</v>
      </c>
      <c r="L58">
        <v>21</v>
      </c>
      <c r="R58">
        <v>2</v>
      </c>
      <c r="S58">
        <v>425</v>
      </c>
      <c r="T58">
        <v>4</v>
      </c>
      <c r="V58">
        <v>16</v>
      </c>
      <c r="W58">
        <v>18</v>
      </c>
      <c r="Y58">
        <v>57</v>
      </c>
      <c r="Z58" t="s">
        <v>162</v>
      </c>
      <c r="AA58" t="s">
        <v>163</v>
      </c>
      <c r="AB58">
        <v>5</v>
      </c>
      <c r="AC58">
        <v>9</v>
      </c>
      <c r="AD58">
        <v>0</v>
      </c>
      <c r="AF58">
        <v>-6.1705550000000002</v>
      </c>
      <c r="AG58">
        <v>106.83503779999999</v>
      </c>
    </row>
    <row r="59" spans="1:33" x14ac:dyDescent="0.25">
      <c r="A59">
        <v>58</v>
      </c>
      <c r="B59" t="str">
        <f>TRIM(LEFT(Table1[[#This Row],[Location]],SEARCH(",",Table1[[#This Row],[Location]],1)-1))</f>
        <v>Lampung</v>
      </c>
      <c r="C59" t="str">
        <f>TRIM(MID(Table1[[#This Row],[Location]],SEARCH(",",Table1[[#This Row],[Location]],1)+1,LEN(Table1[[#This Row],[Location]])))</f>
        <v>Sumatera Selatan</v>
      </c>
      <c r="I59">
        <v>58</v>
      </c>
      <c r="J59" t="s">
        <v>927</v>
      </c>
      <c r="K59">
        <f>_xlfn.XLOOKUP(Table29[[#This Row],[city_name1]], Table5[city_name], Table5[city_id], "Not Found")</f>
        <v>20</v>
      </c>
      <c r="L59">
        <v>21</v>
      </c>
      <c r="R59">
        <v>2</v>
      </c>
      <c r="S59">
        <v>436</v>
      </c>
      <c r="T59">
        <v>5</v>
      </c>
      <c r="V59">
        <v>16</v>
      </c>
      <c r="W59">
        <v>20</v>
      </c>
      <c r="Y59">
        <v>58</v>
      </c>
      <c r="Z59" t="s">
        <v>164</v>
      </c>
      <c r="AA59" t="s">
        <v>165</v>
      </c>
      <c r="AB59">
        <v>5</v>
      </c>
      <c r="AC59">
        <v>12</v>
      </c>
      <c r="AD59">
        <v>0</v>
      </c>
      <c r="AE59">
        <v>45</v>
      </c>
      <c r="AF59">
        <v>-6.2452294000000004</v>
      </c>
      <c r="AG59">
        <v>106.79466549999999</v>
      </c>
    </row>
    <row r="60" spans="1:33" x14ac:dyDescent="0.25">
      <c r="A60">
        <v>59</v>
      </c>
      <c r="B60" t="str">
        <f>TRIM(LEFT(Table1[[#This Row],[Location]],SEARCH(",",Table1[[#This Row],[Location]],1)-1))</f>
        <v>Ponorogo</v>
      </c>
      <c r="C60" t="str">
        <f>TRIM(MID(Table1[[#This Row],[Location]],SEARCH(",",Table1[[#This Row],[Location]],1)+1,LEN(Table1[[#This Row],[Location]])))</f>
        <v>Jawa Timur</v>
      </c>
      <c r="I60">
        <v>59</v>
      </c>
      <c r="J60" t="s">
        <v>934</v>
      </c>
      <c r="K60">
        <f>_xlfn.XLOOKUP(Table29[[#This Row],[city_name1]], Table5[city_name], Table5[city_id], "Not Found")</f>
        <v>17</v>
      </c>
      <c r="L60">
        <v>26</v>
      </c>
      <c r="R60">
        <v>2</v>
      </c>
      <c r="S60">
        <v>436</v>
      </c>
      <c r="T60">
        <v>4</v>
      </c>
      <c r="V60">
        <v>16</v>
      </c>
      <c r="W60">
        <v>24</v>
      </c>
      <c r="Y60">
        <v>59</v>
      </c>
      <c r="Z60" t="s">
        <v>166</v>
      </c>
      <c r="AA60" t="s">
        <v>167</v>
      </c>
      <c r="AB60">
        <v>2</v>
      </c>
      <c r="AC60">
        <v>9</v>
      </c>
      <c r="AD60">
        <v>2000</v>
      </c>
      <c r="AF60">
        <v>-6.1838388000000002</v>
      </c>
      <c r="AG60">
        <v>106.84305070000001</v>
      </c>
    </row>
    <row r="61" spans="1:33" x14ac:dyDescent="0.25">
      <c r="A61">
        <v>60</v>
      </c>
      <c r="B61" t="str">
        <f>TRIM(LEFT(Table1[[#This Row],[Location]],SEARCH(",",Table1[[#This Row],[Location]],1)-1))</f>
        <v>Surabaya</v>
      </c>
      <c r="C61" t="str">
        <f>TRIM(MID(Table1[[#This Row],[Location]],SEARCH(",",Table1[[#This Row],[Location]],1)+1,LEN(Table1[[#This Row],[Location]])))</f>
        <v>Jawa Timur</v>
      </c>
      <c r="I61">
        <v>60</v>
      </c>
      <c r="J61" t="s">
        <v>834</v>
      </c>
      <c r="K61">
        <f>_xlfn.XLOOKUP(Table29[[#This Row],[city_name1]], Table5[city_name], Table5[city_id], "Not Found")</f>
        <v>19</v>
      </c>
      <c r="L61">
        <v>25</v>
      </c>
      <c r="R61">
        <v>3</v>
      </c>
      <c r="S61">
        <v>17</v>
      </c>
      <c r="T61">
        <v>5</v>
      </c>
      <c r="V61">
        <v>17</v>
      </c>
      <c r="W61">
        <v>59</v>
      </c>
      <c r="Y61">
        <v>60</v>
      </c>
      <c r="Z61" t="s">
        <v>168</v>
      </c>
      <c r="AA61" t="s">
        <v>169</v>
      </c>
      <c r="AB61">
        <v>2</v>
      </c>
      <c r="AC61">
        <v>14</v>
      </c>
      <c r="AD61">
        <v>5000</v>
      </c>
      <c r="AE61">
        <v>45</v>
      </c>
      <c r="AF61">
        <v>-6.1879634000000001</v>
      </c>
      <c r="AG61">
        <v>106.80960810000001</v>
      </c>
    </row>
    <row r="62" spans="1:33" x14ac:dyDescent="0.25">
      <c r="A62">
        <v>61</v>
      </c>
      <c r="B62" t="str">
        <f>TRIM(LEFT(Table1[[#This Row],[Location]],SEARCH(",",Table1[[#This Row],[Location]],1)-1))</f>
        <v>Nganjuk</v>
      </c>
      <c r="C62" t="str">
        <f>TRIM(MID(Table1[[#This Row],[Location]],SEARCH(",",Table1[[#This Row],[Location]],1)+1,LEN(Table1[[#This Row],[Location]])))</f>
        <v>Jawa Timur</v>
      </c>
      <c r="I62">
        <v>61</v>
      </c>
      <c r="J62" t="s">
        <v>943</v>
      </c>
      <c r="K62">
        <f>_xlfn.XLOOKUP(Table29[[#This Row],[city_name1]], Table5[city_name], Table5[city_id], "Not Found")</f>
        <v>16</v>
      </c>
      <c r="L62">
        <v>23</v>
      </c>
      <c r="R62">
        <v>3</v>
      </c>
      <c r="S62">
        <v>24</v>
      </c>
      <c r="T62">
        <v>4</v>
      </c>
      <c r="V62">
        <v>17</v>
      </c>
      <c r="W62">
        <v>61</v>
      </c>
      <c r="Y62">
        <v>61</v>
      </c>
      <c r="Z62" t="s">
        <v>170</v>
      </c>
      <c r="AA62" t="s">
        <v>171</v>
      </c>
      <c r="AB62">
        <v>2</v>
      </c>
      <c r="AC62">
        <v>9</v>
      </c>
      <c r="AD62">
        <v>0</v>
      </c>
      <c r="AF62">
        <v>-6.2030468000000001</v>
      </c>
      <c r="AG62">
        <v>106.84666230000001</v>
      </c>
    </row>
    <row r="63" spans="1:33" x14ac:dyDescent="0.25">
      <c r="A63">
        <v>62</v>
      </c>
      <c r="B63" t="str">
        <f>TRIM(LEFT(Table1[[#This Row],[Location]],SEARCH(",",Table1[[#This Row],[Location]],1)-1))</f>
        <v>Madura</v>
      </c>
      <c r="C63" t="str">
        <f>TRIM(MID(Table1[[#This Row],[Location]],SEARCH(",",Table1[[#This Row],[Location]],1)+1,LEN(Table1[[#This Row],[Location]])))</f>
        <v>Jawa Timur</v>
      </c>
      <c r="I63">
        <v>62</v>
      </c>
      <c r="J63" t="s">
        <v>944</v>
      </c>
      <c r="K63">
        <f>_xlfn.XLOOKUP(Table29[[#This Row],[city_name1]], Table5[city_name], Table5[city_id], "Not Found")</f>
        <v>15</v>
      </c>
      <c r="L63">
        <v>36</v>
      </c>
      <c r="R63">
        <v>3</v>
      </c>
      <c r="S63">
        <v>33</v>
      </c>
      <c r="T63">
        <v>4</v>
      </c>
      <c r="V63">
        <v>17</v>
      </c>
      <c r="W63">
        <v>65</v>
      </c>
      <c r="Y63">
        <v>62</v>
      </c>
      <c r="Z63" t="s">
        <v>172</v>
      </c>
      <c r="AA63" t="s">
        <v>173</v>
      </c>
      <c r="AB63">
        <v>5</v>
      </c>
      <c r="AC63">
        <v>10</v>
      </c>
      <c r="AD63">
        <v>30000</v>
      </c>
      <c r="AF63">
        <v>-6.3039041999999998</v>
      </c>
      <c r="AG63">
        <v>106.8936219</v>
      </c>
    </row>
    <row r="64" spans="1:33" x14ac:dyDescent="0.25">
      <c r="A64">
        <v>63</v>
      </c>
      <c r="B64" t="str">
        <f>TRIM(LEFT(Table1[[#This Row],[Location]],SEARCH(",",Table1[[#This Row],[Location]],1)-1))</f>
        <v>Semarang</v>
      </c>
      <c r="C64" t="str">
        <f>TRIM(MID(Table1[[#This Row],[Location]],SEARCH(",",Table1[[#This Row],[Location]],1)+1,LEN(Table1[[#This Row],[Location]])))</f>
        <v>Jawa Tengah</v>
      </c>
      <c r="I64">
        <v>63</v>
      </c>
      <c r="J64" t="s">
        <v>719</v>
      </c>
      <c r="K64">
        <f>_xlfn.XLOOKUP(Table29[[#This Row],[city_name1]], Table5[city_name], Table5[city_id], "Not Found")</f>
        <v>5</v>
      </c>
      <c r="L64">
        <v>35</v>
      </c>
      <c r="R64">
        <v>3</v>
      </c>
      <c r="S64">
        <v>48</v>
      </c>
      <c r="T64">
        <v>2</v>
      </c>
      <c r="V64">
        <v>17</v>
      </c>
      <c r="W64">
        <v>66</v>
      </c>
      <c r="Y64">
        <v>63</v>
      </c>
      <c r="Z64" t="s">
        <v>174</v>
      </c>
      <c r="AA64" t="s">
        <v>175</v>
      </c>
      <c r="AB64">
        <v>2</v>
      </c>
      <c r="AC64">
        <v>9</v>
      </c>
      <c r="AD64">
        <v>2000</v>
      </c>
      <c r="AE64">
        <v>45</v>
      </c>
      <c r="AF64">
        <v>-6.1783520000000003</v>
      </c>
      <c r="AG64">
        <v>106.838094</v>
      </c>
    </row>
    <row r="65" spans="1:33" x14ac:dyDescent="0.25">
      <c r="A65">
        <v>64</v>
      </c>
      <c r="B65" t="str">
        <f>TRIM(LEFT(Table1[[#This Row],[Location]],SEARCH(",",Table1[[#This Row],[Location]],1)-1))</f>
        <v>Bandung</v>
      </c>
      <c r="C65" t="str">
        <f>TRIM(MID(Table1[[#This Row],[Location]],SEARCH(",",Table1[[#This Row],[Location]],1)+1,LEN(Table1[[#This Row],[Location]])))</f>
        <v>Jawa Barat</v>
      </c>
      <c r="I65">
        <v>64</v>
      </c>
      <c r="J65" t="s">
        <v>472</v>
      </c>
      <c r="K65">
        <f>_xlfn.XLOOKUP(Table29[[#This Row],[city_name1]], Table5[city_name], Table5[city_id], "Not Found")</f>
        <v>22</v>
      </c>
      <c r="L65">
        <v>38</v>
      </c>
      <c r="R65">
        <v>3</v>
      </c>
      <c r="S65">
        <v>54</v>
      </c>
      <c r="T65">
        <v>2</v>
      </c>
      <c r="V65">
        <v>17</v>
      </c>
      <c r="W65">
        <v>73</v>
      </c>
      <c r="Y65">
        <v>64</v>
      </c>
      <c r="Z65" t="s">
        <v>176</v>
      </c>
      <c r="AA65" t="s">
        <v>177</v>
      </c>
      <c r="AB65">
        <v>2</v>
      </c>
      <c r="AC65">
        <v>9</v>
      </c>
      <c r="AD65">
        <v>2000</v>
      </c>
      <c r="AE65">
        <v>45</v>
      </c>
      <c r="AF65">
        <v>-6.2046302999999998</v>
      </c>
      <c r="AG65">
        <v>106.8365324</v>
      </c>
    </row>
    <row r="66" spans="1:33" x14ac:dyDescent="0.25">
      <c r="A66">
        <v>65</v>
      </c>
      <c r="B66" t="str">
        <f>TRIM(LEFT(Table1[[#This Row],[Location]],SEARCH(",",Table1[[#This Row],[Location]],1)-1))</f>
        <v>Yogyakarta</v>
      </c>
      <c r="C66" t="str">
        <f>TRIM(MID(Table1[[#This Row],[Location]],SEARCH(",",Table1[[#This Row],[Location]],1)+1,LEN(Table1[[#This Row],[Location]])))</f>
        <v>DIY</v>
      </c>
      <c r="I66">
        <v>65</v>
      </c>
      <c r="J66" t="s">
        <v>220</v>
      </c>
      <c r="K66">
        <f>_xlfn.XLOOKUP(Table29[[#This Row],[city_name1]], Table5[city_name], Table5[city_id], "Not Found")</f>
        <v>39</v>
      </c>
      <c r="L66">
        <v>22</v>
      </c>
      <c r="R66">
        <v>3</v>
      </c>
      <c r="S66">
        <v>70</v>
      </c>
      <c r="T66">
        <v>3</v>
      </c>
      <c r="V66">
        <v>18</v>
      </c>
      <c r="W66">
        <v>55</v>
      </c>
      <c r="Y66">
        <v>65</v>
      </c>
      <c r="Z66" t="s">
        <v>178</v>
      </c>
      <c r="AA66" t="s">
        <v>179</v>
      </c>
      <c r="AB66">
        <v>2</v>
      </c>
      <c r="AC66">
        <v>12</v>
      </c>
      <c r="AD66">
        <v>1000</v>
      </c>
      <c r="AE66">
        <v>90</v>
      </c>
      <c r="AF66">
        <v>-6.2897885000000002</v>
      </c>
      <c r="AG66">
        <v>106.79326810000001</v>
      </c>
    </row>
    <row r="67" spans="1:33" x14ac:dyDescent="0.25">
      <c r="A67">
        <v>66</v>
      </c>
      <c r="B67" t="str">
        <f>TRIM(LEFT(Table1[[#This Row],[Location]],SEARCH(",",Table1[[#This Row],[Location]],1)-1))</f>
        <v>Bekasi</v>
      </c>
      <c r="C67" t="str">
        <f>TRIM(MID(Table1[[#This Row],[Location]],SEARCH(",",Table1[[#This Row],[Location]],1)+1,LEN(Table1[[#This Row],[Location]])))</f>
        <v>Jawa Barat</v>
      </c>
      <c r="I67">
        <v>66</v>
      </c>
      <c r="J67" t="s">
        <v>925</v>
      </c>
      <c r="K67">
        <f>_xlfn.XLOOKUP(Table29[[#This Row],[city_name1]], Table5[city_name], Table5[city_id], "Not Found")</f>
        <v>24</v>
      </c>
      <c r="L67">
        <v>33</v>
      </c>
      <c r="R67">
        <v>3</v>
      </c>
      <c r="S67">
        <v>86</v>
      </c>
      <c r="T67">
        <v>4</v>
      </c>
      <c r="V67">
        <v>18</v>
      </c>
      <c r="W67">
        <v>22</v>
      </c>
      <c r="Y67">
        <v>66</v>
      </c>
      <c r="Z67" t="s">
        <v>180</v>
      </c>
      <c r="AA67" t="s">
        <v>181</v>
      </c>
      <c r="AB67">
        <v>2</v>
      </c>
      <c r="AC67">
        <v>12</v>
      </c>
      <c r="AD67">
        <v>10000</v>
      </c>
      <c r="AE67">
        <v>90</v>
      </c>
      <c r="AF67">
        <v>-6.3080281999999999</v>
      </c>
      <c r="AG67">
        <v>106.790548</v>
      </c>
    </row>
    <row r="68" spans="1:33" x14ac:dyDescent="0.25">
      <c r="A68">
        <v>67</v>
      </c>
      <c r="B68" t="str">
        <f>TRIM(LEFT(Table1[[#This Row],[Location]],SEARCH(",",Table1[[#This Row],[Location]],1)-1))</f>
        <v>Surabaya</v>
      </c>
      <c r="C68" t="str">
        <f>TRIM(MID(Table1[[#This Row],[Location]],SEARCH(",",Table1[[#This Row],[Location]],1)+1,LEN(Table1[[#This Row],[Location]])))</f>
        <v>Jawa Timur</v>
      </c>
      <c r="I68">
        <v>67</v>
      </c>
      <c r="J68" t="s">
        <v>834</v>
      </c>
      <c r="K68">
        <f>_xlfn.XLOOKUP(Table29[[#This Row],[city_name1]], Table5[city_name], Table5[city_id], "Not Found")</f>
        <v>19</v>
      </c>
      <c r="L68">
        <v>25</v>
      </c>
      <c r="R68">
        <v>3</v>
      </c>
      <c r="S68">
        <v>100</v>
      </c>
      <c r="T68">
        <v>4</v>
      </c>
      <c r="V68">
        <v>18</v>
      </c>
      <c r="W68">
        <v>23</v>
      </c>
      <c r="Y68">
        <v>67</v>
      </c>
      <c r="Z68" t="s">
        <v>182</v>
      </c>
      <c r="AA68" t="s">
        <v>183</v>
      </c>
      <c r="AB68">
        <v>3</v>
      </c>
      <c r="AC68">
        <v>11</v>
      </c>
      <c r="AD68">
        <v>25000</v>
      </c>
      <c r="AE68">
        <v>15</v>
      </c>
      <c r="AF68">
        <v>-6.1160075000000003</v>
      </c>
      <c r="AG68">
        <v>106.7692016</v>
      </c>
    </row>
    <row r="69" spans="1:33" x14ac:dyDescent="0.25">
      <c r="A69">
        <v>68</v>
      </c>
      <c r="B69" t="str">
        <f>TRIM(LEFT(Table1[[#This Row],[Location]],SEARCH(",",Table1[[#This Row],[Location]],1)-1))</f>
        <v>Kota Gede</v>
      </c>
      <c r="C69" t="str">
        <f>TRIM(MID(Table1[[#This Row],[Location]],SEARCH(",",Table1[[#This Row],[Location]],1)+1,LEN(Table1[[#This Row],[Location]])))</f>
        <v>DIY</v>
      </c>
      <c r="I69">
        <v>68</v>
      </c>
      <c r="J69" t="s">
        <v>941</v>
      </c>
      <c r="K69">
        <f>_xlfn.XLOOKUP(Table29[[#This Row],[city_name1]], Table5[city_name], Table5[city_id], "Not Found")</f>
        <v>36</v>
      </c>
      <c r="L69">
        <v>37</v>
      </c>
      <c r="R69">
        <v>3</v>
      </c>
      <c r="S69">
        <v>104</v>
      </c>
      <c r="T69">
        <v>3</v>
      </c>
      <c r="V69">
        <v>19</v>
      </c>
      <c r="W69">
        <v>30</v>
      </c>
      <c r="Y69">
        <v>68</v>
      </c>
      <c r="Z69" t="s">
        <v>184</v>
      </c>
      <c r="AA69" t="s">
        <v>185</v>
      </c>
      <c r="AB69">
        <v>4</v>
      </c>
      <c r="AC69">
        <v>14</v>
      </c>
      <c r="AD69">
        <v>0</v>
      </c>
      <c r="AE69">
        <v>45</v>
      </c>
      <c r="AF69">
        <v>-6.1436722000000001</v>
      </c>
      <c r="AG69">
        <v>106.8129398</v>
      </c>
    </row>
    <row r="70" spans="1:33" x14ac:dyDescent="0.25">
      <c r="A70">
        <v>69</v>
      </c>
      <c r="B70" t="str">
        <f>TRIM(LEFT(Table1[[#This Row],[Location]],SEARCH(",",Table1[[#This Row],[Location]],1)-1))</f>
        <v>Bekasi</v>
      </c>
      <c r="C70" t="str">
        <f>TRIM(MID(Table1[[#This Row],[Location]],SEARCH(",",Table1[[#This Row],[Location]],1)+1,LEN(Table1[[#This Row],[Location]])))</f>
        <v>Jawa Barat</v>
      </c>
      <c r="I70">
        <v>69</v>
      </c>
      <c r="J70" t="s">
        <v>925</v>
      </c>
      <c r="K70">
        <f>_xlfn.XLOOKUP(Table29[[#This Row],[city_name1]], Table5[city_name], Table5[city_id], "Not Found")</f>
        <v>24</v>
      </c>
      <c r="L70">
        <v>24</v>
      </c>
      <c r="R70">
        <v>3</v>
      </c>
      <c r="S70">
        <v>105</v>
      </c>
      <c r="T70">
        <v>5</v>
      </c>
      <c r="V70">
        <v>19</v>
      </c>
      <c r="W70">
        <v>33</v>
      </c>
      <c r="Y70">
        <v>69</v>
      </c>
      <c r="Z70" t="s">
        <v>186</v>
      </c>
      <c r="AA70" t="s">
        <v>187</v>
      </c>
      <c r="AB70">
        <v>2</v>
      </c>
      <c r="AC70">
        <v>9</v>
      </c>
      <c r="AD70">
        <v>0</v>
      </c>
      <c r="AF70">
        <v>-6.2022481999999997</v>
      </c>
      <c r="AG70">
        <v>106.8451968</v>
      </c>
    </row>
    <row r="71" spans="1:33" x14ac:dyDescent="0.25">
      <c r="A71">
        <v>70</v>
      </c>
      <c r="B71" t="str">
        <f>TRIM(LEFT(Table1[[#This Row],[Location]],SEARCH(",",Table1[[#This Row],[Location]],1)-1))</f>
        <v>Bogor</v>
      </c>
      <c r="C71" t="str">
        <f>TRIM(MID(Table1[[#This Row],[Location]],SEARCH(",",Table1[[#This Row],[Location]],1)+1,LEN(Table1[[#This Row],[Location]])))</f>
        <v>Jawa Barat</v>
      </c>
      <c r="I71">
        <v>70</v>
      </c>
      <c r="J71" t="s">
        <v>929</v>
      </c>
      <c r="K71">
        <f>_xlfn.XLOOKUP(Table29[[#This Row],[city_name1]], Table5[city_name], Table5[city_id], "Not Found")</f>
        <v>25</v>
      </c>
      <c r="L71">
        <v>21</v>
      </c>
      <c r="R71">
        <v>3</v>
      </c>
      <c r="S71">
        <v>118</v>
      </c>
      <c r="T71">
        <v>2</v>
      </c>
      <c r="V71">
        <v>19</v>
      </c>
      <c r="W71">
        <v>57</v>
      </c>
      <c r="Y71">
        <v>70</v>
      </c>
      <c r="Z71" t="s">
        <v>188</v>
      </c>
      <c r="AA71" t="s">
        <v>189</v>
      </c>
      <c r="AB71">
        <v>2</v>
      </c>
      <c r="AC71">
        <v>9</v>
      </c>
      <c r="AD71">
        <v>0</v>
      </c>
      <c r="AE71">
        <v>240</v>
      </c>
      <c r="AF71">
        <v>-6.1812918000000003</v>
      </c>
      <c r="AG71">
        <v>106.8268717</v>
      </c>
    </row>
    <row r="72" spans="1:33" x14ac:dyDescent="0.25">
      <c r="A72">
        <v>71</v>
      </c>
      <c r="B72" t="str">
        <f>TRIM(LEFT(Table1[[#This Row],[Location]],SEARCH(",",Table1[[#This Row],[Location]],1)-1))</f>
        <v>Depok</v>
      </c>
      <c r="C72" t="str">
        <f>TRIM(MID(Table1[[#This Row],[Location]],SEARCH(",",Table1[[#This Row],[Location]],1)+1,LEN(Table1[[#This Row],[Location]])))</f>
        <v>Jawa Barat</v>
      </c>
      <c r="I72">
        <v>71</v>
      </c>
      <c r="J72" t="s">
        <v>930</v>
      </c>
      <c r="K72">
        <f>_xlfn.XLOOKUP(Table29[[#This Row],[city_name1]], Table5[city_name], Table5[city_id], "Not Found")</f>
        <v>27</v>
      </c>
      <c r="L72">
        <v>39</v>
      </c>
      <c r="R72">
        <v>3</v>
      </c>
      <c r="S72">
        <v>128</v>
      </c>
      <c r="T72">
        <v>5</v>
      </c>
      <c r="V72">
        <v>19</v>
      </c>
      <c r="W72">
        <v>76</v>
      </c>
      <c r="Y72">
        <v>71</v>
      </c>
      <c r="Z72" t="s">
        <v>190</v>
      </c>
      <c r="AA72" t="s">
        <v>191</v>
      </c>
      <c r="AB72">
        <v>3</v>
      </c>
      <c r="AC72">
        <v>10</v>
      </c>
      <c r="AD72">
        <v>50000</v>
      </c>
      <c r="AF72">
        <v>-6.3799969000000001</v>
      </c>
      <c r="AG72">
        <v>106.8949793</v>
      </c>
    </row>
    <row r="73" spans="1:33" x14ac:dyDescent="0.25">
      <c r="A73">
        <v>72</v>
      </c>
      <c r="B73" t="str">
        <f>TRIM(LEFT(Table1[[#This Row],[Location]],SEARCH(",",Table1[[#This Row],[Location]],1)-1))</f>
        <v>Tanggerang</v>
      </c>
      <c r="C73" t="str">
        <f>TRIM(MID(Table1[[#This Row],[Location]],SEARCH(",",Table1[[#This Row],[Location]],1)+1,LEN(Table1[[#This Row],[Location]])))</f>
        <v>Banten</v>
      </c>
      <c r="I73">
        <v>72</v>
      </c>
      <c r="J73" t="s">
        <v>937</v>
      </c>
      <c r="K73">
        <f>_xlfn.XLOOKUP(Table29[[#This Row],[city_name1]], Table5[city_name], Table5[city_id], "Not Found")</f>
        <v>2</v>
      </c>
      <c r="L73">
        <v>19</v>
      </c>
      <c r="R73">
        <v>3</v>
      </c>
      <c r="S73">
        <v>131</v>
      </c>
      <c r="T73">
        <v>4</v>
      </c>
      <c r="V73">
        <v>19</v>
      </c>
      <c r="W73">
        <v>79</v>
      </c>
      <c r="Y73">
        <v>72</v>
      </c>
      <c r="Z73" t="s">
        <v>192</v>
      </c>
      <c r="AA73" t="s">
        <v>193</v>
      </c>
      <c r="AB73">
        <v>5</v>
      </c>
      <c r="AC73">
        <v>11</v>
      </c>
      <c r="AD73">
        <v>300000</v>
      </c>
      <c r="AF73">
        <v>-6.1136559000000004</v>
      </c>
      <c r="AG73">
        <v>106.7478596</v>
      </c>
    </row>
    <row r="74" spans="1:33" x14ac:dyDescent="0.25">
      <c r="A74">
        <v>73</v>
      </c>
      <c r="B74" t="str">
        <f>TRIM(LEFT(Table1[[#This Row],[Location]],SEARCH(",",Table1[[#This Row],[Location]],1)-1))</f>
        <v>Serang</v>
      </c>
      <c r="C74" t="str">
        <f>TRIM(MID(Table1[[#This Row],[Location]],SEARCH(",",Table1[[#This Row],[Location]],1)+1,LEN(Table1[[#This Row],[Location]])))</f>
        <v>Banten</v>
      </c>
      <c r="I74">
        <v>73</v>
      </c>
      <c r="J74" t="s">
        <v>939</v>
      </c>
      <c r="K74">
        <f>_xlfn.XLOOKUP(Table29[[#This Row],[city_name1]], Table5[city_name], Table5[city_id], "Not Found")</f>
        <v>1</v>
      </c>
      <c r="L74">
        <v>29</v>
      </c>
      <c r="R74">
        <v>3</v>
      </c>
      <c r="S74">
        <v>134</v>
      </c>
      <c r="T74">
        <v>3</v>
      </c>
      <c r="V74">
        <v>20</v>
      </c>
      <c r="W74">
        <v>28</v>
      </c>
      <c r="Y74">
        <v>73</v>
      </c>
      <c r="Z74" t="s">
        <v>194</v>
      </c>
      <c r="AA74" t="s">
        <v>195</v>
      </c>
      <c r="AB74">
        <v>2</v>
      </c>
      <c r="AC74">
        <v>10</v>
      </c>
      <c r="AD74">
        <v>5000</v>
      </c>
      <c r="AF74">
        <v>-6.3041840999999996</v>
      </c>
      <c r="AG74">
        <v>106.90177250000001</v>
      </c>
    </row>
    <row r="75" spans="1:33" x14ac:dyDescent="0.25">
      <c r="A75">
        <v>74</v>
      </c>
      <c r="B75" t="str">
        <f>TRIM(LEFT(Table1[[#This Row],[Location]],SEARCH(",",Table1[[#This Row],[Location]],1)-1))</f>
        <v>Semarang</v>
      </c>
      <c r="C75" t="str">
        <f>TRIM(MID(Table1[[#This Row],[Location]],SEARCH(",",Table1[[#This Row],[Location]],1)+1,LEN(Table1[[#This Row],[Location]])))</f>
        <v>Jawa Tengah</v>
      </c>
      <c r="I75">
        <v>74</v>
      </c>
      <c r="J75" t="s">
        <v>719</v>
      </c>
      <c r="K75">
        <f>_xlfn.XLOOKUP(Table29[[#This Row],[city_name1]], Table5[city_name], Table5[city_id], "Not Found")</f>
        <v>5</v>
      </c>
      <c r="L75">
        <v>30</v>
      </c>
      <c r="R75">
        <v>3</v>
      </c>
      <c r="S75">
        <v>176</v>
      </c>
      <c r="T75">
        <v>2</v>
      </c>
      <c r="V75">
        <v>20</v>
      </c>
      <c r="W75">
        <v>37</v>
      </c>
      <c r="Y75">
        <v>74</v>
      </c>
      <c r="Z75" t="s">
        <v>196</v>
      </c>
      <c r="AA75" t="s">
        <v>197</v>
      </c>
      <c r="AB75">
        <v>2</v>
      </c>
      <c r="AC75">
        <v>12</v>
      </c>
      <c r="AD75">
        <v>0</v>
      </c>
      <c r="AE75">
        <v>120</v>
      </c>
      <c r="AF75">
        <v>-6.2675130000000001</v>
      </c>
      <c r="AG75">
        <v>106.824107</v>
      </c>
    </row>
    <row r="76" spans="1:33" x14ac:dyDescent="0.25">
      <c r="A76">
        <v>75</v>
      </c>
      <c r="B76" t="str">
        <f>TRIM(LEFT(Table1[[#This Row],[Location]],SEARCH(",",Table1[[#This Row],[Location]],1)-1))</f>
        <v>Bekasi</v>
      </c>
      <c r="C76" t="str">
        <f>TRIM(MID(Table1[[#This Row],[Location]],SEARCH(",",Table1[[#This Row],[Location]],1)+1,LEN(Table1[[#This Row],[Location]])))</f>
        <v>Jawa Barat</v>
      </c>
      <c r="I76">
        <v>75</v>
      </c>
      <c r="J76" t="s">
        <v>925</v>
      </c>
      <c r="K76">
        <f>_xlfn.XLOOKUP(Table29[[#This Row],[city_name1]], Table5[city_name], Table5[city_id], "Not Found")</f>
        <v>24</v>
      </c>
      <c r="L76">
        <v>19</v>
      </c>
      <c r="R76">
        <v>3</v>
      </c>
      <c r="S76">
        <v>193</v>
      </c>
      <c r="T76">
        <v>2</v>
      </c>
      <c r="V76">
        <v>20</v>
      </c>
      <c r="W76">
        <v>47</v>
      </c>
      <c r="Y76">
        <v>75</v>
      </c>
      <c r="Z76" t="s">
        <v>198</v>
      </c>
      <c r="AA76" t="s">
        <v>199</v>
      </c>
      <c r="AB76">
        <v>5</v>
      </c>
      <c r="AC76">
        <v>10</v>
      </c>
      <c r="AD76">
        <v>180000</v>
      </c>
      <c r="AF76">
        <v>-6.2992717999999996</v>
      </c>
      <c r="AG76">
        <v>106.89151</v>
      </c>
    </row>
    <row r="77" spans="1:33" x14ac:dyDescent="0.25">
      <c r="A77">
        <v>76</v>
      </c>
      <c r="B77" t="str">
        <f>TRIM(LEFT(Table1[[#This Row],[Location]],SEARCH(",",Table1[[#This Row],[Location]],1)-1))</f>
        <v>Cirebon</v>
      </c>
      <c r="C77" t="str">
        <f>TRIM(MID(Table1[[#This Row],[Location]],SEARCH(",",Table1[[#This Row],[Location]],1)+1,LEN(Table1[[#This Row],[Location]])))</f>
        <v>Jawa Barat</v>
      </c>
      <c r="I77">
        <v>76</v>
      </c>
      <c r="J77" t="s">
        <v>926</v>
      </c>
      <c r="K77">
        <f>_xlfn.XLOOKUP(Table29[[#This Row],[city_name1]], Table5[city_name], Table5[city_id], "Not Found")</f>
        <v>26</v>
      </c>
      <c r="L77">
        <v>19</v>
      </c>
      <c r="R77">
        <v>3</v>
      </c>
      <c r="S77">
        <v>198</v>
      </c>
      <c r="T77">
        <v>5</v>
      </c>
      <c r="V77">
        <v>20</v>
      </c>
      <c r="W77">
        <v>54</v>
      </c>
      <c r="Y77">
        <v>76</v>
      </c>
      <c r="Z77" t="s">
        <v>200</v>
      </c>
      <c r="AA77" t="s">
        <v>201</v>
      </c>
      <c r="AB77">
        <v>5</v>
      </c>
      <c r="AC77">
        <v>14</v>
      </c>
      <c r="AD77">
        <v>20000</v>
      </c>
      <c r="AF77">
        <v>-6.1810843000000002</v>
      </c>
      <c r="AG77">
        <v>106.7954476</v>
      </c>
    </row>
    <row r="78" spans="1:33" x14ac:dyDescent="0.25">
      <c r="A78">
        <v>77</v>
      </c>
      <c r="B78" t="str">
        <f>TRIM(LEFT(Table1[[#This Row],[Location]],SEARCH(",",Table1[[#This Row],[Location]],1)-1))</f>
        <v>Bekasi</v>
      </c>
      <c r="C78" t="str">
        <f>TRIM(MID(Table1[[#This Row],[Location]],SEARCH(",",Table1[[#This Row],[Location]],1)+1,LEN(Table1[[#This Row],[Location]])))</f>
        <v>Jawa Barat</v>
      </c>
      <c r="I78">
        <v>77</v>
      </c>
      <c r="J78" t="s">
        <v>925</v>
      </c>
      <c r="K78">
        <f>_xlfn.XLOOKUP(Table29[[#This Row],[city_name1]], Table5[city_name], Table5[city_id], "Not Found")</f>
        <v>24</v>
      </c>
      <c r="L78">
        <v>34</v>
      </c>
      <c r="R78">
        <v>3</v>
      </c>
      <c r="S78">
        <v>202</v>
      </c>
      <c r="T78">
        <v>5</v>
      </c>
      <c r="V78">
        <v>20</v>
      </c>
      <c r="W78">
        <v>57</v>
      </c>
      <c r="Y78">
        <v>77</v>
      </c>
      <c r="Z78" t="s">
        <v>202</v>
      </c>
      <c r="AA78" t="s">
        <v>203</v>
      </c>
      <c r="AB78">
        <v>5</v>
      </c>
      <c r="AC78">
        <v>12</v>
      </c>
      <c r="AD78">
        <v>0</v>
      </c>
      <c r="AE78">
        <v>60</v>
      </c>
      <c r="AF78">
        <v>-6.2371409</v>
      </c>
      <c r="AG78">
        <v>106.8526505</v>
      </c>
    </row>
    <row r="79" spans="1:33" x14ac:dyDescent="0.25">
      <c r="A79">
        <v>78</v>
      </c>
      <c r="B79" t="str">
        <f>TRIM(LEFT(Table1[[#This Row],[Location]],SEARCH(",",Table1[[#This Row],[Location]],1)-1))</f>
        <v>Lampung</v>
      </c>
      <c r="C79" t="str">
        <f>TRIM(MID(Table1[[#This Row],[Location]],SEARCH(",",Table1[[#This Row],[Location]],1)+1,LEN(Table1[[#This Row],[Location]])))</f>
        <v>Sumatera Selatan</v>
      </c>
      <c r="I79">
        <v>78</v>
      </c>
      <c r="J79" t="s">
        <v>927</v>
      </c>
      <c r="K79">
        <f>_xlfn.XLOOKUP(Table29[[#This Row],[city_name1]], Table5[city_name], Table5[city_id], "Not Found")</f>
        <v>20</v>
      </c>
      <c r="L79">
        <v>22</v>
      </c>
      <c r="R79">
        <v>3</v>
      </c>
      <c r="S79">
        <v>202</v>
      </c>
      <c r="T79">
        <v>3</v>
      </c>
      <c r="V79">
        <v>21</v>
      </c>
      <c r="W79">
        <v>92</v>
      </c>
      <c r="Y79">
        <v>78</v>
      </c>
      <c r="Z79" t="s">
        <v>204</v>
      </c>
      <c r="AA79" t="s">
        <v>205</v>
      </c>
      <c r="AB79">
        <v>5</v>
      </c>
      <c r="AC79">
        <v>14</v>
      </c>
      <c r="AD79">
        <v>1000</v>
      </c>
      <c r="AF79">
        <v>-6.2106944999999998</v>
      </c>
      <c r="AG79">
        <v>106.7643954</v>
      </c>
    </row>
    <row r="80" spans="1:33" x14ac:dyDescent="0.25">
      <c r="A80">
        <v>79</v>
      </c>
      <c r="B80" t="str">
        <f>TRIM(LEFT(Table1[[#This Row],[Location]],SEARCH(",",Table1[[#This Row],[Location]],1)-1))</f>
        <v>Jakarta Utara</v>
      </c>
      <c r="C80" t="str">
        <f>TRIM(MID(Table1[[#This Row],[Location]],SEARCH(",",Table1[[#This Row],[Location]],1)+1,LEN(Table1[[#This Row],[Location]])))</f>
        <v>DKI Jakarta</v>
      </c>
      <c r="I80">
        <v>79</v>
      </c>
      <c r="J80" t="s">
        <v>951</v>
      </c>
      <c r="K80">
        <f>_xlfn.XLOOKUP(Table29[[#This Row],[city_name1]], Table5[city_name], Table5[city_id], "Not Found")</f>
        <v>11</v>
      </c>
      <c r="L80">
        <v>31</v>
      </c>
      <c r="R80">
        <v>3</v>
      </c>
      <c r="S80">
        <v>223</v>
      </c>
      <c r="T80">
        <v>5</v>
      </c>
      <c r="V80">
        <v>21</v>
      </c>
      <c r="W80">
        <v>96</v>
      </c>
      <c r="Y80">
        <v>79</v>
      </c>
      <c r="Z80" t="s">
        <v>206</v>
      </c>
      <c r="AA80" t="s">
        <v>207</v>
      </c>
      <c r="AB80">
        <v>5</v>
      </c>
      <c r="AC80">
        <v>12</v>
      </c>
      <c r="AD80">
        <v>0</v>
      </c>
      <c r="AE80">
        <v>30</v>
      </c>
      <c r="AF80">
        <v>-6.3226133000000004</v>
      </c>
      <c r="AG80">
        <v>106.8241871</v>
      </c>
    </row>
    <row r="81" spans="1:33" x14ac:dyDescent="0.25">
      <c r="A81">
        <v>80</v>
      </c>
      <c r="B81" t="str">
        <f>TRIM(LEFT(Table1[[#This Row],[Location]],SEARCH(",",Table1[[#This Row],[Location]],1)-1))</f>
        <v>Jakarta Selatan</v>
      </c>
      <c r="C81" t="str">
        <f>TRIM(MID(Table1[[#This Row],[Location]],SEARCH(",",Table1[[#This Row],[Location]],1)+1,LEN(Table1[[#This Row],[Location]])))</f>
        <v>DKI Jakarta</v>
      </c>
      <c r="I81">
        <v>80</v>
      </c>
      <c r="J81" t="s">
        <v>953</v>
      </c>
      <c r="K81">
        <f>_xlfn.XLOOKUP(Table29[[#This Row],[city_name1]], Table5[city_name], Table5[city_id], "Not Found")</f>
        <v>12</v>
      </c>
      <c r="L81">
        <v>32</v>
      </c>
      <c r="R81">
        <v>3</v>
      </c>
      <c r="S81">
        <v>227</v>
      </c>
      <c r="T81">
        <v>2</v>
      </c>
      <c r="V81">
        <v>21</v>
      </c>
      <c r="W81">
        <v>103</v>
      </c>
      <c r="Y81">
        <v>80</v>
      </c>
      <c r="Z81" t="s">
        <v>208</v>
      </c>
      <c r="AA81" t="s">
        <v>209</v>
      </c>
      <c r="AB81">
        <v>4</v>
      </c>
      <c r="AC81">
        <v>9</v>
      </c>
      <c r="AD81">
        <v>0</v>
      </c>
      <c r="AE81">
        <v>120</v>
      </c>
      <c r="AF81">
        <v>-6.1939259</v>
      </c>
      <c r="AG81">
        <v>106.8222158</v>
      </c>
    </row>
    <row r="82" spans="1:33" x14ac:dyDescent="0.25">
      <c r="A82">
        <v>81</v>
      </c>
      <c r="B82" t="str">
        <f>TRIM(LEFT(Table1[[#This Row],[Location]],SEARCH(",",Table1[[#This Row],[Location]],1)-1))</f>
        <v>Bandung</v>
      </c>
      <c r="C82" t="str">
        <f>TRIM(MID(Table1[[#This Row],[Location]],SEARCH(",",Table1[[#This Row],[Location]],1)+1,LEN(Table1[[#This Row],[Location]])))</f>
        <v>Jawa Barat</v>
      </c>
      <c r="I82">
        <v>81</v>
      </c>
      <c r="J82" t="s">
        <v>472</v>
      </c>
      <c r="K82">
        <f>_xlfn.XLOOKUP(Table29[[#This Row],[city_name1]], Table5[city_name], Table5[city_id], "Not Found")</f>
        <v>22</v>
      </c>
      <c r="L82">
        <v>29</v>
      </c>
      <c r="R82">
        <v>3</v>
      </c>
      <c r="S82">
        <v>228</v>
      </c>
      <c r="T82">
        <v>3</v>
      </c>
      <c r="V82">
        <v>21</v>
      </c>
      <c r="W82">
        <v>129</v>
      </c>
      <c r="Y82">
        <v>81</v>
      </c>
      <c r="Z82" t="s">
        <v>210</v>
      </c>
      <c r="AA82" t="s">
        <v>211</v>
      </c>
      <c r="AB82">
        <v>4</v>
      </c>
      <c r="AC82">
        <v>9</v>
      </c>
      <c r="AD82">
        <v>0</v>
      </c>
      <c r="AE82">
        <v>60</v>
      </c>
      <c r="AF82">
        <v>-6.1946095999999997</v>
      </c>
      <c r="AG82">
        <v>106.817905</v>
      </c>
    </row>
    <row r="83" spans="1:33" x14ac:dyDescent="0.25">
      <c r="A83">
        <v>82</v>
      </c>
      <c r="B83" t="str">
        <f>TRIM(LEFT(Table1[[#This Row],[Location]],SEARCH(",",Table1[[#This Row],[Location]],1)-1))</f>
        <v>Surabaya</v>
      </c>
      <c r="C83" t="str">
        <f>TRIM(MID(Table1[[#This Row],[Location]],SEARCH(",",Table1[[#This Row],[Location]],1)+1,LEN(Table1[[#This Row],[Location]])))</f>
        <v>Jawa Timur</v>
      </c>
      <c r="I83">
        <v>82</v>
      </c>
      <c r="J83" t="s">
        <v>834</v>
      </c>
      <c r="K83">
        <f>_xlfn.XLOOKUP(Table29[[#This Row],[city_name1]], Table5[city_name], Table5[city_id], "Not Found")</f>
        <v>19</v>
      </c>
      <c r="L83">
        <v>24</v>
      </c>
      <c r="R83">
        <v>3</v>
      </c>
      <c r="S83">
        <v>237</v>
      </c>
      <c r="T83">
        <v>3</v>
      </c>
      <c r="V83">
        <v>21</v>
      </c>
      <c r="W83">
        <v>140</v>
      </c>
      <c r="Y83">
        <v>82</v>
      </c>
      <c r="Z83" t="s">
        <v>212</v>
      </c>
      <c r="AA83" t="s">
        <v>213</v>
      </c>
      <c r="AB83">
        <v>2</v>
      </c>
      <c r="AC83">
        <v>12</v>
      </c>
      <c r="AD83">
        <v>5000</v>
      </c>
      <c r="AE83">
        <v>150</v>
      </c>
      <c r="AF83">
        <v>-6.2316985000000003</v>
      </c>
      <c r="AG83">
        <v>106.81854250000001</v>
      </c>
    </row>
    <row r="84" spans="1:33" x14ac:dyDescent="0.25">
      <c r="A84">
        <v>83</v>
      </c>
      <c r="B84" t="str">
        <f>TRIM(LEFT(Table1[[#This Row],[Location]],SEARCH(",",Table1[[#This Row],[Location]],1)-1))</f>
        <v>Bekasi</v>
      </c>
      <c r="C84" t="str">
        <f>TRIM(MID(Table1[[#This Row],[Location]],SEARCH(",",Table1[[#This Row],[Location]],1)+1,LEN(Table1[[#This Row],[Location]])))</f>
        <v>Jawa Barat</v>
      </c>
      <c r="I84">
        <v>83</v>
      </c>
      <c r="J84" t="s">
        <v>925</v>
      </c>
      <c r="K84">
        <f>_xlfn.XLOOKUP(Table29[[#This Row],[city_name1]], Table5[city_name], Table5[city_id], "Not Found")</f>
        <v>24</v>
      </c>
      <c r="L84">
        <v>32</v>
      </c>
      <c r="R84">
        <v>3</v>
      </c>
      <c r="S84">
        <v>249</v>
      </c>
      <c r="T84">
        <v>3</v>
      </c>
      <c r="V84">
        <v>22</v>
      </c>
      <c r="W84">
        <v>132</v>
      </c>
      <c r="Y84">
        <v>83</v>
      </c>
      <c r="Z84" t="s">
        <v>214</v>
      </c>
      <c r="AA84" t="s">
        <v>215</v>
      </c>
      <c r="AB84">
        <v>5</v>
      </c>
      <c r="AC84">
        <v>11</v>
      </c>
      <c r="AD84">
        <v>200000</v>
      </c>
      <c r="AF84">
        <v>-6.1175344000000003</v>
      </c>
      <c r="AG84">
        <v>106.857313</v>
      </c>
    </row>
    <row r="85" spans="1:33" x14ac:dyDescent="0.25">
      <c r="A85">
        <v>84</v>
      </c>
      <c r="B85" t="str">
        <f>TRIM(LEFT(Table1[[#This Row],[Location]],SEARCH(",",Table1[[#This Row],[Location]],1)-1))</f>
        <v>Yogyakarta</v>
      </c>
      <c r="C85" t="str">
        <f>TRIM(MID(Table1[[#This Row],[Location]],SEARCH(",",Table1[[#This Row],[Location]],1)+1,LEN(Table1[[#This Row],[Location]])))</f>
        <v>DIY</v>
      </c>
      <c r="I85">
        <v>84</v>
      </c>
      <c r="J85" t="s">
        <v>220</v>
      </c>
      <c r="K85">
        <f>_xlfn.XLOOKUP(Table29[[#This Row],[city_name1]], Table5[city_name], Table5[city_id], "Not Found")</f>
        <v>39</v>
      </c>
      <c r="L85">
        <v>35</v>
      </c>
      <c r="R85">
        <v>3</v>
      </c>
      <c r="S85">
        <v>250</v>
      </c>
      <c r="T85">
        <v>2</v>
      </c>
      <c r="V85">
        <v>22</v>
      </c>
      <c r="W85">
        <v>139</v>
      </c>
      <c r="Y85">
        <v>84</v>
      </c>
      <c r="Z85" t="s">
        <v>216</v>
      </c>
      <c r="AA85" t="s">
        <v>217</v>
      </c>
      <c r="AB85">
        <v>4</v>
      </c>
      <c r="AC85">
        <v>9</v>
      </c>
      <c r="AD85">
        <v>0</v>
      </c>
      <c r="AF85">
        <v>-6.1842588000000003</v>
      </c>
      <c r="AG85">
        <v>106.824033</v>
      </c>
    </row>
    <row r="86" spans="1:33" x14ac:dyDescent="0.25">
      <c r="A86">
        <v>85</v>
      </c>
      <c r="B86" t="str">
        <f>TRIM(LEFT(Table1[[#This Row],[Location]],SEARCH(",",Table1[[#This Row],[Location]],1)-1))</f>
        <v>Bogor</v>
      </c>
      <c r="C86" t="str">
        <f>TRIM(MID(Table1[[#This Row],[Location]],SEARCH(",",Table1[[#This Row],[Location]],1)+1,LEN(Table1[[#This Row],[Location]])))</f>
        <v>Jawa Barat</v>
      </c>
      <c r="I86">
        <v>85</v>
      </c>
      <c r="J86" t="s">
        <v>929</v>
      </c>
      <c r="K86">
        <f>_xlfn.XLOOKUP(Table29[[#This Row],[city_name1]], Table5[city_name], Table5[city_id], "Not Found")</f>
        <v>25</v>
      </c>
      <c r="L86">
        <v>31</v>
      </c>
      <c r="R86">
        <v>3</v>
      </c>
      <c r="S86">
        <v>283</v>
      </c>
      <c r="T86">
        <v>3</v>
      </c>
      <c r="V86">
        <v>22</v>
      </c>
      <c r="W86">
        <v>163</v>
      </c>
      <c r="Y86">
        <v>85</v>
      </c>
      <c r="Z86" t="s">
        <v>218</v>
      </c>
      <c r="AA86" t="s">
        <v>219</v>
      </c>
      <c r="AB86">
        <v>5</v>
      </c>
      <c r="AC86">
        <v>39</v>
      </c>
      <c r="AD86">
        <v>6000</v>
      </c>
      <c r="AE86">
        <v>120</v>
      </c>
      <c r="AF86">
        <v>-7.8006715</v>
      </c>
      <c r="AG86">
        <v>110.36765509999999</v>
      </c>
    </row>
    <row r="87" spans="1:33" x14ac:dyDescent="0.25">
      <c r="A87">
        <v>86</v>
      </c>
      <c r="B87" t="str">
        <f>TRIM(LEFT(Table1[[#This Row],[Location]],SEARCH(",",Table1[[#This Row],[Location]],1)-1))</f>
        <v>Depok</v>
      </c>
      <c r="C87" t="str">
        <f>TRIM(MID(Table1[[#This Row],[Location]],SEARCH(",",Table1[[#This Row],[Location]],1)+1,LEN(Table1[[#This Row],[Location]])))</f>
        <v>Jawa Barat</v>
      </c>
      <c r="I87">
        <v>86</v>
      </c>
      <c r="J87" t="s">
        <v>930</v>
      </c>
      <c r="K87">
        <f>_xlfn.XLOOKUP(Table29[[#This Row],[city_name1]], Table5[city_name], Table5[city_id], "Not Found")</f>
        <v>27</v>
      </c>
      <c r="L87">
        <v>32</v>
      </c>
      <c r="R87">
        <v>3</v>
      </c>
      <c r="S87">
        <v>310</v>
      </c>
      <c r="T87">
        <v>3</v>
      </c>
      <c r="V87">
        <v>22</v>
      </c>
      <c r="W87">
        <v>167</v>
      </c>
      <c r="Y87">
        <v>86</v>
      </c>
      <c r="Z87" t="s">
        <v>221</v>
      </c>
      <c r="AA87" t="s">
        <v>222</v>
      </c>
      <c r="AB87">
        <v>2</v>
      </c>
      <c r="AC87">
        <v>39</v>
      </c>
      <c r="AD87">
        <v>15000</v>
      </c>
      <c r="AF87">
        <v>-7.8052845</v>
      </c>
      <c r="AG87">
        <v>110.3642031</v>
      </c>
    </row>
    <row r="88" spans="1:33" x14ac:dyDescent="0.25">
      <c r="A88">
        <v>87</v>
      </c>
      <c r="B88" t="str">
        <f>TRIM(LEFT(Table1[[#This Row],[Location]],SEARCH(",",Table1[[#This Row],[Location]],1)-1))</f>
        <v>Jakarta Pusat</v>
      </c>
      <c r="C88" t="str">
        <f>TRIM(MID(Table1[[#This Row],[Location]],SEARCH(",",Table1[[#This Row],[Location]],1)+1,LEN(Table1[[#This Row],[Location]])))</f>
        <v>DKI Jakarta</v>
      </c>
      <c r="I88">
        <v>87</v>
      </c>
      <c r="J88" t="s">
        <v>949</v>
      </c>
      <c r="K88">
        <f>_xlfn.XLOOKUP(Table29[[#This Row],[city_name1]], Table5[city_name], Table5[city_id], "Not Found")</f>
        <v>9</v>
      </c>
      <c r="L88">
        <v>30</v>
      </c>
      <c r="R88">
        <v>3</v>
      </c>
      <c r="S88">
        <v>318</v>
      </c>
      <c r="T88">
        <v>5</v>
      </c>
      <c r="V88">
        <v>23</v>
      </c>
      <c r="W88">
        <v>125</v>
      </c>
      <c r="Y88">
        <v>87</v>
      </c>
      <c r="Z88" t="s">
        <v>223</v>
      </c>
      <c r="AA88" t="s">
        <v>224</v>
      </c>
      <c r="AB88">
        <v>5</v>
      </c>
      <c r="AC88">
        <v>38</v>
      </c>
      <c r="AD88">
        <v>20000</v>
      </c>
      <c r="AE88">
        <v>120</v>
      </c>
      <c r="AF88">
        <v>-7.7672973000000001</v>
      </c>
      <c r="AG88">
        <v>110.35424860000001</v>
      </c>
    </row>
    <row r="89" spans="1:33" x14ac:dyDescent="0.25">
      <c r="A89">
        <v>88</v>
      </c>
      <c r="B89" t="str">
        <f>TRIM(LEFT(Table1[[#This Row],[Location]],SEARCH(",",Table1[[#This Row],[Location]],1)-1))</f>
        <v>Jakarta Timur</v>
      </c>
      <c r="C89" t="str">
        <f>TRIM(MID(Table1[[#This Row],[Location]],SEARCH(",",Table1[[#This Row],[Location]],1)+1,LEN(Table1[[#This Row],[Location]])))</f>
        <v>DKI Jakarta</v>
      </c>
      <c r="I89">
        <v>88</v>
      </c>
      <c r="J89" t="s">
        <v>952</v>
      </c>
      <c r="K89">
        <f>_xlfn.XLOOKUP(Table29[[#This Row],[city_name1]], Table5[city_name], Table5[city_id], "Not Found")</f>
        <v>10</v>
      </c>
      <c r="L89">
        <v>27</v>
      </c>
      <c r="R89">
        <v>3</v>
      </c>
      <c r="S89">
        <v>381</v>
      </c>
      <c r="T89">
        <v>2</v>
      </c>
      <c r="V89">
        <v>23</v>
      </c>
      <c r="W89">
        <v>171</v>
      </c>
      <c r="Y89">
        <v>88</v>
      </c>
      <c r="Z89" t="s">
        <v>225</v>
      </c>
      <c r="AA89" t="s">
        <v>226</v>
      </c>
      <c r="AB89">
        <v>2</v>
      </c>
      <c r="AC89">
        <v>39</v>
      </c>
      <c r="AD89">
        <v>3000</v>
      </c>
      <c r="AE89">
        <v>120</v>
      </c>
      <c r="AF89">
        <v>-7.8002016000000003</v>
      </c>
      <c r="AG89">
        <v>110.3663044</v>
      </c>
    </row>
    <row r="90" spans="1:33" x14ac:dyDescent="0.25">
      <c r="A90">
        <v>89</v>
      </c>
      <c r="B90" t="str">
        <f>TRIM(LEFT(Table1[[#This Row],[Location]],SEARCH(",",Table1[[#This Row],[Location]],1)-1))</f>
        <v>Bekasi</v>
      </c>
      <c r="C90" t="str">
        <f>TRIM(MID(Table1[[#This Row],[Location]],SEARCH(",",Table1[[#This Row],[Location]],1)+1,LEN(Table1[[#This Row],[Location]])))</f>
        <v>Jawa Barat</v>
      </c>
      <c r="I90">
        <v>89</v>
      </c>
      <c r="J90" t="s">
        <v>925</v>
      </c>
      <c r="K90">
        <f>_xlfn.XLOOKUP(Table29[[#This Row],[city_name1]], Table5[city_name], Table5[city_id], "Not Found")</f>
        <v>24</v>
      </c>
      <c r="L90">
        <v>35</v>
      </c>
      <c r="R90">
        <v>3</v>
      </c>
      <c r="S90">
        <v>420</v>
      </c>
      <c r="T90">
        <v>3</v>
      </c>
      <c r="V90">
        <v>23</v>
      </c>
      <c r="W90">
        <v>115</v>
      </c>
      <c r="Y90">
        <v>89</v>
      </c>
      <c r="Z90" t="s">
        <v>227</v>
      </c>
      <c r="AA90" t="s">
        <v>228</v>
      </c>
      <c r="AB90">
        <v>2</v>
      </c>
      <c r="AC90">
        <v>39</v>
      </c>
      <c r="AD90">
        <v>50000</v>
      </c>
      <c r="AF90">
        <v>-7.8163156000000003</v>
      </c>
      <c r="AG90">
        <v>110.38714419999999</v>
      </c>
    </row>
    <row r="91" spans="1:33" x14ac:dyDescent="0.25">
      <c r="A91">
        <v>90</v>
      </c>
      <c r="B91" t="str">
        <f>TRIM(LEFT(Table1[[#This Row],[Location]],SEARCH(",",Table1[[#This Row],[Location]],1)-1))</f>
        <v>Semarang</v>
      </c>
      <c r="C91" t="str">
        <f>TRIM(MID(Table1[[#This Row],[Location]],SEARCH(",",Table1[[#This Row],[Location]],1)+1,LEN(Table1[[#This Row],[Location]])))</f>
        <v>Jawa Tengah</v>
      </c>
      <c r="I91">
        <v>90</v>
      </c>
      <c r="J91" t="s">
        <v>719</v>
      </c>
      <c r="K91">
        <f>_xlfn.XLOOKUP(Table29[[#This Row],[city_name1]], Table5[city_name], Table5[city_id], "Not Found")</f>
        <v>5</v>
      </c>
      <c r="L91">
        <v>29</v>
      </c>
      <c r="R91">
        <v>4</v>
      </c>
      <c r="S91">
        <v>4</v>
      </c>
      <c r="T91">
        <v>4</v>
      </c>
      <c r="V91">
        <v>24</v>
      </c>
      <c r="W91">
        <v>172</v>
      </c>
      <c r="Y91">
        <v>90</v>
      </c>
      <c r="Z91" t="s">
        <v>229</v>
      </c>
      <c r="AA91" t="s">
        <v>230</v>
      </c>
      <c r="AB91">
        <v>5</v>
      </c>
      <c r="AC91">
        <v>39</v>
      </c>
      <c r="AD91">
        <v>5000</v>
      </c>
      <c r="AF91">
        <v>-7.8100673</v>
      </c>
      <c r="AG91">
        <v>110.3594581</v>
      </c>
    </row>
    <row r="92" spans="1:33" x14ac:dyDescent="0.25">
      <c r="A92">
        <v>91</v>
      </c>
      <c r="B92" t="str">
        <f>TRIM(LEFT(Table1[[#This Row],[Location]],SEARCH(",",Table1[[#This Row],[Location]],1)-1))</f>
        <v>Yogyakarta</v>
      </c>
      <c r="C92" t="str">
        <f>TRIM(MID(Table1[[#This Row],[Location]],SEARCH(",",Table1[[#This Row],[Location]],1)+1,LEN(Table1[[#This Row],[Location]])))</f>
        <v>DIY</v>
      </c>
      <c r="I92">
        <v>91</v>
      </c>
      <c r="J92" t="s">
        <v>220</v>
      </c>
      <c r="K92">
        <f>_xlfn.XLOOKUP(Table29[[#This Row],[city_name1]], Table5[city_name], Table5[city_id], "Not Found")</f>
        <v>39</v>
      </c>
      <c r="L92">
        <v>32</v>
      </c>
      <c r="R92">
        <v>4</v>
      </c>
      <c r="S92">
        <v>5</v>
      </c>
      <c r="T92">
        <v>5</v>
      </c>
      <c r="V92">
        <v>24</v>
      </c>
      <c r="W92">
        <v>173</v>
      </c>
      <c r="Y92">
        <v>91</v>
      </c>
      <c r="Z92" t="s">
        <v>231</v>
      </c>
      <c r="AA92" t="s">
        <v>232</v>
      </c>
      <c r="AB92">
        <v>5</v>
      </c>
      <c r="AC92">
        <v>39</v>
      </c>
      <c r="AD92">
        <v>0</v>
      </c>
      <c r="AE92">
        <v>60</v>
      </c>
      <c r="AF92">
        <v>-7.8102685000000003</v>
      </c>
      <c r="AG92">
        <v>110.3931513</v>
      </c>
    </row>
    <row r="93" spans="1:33" x14ac:dyDescent="0.25">
      <c r="A93">
        <v>92</v>
      </c>
      <c r="B93" t="str">
        <f>TRIM(LEFT(Table1[[#This Row],[Location]],SEARCH(",",Table1[[#This Row],[Location]],1)-1))</f>
        <v>Cirebon</v>
      </c>
      <c r="C93" t="str">
        <f>TRIM(MID(Table1[[#This Row],[Location]],SEARCH(",",Table1[[#This Row],[Location]],1)+1,LEN(Table1[[#This Row],[Location]])))</f>
        <v>Jawa Barat</v>
      </c>
      <c r="I93">
        <v>92</v>
      </c>
      <c r="J93" t="s">
        <v>926</v>
      </c>
      <c r="K93">
        <f>_xlfn.XLOOKUP(Table29[[#This Row],[city_name1]], Table5[city_name], Table5[city_id], "Not Found")</f>
        <v>26</v>
      </c>
      <c r="L93">
        <v>39</v>
      </c>
      <c r="R93">
        <v>4</v>
      </c>
      <c r="S93">
        <v>14</v>
      </c>
      <c r="T93">
        <v>5</v>
      </c>
      <c r="V93">
        <v>24</v>
      </c>
      <c r="W93">
        <v>177</v>
      </c>
      <c r="Y93">
        <v>92</v>
      </c>
      <c r="Z93" t="s">
        <v>233</v>
      </c>
      <c r="AA93" t="s">
        <v>234</v>
      </c>
      <c r="AB93">
        <v>5</v>
      </c>
      <c r="AC93">
        <v>39</v>
      </c>
      <c r="AD93">
        <v>0</v>
      </c>
      <c r="AE93">
        <v>45</v>
      </c>
      <c r="AF93">
        <v>-7.8013802999999999</v>
      </c>
      <c r="AG93">
        <v>110.36476519999999</v>
      </c>
    </row>
    <row r="94" spans="1:33" x14ac:dyDescent="0.25">
      <c r="A94">
        <v>93</v>
      </c>
      <c r="B94" t="str">
        <f>TRIM(LEFT(Table1[[#This Row],[Location]],SEARCH(",",Table1[[#This Row],[Location]],1)-1))</f>
        <v>Lampung</v>
      </c>
      <c r="C94" t="str">
        <f>TRIM(MID(Table1[[#This Row],[Location]],SEARCH(",",Table1[[#This Row],[Location]],1)+1,LEN(Table1[[#This Row],[Location]])))</f>
        <v>Sumatera Selatan</v>
      </c>
      <c r="I94">
        <v>93</v>
      </c>
      <c r="J94" t="s">
        <v>927</v>
      </c>
      <c r="K94">
        <f>_xlfn.XLOOKUP(Table29[[#This Row],[city_name1]], Table5[city_name], Table5[city_id], "Not Found")</f>
        <v>20</v>
      </c>
      <c r="L94">
        <v>18</v>
      </c>
      <c r="R94">
        <v>4</v>
      </c>
      <c r="S94">
        <v>15</v>
      </c>
      <c r="T94">
        <v>4</v>
      </c>
      <c r="V94">
        <v>24</v>
      </c>
      <c r="W94">
        <v>181</v>
      </c>
      <c r="Y94">
        <v>93</v>
      </c>
      <c r="Z94" t="s">
        <v>235</v>
      </c>
      <c r="AA94" t="s">
        <v>236</v>
      </c>
      <c r="AB94">
        <v>3</v>
      </c>
      <c r="AC94">
        <v>39</v>
      </c>
      <c r="AD94">
        <v>60000</v>
      </c>
      <c r="AF94">
        <v>-7.8062344000000001</v>
      </c>
      <c r="AG94">
        <v>110.39679769999999</v>
      </c>
    </row>
    <row r="95" spans="1:33" x14ac:dyDescent="0.25">
      <c r="A95">
        <v>94</v>
      </c>
      <c r="B95" t="str">
        <f>TRIM(LEFT(Table1[[#This Row],[Location]],SEARCH(",",Table1[[#This Row],[Location]],1)-1))</f>
        <v>Semarang</v>
      </c>
      <c r="C95" t="str">
        <f>TRIM(MID(Table1[[#This Row],[Location]],SEARCH(",",Table1[[#This Row],[Location]],1)+1,LEN(Table1[[#This Row],[Location]])))</f>
        <v>Jawa Tengah</v>
      </c>
      <c r="I95">
        <v>94</v>
      </c>
      <c r="J95" t="s">
        <v>719</v>
      </c>
      <c r="K95">
        <f>_xlfn.XLOOKUP(Table29[[#This Row],[city_name1]], Table5[city_name], Table5[city_id], "Not Found")</f>
        <v>5</v>
      </c>
      <c r="L95">
        <v>34</v>
      </c>
      <c r="R95">
        <v>4</v>
      </c>
      <c r="S95">
        <v>43</v>
      </c>
      <c r="T95">
        <v>5</v>
      </c>
      <c r="V95">
        <v>24</v>
      </c>
      <c r="W95">
        <v>185</v>
      </c>
      <c r="Y95">
        <v>94</v>
      </c>
      <c r="Z95" t="s">
        <v>237</v>
      </c>
      <c r="AA95" t="s">
        <v>238</v>
      </c>
      <c r="AB95">
        <v>5</v>
      </c>
      <c r="AC95">
        <v>39</v>
      </c>
      <c r="AD95">
        <v>7000</v>
      </c>
      <c r="AF95">
        <v>-7.8087910999999997</v>
      </c>
      <c r="AG95">
        <v>110.3591825</v>
      </c>
    </row>
    <row r="96" spans="1:33" x14ac:dyDescent="0.25">
      <c r="A96">
        <v>95</v>
      </c>
      <c r="B96" t="str">
        <f>TRIM(LEFT(Table1[[#This Row],[Location]],SEARCH(",",Table1[[#This Row],[Location]],1)-1))</f>
        <v>Subang</v>
      </c>
      <c r="C96" t="str">
        <f>TRIM(MID(Table1[[#This Row],[Location]],SEARCH(",",Table1[[#This Row],[Location]],1)+1,LEN(Table1[[#This Row],[Location]])))</f>
        <v>Jawa Barat</v>
      </c>
      <c r="I96">
        <v>95</v>
      </c>
      <c r="J96" t="s">
        <v>931</v>
      </c>
      <c r="K96">
        <f>_xlfn.XLOOKUP(Table29[[#This Row],[city_name1]], Table5[city_name], Table5[city_id], "Not Found")</f>
        <v>32</v>
      </c>
      <c r="L96">
        <v>27</v>
      </c>
      <c r="R96">
        <v>4</v>
      </c>
      <c r="S96">
        <v>44</v>
      </c>
      <c r="T96">
        <v>2</v>
      </c>
      <c r="V96">
        <v>25</v>
      </c>
      <c r="W96">
        <v>171</v>
      </c>
      <c r="Y96">
        <v>95</v>
      </c>
      <c r="Z96" t="s">
        <v>239</v>
      </c>
      <c r="AA96" t="s">
        <v>240</v>
      </c>
      <c r="AB96">
        <v>5</v>
      </c>
      <c r="AC96">
        <v>39</v>
      </c>
      <c r="AD96">
        <v>0</v>
      </c>
      <c r="AF96">
        <v>-7.8229088999999998</v>
      </c>
      <c r="AG96">
        <v>110.3756894</v>
      </c>
    </row>
    <row r="97" spans="1:33" x14ac:dyDescent="0.25">
      <c r="A97">
        <v>96</v>
      </c>
      <c r="B97" t="str">
        <f>TRIM(LEFT(Table1[[#This Row],[Location]],SEARCH(",",Table1[[#This Row],[Location]],1)-1))</f>
        <v>Jakarta Barat</v>
      </c>
      <c r="C97" t="str">
        <f>TRIM(MID(Table1[[#This Row],[Location]],SEARCH(",",Table1[[#This Row],[Location]],1)+1,LEN(Table1[[#This Row],[Location]])))</f>
        <v>DKI Jakarta</v>
      </c>
      <c r="I97">
        <v>96</v>
      </c>
      <c r="J97" t="s">
        <v>950</v>
      </c>
      <c r="K97">
        <f>_xlfn.XLOOKUP(Table29[[#This Row],[city_name1]], Table5[city_name], Table5[city_id], "Not Found")</f>
        <v>14</v>
      </c>
      <c r="L97">
        <v>19</v>
      </c>
      <c r="R97">
        <v>4</v>
      </c>
      <c r="S97">
        <v>50</v>
      </c>
      <c r="T97">
        <v>2</v>
      </c>
      <c r="V97">
        <v>25</v>
      </c>
      <c r="W97">
        <v>174</v>
      </c>
      <c r="Y97">
        <v>96</v>
      </c>
      <c r="Z97" t="s">
        <v>241</v>
      </c>
      <c r="AA97" t="s">
        <v>242</v>
      </c>
      <c r="AB97">
        <v>5</v>
      </c>
      <c r="AC97">
        <v>39</v>
      </c>
      <c r="AD97">
        <v>0</v>
      </c>
      <c r="AE97">
        <v>60</v>
      </c>
      <c r="AF97">
        <v>-7.8116719000000003</v>
      </c>
      <c r="AG97">
        <v>110.363238</v>
      </c>
    </row>
    <row r="98" spans="1:33" x14ac:dyDescent="0.25">
      <c r="A98">
        <v>97</v>
      </c>
      <c r="B98" t="str">
        <f>TRIM(LEFT(Table1[[#This Row],[Location]],SEARCH(",",Table1[[#This Row],[Location]],1)-1))</f>
        <v>Bekasi</v>
      </c>
      <c r="C98" t="str">
        <f>TRIM(MID(Table1[[#This Row],[Location]],SEARCH(",",Table1[[#This Row],[Location]],1)+1,LEN(Table1[[#This Row],[Location]])))</f>
        <v>Jawa Barat</v>
      </c>
      <c r="I98">
        <v>97</v>
      </c>
      <c r="J98" t="s">
        <v>925</v>
      </c>
      <c r="K98">
        <f>_xlfn.XLOOKUP(Table29[[#This Row],[city_name1]], Table5[city_name], Table5[city_id], "Not Found")</f>
        <v>24</v>
      </c>
      <c r="L98">
        <v>38</v>
      </c>
      <c r="R98">
        <v>4</v>
      </c>
      <c r="S98">
        <v>74</v>
      </c>
      <c r="T98">
        <v>2</v>
      </c>
      <c r="V98">
        <v>25</v>
      </c>
      <c r="W98">
        <v>87</v>
      </c>
      <c r="Y98">
        <v>97</v>
      </c>
      <c r="Z98" t="s">
        <v>243</v>
      </c>
      <c r="AA98" t="s">
        <v>244</v>
      </c>
      <c r="AB98">
        <v>2</v>
      </c>
      <c r="AC98">
        <v>38</v>
      </c>
      <c r="AD98">
        <v>15000</v>
      </c>
      <c r="AE98">
        <v>30</v>
      </c>
      <c r="AF98">
        <v>-7.7495903999999998</v>
      </c>
      <c r="AG98">
        <v>110.3696068</v>
      </c>
    </row>
    <row r="99" spans="1:33" x14ac:dyDescent="0.25">
      <c r="A99">
        <v>98</v>
      </c>
      <c r="B99" t="str">
        <f>TRIM(LEFT(Table1[[#This Row],[Location]],SEARCH(",",Table1[[#This Row],[Location]],1)-1))</f>
        <v>Lampung</v>
      </c>
      <c r="C99" t="str">
        <f>TRIM(MID(Table1[[#This Row],[Location]],SEARCH(",",Table1[[#This Row],[Location]],1)+1,LEN(Table1[[#This Row],[Location]])))</f>
        <v>Sumatera Selatan</v>
      </c>
      <c r="I99">
        <v>98</v>
      </c>
      <c r="J99" t="s">
        <v>927</v>
      </c>
      <c r="K99">
        <f>_xlfn.XLOOKUP(Table29[[#This Row],[city_name1]], Table5[city_name], Table5[city_id], "Not Found")</f>
        <v>20</v>
      </c>
      <c r="L99">
        <v>28</v>
      </c>
      <c r="R99">
        <v>4</v>
      </c>
      <c r="S99">
        <v>82</v>
      </c>
      <c r="T99">
        <v>3</v>
      </c>
      <c r="V99">
        <v>26</v>
      </c>
      <c r="W99">
        <v>109</v>
      </c>
      <c r="Y99">
        <v>98</v>
      </c>
      <c r="Z99" t="s">
        <v>245</v>
      </c>
      <c r="AA99" t="s">
        <v>246</v>
      </c>
      <c r="AB99">
        <v>5</v>
      </c>
      <c r="AC99">
        <v>38</v>
      </c>
      <c r="AD99">
        <v>15000</v>
      </c>
      <c r="AE99">
        <v>60</v>
      </c>
      <c r="AF99">
        <v>-7.7505259000000004</v>
      </c>
      <c r="AG99">
        <v>110.3687049</v>
      </c>
    </row>
    <row r="100" spans="1:33" x14ac:dyDescent="0.25">
      <c r="A100">
        <v>99</v>
      </c>
      <c r="B100" t="str">
        <f>TRIM(LEFT(Table1[[#This Row],[Location]],SEARCH(",",Table1[[#This Row],[Location]],1)-1))</f>
        <v>Palembang</v>
      </c>
      <c r="C100" t="str">
        <f>TRIM(MID(Table1[[#This Row],[Location]],SEARCH(",",Table1[[#This Row],[Location]],1)+1,LEN(Table1[[#This Row],[Location]])))</f>
        <v>Sumatera Selatan</v>
      </c>
      <c r="I100">
        <v>99</v>
      </c>
      <c r="J100" t="s">
        <v>932</v>
      </c>
      <c r="K100">
        <f>_xlfn.XLOOKUP(Table29[[#This Row],[city_name1]], Table5[city_name], Table5[city_id], "Not Found")</f>
        <v>21</v>
      </c>
      <c r="L100">
        <v>33</v>
      </c>
      <c r="R100">
        <v>4</v>
      </c>
      <c r="S100">
        <v>88</v>
      </c>
      <c r="T100">
        <v>3</v>
      </c>
      <c r="V100">
        <v>26</v>
      </c>
      <c r="W100">
        <v>147</v>
      </c>
      <c r="Y100">
        <v>99</v>
      </c>
      <c r="Z100" t="s">
        <v>247</v>
      </c>
      <c r="AA100" t="s">
        <v>248</v>
      </c>
      <c r="AB100">
        <v>2</v>
      </c>
      <c r="AC100">
        <v>39</v>
      </c>
      <c r="AD100">
        <v>0</v>
      </c>
      <c r="AF100">
        <v>-7.8060929999999997</v>
      </c>
      <c r="AG100">
        <v>110.35831</v>
      </c>
    </row>
    <row r="101" spans="1:33" x14ac:dyDescent="0.25">
      <c r="A101">
        <v>100</v>
      </c>
      <c r="B101" t="str">
        <f>TRIM(LEFT(Table1[[#This Row],[Location]],SEARCH(",",Table1[[#This Row],[Location]],1)-1))</f>
        <v>Bogor</v>
      </c>
      <c r="C101" t="str">
        <f>TRIM(MID(Table1[[#This Row],[Location]],SEARCH(",",Table1[[#This Row],[Location]],1)+1,LEN(Table1[[#This Row],[Location]])))</f>
        <v>Jawa Barat</v>
      </c>
      <c r="I101">
        <v>100</v>
      </c>
      <c r="J101" t="s">
        <v>929</v>
      </c>
      <c r="K101">
        <f>_xlfn.XLOOKUP(Table29[[#This Row],[city_name1]], Table5[city_name], Table5[city_id], "Not Found")</f>
        <v>25</v>
      </c>
      <c r="L101">
        <v>28</v>
      </c>
      <c r="R101">
        <v>4</v>
      </c>
      <c r="S101">
        <v>91</v>
      </c>
      <c r="T101">
        <v>3</v>
      </c>
      <c r="V101">
        <v>26</v>
      </c>
      <c r="W101">
        <v>204</v>
      </c>
      <c r="Y101">
        <v>100</v>
      </c>
      <c r="Z101" t="s">
        <v>249</v>
      </c>
      <c r="AA101" t="s">
        <v>250</v>
      </c>
      <c r="AB101">
        <v>2</v>
      </c>
      <c r="AC101">
        <v>39</v>
      </c>
      <c r="AD101">
        <v>0</v>
      </c>
      <c r="AE101">
        <v>210</v>
      </c>
      <c r="AF101">
        <v>-7.8001041000000004</v>
      </c>
      <c r="AG101">
        <v>110.3676579</v>
      </c>
    </row>
    <row r="102" spans="1:33" x14ac:dyDescent="0.25">
      <c r="A102">
        <v>101</v>
      </c>
      <c r="B102" t="str">
        <f>TRIM(LEFT(Table1[[#This Row],[Location]],SEARCH(",",Table1[[#This Row],[Location]],1)-1))</f>
        <v>Sragen</v>
      </c>
      <c r="C102" t="str">
        <f>TRIM(MID(Table1[[#This Row],[Location]],SEARCH(",",Table1[[#This Row],[Location]],1)+1,LEN(Table1[[#This Row],[Location]])))</f>
        <v>Jawa Tengah</v>
      </c>
      <c r="I102">
        <v>101</v>
      </c>
      <c r="J102" t="s">
        <v>933</v>
      </c>
      <c r="K102">
        <f>_xlfn.XLOOKUP(Table29[[#This Row],[city_name1]], Table5[city_name], Table5[city_id], "Not Found")</f>
        <v>8</v>
      </c>
      <c r="L102">
        <v>39</v>
      </c>
      <c r="R102">
        <v>4</v>
      </c>
      <c r="S102">
        <v>97</v>
      </c>
      <c r="T102">
        <v>2</v>
      </c>
      <c r="V102">
        <v>27</v>
      </c>
      <c r="W102">
        <v>121</v>
      </c>
      <c r="Y102">
        <v>101</v>
      </c>
      <c r="Z102" t="s">
        <v>251</v>
      </c>
      <c r="AA102" t="s">
        <v>252</v>
      </c>
      <c r="AB102">
        <v>2</v>
      </c>
      <c r="AC102">
        <v>39</v>
      </c>
      <c r="AD102">
        <v>0</v>
      </c>
      <c r="AF102">
        <v>-7.7921899999999997</v>
      </c>
      <c r="AG102">
        <v>110.362151</v>
      </c>
    </row>
    <row r="103" spans="1:33" x14ac:dyDescent="0.25">
      <c r="A103">
        <v>102</v>
      </c>
      <c r="B103" t="str">
        <f>TRIM(LEFT(Table1[[#This Row],[Location]],SEARCH(",",Table1[[#This Row],[Location]],1)-1))</f>
        <v>Ponorogo</v>
      </c>
      <c r="C103" t="str">
        <f>TRIM(MID(Table1[[#This Row],[Location]],SEARCH(",",Table1[[#This Row],[Location]],1)+1,LEN(Table1[[#This Row],[Location]])))</f>
        <v>Jawa Timur</v>
      </c>
      <c r="I103">
        <v>102</v>
      </c>
      <c r="J103" t="s">
        <v>934</v>
      </c>
      <c r="K103">
        <f>_xlfn.XLOOKUP(Table29[[#This Row],[city_name1]], Table5[city_name], Table5[city_id], "Not Found")</f>
        <v>17</v>
      </c>
      <c r="L103">
        <v>21</v>
      </c>
      <c r="R103">
        <v>4</v>
      </c>
      <c r="S103">
        <v>193</v>
      </c>
      <c r="T103">
        <v>5</v>
      </c>
      <c r="V103">
        <v>27</v>
      </c>
      <c r="W103">
        <v>170</v>
      </c>
      <c r="Y103">
        <v>102</v>
      </c>
      <c r="Z103" t="s">
        <v>253</v>
      </c>
      <c r="AA103" t="s">
        <v>254</v>
      </c>
      <c r="AB103">
        <v>2</v>
      </c>
      <c r="AC103">
        <v>39</v>
      </c>
      <c r="AD103">
        <v>40000</v>
      </c>
      <c r="AE103">
        <v>15</v>
      </c>
      <c r="AF103">
        <v>-7.8011159000000001</v>
      </c>
      <c r="AG103">
        <v>110.3646172</v>
      </c>
    </row>
    <row r="104" spans="1:33" x14ac:dyDescent="0.25">
      <c r="A104">
        <v>103</v>
      </c>
      <c r="B104" t="str">
        <f>TRIM(LEFT(Table1[[#This Row],[Location]],SEARCH(",",Table1[[#This Row],[Location]],1)-1))</f>
        <v>Depok</v>
      </c>
      <c r="C104" t="str">
        <f>TRIM(MID(Table1[[#This Row],[Location]],SEARCH(",",Table1[[#This Row],[Location]],1)+1,LEN(Table1[[#This Row],[Location]])))</f>
        <v>Jawa Barat</v>
      </c>
      <c r="I104">
        <v>103</v>
      </c>
      <c r="J104" t="s">
        <v>930</v>
      </c>
      <c r="K104">
        <f>_xlfn.XLOOKUP(Table29[[#This Row],[city_name1]], Table5[city_name], Table5[city_id], "Not Found")</f>
        <v>27</v>
      </c>
      <c r="L104">
        <v>30</v>
      </c>
      <c r="R104">
        <v>4</v>
      </c>
      <c r="S104">
        <v>215</v>
      </c>
      <c r="T104">
        <v>3</v>
      </c>
      <c r="V104">
        <v>27</v>
      </c>
      <c r="W104">
        <v>106</v>
      </c>
      <c r="Y104">
        <v>103</v>
      </c>
      <c r="Z104" t="s">
        <v>255</v>
      </c>
      <c r="AA104" t="s">
        <v>256</v>
      </c>
      <c r="AB104">
        <v>5</v>
      </c>
      <c r="AC104">
        <v>39</v>
      </c>
      <c r="AD104">
        <v>0</v>
      </c>
      <c r="AE104">
        <v>15</v>
      </c>
      <c r="AF104">
        <v>-7.7829436999999997</v>
      </c>
      <c r="AG104">
        <v>110.36705480000001</v>
      </c>
    </row>
    <row r="105" spans="1:33" x14ac:dyDescent="0.25">
      <c r="A105">
        <v>104</v>
      </c>
      <c r="B105" t="str">
        <f>TRIM(LEFT(Table1[[#This Row],[Location]],SEARCH(",",Table1[[#This Row],[Location]],1)-1))</f>
        <v>Jakarta Selatan</v>
      </c>
      <c r="C105" t="str">
        <f>TRIM(MID(Table1[[#This Row],[Location]],SEARCH(",",Table1[[#This Row],[Location]],1)+1,LEN(Table1[[#This Row],[Location]])))</f>
        <v>DKI Jakarta</v>
      </c>
      <c r="I105">
        <v>104</v>
      </c>
      <c r="J105" t="s">
        <v>953</v>
      </c>
      <c r="K105">
        <f>_xlfn.XLOOKUP(Table29[[#This Row],[city_name1]], Table5[city_name], Table5[city_id], "Not Found")</f>
        <v>12</v>
      </c>
      <c r="L105">
        <v>27</v>
      </c>
      <c r="R105">
        <v>4</v>
      </c>
      <c r="S105">
        <v>229</v>
      </c>
      <c r="T105">
        <v>2</v>
      </c>
      <c r="V105">
        <v>28</v>
      </c>
      <c r="W105">
        <v>152</v>
      </c>
      <c r="Y105">
        <v>104</v>
      </c>
      <c r="Z105" t="s">
        <v>257</v>
      </c>
      <c r="AA105" t="s">
        <v>258</v>
      </c>
      <c r="AB105">
        <v>2</v>
      </c>
      <c r="AC105">
        <v>38</v>
      </c>
      <c r="AD105">
        <v>20000</v>
      </c>
      <c r="AF105">
        <v>-7.7815713999999998</v>
      </c>
      <c r="AG105">
        <v>110.5045827</v>
      </c>
    </row>
    <row r="106" spans="1:33" x14ac:dyDescent="0.25">
      <c r="A106">
        <v>105</v>
      </c>
      <c r="B106" t="str">
        <f>TRIM(LEFT(Table1[[#This Row],[Location]],SEARCH(",",Table1[[#This Row],[Location]],1)-1))</f>
        <v>Bekasi</v>
      </c>
      <c r="C106" t="str">
        <f>TRIM(MID(Table1[[#This Row],[Location]],SEARCH(",",Table1[[#This Row],[Location]],1)+1,LEN(Table1[[#This Row],[Location]])))</f>
        <v>Jawa Barat</v>
      </c>
      <c r="I106">
        <v>105</v>
      </c>
      <c r="J106" t="s">
        <v>925</v>
      </c>
      <c r="K106">
        <f>_xlfn.XLOOKUP(Table29[[#This Row],[city_name1]], Table5[city_name], Table5[city_id], "Not Found")</f>
        <v>24</v>
      </c>
      <c r="L106">
        <v>37</v>
      </c>
      <c r="R106">
        <v>4</v>
      </c>
      <c r="S106">
        <v>242</v>
      </c>
      <c r="T106">
        <v>4</v>
      </c>
      <c r="V106">
        <v>28</v>
      </c>
      <c r="W106">
        <v>153</v>
      </c>
      <c r="Y106">
        <v>105</v>
      </c>
      <c r="Z106" t="s">
        <v>259</v>
      </c>
      <c r="AA106" t="s">
        <v>260</v>
      </c>
      <c r="AB106">
        <v>2</v>
      </c>
      <c r="AC106">
        <v>39</v>
      </c>
      <c r="AD106">
        <v>0</v>
      </c>
      <c r="AE106">
        <v>25</v>
      </c>
      <c r="AF106">
        <v>-7.7955613000000001</v>
      </c>
      <c r="AG106">
        <v>110.3612095</v>
      </c>
    </row>
    <row r="107" spans="1:33" x14ac:dyDescent="0.25">
      <c r="A107">
        <v>106</v>
      </c>
      <c r="B107" t="str">
        <f>TRIM(LEFT(Table1[[#This Row],[Location]],SEARCH(",",Table1[[#This Row],[Location]],1)-1))</f>
        <v>Ponorogo</v>
      </c>
      <c r="C107" t="str">
        <f>TRIM(MID(Table1[[#This Row],[Location]],SEARCH(",",Table1[[#This Row],[Location]],1)+1,LEN(Table1[[#This Row],[Location]])))</f>
        <v>Jawa Timur</v>
      </c>
      <c r="I107">
        <v>106</v>
      </c>
      <c r="J107" t="s">
        <v>934</v>
      </c>
      <c r="K107">
        <f>_xlfn.XLOOKUP(Table29[[#This Row],[city_name1]], Table5[city_name], Table5[city_id], "Not Found")</f>
        <v>17</v>
      </c>
      <c r="L107">
        <v>32</v>
      </c>
      <c r="R107">
        <v>4</v>
      </c>
      <c r="S107">
        <v>268</v>
      </c>
      <c r="T107">
        <v>4</v>
      </c>
      <c r="V107">
        <v>28</v>
      </c>
      <c r="W107">
        <v>182</v>
      </c>
      <c r="Y107">
        <v>106</v>
      </c>
      <c r="Z107" t="s">
        <v>261</v>
      </c>
      <c r="AA107" t="s">
        <v>262</v>
      </c>
      <c r="AB107">
        <v>5</v>
      </c>
      <c r="AC107">
        <v>39</v>
      </c>
      <c r="AD107">
        <v>0</v>
      </c>
      <c r="AF107">
        <v>-7.7931670000000004</v>
      </c>
      <c r="AG107">
        <v>110.36552380000001</v>
      </c>
    </row>
    <row r="108" spans="1:33" x14ac:dyDescent="0.25">
      <c r="A108">
        <v>107</v>
      </c>
      <c r="B108" t="str">
        <f>TRIM(LEFT(Table1[[#This Row],[Location]],SEARCH(",",Table1[[#This Row],[Location]],1)-1))</f>
        <v>Sragen</v>
      </c>
      <c r="C108" t="str">
        <f>TRIM(MID(Table1[[#This Row],[Location]],SEARCH(",",Table1[[#This Row],[Location]],1)+1,LEN(Table1[[#This Row],[Location]])))</f>
        <v>Jawa Tengah</v>
      </c>
      <c r="I108">
        <v>107</v>
      </c>
      <c r="J108" t="s">
        <v>933</v>
      </c>
      <c r="K108">
        <f>_xlfn.XLOOKUP(Table29[[#This Row],[city_name1]], Table5[city_name], Table5[city_id], "Not Found")</f>
        <v>8</v>
      </c>
      <c r="L108">
        <v>24</v>
      </c>
      <c r="R108">
        <v>4</v>
      </c>
      <c r="S108">
        <v>290</v>
      </c>
      <c r="T108">
        <v>3</v>
      </c>
      <c r="V108">
        <v>28</v>
      </c>
      <c r="W108">
        <v>189</v>
      </c>
      <c r="Y108">
        <v>107</v>
      </c>
      <c r="Z108" t="s">
        <v>263</v>
      </c>
      <c r="AA108" t="s">
        <v>264</v>
      </c>
      <c r="AB108">
        <v>2</v>
      </c>
      <c r="AC108">
        <v>39</v>
      </c>
      <c r="AD108">
        <v>5000</v>
      </c>
      <c r="AF108">
        <v>-7.8052843000000003</v>
      </c>
      <c r="AG108">
        <v>110.36421369999999</v>
      </c>
    </row>
    <row r="109" spans="1:33" x14ac:dyDescent="0.25">
      <c r="A109">
        <v>108</v>
      </c>
      <c r="B109" t="str">
        <f>TRIM(LEFT(Table1[[#This Row],[Location]],SEARCH(",",Table1[[#This Row],[Location]],1)-1))</f>
        <v>Klaten</v>
      </c>
      <c r="C109" t="str">
        <f>TRIM(MID(Table1[[#This Row],[Location]],SEARCH(",",Table1[[#This Row],[Location]],1)+1,LEN(Table1[[#This Row],[Location]])))</f>
        <v>Jawa Tengah</v>
      </c>
      <c r="I109">
        <v>108</v>
      </c>
      <c r="J109" t="s">
        <v>935</v>
      </c>
      <c r="K109">
        <f>_xlfn.XLOOKUP(Table29[[#This Row],[city_name1]], Table5[city_name], Table5[city_id], "Not Found")</f>
        <v>4</v>
      </c>
      <c r="L109">
        <v>33</v>
      </c>
      <c r="R109">
        <v>4</v>
      </c>
      <c r="S109">
        <v>294</v>
      </c>
      <c r="T109">
        <v>5</v>
      </c>
      <c r="V109">
        <v>28</v>
      </c>
      <c r="W109">
        <v>190</v>
      </c>
      <c r="Y109">
        <v>108</v>
      </c>
      <c r="Z109" t="s">
        <v>265</v>
      </c>
      <c r="AA109" t="s">
        <v>266</v>
      </c>
      <c r="AB109">
        <v>5</v>
      </c>
      <c r="AC109">
        <v>38</v>
      </c>
      <c r="AD109">
        <v>0</v>
      </c>
      <c r="AF109">
        <v>-7.756227</v>
      </c>
      <c r="AG109">
        <v>110.4150131</v>
      </c>
    </row>
    <row r="110" spans="1:33" x14ac:dyDescent="0.25">
      <c r="A110">
        <v>109</v>
      </c>
      <c r="B110" t="str">
        <f>TRIM(LEFT(Table1[[#This Row],[Location]],SEARCH(",",Table1[[#This Row],[Location]],1)-1))</f>
        <v>Solo</v>
      </c>
      <c r="C110" t="str">
        <f>TRIM(MID(Table1[[#This Row],[Location]],SEARCH(",",Table1[[#This Row],[Location]],1)+1,LEN(Table1[[#This Row],[Location]])))</f>
        <v>Jawa Tengah</v>
      </c>
      <c r="I110">
        <v>109</v>
      </c>
      <c r="J110" t="s">
        <v>936</v>
      </c>
      <c r="K110">
        <f>_xlfn.XLOOKUP(Table29[[#This Row],[city_name1]], Table5[city_name], Table5[city_id], "Not Found")</f>
        <v>7</v>
      </c>
      <c r="L110">
        <v>18</v>
      </c>
      <c r="R110">
        <v>4</v>
      </c>
      <c r="S110">
        <v>309</v>
      </c>
      <c r="T110">
        <v>5</v>
      </c>
      <c r="V110">
        <v>29</v>
      </c>
      <c r="W110">
        <v>93</v>
      </c>
      <c r="Y110">
        <v>109</v>
      </c>
      <c r="Z110" t="s">
        <v>267</v>
      </c>
      <c r="AA110" t="s">
        <v>268</v>
      </c>
      <c r="AB110">
        <v>5</v>
      </c>
      <c r="AC110">
        <v>34</v>
      </c>
      <c r="AD110">
        <v>3000</v>
      </c>
      <c r="AF110">
        <v>-7.8704831999999998</v>
      </c>
      <c r="AG110">
        <v>110.4599108</v>
      </c>
    </row>
    <row r="111" spans="1:33" x14ac:dyDescent="0.25">
      <c r="A111">
        <v>110</v>
      </c>
      <c r="B111" t="str">
        <f>TRIM(LEFT(Table1[[#This Row],[Location]],SEARCH(",",Table1[[#This Row],[Location]],1)-1))</f>
        <v>Tanggerang</v>
      </c>
      <c r="C111" t="str">
        <f>TRIM(MID(Table1[[#This Row],[Location]],SEARCH(",",Table1[[#This Row],[Location]],1)+1,LEN(Table1[[#This Row],[Location]])))</f>
        <v>Banten</v>
      </c>
      <c r="I111">
        <v>110</v>
      </c>
      <c r="J111" t="s">
        <v>937</v>
      </c>
      <c r="K111">
        <f>_xlfn.XLOOKUP(Table29[[#This Row],[city_name1]], Table5[city_name], Table5[city_id], "Not Found")</f>
        <v>2</v>
      </c>
      <c r="L111">
        <v>39</v>
      </c>
      <c r="R111">
        <v>4</v>
      </c>
      <c r="S111">
        <v>347</v>
      </c>
      <c r="T111">
        <v>5</v>
      </c>
      <c r="V111">
        <v>29</v>
      </c>
      <c r="W111">
        <v>99</v>
      </c>
      <c r="Y111">
        <v>110</v>
      </c>
      <c r="Z111" t="s">
        <v>269</v>
      </c>
      <c r="AA111" t="s">
        <v>270</v>
      </c>
      <c r="AB111">
        <v>5</v>
      </c>
      <c r="AC111">
        <v>39</v>
      </c>
      <c r="AD111">
        <v>3000</v>
      </c>
      <c r="AF111">
        <v>-7.8010124000000003</v>
      </c>
      <c r="AG111">
        <v>110.3653376</v>
      </c>
    </row>
    <row r="112" spans="1:33" x14ac:dyDescent="0.25">
      <c r="A112">
        <v>111</v>
      </c>
      <c r="B112" t="str">
        <f>TRIM(LEFT(Table1[[#This Row],[Location]],SEARCH(",",Table1[[#This Row],[Location]],1)-1))</f>
        <v>Serang</v>
      </c>
      <c r="C112" t="str">
        <f>TRIM(MID(Table1[[#This Row],[Location]],SEARCH(",",Table1[[#This Row],[Location]],1)+1,LEN(Table1[[#This Row],[Location]])))</f>
        <v>Banten</v>
      </c>
      <c r="I112">
        <v>111</v>
      </c>
      <c r="J112" t="s">
        <v>939</v>
      </c>
      <c r="K112">
        <f>_xlfn.XLOOKUP(Table29[[#This Row],[city_name1]], Table5[city_name], Table5[city_id], "Not Found")</f>
        <v>1</v>
      </c>
      <c r="L112">
        <v>38</v>
      </c>
      <c r="R112">
        <v>4</v>
      </c>
      <c r="S112">
        <v>375</v>
      </c>
      <c r="T112">
        <v>2</v>
      </c>
      <c r="V112">
        <v>29</v>
      </c>
      <c r="W112">
        <v>104</v>
      </c>
      <c r="Y112">
        <v>111</v>
      </c>
      <c r="Z112" t="s">
        <v>271</v>
      </c>
      <c r="AA112" t="s">
        <v>272</v>
      </c>
      <c r="AB112">
        <v>5</v>
      </c>
      <c r="AC112">
        <v>34</v>
      </c>
      <c r="AD112">
        <v>3000</v>
      </c>
      <c r="AF112">
        <v>-7.9020355000000002</v>
      </c>
      <c r="AG112">
        <v>110.4374627</v>
      </c>
    </row>
    <row r="113" spans="1:33" x14ac:dyDescent="0.25">
      <c r="A113">
        <v>112</v>
      </c>
      <c r="B113" t="str">
        <f>TRIM(LEFT(Table1[[#This Row],[Location]],SEARCH(",",Table1[[#This Row],[Location]],1)-1))</f>
        <v>Cilacap</v>
      </c>
      <c r="C113" t="str">
        <f>TRIM(MID(Table1[[#This Row],[Location]],SEARCH(",",Table1[[#This Row],[Location]],1)+1,LEN(Table1[[#This Row],[Location]])))</f>
        <v>Jawa Tengah</v>
      </c>
      <c r="I113">
        <v>112</v>
      </c>
      <c r="J113" t="s">
        <v>940</v>
      </c>
      <c r="K113">
        <f>_xlfn.XLOOKUP(Table29[[#This Row],[city_name1]], Table5[city_name], Table5[city_id], "Not Found")</f>
        <v>3</v>
      </c>
      <c r="L113">
        <v>18</v>
      </c>
      <c r="R113">
        <v>4</v>
      </c>
      <c r="S113">
        <v>376</v>
      </c>
      <c r="T113">
        <v>3</v>
      </c>
      <c r="V113">
        <v>29</v>
      </c>
      <c r="W113">
        <v>108</v>
      </c>
      <c r="Y113">
        <v>112</v>
      </c>
      <c r="Z113" t="s">
        <v>273</v>
      </c>
      <c r="AA113" t="s">
        <v>274</v>
      </c>
      <c r="AB113">
        <v>5</v>
      </c>
      <c r="AC113">
        <v>35</v>
      </c>
      <c r="AD113">
        <v>25000</v>
      </c>
      <c r="AE113">
        <v>90</v>
      </c>
      <c r="AF113">
        <v>-7.8458407000000001</v>
      </c>
      <c r="AG113">
        <v>110.4798457</v>
      </c>
    </row>
    <row r="114" spans="1:33" x14ac:dyDescent="0.25">
      <c r="A114">
        <v>113</v>
      </c>
      <c r="B114" t="str">
        <f>TRIM(LEFT(Table1[[#This Row],[Location]],SEARCH(",",Table1[[#This Row],[Location]],1)-1))</f>
        <v>Semarang</v>
      </c>
      <c r="C114" t="str">
        <f>TRIM(MID(Table1[[#This Row],[Location]],SEARCH(",",Table1[[#This Row],[Location]],1)+1,LEN(Table1[[#This Row],[Location]])))</f>
        <v>Jawa Tengah</v>
      </c>
      <c r="I114">
        <v>113</v>
      </c>
      <c r="J114" t="s">
        <v>719</v>
      </c>
      <c r="K114">
        <f>_xlfn.XLOOKUP(Table29[[#This Row],[city_name1]], Table5[city_name], Table5[city_id], "Not Found")</f>
        <v>5</v>
      </c>
      <c r="L114">
        <v>38</v>
      </c>
      <c r="R114">
        <v>4</v>
      </c>
      <c r="S114">
        <v>382</v>
      </c>
      <c r="T114">
        <v>2</v>
      </c>
      <c r="V114">
        <v>30</v>
      </c>
      <c r="W114">
        <v>114</v>
      </c>
      <c r="Y114">
        <v>113</v>
      </c>
      <c r="Z114" t="s">
        <v>275</v>
      </c>
      <c r="AA114" t="s">
        <v>276</v>
      </c>
      <c r="AB114">
        <v>2</v>
      </c>
      <c r="AC114">
        <v>39</v>
      </c>
      <c r="AD114">
        <v>0</v>
      </c>
      <c r="AF114">
        <v>-7.8001506000000003</v>
      </c>
      <c r="AG114">
        <v>110.3637507</v>
      </c>
    </row>
    <row r="115" spans="1:33" x14ac:dyDescent="0.25">
      <c r="A115">
        <v>114</v>
      </c>
      <c r="B115" t="str">
        <f>TRIM(LEFT(Table1[[#This Row],[Location]],SEARCH(",",Table1[[#This Row],[Location]],1)-1))</f>
        <v>Yogyakarta</v>
      </c>
      <c r="C115" t="str">
        <f>TRIM(MID(Table1[[#This Row],[Location]],SEARCH(",",Table1[[#This Row],[Location]],1)+1,LEN(Table1[[#This Row],[Location]])))</f>
        <v>DIY</v>
      </c>
      <c r="I115">
        <v>114</v>
      </c>
      <c r="J115" t="s">
        <v>220</v>
      </c>
      <c r="K115">
        <f>_xlfn.XLOOKUP(Table29[[#This Row],[city_name1]], Table5[city_name], Table5[city_id], "Not Found")</f>
        <v>39</v>
      </c>
      <c r="L115">
        <v>39</v>
      </c>
      <c r="R115">
        <v>4</v>
      </c>
      <c r="S115">
        <v>405</v>
      </c>
      <c r="T115">
        <v>3</v>
      </c>
      <c r="V115">
        <v>30</v>
      </c>
      <c r="W115">
        <v>115</v>
      </c>
      <c r="Y115">
        <v>114</v>
      </c>
      <c r="Z115" t="s">
        <v>277</v>
      </c>
      <c r="AA115" t="s">
        <v>278</v>
      </c>
      <c r="AB115">
        <v>5</v>
      </c>
      <c r="AC115">
        <v>38</v>
      </c>
      <c r="AD115">
        <v>30000</v>
      </c>
      <c r="AF115">
        <v>-7.6041648000000004</v>
      </c>
      <c r="AG115">
        <v>110.4510042</v>
      </c>
    </row>
    <row r="116" spans="1:33" x14ac:dyDescent="0.25">
      <c r="A116">
        <v>115</v>
      </c>
      <c r="B116" t="str">
        <f>TRIM(LEFT(Table1[[#This Row],[Location]],SEARCH(",",Table1[[#This Row],[Location]],1)-1))</f>
        <v>Kota Gede</v>
      </c>
      <c r="C116" t="str">
        <f>TRIM(MID(Table1[[#This Row],[Location]],SEARCH(",",Table1[[#This Row],[Location]],1)+1,LEN(Table1[[#This Row],[Location]])))</f>
        <v>DIY</v>
      </c>
      <c r="I116">
        <v>115</v>
      </c>
      <c r="J116" t="s">
        <v>941</v>
      </c>
      <c r="K116">
        <f>_xlfn.XLOOKUP(Table29[[#This Row],[city_name1]], Table5[city_name], Table5[city_id], "Not Found")</f>
        <v>36</v>
      </c>
      <c r="L116">
        <v>26</v>
      </c>
      <c r="R116">
        <v>4</v>
      </c>
      <c r="S116">
        <v>408</v>
      </c>
      <c r="T116">
        <v>3</v>
      </c>
      <c r="V116">
        <v>30</v>
      </c>
      <c r="W116">
        <v>165</v>
      </c>
      <c r="Y116">
        <v>115</v>
      </c>
      <c r="Z116" t="s">
        <v>279</v>
      </c>
      <c r="AA116" t="s">
        <v>280</v>
      </c>
      <c r="AB116">
        <v>2</v>
      </c>
      <c r="AC116">
        <v>39</v>
      </c>
      <c r="AD116">
        <v>15000</v>
      </c>
      <c r="AF116">
        <v>-7.7881727999999999</v>
      </c>
      <c r="AG116">
        <v>110.37154030000001</v>
      </c>
    </row>
    <row r="117" spans="1:33" x14ac:dyDescent="0.25">
      <c r="A117">
        <v>116</v>
      </c>
      <c r="B117" t="str">
        <f>TRIM(LEFT(Table1[[#This Row],[Location]],SEARCH(",",Table1[[#This Row],[Location]],1)-1))</f>
        <v>Cirebon</v>
      </c>
      <c r="C117" t="str">
        <f>TRIM(MID(Table1[[#This Row],[Location]],SEARCH(",",Table1[[#This Row],[Location]],1)+1,LEN(Table1[[#This Row],[Location]])))</f>
        <v>Jawa Barat</v>
      </c>
      <c r="I117">
        <v>116</v>
      </c>
      <c r="J117" t="s">
        <v>926</v>
      </c>
      <c r="K117">
        <f>_xlfn.XLOOKUP(Table29[[#This Row],[city_name1]], Table5[city_name], Table5[city_id], "Not Found")</f>
        <v>26</v>
      </c>
      <c r="L117">
        <v>23</v>
      </c>
      <c r="R117">
        <v>5</v>
      </c>
      <c r="S117">
        <v>4</v>
      </c>
      <c r="T117">
        <v>3</v>
      </c>
      <c r="V117">
        <v>30</v>
      </c>
      <c r="W117">
        <v>180</v>
      </c>
      <c r="Y117">
        <v>116</v>
      </c>
      <c r="Z117" t="s">
        <v>281</v>
      </c>
      <c r="AA117" t="s">
        <v>282</v>
      </c>
      <c r="AB117">
        <v>5</v>
      </c>
      <c r="AC117">
        <v>34</v>
      </c>
      <c r="AD117">
        <v>2500</v>
      </c>
      <c r="AE117">
        <v>45</v>
      </c>
      <c r="AF117">
        <v>-7.9401064999999997</v>
      </c>
      <c r="AG117">
        <v>110.43000619999999</v>
      </c>
    </row>
    <row r="118" spans="1:33" x14ac:dyDescent="0.25">
      <c r="A118">
        <v>117</v>
      </c>
      <c r="B118" t="str">
        <f>TRIM(LEFT(Table1[[#This Row],[Location]],SEARCH(",",Table1[[#This Row],[Location]],1)-1))</f>
        <v>Subang</v>
      </c>
      <c r="C118" t="str">
        <f>TRIM(MID(Table1[[#This Row],[Location]],SEARCH(",",Table1[[#This Row],[Location]],1)+1,LEN(Table1[[#This Row],[Location]])))</f>
        <v>Jawa Barat</v>
      </c>
      <c r="I118">
        <v>117</v>
      </c>
      <c r="J118" t="s">
        <v>931</v>
      </c>
      <c r="K118">
        <f>_xlfn.XLOOKUP(Table29[[#This Row],[city_name1]], Table5[city_name], Table5[city_id], "Not Found")</f>
        <v>32</v>
      </c>
      <c r="L118">
        <v>30</v>
      </c>
      <c r="R118">
        <v>5</v>
      </c>
      <c r="S118">
        <v>9</v>
      </c>
      <c r="T118">
        <v>5</v>
      </c>
      <c r="V118">
        <v>31</v>
      </c>
      <c r="W118">
        <v>169</v>
      </c>
      <c r="Y118">
        <v>117</v>
      </c>
      <c r="Z118" t="s">
        <v>283</v>
      </c>
      <c r="AA118" t="s">
        <v>284</v>
      </c>
      <c r="AB118">
        <v>5</v>
      </c>
      <c r="AC118">
        <v>38</v>
      </c>
      <c r="AD118">
        <v>22000</v>
      </c>
      <c r="AE118">
        <v>90</v>
      </c>
      <c r="AF118">
        <v>-7.6209046000000003</v>
      </c>
      <c r="AG118">
        <v>110.4216275</v>
      </c>
    </row>
    <row r="119" spans="1:33" x14ac:dyDescent="0.25">
      <c r="A119">
        <v>118</v>
      </c>
      <c r="B119" t="str">
        <f>TRIM(LEFT(Table1[[#This Row],[Location]],SEARCH(",",Table1[[#This Row],[Location]],1)-1))</f>
        <v>Karawang</v>
      </c>
      <c r="C119" t="str">
        <f>TRIM(MID(Table1[[#This Row],[Location]],SEARCH(",",Table1[[#This Row],[Location]],1)+1,LEN(Table1[[#This Row],[Location]])))</f>
        <v>Jawa Barat</v>
      </c>
      <c r="I119">
        <v>118</v>
      </c>
      <c r="J119" t="s">
        <v>942</v>
      </c>
      <c r="K119">
        <f>_xlfn.XLOOKUP(Table29[[#This Row],[city_name1]], Table5[city_name], Table5[city_id], "Not Found")</f>
        <v>29</v>
      </c>
      <c r="L119">
        <v>32</v>
      </c>
      <c r="R119">
        <v>5</v>
      </c>
      <c r="S119">
        <v>27</v>
      </c>
      <c r="T119">
        <v>2</v>
      </c>
      <c r="V119">
        <v>31</v>
      </c>
      <c r="W119">
        <v>98</v>
      </c>
      <c r="Y119">
        <v>118</v>
      </c>
      <c r="Z119" t="s">
        <v>285</v>
      </c>
      <c r="AA119" t="s">
        <v>286</v>
      </c>
      <c r="AB119">
        <v>2</v>
      </c>
      <c r="AC119">
        <v>39</v>
      </c>
      <c r="AD119">
        <v>5000</v>
      </c>
      <c r="AE119">
        <v>120</v>
      </c>
      <c r="AF119">
        <v>-7.8024499</v>
      </c>
      <c r="AG119">
        <v>110.3639555</v>
      </c>
    </row>
    <row r="120" spans="1:33" x14ac:dyDescent="0.25">
      <c r="A120">
        <v>119</v>
      </c>
      <c r="B120" t="str">
        <f>TRIM(LEFT(Table1[[#This Row],[Location]],SEARCH(",",Table1[[#This Row],[Location]],1)-1))</f>
        <v>Purwakarat</v>
      </c>
      <c r="C120" t="str">
        <f>TRIM(MID(Table1[[#This Row],[Location]],SEARCH(",",Table1[[#This Row],[Location]],1)+1,LEN(Table1[[#This Row],[Location]])))</f>
        <v>Jawa Barat</v>
      </c>
      <c r="I120">
        <v>119</v>
      </c>
      <c r="J120" t="s">
        <v>957</v>
      </c>
      <c r="K120">
        <f>_xlfn.XLOOKUP(Table29[[#This Row],[city_name1]], Table5[city_name], Table5[city_id], "Not Found")</f>
        <v>31</v>
      </c>
      <c r="L120">
        <v>25</v>
      </c>
      <c r="R120">
        <v>5</v>
      </c>
      <c r="S120">
        <v>55</v>
      </c>
      <c r="T120">
        <v>5</v>
      </c>
      <c r="V120">
        <v>31</v>
      </c>
      <c r="W120">
        <v>203</v>
      </c>
      <c r="Y120">
        <v>119</v>
      </c>
      <c r="Z120" t="s">
        <v>287</v>
      </c>
      <c r="AA120" t="s">
        <v>288</v>
      </c>
      <c r="AB120">
        <v>2</v>
      </c>
      <c r="AC120">
        <v>38</v>
      </c>
      <c r="AD120">
        <v>5000</v>
      </c>
      <c r="AE120">
        <v>30</v>
      </c>
      <c r="AF120">
        <v>-7.8081518000000001</v>
      </c>
      <c r="AG120">
        <v>110.4595183</v>
      </c>
    </row>
    <row r="121" spans="1:33" x14ac:dyDescent="0.25">
      <c r="A121">
        <v>120</v>
      </c>
      <c r="B121" t="str">
        <f>TRIM(LEFT(Table1[[#This Row],[Location]],SEARCH(",",Table1[[#This Row],[Location]],1)-1))</f>
        <v>Jakarta Utara</v>
      </c>
      <c r="C121" t="str">
        <f>TRIM(MID(Table1[[#This Row],[Location]],SEARCH(",",Table1[[#This Row],[Location]],1)+1,LEN(Table1[[#This Row],[Location]])))</f>
        <v>DKI Jakarta</v>
      </c>
      <c r="I121">
        <v>120</v>
      </c>
      <c r="J121" t="s">
        <v>951</v>
      </c>
      <c r="K121">
        <f>_xlfn.XLOOKUP(Table29[[#This Row],[city_name1]], Table5[city_name], Table5[city_id], "Not Found")</f>
        <v>11</v>
      </c>
      <c r="L121">
        <v>32</v>
      </c>
      <c r="R121">
        <v>5</v>
      </c>
      <c r="S121">
        <v>61</v>
      </c>
      <c r="T121">
        <v>3</v>
      </c>
      <c r="V121">
        <v>32</v>
      </c>
      <c r="W121">
        <v>146</v>
      </c>
      <c r="Y121">
        <v>120</v>
      </c>
      <c r="Z121" t="s">
        <v>289</v>
      </c>
      <c r="AA121" t="s">
        <v>290</v>
      </c>
      <c r="AB121">
        <v>2</v>
      </c>
      <c r="AC121">
        <v>34</v>
      </c>
      <c r="AD121">
        <v>250000</v>
      </c>
      <c r="AE121">
        <v>90</v>
      </c>
      <c r="AF121">
        <v>-7.9583694999999999</v>
      </c>
      <c r="AG121">
        <v>110.44076219999999</v>
      </c>
    </row>
    <row r="122" spans="1:33" x14ac:dyDescent="0.25">
      <c r="A122">
        <v>121</v>
      </c>
      <c r="B122" t="str">
        <f>TRIM(LEFT(Table1[[#This Row],[Location]],SEARCH(",",Table1[[#This Row],[Location]],1)-1))</f>
        <v>Jakarta Selatan</v>
      </c>
      <c r="C122" t="str">
        <f>TRIM(MID(Table1[[#This Row],[Location]],SEARCH(",",Table1[[#This Row],[Location]],1)+1,LEN(Table1[[#This Row],[Location]])))</f>
        <v>DKI Jakarta</v>
      </c>
      <c r="I122">
        <v>121</v>
      </c>
      <c r="J122" t="s">
        <v>953</v>
      </c>
      <c r="K122">
        <f>_xlfn.XLOOKUP(Table29[[#This Row],[city_name1]], Table5[city_name], Table5[city_id], "Not Found")</f>
        <v>12</v>
      </c>
      <c r="L122">
        <v>35</v>
      </c>
      <c r="R122">
        <v>5</v>
      </c>
      <c r="S122">
        <v>67</v>
      </c>
      <c r="T122">
        <v>4</v>
      </c>
      <c r="V122">
        <v>32</v>
      </c>
      <c r="W122">
        <v>159</v>
      </c>
      <c r="Y122">
        <v>121</v>
      </c>
      <c r="Z122" t="s">
        <v>291</v>
      </c>
      <c r="AA122" t="s">
        <v>292</v>
      </c>
      <c r="AB122">
        <v>2</v>
      </c>
      <c r="AC122">
        <v>38</v>
      </c>
      <c r="AD122">
        <v>50000</v>
      </c>
      <c r="AF122">
        <v>-7.7520205999999998</v>
      </c>
      <c r="AG122">
        <v>110.4914674</v>
      </c>
    </row>
    <row r="123" spans="1:33" x14ac:dyDescent="0.25">
      <c r="A123">
        <v>122</v>
      </c>
      <c r="B123" t="str">
        <f>TRIM(LEFT(Table1[[#This Row],[Location]],SEARCH(",",Table1[[#This Row],[Location]],1)-1))</f>
        <v>Jakarta Pusat</v>
      </c>
      <c r="C123" t="str">
        <f>TRIM(MID(Table1[[#This Row],[Location]],SEARCH(",",Table1[[#This Row],[Location]],1)+1,LEN(Table1[[#This Row],[Location]])))</f>
        <v>DKI Jakarta</v>
      </c>
      <c r="I123">
        <v>122</v>
      </c>
      <c r="J123" t="s">
        <v>949</v>
      </c>
      <c r="K123">
        <f>_xlfn.XLOOKUP(Table29[[#This Row],[city_name1]], Table5[city_name], Table5[city_id], "Not Found")</f>
        <v>9</v>
      </c>
      <c r="L123">
        <v>24</v>
      </c>
      <c r="R123">
        <v>5</v>
      </c>
      <c r="S123">
        <v>68</v>
      </c>
      <c r="T123">
        <v>5</v>
      </c>
      <c r="V123">
        <v>32</v>
      </c>
      <c r="W123">
        <v>166</v>
      </c>
      <c r="Y123">
        <v>122</v>
      </c>
      <c r="Z123" t="s">
        <v>293</v>
      </c>
      <c r="AA123" t="s">
        <v>294</v>
      </c>
      <c r="AB123">
        <v>2</v>
      </c>
      <c r="AC123">
        <v>34</v>
      </c>
      <c r="AD123">
        <v>2500</v>
      </c>
      <c r="AE123">
        <v>45</v>
      </c>
      <c r="AF123">
        <v>-7.9274085999999997</v>
      </c>
      <c r="AG123">
        <v>110.41205859999999</v>
      </c>
    </row>
    <row r="124" spans="1:33" x14ac:dyDescent="0.25">
      <c r="A124">
        <v>123</v>
      </c>
      <c r="B124" t="str">
        <f>TRIM(LEFT(Table1[[#This Row],[Location]],SEARCH(",",Table1[[#This Row],[Location]],1)-1))</f>
        <v>Bekasi</v>
      </c>
      <c r="C124" t="str">
        <f>TRIM(MID(Table1[[#This Row],[Location]],SEARCH(",",Table1[[#This Row],[Location]],1)+1,LEN(Table1[[#This Row],[Location]])))</f>
        <v>Jawa Barat</v>
      </c>
      <c r="I124">
        <v>123</v>
      </c>
      <c r="J124" t="s">
        <v>925</v>
      </c>
      <c r="K124">
        <f>_xlfn.XLOOKUP(Table29[[#This Row],[city_name1]], Table5[city_name], Table5[city_id], "Not Found")</f>
        <v>24</v>
      </c>
      <c r="L124">
        <v>32</v>
      </c>
      <c r="R124">
        <v>5</v>
      </c>
      <c r="S124">
        <v>115</v>
      </c>
      <c r="T124">
        <v>3</v>
      </c>
      <c r="V124">
        <v>32</v>
      </c>
      <c r="W124">
        <v>178</v>
      </c>
      <c r="Y124">
        <v>123</v>
      </c>
      <c r="Z124" t="s">
        <v>295</v>
      </c>
      <c r="AA124" t="s">
        <v>296</v>
      </c>
      <c r="AB124">
        <v>2</v>
      </c>
      <c r="AC124">
        <v>39</v>
      </c>
      <c r="AD124">
        <v>0</v>
      </c>
      <c r="AF124">
        <v>-7.8152775999999999</v>
      </c>
      <c r="AG124">
        <v>110.39883589999999</v>
      </c>
    </row>
    <row r="125" spans="1:33" x14ac:dyDescent="0.25">
      <c r="A125">
        <v>124</v>
      </c>
      <c r="B125" t="str">
        <f>TRIM(LEFT(Table1[[#This Row],[Location]],SEARCH(",",Table1[[#This Row],[Location]],1)-1))</f>
        <v>Bogor</v>
      </c>
      <c r="C125" t="str">
        <f>TRIM(MID(Table1[[#This Row],[Location]],SEARCH(",",Table1[[#This Row],[Location]],1)+1,LEN(Table1[[#This Row],[Location]])))</f>
        <v>Jawa Barat</v>
      </c>
      <c r="I125">
        <v>124</v>
      </c>
      <c r="J125" t="s">
        <v>929</v>
      </c>
      <c r="K125">
        <f>_xlfn.XLOOKUP(Table29[[#This Row],[city_name1]], Table5[city_name], Table5[city_id], "Not Found")</f>
        <v>25</v>
      </c>
      <c r="L125">
        <v>22</v>
      </c>
      <c r="R125">
        <v>5</v>
      </c>
      <c r="S125">
        <v>138</v>
      </c>
      <c r="T125">
        <v>2</v>
      </c>
      <c r="V125">
        <v>32</v>
      </c>
      <c r="W125">
        <v>137</v>
      </c>
      <c r="Y125">
        <v>124</v>
      </c>
      <c r="Z125" t="s">
        <v>297</v>
      </c>
      <c r="AA125" t="s">
        <v>298</v>
      </c>
      <c r="AB125">
        <v>2</v>
      </c>
      <c r="AC125">
        <v>39</v>
      </c>
      <c r="AD125">
        <v>0</v>
      </c>
      <c r="AF125">
        <v>-7.8010346999999998</v>
      </c>
      <c r="AG125">
        <v>110.3751922</v>
      </c>
    </row>
    <row r="126" spans="1:33" x14ac:dyDescent="0.25">
      <c r="A126">
        <v>125</v>
      </c>
      <c r="B126" t="str">
        <f>TRIM(LEFT(Table1[[#This Row],[Location]],SEARCH(",",Table1[[#This Row],[Location]],1)-1))</f>
        <v>Karawang</v>
      </c>
      <c r="C126" t="str">
        <f>TRIM(MID(Table1[[#This Row],[Location]],SEARCH(",",Table1[[#This Row],[Location]],1)+1,LEN(Table1[[#This Row],[Location]])))</f>
        <v>Jawa Barat</v>
      </c>
      <c r="I126">
        <v>125</v>
      </c>
      <c r="J126" t="s">
        <v>942</v>
      </c>
      <c r="K126">
        <f>_xlfn.XLOOKUP(Table29[[#This Row],[city_name1]], Table5[city_name], Table5[city_id], "Not Found")</f>
        <v>29</v>
      </c>
      <c r="L126">
        <v>24</v>
      </c>
      <c r="R126">
        <v>5</v>
      </c>
      <c r="S126">
        <v>143</v>
      </c>
      <c r="T126">
        <v>4</v>
      </c>
      <c r="V126">
        <v>33</v>
      </c>
      <c r="W126">
        <v>186</v>
      </c>
      <c r="Y126">
        <v>125</v>
      </c>
      <c r="Z126" t="s">
        <v>299</v>
      </c>
      <c r="AA126" t="s">
        <v>300</v>
      </c>
      <c r="AB126">
        <v>2</v>
      </c>
      <c r="AC126">
        <v>39</v>
      </c>
      <c r="AD126">
        <v>0</v>
      </c>
      <c r="AE126">
        <v>60</v>
      </c>
      <c r="AF126">
        <v>-7.8038974999999997</v>
      </c>
      <c r="AG126">
        <v>110.3644232</v>
      </c>
    </row>
    <row r="127" spans="1:33" x14ac:dyDescent="0.25">
      <c r="A127">
        <v>126</v>
      </c>
      <c r="B127" t="str">
        <f>TRIM(LEFT(Table1[[#This Row],[Location]],SEARCH(",",Table1[[#This Row],[Location]],1)-1))</f>
        <v>Subang</v>
      </c>
      <c r="C127" t="str">
        <f>TRIM(MID(Table1[[#This Row],[Location]],SEARCH(",",Table1[[#This Row],[Location]],1)+1,LEN(Table1[[#This Row],[Location]])))</f>
        <v>Jawa Barat</v>
      </c>
      <c r="I127">
        <v>126</v>
      </c>
      <c r="J127" t="s">
        <v>931</v>
      </c>
      <c r="K127">
        <f>_xlfn.XLOOKUP(Table29[[#This Row],[city_name1]], Table5[city_name], Table5[city_id], "Not Found")</f>
        <v>32</v>
      </c>
      <c r="L127">
        <v>32</v>
      </c>
      <c r="R127">
        <v>5</v>
      </c>
      <c r="S127">
        <v>151</v>
      </c>
      <c r="T127">
        <v>5</v>
      </c>
      <c r="V127">
        <v>33</v>
      </c>
      <c r="W127">
        <v>191</v>
      </c>
      <c r="Y127">
        <v>126</v>
      </c>
      <c r="Z127" t="s">
        <v>301</v>
      </c>
      <c r="AA127" t="s">
        <v>302</v>
      </c>
      <c r="AB127">
        <v>1</v>
      </c>
      <c r="AC127">
        <v>34</v>
      </c>
      <c r="AD127">
        <v>4000</v>
      </c>
      <c r="AF127">
        <v>-7.9994230000000002</v>
      </c>
      <c r="AG127">
        <v>110.248963</v>
      </c>
    </row>
    <row r="128" spans="1:33" x14ac:dyDescent="0.25">
      <c r="A128">
        <v>127</v>
      </c>
      <c r="B128" t="str">
        <f>TRIM(LEFT(Table1[[#This Row],[Location]],SEARCH(",",Table1[[#This Row],[Location]],1)-1))</f>
        <v>Serang</v>
      </c>
      <c r="C128" t="str">
        <f>TRIM(MID(Table1[[#This Row],[Location]],SEARCH(",",Table1[[#This Row],[Location]],1)+1,LEN(Table1[[#This Row],[Location]])))</f>
        <v>Banten</v>
      </c>
      <c r="I128">
        <v>127</v>
      </c>
      <c r="J128" t="s">
        <v>939</v>
      </c>
      <c r="K128">
        <f>_xlfn.XLOOKUP(Table29[[#This Row],[city_name1]], Table5[city_name], Table5[city_id], "Not Found")</f>
        <v>1</v>
      </c>
      <c r="L128">
        <v>38</v>
      </c>
      <c r="R128">
        <v>5</v>
      </c>
      <c r="S128">
        <v>159</v>
      </c>
      <c r="T128">
        <v>2</v>
      </c>
      <c r="V128">
        <v>33</v>
      </c>
      <c r="W128">
        <v>194</v>
      </c>
      <c r="Y128">
        <v>127</v>
      </c>
      <c r="Z128" t="s">
        <v>303</v>
      </c>
      <c r="AA128" t="s">
        <v>304</v>
      </c>
      <c r="AB128">
        <v>5</v>
      </c>
      <c r="AC128">
        <v>38</v>
      </c>
      <c r="AD128">
        <v>10000</v>
      </c>
      <c r="AF128">
        <v>-7.7044357999999997</v>
      </c>
      <c r="AG128">
        <v>110.45026</v>
      </c>
    </row>
    <row r="129" spans="1:33" x14ac:dyDescent="0.25">
      <c r="A129">
        <v>128</v>
      </c>
      <c r="B129" t="str">
        <f>TRIM(LEFT(Table1[[#This Row],[Location]],SEARCH(",",Table1[[#This Row],[Location]],1)-1))</f>
        <v>Tanggerang</v>
      </c>
      <c r="C129" t="str">
        <f>TRIM(MID(Table1[[#This Row],[Location]],SEARCH(",",Table1[[#This Row],[Location]],1)+1,LEN(Table1[[#This Row],[Location]])))</f>
        <v>Banten</v>
      </c>
      <c r="I129">
        <v>128</v>
      </c>
      <c r="J129" t="s">
        <v>937</v>
      </c>
      <c r="K129">
        <f>_xlfn.XLOOKUP(Table29[[#This Row],[city_name1]], Table5[city_name], Table5[city_id], "Not Found")</f>
        <v>2</v>
      </c>
      <c r="L129">
        <v>28</v>
      </c>
      <c r="R129">
        <v>5</v>
      </c>
      <c r="S129">
        <v>166</v>
      </c>
      <c r="T129">
        <v>3</v>
      </c>
      <c r="V129">
        <v>33</v>
      </c>
      <c r="W129">
        <v>195</v>
      </c>
      <c r="Y129">
        <v>128</v>
      </c>
      <c r="Z129" t="s">
        <v>305</v>
      </c>
      <c r="AA129" t="s">
        <v>306</v>
      </c>
      <c r="AB129">
        <v>5</v>
      </c>
      <c r="AC129">
        <v>34</v>
      </c>
      <c r="AD129">
        <v>0</v>
      </c>
      <c r="AE129">
        <v>90</v>
      </c>
      <c r="AF129">
        <v>-8.0173266000000005</v>
      </c>
      <c r="AG129">
        <v>110.31807910000001</v>
      </c>
    </row>
    <row r="130" spans="1:33" x14ac:dyDescent="0.25">
      <c r="A130">
        <v>129</v>
      </c>
      <c r="B130" t="str">
        <f>TRIM(LEFT(Table1[[#This Row],[Location]],SEARCH(",",Table1[[#This Row],[Location]],1)-1))</f>
        <v>Kota Gede</v>
      </c>
      <c r="C130" t="str">
        <f>TRIM(MID(Table1[[#This Row],[Location]],SEARCH(",",Table1[[#This Row],[Location]],1)+1,LEN(Table1[[#This Row],[Location]])))</f>
        <v>DIY</v>
      </c>
      <c r="I130">
        <v>129</v>
      </c>
      <c r="J130" t="s">
        <v>941</v>
      </c>
      <c r="K130">
        <f>_xlfn.XLOOKUP(Table29[[#This Row],[city_name1]], Table5[city_name], Table5[city_id], "Not Found")</f>
        <v>36</v>
      </c>
      <c r="L130">
        <v>29</v>
      </c>
      <c r="R130">
        <v>5</v>
      </c>
      <c r="S130">
        <v>190</v>
      </c>
      <c r="T130">
        <v>2</v>
      </c>
      <c r="V130">
        <v>33</v>
      </c>
      <c r="W130">
        <v>196</v>
      </c>
      <c r="Y130">
        <v>129</v>
      </c>
      <c r="Z130" t="s">
        <v>307</v>
      </c>
      <c r="AA130" t="s">
        <v>308</v>
      </c>
      <c r="AB130">
        <v>5</v>
      </c>
      <c r="AC130">
        <v>34</v>
      </c>
      <c r="AD130">
        <v>2000</v>
      </c>
      <c r="AE130">
        <v>60</v>
      </c>
      <c r="AF130">
        <v>-7.9157997</v>
      </c>
      <c r="AG130">
        <v>110.4366436</v>
      </c>
    </row>
    <row r="131" spans="1:33" x14ac:dyDescent="0.25">
      <c r="A131">
        <v>130</v>
      </c>
      <c r="B131" t="str">
        <f>TRIM(LEFT(Table1[[#This Row],[Location]],SEARCH(",",Table1[[#This Row],[Location]],1)-1))</f>
        <v>Yogyakarta</v>
      </c>
      <c r="C131" t="str">
        <f>TRIM(MID(Table1[[#This Row],[Location]],SEARCH(",",Table1[[#This Row],[Location]],1)+1,LEN(Table1[[#This Row],[Location]])))</f>
        <v>DIY</v>
      </c>
      <c r="I131">
        <v>130</v>
      </c>
      <c r="J131" t="s">
        <v>220</v>
      </c>
      <c r="K131">
        <f>_xlfn.XLOOKUP(Table29[[#This Row],[city_name1]], Table5[city_name], Table5[city_id], "Not Found")</f>
        <v>39</v>
      </c>
      <c r="L131">
        <v>27</v>
      </c>
      <c r="R131">
        <v>5</v>
      </c>
      <c r="S131">
        <v>283</v>
      </c>
      <c r="T131">
        <v>4</v>
      </c>
      <c r="V131">
        <v>34</v>
      </c>
      <c r="W131">
        <v>95</v>
      </c>
      <c r="Y131">
        <v>130</v>
      </c>
      <c r="Z131" t="s">
        <v>309</v>
      </c>
      <c r="AA131" t="s">
        <v>310</v>
      </c>
      <c r="AB131">
        <v>5</v>
      </c>
      <c r="AC131">
        <v>38</v>
      </c>
      <c r="AD131">
        <v>10000</v>
      </c>
      <c r="AE131">
        <v>120</v>
      </c>
      <c r="AF131">
        <v>-7.8057936000000003</v>
      </c>
      <c r="AG131">
        <v>110.2367304</v>
      </c>
    </row>
    <row r="132" spans="1:33" x14ac:dyDescent="0.25">
      <c r="A132">
        <v>131</v>
      </c>
      <c r="B132" t="str">
        <f>TRIM(LEFT(Table1[[#This Row],[Location]],SEARCH(",",Table1[[#This Row],[Location]],1)-1))</f>
        <v>Lampung</v>
      </c>
      <c r="C132" t="str">
        <f>TRIM(MID(Table1[[#This Row],[Location]],SEARCH(",",Table1[[#This Row],[Location]],1)+1,LEN(Table1[[#This Row],[Location]])))</f>
        <v>Sumatera Selatan</v>
      </c>
      <c r="I132">
        <v>131</v>
      </c>
      <c r="J132" t="s">
        <v>927</v>
      </c>
      <c r="K132">
        <f>_xlfn.XLOOKUP(Table29[[#This Row],[city_name1]], Table5[city_name], Table5[city_id], "Not Found")</f>
        <v>20</v>
      </c>
      <c r="L132">
        <v>21</v>
      </c>
      <c r="R132">
        <v>5</v>
      </c>
      <c r="S132">
        <v>300</v>
      </c>
      <c r="T132">
        <v>4</v>
      </c>
      <c r="V132">
        <v>34</v>
      </c>
      <c r="W132">
        <v>106</v>
      </c>
      <c r="Y132">
        <v>131</v>
      </c>
      <c r="Z132" t="s">
        <v>311</v>
      </c>
      <c r="AA132" t="s">
        <v>312</v>
      </c>
      <c r="AB132">
        <v>3</v>
      </c>
      <c r="AC132">
        <v>34</v>
      </c>
      <c r="AD132">
        <v>5000</v>
      </c>
      <c r="AE132">
        <v>30</v>
      </c>
      <c r="AF132">
        <v>-7.9924378999999997</v>
      </c>
      <c r="AG132">
        <v>110.317778</v>
      </c>
    </row>
    <row r="133" spans="1:33" x14ac:dyDescent="0.25">
      <c r="A133">
        <v>132</v>
      </c>
      <c r="B133" t="str">
        <f>TRIM(LEFT(Table1[[#This Row],[Location]],SEARCH(",",Table1[[#This Row],[Location]],1)-1))</f>
        <v>Ponorogo</v>
      </c>
      <c r="C133" t="str">
        <f>TRIM(MID(Table1[[#This Row],[Location]],SEARCH(",",Table1[[#This Row],[Location]],1)+1,LEN(Table1[[#This Row],[Location]])))</f>
        <v>Jawa Timur</v>
      </c>
      <c r="I133">
        <v>132</v>
      </c>
      <c r="J133" t="s">
        <v>934</v>
      </c>
      <c r="K133">
        <f>_xlfn.XLOOKUP(Table29[[#This Row],[city_name1]], Table5[city_name], Table5[city_id], "Not Found")</f>
        <v>17</v>
      </c>
      <c r="L133">
        <v>31</v>
      </c>
      <c r="R133">
        <v>5</v>
      </c>
      <c r="S133">
        <v>301</v>
      </c>
      <c r="T133">
        <v>2</v>
      </c>
      <c r="V133">
        <v>34</v>
      </c>
      <c r="W133">
        <v>124</v>
      </c>
      <c r="Y133">
        <v>132</v>
      </c>
      <c r="Z133" t="s">
        <v>313</v>
      </c>
      <c r="AA133" t="s">
        <v>314</v>
      </c>
      <c r="AB133">
        <v>3</v>
      </c>
      <c r="AC133">
        <v>37</v>
      </c>
      <c r="AD133">
        <v>20000</v>
      </c>
      <c r="AE133">
        <v>60</v>
      </c>
      <c r="AF133">
        <v>-7.7699875</v>
      </c>
      <c r="AG133">
        <v>110.1210707</v>
      </c>
    </row>
    <row r="134" spans="1:33" x14ac:dyDescent="0.25">
      <c r="A134">
        <v>133</v>
      </c>
      <c r="B134" t="str">
        <f>TRIM(LEFT(Table1[[#This Row],[Location]],SEARCH(",",Table1[[#This Row],[Location]],1)-1))</f>
        <v>Surabaya</v>
      </c>
      <c r="C134" t="str">
        <f>TRIM(MID(Table1[[#This Row],[Location]],SEARCH(",",Table1[[#This Row],[Location]],1)+1,LEN(Table1[[#This Row],[Location]])))</f>
        <v>Jawa Timur</v>
      </c>
      <c r="I134">
        <v>133</v>
      </c>
      <c r="J134" t="s">
        <v>834</v>
      </c>
      <c r="K134">
        <f>_xlfn.XLOOKUP(Table29[[#This Row],[city_name1]], Table5[city_name], Table5[city_id], "Not Found")</f>
        <v>19</v>
      </c>
      <c r="L134">
        <v>29</v>
      </c>
      <c r="R134">
        <v>5</v>
      </c>
      <c r="S134">
        <v>301</v>
      </c>
      <c r="T134">
        <v>2</v>
      </c>
      <c r="V134">
        <v>35</v>
      </c>
      <c r="W134">
        <v>90</v>
      </c>
      <c r="Y134">
        <v>133</v>
      </c>
      <c r="Z134" t="s">
        <v>315</v>
      </c>
      <c r="AA134" t="s">
        <v>316</v>
      </c>
      <c r="AB134">
        <v>5</v>
      </c>
      <c r="AC134">
        <v>34</v>
      </c>
      <c r="AD134">
        <v>5000</v>
      </c>
      <c r="AE134">
        <v>90</v>
      </c>
      <c r="AF134">
        <v>-7.9413717999999998</v>
      </c>
      <c r="AG134">
        <v>110.4247345</v>
      </c>
    </row>
    <row r="135" spans="1:33" x14ac:dyDescent="0.25">
      <c r="A135">
        <v>134</v>
      </c>
      <c r="B135" t="str">
        <f>TRIM(LEFT(Table1[[#This Row],[Location]],SEARCH(",",Table1[[#This Row],[Location]],1)-1))</f>
        <v>Nganjuk</v>
      </c>
      <c r="C135" t="str">
        <f>TRIM(MID(Table1[[#This Row],[Location]],SEARCH(",",Table1[[#This Row],[Location]],1)+1,LEN(Table1[[#This Row],[Location]])))</f>
        <v>Jawa Timur</v>
      </c>
      <c r="I135">
        <v>134</v>
      </c>
      <c r="J135" t="s">
        <v>943</v>
      </c>
      <c r="K135">
        <f>_xlfn.XLOOKUP(Table29[[#This Row],[city_name1]], Table5[city_name], Table5[city_id], "Not Found")</f>
        <v>16</v>
      </c>
      <c r="L135">
        <v>27</v>
      </c>
      <c r="R135">
        <v>5</v>
      </c>
      <c r="S135">
        <v>320</v>
      </c>
      <c r="T135">
        <v>3</v>
      </c>
      <c r="V135">
        <v>35</v>
      </c>
      <c r="W135">
        <v>110</v>
      </c>
      <c r="Y135">
        <v>134</v>
      </c>
      <c r="Z135" t="s">
        <v>317</v>
      </c>
      <c r="AA135" t="s">
        <v>318</v>
      </c>
      <c r="AB135">
        <v>5</v>
      </c>
      <c r="AC135">
        <v>38</v>
      </c>
      <c r="AD135">
        <v>10000</v>
      </c>
      <c r="AE135">
        <v>60</v>
      </c>
      <c r="AF135">
        <v>-7.8055231999999997</v>
      </c>
      <c r="AG135">
        <v>110.2374676</v>
      </c>
    </row>
    <row r="136" spans="1:33" x14ac:dyDescent="0.25">
      <c r="A136">
        <v>135</v>
      </c>
      <c r="B136" t="str">
        <f>TRIM(LEFT(Table1[[#This Row],[Location]],SEARCH(",",Table1[[#This Row],[Location]],1)-1))</f>
        <v>Madura</v>
      </c>
      <c r="C136" t="str">
        <f>TRIM(MID(Table1[[#This Row],[Location]],SEARCH(",",Table1[[#This Row],[Location]],1)+1,LEN(Table1[[#This Row],[Location]])))</f>
        <v>Jawa Timur</v>
      </c>
      <c r="I136">
        <v>135</v>
      </c>
      <c r="J136" t="s">
        <v>944</v>
      </c>
      <c r="K136">
        <f>_xlfn.XLOOKUP(Table29[[#This Row],[city_name1]], Table5[city_name], Table5[city_id], "Not Found")</f>
        <v>15</v>
      </c>
      <c r="L136">
        <v>22</v>
      </c>
      <c r="R136">
        <v>5</v>
      </c>
      <c r="S136">
        <v>320</v>
      </c>
      <c r="T136">
        <v>3</v>
      </c>
      <c r="V136">
        <v>35</v>
      </c>
      <c r="W136">
        <v>133</v>
      </c>
      <c r="Y136">
        <v>135</v>
      </c>
      <c r="Z136" t="s">
        <v>319</v>
      </c>
      <c r="AA136" t="s">
        <v>320</v>
      </c>
      <c r="AB136">
        <v>4</v>
      </c>
      <c r="AC136">
        <v>39</v>
      </c>
      <c r="AD136">
        <v>0</v>
      </c>
      <c r="AF136">
        <v>-7.7916235</v>
      </c>
      <c r="AG136">
        <v>110.36195600000001</v>
      </c>
    </row>
    <row r="137" spans="1:33" x14ac:dyDescent="0.25">
      <c r="A137">
        <v>136</v>
      </c>
      <c r="B137" t="str">
        <f>TRIM(LEFT(Table1[[#This Row],[Location]],SEARCH(",",Table1[[#This Row],[Location]],1)-1))</f>
        <v>Semarang</v>
      </c>
      <c r="C137" t="str">
        <f>TRIM(MID(Table1[[#This Row],[Location]],SEARCH(",",Table1[[#This Row],[Location]],1)+1,LEN(Table1[[#This Row],[Location]])))</f>
        <v>Jawa Tengah</v>
      </c>
      <c r="I137">
        <v>136</v>
      </c>
      <c r="J137" t="s">
        <v>719</v>
      </c>
      <c r="K137">
        <f>_xlfn.XLOOKUP(Table29[[#This Row],[city_name1]], Table5[city_name], Table5[city_id], "Not Found")</f>
        <v>5</v>
      </c>
      <c r="L137">
        <v>35</v>
      </c>
      <c r="R137">
        <v>5</v>
      </c>
      <c r="S137">
        <v>334</v>
      </c>
      <c r="T137">
        <v>3</v>
      </c>
      <c r="V137">
        <v>35</v>
      </c>
      <c r="W137">
        <v>143</v>
      </c>
      <c r="Y137">
        <v>136</v>
      </c>
      <c r="Z137" t="s">
        <v>321</v>
      </c>
      <c r="AA137" t="s">
        <v>322</v>
      </c>
      <c r="AB137">
        <v>5</v>
      </c>
      <c r="AC137">
        <v>38</v>
      </c>
      <c r="AD137">
        <v>10000</v>
      </c>
      <c r="AE137">
        <v>90</v>
      </c>
      <c r="AF137">
        <v>-7.6340171999999997</v>
      </c>
      <c r="AG137">
        <v>110.33837</v>
      </c>
    </row>
    <row r="138" spans="1:33" x14ac:dyDescent="0.25">
      <c r="A138">
        <v>137</v>
      </c>
      <c r="B138" t="str">
        <f>TRIM(LEFT(Table1[[#This Row],[Location]],SEARCH(",",Table1[[#This Row],[Location]],1)-1))</f>
        <v>Bandung</v>
      </c>
      <c r="C138" t="str">
        <f>TRIM(MID(Table1[[#This Row],[Location]],SEARCH(",",Table1[[#This Row],[Location]],1)+1,LEN(Table1[[#This Row],[Location]])))</f>
        <v>Jawa Barat</v>
      </c>
      <c r="I138">
        <v>137</v>
      </c>
      <c r="J138" t="s">
        <v>472</v>
      </c>
      <c r="K138">
        <f>_xlfn.XLOOKUP(Table29[[#This Row],[city_name1]], Table5[city_name], Table5[city_id], "Not Found")</f>
        <v>22</v>
      </c>
      <c r="L138">
        <v>28</v>
      </c>
      <c r="R138">
        <v>5</v>
      </c>
      <c r="S138">
        <v>345</v>
      </c>
      <c r="T138">
        <v>4</v>
      </c>
      <c r="V138">
        <v>35</v>
      </c>
      <c r="W138">
        <v>161</v>
      </c>
      <c r="Y138">
        <v>137</v>
      </c>
      <c r="Z138" t="s">
        <v>323</v>
      </c>
      <c r="AA138" t="s">
        <v>324</v>
      </c>
      <c r="AB138">
        <v>3</v>
      </c>
      <c r="AC138">
        <v>37</v>
      </c>
      <c r="AD138">
        <v>20000</v>
      </c>
      <c r="AE138">
        <v>90</v>
      </c>
      <c r="AF138">
        <v>-7.8057305000000001</v>
      </c>
      <c r="AG138">
        <v>110.12796899999999</v>
      </c>
    </row>
    <row r="139" spans="1:33" x14ac:dyDescent="0.25">
      <c r="A139">
        <v>138</v>
      </c>
      <c r="B139" t="str">
        <f>TRIM(LEFT(Table1[[#This Row],[Location]],SEARCH(",",Table1[[#This Row],[Location]],1)-1))</f>
        <v>Yogyakarta</v>
      </c>
      <c r="C139" t="str">
        <f>TRIM(MID(Table1[[#This Row],[Location]],SEARCH(",",Table1[[#This Row],[Location]],1)+1,LEN(Table1[[#This Row],[Location]])))</f>
        <v>DIY</v>
      </c>
      <c r="I139">
        <v>138</v>
      </c>
      <c r="J139" t="s">
        <v>220</v>
      </c>
      <c r="K139">
        <f>_xlfn.XLOOKUP(Table29[[#This Row],[city_name1]], Table5[city_name], Table5[city_id], "Not Found")</f>
        <v>39</v>
      </c>
      <c r="L139">
        <v>25</v>
      </c>
      <c r="R139">
        <v>5</v>
      </c>
      <c r="S139">
        <v>367</v>
      </c>
      <c r="T139">
        <v>3</v>
      </c>
      <c r="V139">
        <v>36</v>
      </c>
      <c r="W139">
        <v>116</v>
      </c>
      <c r="Y139">
        <v>138</v>
      </c>
      <c r="Z139" t="s">
        <v>325</v>
      </c>
      <c r="AA139" t="s">
        <v>326</v>
      </c>
      <c r="AB139">
        <v>5</v>
      </c>
      <c r="AC139">
        <v>38</v>
      </c>
      <c r="AD139">
        <v>20000</v>
      </c>
      <c r="AE139">
        <v>120</v>
      </c>
      <c r="AF139">
        <v>-7.7280356000000001</v>
      </c>
      <c r="AG139">
        <v>110.35917120000001</v>
      </c>
    </row>
    <row r="140" spans="1:33" x14ac:dyDescent="0.25">
      <c r="A140">
        <v>139</v>
      </c>
      <c r="B140" t="str">
        <f>TRIM(LEFT(Table1[[#This Row],[Location]],SEARCH(",",Table1[[#This Row],[Location]],1)-1))</f>
        <v>Bekasi</v>
      </c>
      <c r="C140" t="str">
        <f>TRIM(MID(Table1[[#This Row],[Location]],SEARCH(",",Table1[[#This Row],[Location]],1)+1,LEN(Table1[[#This Row],[Location]])))</f>
        <v>Jawa Barat</v>
      </c>
      <c r="I140">
        <v>139</v>
      </c>
      <c r="J140" t="s">
        <v>925</v>
      </c>
      <c r="K140">
        <f>_xlfn.XLOOKUP(Table29[[#This Row],[city_name1]], Table5[city_name], Table5[city_id], "Not Found")</f>
        <v>24</v>
      </c>
      <c r="L140">
        <v>33</v>
      </c>
      <c r="R140">
        <v>5</v>
      </c>
      <c r="S140">
        <v>380</v>
      </c>
      <c r="T140">
        <v>3</v>
      </c>
      <c r="V140">
        <v>36</v>
      </c>
      <c r="W140">
        <v>119</v>
      </c>
      <c r="Y140">
        <v>139</v>
      </c>
      <c r="Z140" t="s">
        <v>327</v>
      </c>
      <c r="AA140" t="s">
        <v>328</v>
      </c>
      <c r="AB140">
        <v>3</v>
      </c>
      <c r="AC140">
        <v>35</v>
      </c>
      <c r="AD140">
        <v>10000</v>
      </c>
      <c r="AE140">
        <v>60</v>
      </c>
      <c r="AF140">
        <v>-7.841253</v>
      </c>
      <c r="AG140">
        <v>110.54305600000001</v>
      </c>
    </row>
    <row r="141" spans="1:33" x14ac:dyDescent="0.25">
      <c r="A141">
        <v>140</v>
      </c>
      <c r="B141" t="str">
        <f>TRIM(LEFT(Table1[[#This Row],[Location]],SEARCH(",",Table1[[#This Row],[Location]],1)-1))</f>
        <v>Surabaya</v>
      </c>
      <c r="C141" t="str">
        <f>TRIM(MID(Table1[[#This Row],[Location]],SEARCH(",",Table1[[#This Row],[Location]],1)+1,LEN(Table1[[#This Row],[Location]])))</f>
        <v>Jawa Timur</v>
      </c>
      <c r="I141">
        <v>140</v>
      </c>
      <c r="J141" t="s">
        <v>834</v>
      </c>
      <c r="K141">
        <f>_xlfn.XLOOKUP(Table29[[#This Row],[city_name1]], Table5[city_name], Table5[city_id], "Not Found")</f>
        <v>19</v>
      </c>
      <c r="L141">
        <v>25</v>
      </c>
      <c r="R141">
        <v>5</v>
      </c>
      <c r="S141">
        <v>390</v>
      </c>
      <c r="T141">
        <v>2</v>
      </c>
      <c r="V141">
        <v>36</v>
      </c>
      <c r="W141">
        <v>122</v>
      </c>
      <c r="Y141">
        <v>140</v>
      </c>
      <c r="Z141" t="s">
        <v>329</v>
      </c>
      <c r="AA141" t="s">
        <v>330</v>
      </c>
      <c r="AB141">
        <v>5</v>
      </c>
      <c r="AC141">
        <v>39</v>
      </c>
      <c r="AD141">
        <v>0</v>
      </c>
      <c r="AE141">
        <v>60</v>
      </c>
      <c r="AF141">
        <v>-7.8316667999999998</v>
      </c>
      <c r="AG141">
        <v>110.3945119</v>
      </c>
    </row>
    <row r="142" spans="1:33" x14ac:dyDescent="0.25">
      <c r="A142">
        <v>141</v>
      </c>
      <c r="B142" t="str">
        <f>TRIM(LEFT(Table1[[#This Row],[Location]],SEARCH(",",Table1[[#This Row],[Location]],1)-1))</f>
        <v>Kota Gede</v>
      </c>
      <c r="C142" t="str">
        <f>TRIM(MID(Table1[[#This Row],[Location]],SEARCH(",",Table1[[#This Row],[Location]],1)+1,LEN(Table1[[#This Row],[Location]])))</f>
        <v>DIY</v>
      </c>
      <c r="I142">
        <v>141</v>
      </c>
      <c r="J142" t="s">
        <v>941</v>
      </c>
      <c r="K142">
        <f>_xlfn.XLOOKUP(Table29[[#This Row],[city_name1]], Table5[city_name], Table5[city_id], "Not Found")</f>
        <v>36</v>
      </c>
      <c r="L142">
        <v>34</v>
      </c>
      <c r="R142">
        <v>5</v>
      </c>
      <c r="S142">
        <v>394</v>
      </c>
      <c r="T142">
        <v>2</v>
      </c>
      <c r="V142">
        <v>36</v>
      </c>
      <c r="W142">
        <v>131</v>
      </c>
      <c r="Y142">
        <v>141</v>
      </c>
      <c r="Z142" t="s">
        <v>331</v>
      </c>
      <c r="AA142" t="s">
        <v>332</v>
      </c>
      <c r="AB142">
        <v>3</v>
      </c>
      <c r="AC142">
        <v>38</v>
      </c>
      <c r="AD142">
        <v>3000</v>
      </c>
      <c r="AE142">
        <v>45</v>
      </c>
      <c r="AF142">
        <v>-7.5829198</v>
      </c>
      <c r="AG142">
        <v>110.4476816</v>
      </c>
    </row>
    <row r="143" spans="1:33" x14ac:dyDescent="0.25">
      <c r="A143">
        <v>142</v>
      </c>
      <c r="B143" t="str">
        <f>TRIM(LEFT(Table1[[#This Row],[Location]],SEARCH(",",Table1[[#This Row],[Location]],1)-1))</f>
        <v>Bekasi</v>
      </c>
      <c r="C143" t="str">
        <f>TRIM(MID(Table1[[#This Row],[Location]],SEARCH(",",Table1[[#This Row],[Location]],1)+1,LEN(Table1[[#This Row],[Location]])))</f>
        <v>Jawa Barat</v>
      </c>
      <c r="I143">
        <v>142</v>
      </c>
      <c r="J143" t="s">
        <v>925</v>
      </c>
      <c r="K143">
        <f>_xlfn.XLOOKUP(Table29[[#This Row],[city_name1]], Table5[city_name], Table5[city_id], "Not Found")</f>
        <v>24</v>
      </c>
      <c r="L143">
        <v>29</v>
      </c>
      <c r="R143">
        <v>5</v>
      </c>
      <c r="S143">
        <v>396</v>
      </c>
      <c r="T143">
        <v>5</v>
      </c>
      <c r="V143">
        <v>37</v>
      </c>
      <c r="W143">
        <v>89</v>
      </c>
      <c r="Y143">
        <v>142</v>
      </c>
      <c r="Z143" t="s">
        <v>333</v>
      </c>
      <c r="AA143" t="s">
        <v>334</v>
      </c>
      <c r="AB143">
        <v>3</v>
      </c>
      <c r="AC143">
        <v>38</v>
      </c>
      <c r="AD143">
        <v>0</v>
      </c>
      <c r="AE143">
        <v>150</v>
      </c>
      <c r="AF143">
        <v>-7.6470943</v>
      </c>
      <c r="AG143">
        <v>110.4280998</v>
      </c>
    </row>
    <row r="144" spans="1:33" x14ac:dyDescent="0.25">
      <c r="A144">
        <v>143</v>
      </c>
      <c r="B144" t="str">
        <f>TRIM(LEFT(Table1[[#This Row],[Location]],SEARCH(",",Table1[[#This Row],[Location]],1)-1))</f>
        <v>Bogor</v>
      </c>
      <c r="C144" t="str">
        <f>TRIM(MID(Table1[[#This Row],[Location]],SEARCH(",",Table1[[#This Row],[Location]],1)+1,LEN(Table1[[#This Row],[Location]])))</f>
        <v>Jawa Barat</v>
      </c>
      <c r="I144">
        <v>143</v>
      </c>
      <c r="J144" t="s">
        <v>929</v>
      </c>
      <c r="K144">
        <f>_xlfn.XLOOKUP(Table29[[#This Row],[city_name1]], Table5[city_name], Table5[city_id], "Not Found")</f>
        <v>25</v>
      </c>
      <c r="L144">
        <v>25</v>
      </c>
      <c r="R144">
        <v>5</v>
      </c>
      <c r="S144">
        <v>406</v>
      </c>
      <c r="T144">
        <v>3</v>
      </c>
      <c r="V144">
        <v>37</v>
      </c>
      <c r="W144">
        <v>99</v>
      </c>
      <c r="Y144">
        <v>143</v>
      </c>
      <c r="Z144" t="s">
        <v>335</v>
      </c>
      <c r="AA144" t="s">
        <v>336</v>
      </c>
      <c r="AB144">
        <v>3</v>
      </c>
      <c r="AC144">
        <v>34</v>
      </c>
      <c r="AD144">
        <v>2000</v>
      </c>
      <c r="AE144">
        <v>90</v>
      </c>
      <c r="AF144">
        <v>-7.9310983999999998</v>
      </c>
      <c r="AG144">
        <v>110.430919</v>
      </c>
    </row>
    <row r="145" spans="1:33" x14ac:dyDescent="0.25">
      <c r="A145">
        <v>144</v>
      </c>
      <c r="B145" t="str">
        <f>TRIM(LEFT(Table1[[#This Row],[Location]],SEARCH(",",Table1[[#This Row],[Location]],1)-1))</f>
        <v>Depok</v>
      </c>
      <c r="C145" t="str">
        <f>TRIM(MID(Table1[[#This Row],[Location]],SEARCH(",",Table1[[#This Row],[Location]],1)+1,LEN(Table1[[#This Row],[Location]])))</f>
        <v>Jawa Barat</v>
      </c>
      <c r="I145">
        <v>144</v>
      </c>
      <c r="J145" t="s">
        <v>930</v>
      </c>
      <c r="K145">
        <f>_xlfn.XLOOKUP(Table29[[#This Row],[city_name1]], Table5[city_name], Table5[city_id], "Not Found")</f>
        <v>27</v>
      </c>
      <c r="L145">
        <v>18</v>
      </c>
      <c r="R145">
        <v>5</v>
      </c>
      <c r="S145">
        <v>419</v>
      </c>
      <c r="T145">
        <v>3</v>
      </c>
      <c r="V145">
        <v>37</v>
      </c>
      <c r="W145">
        <v>104</v>
      </c>
      <c r="Y145">
        <v>144</v>
      </c>
      <c r="Z145" t="s">
        <v>337</v>
      </c>
      <c r="AA145" t="s">
        <v>338</v>
      </c>
      <c r="AB145">
        <v>3</v>
      </c>
      <c r="AC145">
        <v>35</v>
      </c>
      <c r="AD145">
        <v>500000</v>
      </c>
      <c r="AF145">
        <v>-8.0281561999999997</v>
      </c>
      <c r="AG145">
        <v>110.6383307</v>
      </c>
    </row>
    <row r="146" spans="1:33" x14ac:dyDescent="0.25">
      <c r="A146">
        <v>145</v>
      </c>
      <c r="B146" t="str">
        <f>TRIM(LEFT(Table1[[#This Row],[Location]],SEARCH(",",Table1[[#This Row],[Location]],1)-1))</f>
        <v>Tanggerang</v>
      </c>
      <c r="C146" t="str">
        <f>TRIM(MID(Table1[[#This Row],[Location]],SEARCH(",",Table1[[#This Row],[Location]],1)+1,LEN(Table1[[#This Row],[Location]])))</f>
        <v>Banten</v>
      </c>
      <c r="I146">
        <v>145</v>
      </c>
      <c r="J146" t="s">
        <v>937</v>
      </c>
      <c r="K146">
        <f>_xlfn.XLOOKUP(Table29[[#This Row],[city_name1]], Table5[city_name], Table5[city_id], "Not Found")</f>
        <v>2</v>
      </c>
      <c r="L146">
        <v>37</v>
      </c>
      <c r="R146">
        <v>5</v>
      </c>
      <c r="S146">
        <v>420</v>
      </c>
      <c r="T146">
        <v>4</v>
      </c>
      <c r="V146">
        <v>37</v>
      </c>
      <c r="W146">
        <v>147</v>
      </c>
      <c r="Y146">
        <v>145</v>
      </c>
      <c r="Z146" t="s">
        <v>339</v>
      </c>
      <c r="AA146" t="s">
        <v>340</v>
      </c>
      <c r="AB146">
        <v>5</v>
      </c>
      <c r="AC146">
        <v>38</v>
      </c>
      <c r="AD146">
        <v>5000</v>
      </c>
      <c r="AE146">
        <v>60</v>
      </c>
      <c r="AF146">
        <v>-7.8136085</v>
      </c>
      <c r="AG146">
        <v>110.5033442</v>
      </c>
    </row>
    <row r="147" spans="1:33" x14ac:dyDescent="0.25">
      <c r="A147">
        <v>146</v>
      </c>
      <c r="B147" t="str">
        <f>TRIM(LEFT(Table1[[#This Row],[Location]],SEARCH(",",Table1[[#This Row],[Location]],1)-1))</f>
        <v>Serang</v>
      </c>
      <c r="C147" t="str">
        <f>TRIM(MID(Table1[[#This Row],[Location]],SEARCH(",",Table1[[#This Row],[Location]],1)+1,LEN(Table1[[#This Row],[Location]])))</f>
        <v>Banten</v>
      </c>
      <c r="I147">
        <v>146</v>
      </c>
      <c r="J147" t="s">
        <v>939</v>
      </c>
      <c r="K147">
        <f>_xlfn.XLOOKUP(Table29[[#This Row],[city_name1]], Table5[city_name], Table5[city_id], "Not Found")</f>
        <v>1</v>
      </c>
      <c r="L147">
        <v>38</v>
      </c>
      <c r="R147">
        <v>5</v>
      </c>
      <c r="S147">
        <v>432</v>
      </c>
      <c r="T147">
        <v>4</v>
      </c>
      <c r="V147">
        <v>38</v>
      </c>
      <c r="W147">
        <v>131</v>
      </c>
      <c r="Y147">
        <v>146</v>
      </c>
      <c r="Z147" t="s">
        <v>341</v>
      </c>
      <c r="AA147" t="s">
        <v>342</v>
      </c>
      <c r="AB147">
        <v>3</v>
      </c>
      <c r="AC147">
        <v>37</v>
      </c>
      <c r="AD147">
        <v>10000</v>
      </c>
      <c r="AF147">
        <v>-7.8001106</v>
      </c>
      <c r="AG147">
        <v>110.12389539999999</v>
      </c>
    </row>
    <row r="148" spans="1:33" x14ac:dyDescent="0.25">
      <c r="A148">
        <v>147</v>
      </c>
      <c r="B148" t="str">
        <f>TRIM(LEFT(Table1[[#This Row],[Location]],SEARCH(",",Table1[[#This Row],[Location]],1)-1))</f>
        <v>Semarang</v>
      </c>
      <c r="C148" t="str">
        <f>TRIM(MID(Table1[[#This Row],[Location]],SEARCH(",",Table1[[#This Row],[Location]],1)+1,LEN(Table1[[#This Row],[Location]])))</f>
        <v>Jawa Tengah</v>
      </c>
      <c r="I148">
        <v>147</v>
      </c>
      <c r="J148" t="s">
        <v>719</v>
      </c>
      <c r="K148">
        <f>_xlfn.XLOOKUP(Table29[[#This Row],[city_name1]], Table5[city_name], Table5[city_id], "Not Found")</f>
        <v>5</v>
      </c>
      <c r="L148">
        <v>18</v>
      </c>
      <c r="R148">
        <v>5</v>
      </c>
      <c r="S148">
        <v>433</v>
      </c>
      <c r="T148">
        <v>4</v>
      </c>
      <c r="V148">
        <v>38</v>
      </c>
      <c r="W148">
        <v>141</v>
      </c>
      <c r="Y148">
        <v>147</v>
      </c>
      <c r="Z148" t="s">
        <v>343</v>
      </c>
      <c r="AA148" t="s">
        <v>344</v>
      </c>
      <c r="AB148">
        <v>2</v>
      </c>
      <c r="AC148">
        <v>39</v>
      </c>
      <c r="AD148">
        <v>0</v>
      </c>
      <c r="AF148">
        <v>-7.7857241999999998</v>
      </c>
      <c r="AG148">
        <v>110.37469539999999</v>
      </c>
    </row>
    <row r="149" spans="1:33" x14ac:dyDescent="0.25">
      <c r="A149">
        <v>148</v>
      </c>
      <c r="B149" t="str">
        <f>TRIM(LEFT(Table1[[#This Row],[Location]],SEARCH(",",Table1[[#This Row],[Location]],1)-1))</f>
        <v>Bekasi</v>
      </c>
      <c r="C149" t="str">
        <f>TRIM(MID(Table1[[#This Row],[Location]],SEARCH(",",Table1[[#This Row],[Location]],1)+1,LEN(Table1[[#This Row],[Location]])))</f>
        <v>Jawa Barat</v>
      </c>
      <c r="I149">
        <v>148</v>
      </c>
      <c r="J149" t="s">
        <v>925</v>
      </c>
      <c r="K149">
        <f>_xlfn.XLOOKUP(Table29[[#This Row],[city_name1]], Table5[city_name], Table5[city_id], "Not Found")</f>
        <v>24</v>
      </c>
      <c r="L149">
        <v>33</v>
      </c>
      <c r="R149">
        <v>5</v>
      </c>
      <c r="S149">
        <v>435</v>
      </c>
      <c r="T149">
        <v>5</v>
      </c>
      <c r="V149">
        <v>38</v>
      </c>
      <c r="W149">
        <v>148</v>
      </c>
      <c r="Y149">
        <v>148</v>
      </c>
      <c r="Z149" t="s">
        <v>345</v>
      </c>
      <c r="AA149" t="s">
        <v>346</v>
      </c>
      <c r="AB149">
        <v>3</v>
      </c>
      <c r="AC149">
        <v>35</v>
      </c>
      <c r="AD149">
        <v>5000</v>
      </c>
      <c r="AE149">
        <v>30</v>
      </c>
      <c r="AF149">
        <v>-7.9492611999999996</v>
      </c>
      <c r="AG149">
        <v>110.4926511</v>
      </c>
    </row>
    <row r="150" spans="1:33" x14ac:dyDescent="0.25">
      <c r="A150">
        <v>149</v>
      </c>
      <c r="B150" t="str">
        <f>TRIM(LEFT(Table1[[#This Row],[Location]],SEARCH(",",Table1[[#This Row],[Location]],1)-1))</f>
        <v>Cirebon</v>
      </c>
      <c r="C150" t="str">
        <f>TRIM(MID(Table1[[#This Row],[Location]],SEARCH(",",Table1[[#This Row],[Location]],1)+1,LEN(Table1[[#This Row],[Location]])))</f>
        <v>Jawa Barat</v>
      </c>
      <c r="I150">
        <v>149</v>
      </c>
      <c r="J150" t="s">
        <v>926</v>
      </c>
      <c r="K150">
        <f>_xlfn.XLOOKUP(Table29[[#This Row],[city_name1]], Table5[city_name], Table5[city_id], "Not Found")</f>
        <v>26</v>
      </c>
      <c r="L150">
        <v>30</v>
      </c>
      <c r="R150">
        <v>6</v>
      </c>
      <c r="S150">
        <v>4</v>
      </c>
      <c r="T150">
        <v>4</v>
      </c>
      <c r="V150">
        <v>38</v>
      </c>
      <c r="W150">
        <v>164</v>
      </c>
      <c r="Y150">
        <v>149</v>
      </c>
      <c r="Z150" t="s">
        <v>347</v>
      </c>
      <c r="AA150" t="s">
        <v>348</v>
      </c>
      <c r="AB150">
        <v>3</v>
      </c>
      <c r="AC150">
        <v>34</v>
      </c>
      <c r="AD150">
        <v>3000</v>
      </c>
      <c r="AE150">
        <v>90</v>
      </c>
      <c r="AF150">
        <v>-7.9794413000000004</v>
      </c>
      <c r="AG150">
        <v>110.3803114</v>
      </c>
    </row>
    <row r="151" spans="1:33" x14ac:dyDescent="0.25">
      <c r="A151">
        <v>150</v>
      </c>
      <c r="B151" t="str">
        <f>TRIM(LEFT(Table1[[#This Row],[Location]],SEARCH(",",Table1[[#This Row],[Location]],1)-1))</f>
        <v>Bekasi</v>
      </c>
      <c r="C151" t="str">
        <f>TRIM(MID(Table1[[#This Row],[Location]],SEARCH(",",Table1[[#This Row],[Location]],1)+1,LEN(Table1[[#This Row],[Location]])))</f>
        <v>Jawa Barat</v>
      </c>
      <c r="I151">
        <v>150</v>
      </c>
      <c r="J151" t="s">
        <v>925</v>
      </c>
      <c r="K151">
        <f>_xlfn.XLOOKUP(Table29[[#This Row],[city_name1]], Table5[city_name], Table5[city_id], "Not Found")</f>
        <v>24</v>
      </c>
      <c r="L151">
        <v>40</v>
      </c>
      <c r="R151">
        <v>6</v>
      </c>
      <c r="S151">
        <v>64</v>
      </c>
      <c r="T151">
        <v>5</v>
      </c>
      <c r="V151">
        <v>38</v>
      </c>
      <c r="W151">
        <v>206</v>
      </c>
      <c r="Y151">
        <v>150</v>
      </c>
      <c r="Z151" t="s">
        <v>349</v>
      </c>
      <c r="AA151" t="s">
        <v>350</v>
      </c>
      <c r="AB151">
        <v>2</v>
      </c>
      <c r="AC151">
        <v>39</v>
      </c>
      <c r="AD151">
        <v>7000</v>
      </c>
      <c r="AF151">
        <v>-7.8067535000000001</v>
      </c>
      <c r="AG151">
        <v>110.3636659</v>
      </c>
    </row>
    <row r="152" spans="1:33" x14ac:dyDescent="0.25">
      <c r="A152">
        <v>151</v>
      </c>
      <c r="B152" t="str">
        <f>TRIM(LEFT(Table1[[#This Row],[Location]],SEARCH(",",Table1[[#This Row],[Location]],1)-1))</f>
        <v>Lampung</v>
      </c>
      <c r="C152" t="str">
        <f>TRIM(MID(Table1[[#This Row],[Location]],SEARCH(",",Table1[[#This Row],[Location]],1)+1,LEN(Table1[[#This Row],[Location]])))</f>
        <v>Sumatera Selatan</v>
      </c>
      <c r="I152">
        <v>151</v>
      </c>
      <c r="J152" t="s">
        <v>927</v>
      </c>
      <c r="K152">
        <f>_xlfn.XLOOKUP(Table29[[#This Row],[city_name1]], Table5[city_name], Table5[city_id], "Not Found")</f>
        <v>20</v>
      </c>
      <c r="L152">
        <v>36</v>
      </c>
      <c r="R152">
        <v>6</v>
      </c>
      <c r="S152">
        <v>64</v>
      </c>
      <c r="T152">
        <v>5</v>
      </c>
      <c r="V152">
        <v>39</v>
      </c>
      <c r="W152">
        <v>87</v>
      </c>
      <c r="Y152">
        <v>151</v>
      </c>
      <c r="Z152" t="s">
        <v>351</v>
      </c>
      <c r="AA152" t="s">
        <v>352</v>
      </c>
      <c r="AB152">
        <v>5</v>
      </c>
      <c r="AC152">
        <v>38</v>
      </c>
      <c r="AD152">
        <v>0</v>
      </c>
      <c r="AE152">
        <v>90</v>
      </c>
      <c r="AF152">
        <v>-7.6410258000000004</v>
      </c>
      <c r="AG152">
        <v>110.36227940000001</v>
      </c>
    </row>
    <row r="153" spans="1:33" x14ac:dyDescent="0.25">
      <c r="A153">
        <v>152</v>
      </c>
      <c r="B153" t="str">
        <f>TRIM(LEFT(Table1[[#This Row],[Location]],SEARCH(",",Table1[[#This Row],[Location]],1)-1))</f>
        <v>Jakarta Utara</v>
      </c>
      <c r="C153" t="str">
        <f>TRIM(MID(Table1[[#This Row],[Location]],SEARCH(",",Table1[[#This Row],[Location]],1)+1,LEN(Table1[[#This Row],[Location]])))</f>
        <v>DKI Jakarta</v>
      </c>
      <c r="I153">
        <v>152</v>
      </c>
      <c r="J153" t="s">
        <v>951</v>
      </c>
      <c r="K153">
        <f>_xlfn.XLOOKUP(Table29[[#This Row],[city_name1]], Table5[city_name], Table5[city_id], "Not Found")</f>
        <v>11</v>
      </c>
      <c r="L153">
        <v>25</v>
      </c>
      <c r="R153">
        <v>6</v>
      </c>
      <c r="S153">
        <v>88</v>
      </c>
      <c r="T153">
        <v>5</v>
      </c>
      <c r="V153">
        <v>39</v>
      </c>
      <c r="W153">
        <v>98</v>
      </c>
      <c r="Y153">
        <v>152</v>
      </c>
      <c r="Z153" t="s">
        <v>353</v>
      </c>
      <c r="AA153" t="s">
        <v>354</v>
      </c>
      <c r="AB153">
        <v>1</v>
      </c>
      <c r="AC153">
        <v>34</v>
      </c>
      <c r="AD153">
        <v>5000</v>
      </c>
      <c r="AE153">
        <v>45</v>
      </c>
      <c r="AF153">
        <v>-7.9977780000000003</v>
      </c>
      <c r="AG153">
        <v>110.2449113</v>
      </c>
    </row>
    <row r="154" spans="1:33" x14ac:dyDescent="0.25">
      <c r="A154">
        <v>153</v>
      </c>
      <c r="B154" t="str">
        <f>TRIM(LEFT(Table1[[#This Row],[Location]],SEARCH(",",Table1[[#This Row],[Location]],1)-1))</f>
        <v>Jakarta Selatan</v>
      </c>
      <c r="C154" t="str">
        <f>TRIM(MID(Table1[[#This Row],[Location]],SEARCH(",",Table1[[#This Row],[Location]],1)+1,LEN(Table1[[#This Row],[Location]])))</f>
        <v>DKI Jakarta</v>
      </c>
      <c r="I154">
        <v>153</v>
      </c>
      <c r="J154" t="s">
        <v>953</v>
      </c>
      <c r="K154">
        <f>_xlfn.XLOOKUP(Table29[[#This Row],[city_name1]], Table5[city_name], Table5[city_id], "Not Found")</f>
        <v>12</v>
      </c>
      <c r="L154">
        <v>39</v>
      </c>
      <c r="R154">
        <v>6</v>
      </c>
      <c r="S154">
        <v>92</v>
      </c>
      <c r="T154">
        <v>2</v>
      </c>
      <c r="V154">
        <v>39</v>
      </c>
      <c r="W154">
        <v>114</v>
      </c>
      <c r="Y154">
        <v>153</v>
      </c>
      <c r="Z154" t="s">
        <v>355</v>
      </c>
      <c r="AA154" t="s">
        <v>356</v>
      </c>
      <c r="AB154">
        <v>1</v>
      </c>
      <c r="AC154">
        <v>35</v>
      </c>
      <c r="AD154">
        <v>10000</v>
      </c>
      <c r="AF154">
        <v>-8.1338763000000007</v>
      </c>
      <c r="AG154">
        <v>110.5548349</v>
      </c>
    </row>
    <row r="155" spans="1:33" x14ac:dyDescent="0.25">
      <c r="A155">
        <v>154</v>
      </c>
      <c r="B155" t="str">
        <f>TRIM(LEFT(Table1[[#This Row],[Location]],SEARCH(",",Table1[[#This Row],[Location]],1)-1))</f>
        <v>Bandung</v>
      </c>
      <c r="C155" t="str">
        <f>TRIM(MID(Table1[[#This Row],[Location]],SEARCH(",",Table1[[#This Row],[Location]],1)+1,LEN(Table1[[#This Row],[Location]])))</f>
        <v>Jawa Barat</v>
      </c>
      <c r="I155">
        <v>154</v>
      </c>
      <c r="J155" t="s">
        <v>472</v>
      </c>
      <c r="K155">
        <f>_xlfn.XLOOKUP(Table29[[#This Row],[city_name1]], Table5[city_name], Table5[city_id], "Not Found")</f>
        <v>22</v>
      </c>
      <c r="L155">
        <v>31</v>
      </c>
      <c r="R155">
        <v>6</v>
      </c>
      <c r="S155">
        <v>102</v>
      </c>
      <c r="T155">
        <v>4</v>
      </c>
      <c r="V155">
        <v>39</v>
      </c>
      <c r="W155">
        <v>117</v>
      </c>
      <c r="Y155">
        <v>154</v>
      </c>
      <c r="Z155" t="s">
        <v>357</v>
      </c>
      <c r="AA155" t="s">
        <v>358</v>
      </c>
      <c r="AB155">
        <v>1</v>
      </c>
      <c r="AC155">
        <v>35</v>
      </c>
      <c r="AD155">
        <v>10000</v>
      </c>
      <c r="AF155">
        <v>-8.1333389</v>
      </c>
      <c r="AG155">
        <v>110.5537405</v>
      </c>
    </row>
    <row r="156" spans="1:33" x14ac:dyDescent="0.25">
      <c r="A156">
        <v>155</v>
      </c>
      <c r="B156" t="str">
        <f>TRIM(LEFT(Table1[[#This Row],[Location]],SEARCH(",",Table1[[#This Row],[Location]],1)-1))</f>
        <v>Surabaya</v>
      </c>
      <c r="C156" t="str">
        <f>TRIM(MID(Table1[[#This Row],[Location]],SEARCH(",",Table1[[#This Row],[Location]],1)+1,LEN(Table1[[#This Row],[Location]])))</f>
        <v>Jawa Timur</v>
      </c>
      <c r="I156">
        <v>155</v>
      </c>
      <c r="J156" t="s">
        <v>834</v>
      </c>
      <c r="K156">
        <f>_xlfn.XLOOKUP(Table29[[#This Row],[city_name1]], Table5[city_name], Table5[city_id], "Not Found")</f>
        <v>19</v>
      </c>
      <c r="L156">
        <v>37</v>
      </c>
      <c r="R156">
        <v>6</v>
      </c>
      <c r="S156">
        <v>116</v>
      </c>
      <c r="T156">
        <v>5</v>
      </c>
      <c r="V156">
        <v>40</v>
      </c>
      <c r="W156">
        <v>174</v>
      </c>
      <c r="Y156">
        <v>155</v>
      </c>
      <c r="Z156" t="s">
        <v>359</v>
      </c>
      <c r="AA156" t="s">
        <v>360</v>
      </c>
      <c r="AB156">
        <v>1</v>
      </c>
      <c r="AC156">
        <v>35</v>
      </c>
      <c r="AD156">
        <v>5000</v>
      </c>
      <c r="AF156">
        <v>-8.1184843999999998</v>
      </c>
      <c r="AG156">
        <v>110.50287849999999</v>
      </c>
    </row>
    <row r="157" spans="1:33" x14ac:dyDescent="0.25">
      <c r="A157">
        <v>156</v>
      </c>
      <c r="B157" t="str">
        <f>TRIM(LEFT(Table1[[#This Row],[Location]],SEARCH(",",Table1[[#This Row],[Location]],1)-1))</f>
        <v>Bekasi</v>
      </c>
      <c r="C157" t="str">
        <f>TRIM(MID(Table1[[#This Row],[Location]],SEARCH(",",Table1[[#This Row],[Location]],1)+1,LEN(Table1[[#This Row],[Location]])))</f>
        <v>Jawa Barat</v>
      </c>
      <c r="I157">
        <v>156</v>
      </c>
      <c r="J157" t="s">
        <v>925</v>
      </c>
      <c r="K157">
        <f>_xlfn.XLOOKUP(Table29[[#This Row],[city_name1]], Table5[city_name], Table5[city_id], "Not Found")</f>
        <v>24</v>
      </c>
      <c r="L157">
        <v>31</v>
      </c>
      <c r="R157">
        <v>6</v>
      </c>
      <c r="S157">
        <v>119</v>
      </c>
      <c r="T157">
        <v>2</v>
      </c>
      <c r="V157">
        <v>40</v>
      </c>
      <c r="W157">
        <v>160</v>
      </c>
      <c r="Y157">
        <v>156</v>
      </c>
      <c r="Z157" t="s">
        <v>361</v>
      </c>
      <c r="AA157" t="s">
        <v>362</v>
      </c>
      <c r="AB157">
        <v>1</v>
      </c>
      <c r="AC157">
        <v>35</v>
      </c>
      <c r="AD157">
        <v>10000</v>
      </c>
      <c r="AF157">
        <v>-8.1506588999999998</v>
      </c>
      <c r="AG157">
        <v>110.6126311</v>
      </c>
    </row>
    <row r="158" spans="1:33" x14ac:dyDescent="0.25">
      <c r="A158">
        <v>157</v>
      </c>
      <c r="B158" t="str">
        <f>TRIM(LEFT(Table1[[#This Row],[Location]],SEARCH(",",Table1[[#This Row],[Location]],1)-1))</f>
        <v>Yogyakarta</v>
      </c>
      <c r="C158" t="str">
        <f>TRIM(MID(Table1[[#This Row],[Location]],SEARCH(",",Table1[[#This Row],[Location]],1)+1,LEN(Table1[[#This Row],[Location]])))</f>
        <v>DIY</v>
      </c>
      <c r="I158">
        <v>157</v>
      </c>
      <c r="J158" t="s">
        <v>220</v>
      </c>
      <c r="K158">
        <f>_xlfn.XLOOKUP(Table29[[#This Row],[city_name1]], Table5[city_name], Table5[city_id], "Not Found")</f>
        <v>39</v>
      </c>
      <c r="L158">
        <v>28</v>
      </c>
      <c r="R158">
        <v>6</v>
      </c>
      <c r="S158">
        <v>121</v>
      </c>
      <c r="T158">
        <v>4</v>
      </c>
      <c r="V158">
        <v>40</v>
      </c>
      <c r="W158">
        <v>135</v>
      </c>
      <c r="Y158">
        <v>157</v>
      </c>
      <c r="Z158" t="s">
        <v>363</v>
      </c>
      <c r="AA158" t="s">
        <v>364</v>
      </c>
      <c r="AB158">
        <v>1</v>
      </c>
      <c r="AC158">
        <v>35</v>
      </c>
      <c r="AD158">
        <v>10000</v>
      </c>
      <c r="AF158">
        <v>-8.1288245999999997</v>
      </c>
      <c r="AG158">
        <v>110.5487763</v>
      </c>
    </row>
    <row r="159" spans="1:33" x14ac:dyDescent="0.25">
      <c r="A159">
        <v>158</v>
      </c>
      <c r="B159" t="str">
        <f>TRIM(LEFT(Table1[[#This Row],[Location]],SEARCH(",",Table1[[#This Row],[Location]],1)-1))</f>
        <v>Bogor</v>
      </c>
      <c r="C159" t="str">
        <f>TRIM(MID(Table1[[#This Row],[Location]],SEARCH(",",Table1[[#This Row],[Location]],1)+1,LEN(Table1[[#This Row],[Location]])))</f>
        <v>Jawa Barat</v>
      </c>
      <c r="I159">
        <v>158</v>
      </c>
      <c r="J159" t="s">
        <v>929</v>
      </c>
      <c r="K159">
        <f>_xlfn.XLOOKUP(Table29[[#This Row],[city_name1]], Table5[city_name], Table5[city_id], "Not Found")</f>
        <v>25</v>
      </c>
      <c r="L159">
        <v>23</v>
      </c>
      <c r="R159">
        <v>6</v>
      </c>
      <c r="S159">
        <v>166</v>
      </c>
      <c r="T159">
        <v>5</v>
      </c>
      <c r="V159">
        <v>41</v>
      </c>
      <c r="W159">
        <v>224</v>
      </c>
      <c r="Y159">
        <v>158</v>
      </c>
      <c r="Z159" t="s">
        <v>365</v>
      </c>
      <c r="AA159" t="s">
        <v>366</v>
      </c>
      <c r="AB159">
        <v>1</v>
      </c>
      <c r="AC159">
        <v>35</v>
      </c>
      <c r="AD159">
        <v>10000</v>
      </c>
      <c r="AF159">
        <v>-8.1554468</v>
      </c>
      <c r="AG159">
        <v>110.6217582</v>
      </c>
    </row>
    <row r="160" spans="1:33" x14ac:dyDescent="0.25">
      <c r="A160">
        <v>159</v>
      </c>
      <c r="B160" t="str">
        <f>TRIM(LEFT(Table1[[#This Row],[Location]],SEARCH(",",Table1[[#This Row],[Location]],1)-1))</f>
        <v>Depok</v>
      </c>
      <c r="C160" t="str">
        <f>TRIM(MID(Table1[[#This Row],[Location]],SEARCH(",",Table1[[#This Row],[Location]],1)+1,LEN(Table1[[#This Row],[Location]])))</f>
        <v>Jawa Barat</v>
      </c>
      <c r="I160">
        <v>159</v>
      </c>
      <c r="J160" t="s">
        <v>930</v>
      </c>
      <c r="K160">
        <f>_xlfn.XLOOKUP(Table29[[#This Row],[city_name1]], Table5[city_name], Table5[city_id], "Not Found")</f>
        <v>27</v>
      </c>
      <c r="L160">
        <v>20</v>
      </c>
      <c r="R160">
        <v>6</v>
      </c>
      <c r="S160">
        <v>178</v>
      </c>
      <c r="T160">
        <v>3</v>
      </c>
      <c r="V160">
        <v>41</v>
      </c>
      <c r="W160">
        <v>225</v>
      </c>
      <c r="Y160">
        <v>159</v>
      </c>
      <c r="Z160" t="s">
        <v>367</v>
      </c>
      <c r="AA160" t="s">
        <v>368</v>
      </c>
      <c r="AB160">
        <v>3</v>
      </c>
      <c r="AC160">
        <v>34</v>
      </c>
      <c r="AD160">
        <v>2500</v>
      </c>
      <c r="AF160">
        <v>-7.9209208999999996</v>
      </c>
      <c r="AG160">
        <v>110.43556510000001</v>
      </c>
    </row>
    <row r="161" spans="1:33" x14ac:dyDescent="0.25">
      <c r="A161">
        <v>160</v>
      </c>
      <c r="B161" t="str">
        <f>TRIM(LEFT(Table1[[#This Row],[Location]],SEARCH(",",Table1[[#This Row],[Location]],1)-1))</f>
        <v>Jakarta Pusat</v>
      </c>
      <c r="C161" t="str">
        <f>TRIM(MID(Table1[[#This Row],[Location]],SEARCH(",",Table1[[#This Row],[Location]],1)+1,LEN(Table1[[#This Row],[Location]])))</f>
        <v>DKI Jakarta</v>
      </c>
      <c r="I161">
        <v>160</v>
      </c>
      <c r="J161" t="s">
        <v>949</v>
      </c>
      <c r="K161">
        <f>_xlfn.XLOOKUP(Table29[[#This Row],[city_name1]], Table5[city_name], Table5[city_id], "Not Found")</f>
        <v>9</v>
      </c>
      <c r="L161">
        <v>36</v>
      </c>
      <c r="R161">
        <v>6</v>
      </c>
      <c r="S161">
        <v>219</v>
      </c>
      <c r="T161">
        <v>2</v>
      </c>
      <c r="V161">
        <v>41</v>
      </c>
      <c r="W161">
        <v>245</v>
      </c>
      <c r="Y161">
        <v>160</v>
      </c>
      <c r="Z161" t="s">
        <v>369</v>
      </c>
      <c r="AA161" t="s">
        <v>370</v>
      </c>
      <c r="AB161">
        <v>4</v>
      </c>
      <c r="AC161">
        <v>35</v>
      </c>
      <c r="AD161">
        <v>0</v>
      </c>
      <c r="AF161">
        <v>-7.8363205000000002</v>
      </c>
      <c r="AG161">
        <v>110.4575806</v>
      </c>
    </row>
    <row r="162" spans="1:33" x14ac:dyDescent="0.25">
      <c r="A162">
        <v>161</v>
      </c>
      <c r="B162" t="str">
        <f>TRIM(LEFT(Table1[[#This Row],[Location]],SEARCH(",",Table1[[#This Row],[Location]],1)-1))</f>
        <v>Jakarta Timur</v>
      </c>
      <c r="C162" t="str">
        <f>TRIM(MID(Table1[[#This Row],[Location]],SEARCH(",",Table1[[#This Row],[Location]],1)+1,LEN(Table1[[#This Row],[Location]])))</f>
        <v>DKI Jakarta</v>
      </c>
      <c r="I162">
        <v>161</v>
      </c>
      <c r="J162" t="s">
        <v>952</v>
      </c>
      <c r="K162">
        <f>_xlfn.XLOOKUP(Table29[[#This Row],[city_name1]], Table5[city_name], Table5[city_id], "Not Found")</f>
        <v>10</v>
      </c>
      <c r="L162">
        <v>33</v>
      </c>
      <c r="R162">
        <v>6</v>
      </c>
      <c r="S162">
        <v>224</v>
      </c>
      <c r="T162">
        <v>5</v>
      </c>
      <c r="V162">
        <v>41</v>
      </c>
      <c r="W162">
        <v>268</v>
      </c>
      <c r="Y162">
        <v>161</v>
      </c>
      <c r="Z162" t="s">
        <v>371</v>
      </c>
      <c r="AA162" t="s">
        <v>372</v>
      </c>
      <c r="AB162">
        <v>3</v>
      </c>
      <c r="AC162">
        <v>35</v>
      </c>
      <c r="AD162">
        <v>5000</v>
      </c>
      <c r="AE162">
        <v>90</v>
      </c>
      <c r="AF162">
        <v>-8.0268551000000006</v>
      </c>
      <c r="AG162">
        <v>110.3459122</v>
      </c>
    </row>
    <row r="163" spans="1:33" x14ac:dyDescent="0.25">
      <c r="A163">
        <v>162</v>
      </c>
      <c r="B163" t="str">
        <f>TRIM(LEFT(Table1[[#This Row],[Location]],SEARCH(",",Table1[[#This Row],[Location]],1)-1))</f>
        <v>Bekasi</v>
      </c>
      <c r="C163" t="str">
        <f>TRIM(MID(Table1[[#This Row],[Location]],SEARCH(",",Table1[[#This Row],[Location]],1)+1,LEN(Table1[[#This Row],[Location]])))</f>
        <v>Jawa Barat</v>
      </c>
      <c r="I163">
        <v>162</v>
      </c>
      <c r="J163" t="s">
        <v>925</v>
      </c>
      <c r="K163">
        <f>_xlfn.XLOOKUP(Table29[[#This Row],[city_name1]], Table5[city_name], Table5[city_id], "Not Found")</f>
        <v>24</v>
      </c>
      <c r="L163">
        <v>25</v>
      </c>
      <c r="R163">
        <v>6</v>
      </c>
      <c r="S163">
        <v>243</v>
      </c>
      <c r="T163">
        <v>5</v>
      </c>
      <c r="V163">
        <v>42</v>
      </c>
      <c r="W163">
        <v>211</v>
      </c>
      <c r="Y163">
        <v>162</v>
      </c>
      <c r="Z163" t="s">
        <v>373</v>
      </c>
      <c r="AA163" t="s">
        <v>374</v>
      </c>
      <c r="AB163">
        <v>2</v>
      </c>
      <c r="AC163">
        <v>39</v>
      </c>
      <c r="AD163">
        <v>220000</v>
      </c>
      <c r="AF163">
        <v>-7.8105529000000002</v>
      </c>
      <c r="AG163">
        <v>110.3704987</v>
      </c>
    </row>
    <row r="164" spans="1:33" x14ac:dyDescent="0.25">
      <c r="A164">
        <v>163</v>
      </c>
      <c r="B164" t="str">
        <f>TRIM(LEFT(Table1[[#This Row],[Location]],SEARCH(",",Table1[[#This Row],[Location]],1)-1))</f>
        <v>Semarang</v>
      </c>
      <c r="C164" t="str">
        <f>TRIM(MID(Table1[[#This Row],[Location]],SEARCH(",",Table1[[#This Row],[Location]],1)+1,LEN(Table1[[#This Row],[Location]])))</f>
        <v>Jawa Tengah</v>
      </c>
      <c r="I164">
        <v>163</v>
      </c>
      <c r="J164" t="s">
        <v>719</v>
      </c>
      <c r="K164">
        <f>_xlfn.XLOOKUP(Table29[[#This Row],[city_name1]], Table5[city_name], Table5[city_id], "Not Found")</f>
        <v>5</v>
      </c>
      <c r="L164">
        <v>40</v>
      </c>
      <c r="R164">
        <v>6</v>
      </c>
      <c r="S164">
        <v>257</v>
      </c>
      <c r="T164">
        <v>2</v>
      </c>
      <c r="V164">
        <v>42</v>
      </c>
      <c r="W164">
        <v>233</v>
      </c>
      <c r="Y164">
        <v>163</v>
      </c>
      <c r="Z164" t="s">
        <v>375</v>
      </c>
      <c r="AA164" t="s">
        <v>376</v>
      </c>
      <c r="AB164">
        <v>3</v>
      </c>
      <c r="AC164">
        <v>34</v>
      </c>
      <c r="AD164">
        <v>2500</v>
      </c>
      <c r="AE164">
        <v>60</v>
      </c>
      <c r="AF164">
        <v>-7.9471210000000001</v>
      </c>
      <c r="AG164">
        <v>110.441</v>
      </c>
    </row>
    <row r="165" spans="1:33" x14ac:dyDescent="0.25">
      <c r="A165">
        <v>164</v>
      </c>
      <c r="B165" t="str">
        <f>TRIM(LEFT(Table1[[#This Row],[Location]],SEARCH(",",Table1[[#This Row],[Location]],1)-1))</f>
        <v>Yogyakarta</v>
      </c>
      <c r="C165" t="str">
        <f>TRIM(MID(Table1[[#This Row],[Location]],SEARCH(",",Table1[[#This Row],[Location]],1)+1,LEN(Table1[[#This Row],[Location]])))</f>
        <v>DIY</v>
      </c>
      <c r="I165">
        <v>164</v>
      </c>
      <c r="J165" t="s">
        <v>220</v>
      </c>
      <c r="K165">
        <f>_xlfn.XLOOKUP(Table29[[#This Row],[city_name1]], Table5[city_name], Table5[city_id], "Not Found")</f>
        <v>39</v>
      </c>
      <c r="L165">
        <v>19</v>
      </c>
      <c r="R165">
        <v>6</v>
      </c>
      <c r="S165">
        <v>266</v>
      </c>
      <c r="T165">
        <v>3</v>
      </c>
      <c r="V165">
        <v>42</v>
      </c>
      <c r="W165">
        <v>238</v>
      </c>
      <c r="Y165">
        <v>164</v>
      </c>
      <c r="Z165" t="s">
        <v>377</v>
      </c>
      <c r="AA165" t="s">
        <v>378</v>
      </c>
      <c r="AB165">
        <v>3</v>
      </c>
      <c r="AC165">
        <v>34</v>
      </c>
      <c r="AD165">
        <v>2500</v>
      </c>
      <c r="AE165">
        <v>60</v>
      </c>
      <c r="AF165">
        <v>-7.913608</v>
      </c>
      <c r="AG165">
        <v>110.437783</v>
      </c>
    </row>
    <row r="166" spans="1:33" x14ac:dyDescent="0.25">
      <c r="A166">
        <v>165</v>
      </c>
      <c r="B166" t="str">
        <f>TRIM(LEFT(Table1[[#This Row],[Location]],SEARCH(",",Table1[[#This Row],[Location]],1)-1))</f>
        <v>Cirebon</v>
      </c>
      <c r="C166" t="str">
        <f>TRIM(MID(Table1[[#This Row],[Location]],SEARCH(",",Table1[[#This Row],[Location]],1)+1,LEN(Table1[[#This Row],[Location]])))</f>
        <v>Jawa Barat</v>
      </c>
      <c r="I166">
        <v>165</v>
      </c>
      <c r="J166" t="s">
        <v>926</v>
      </c>
      <c r="K166">
        <f>_xlfn.XLOOKUP(Table29[[#This Row],[city_name1]], Table5[city_name], Table5[city_id], "Not Found")</f>
        <v>26</v>
      </c>
      <c r="L166">
        <v>23</v>
      </c>
      <c r="R166">
        <v>6</v>
      </c>
      <c r="S166">
        <v>298</v>
      </c>
      <c r="T166">
        <v>3</v>
      </c>
      <c r="V166">
        <v>42</v>
      </c>
      <c r="W166">
        <v>242</v>
      </c>
      <c r="Y166">
        <v>165</v>
      </c>
      <c r="Z166" t="s">
        <v>379</v>
      </c>
      <c r="AA166" t="s">
        <v>380</v>
      </c>
      <c r="AB166">
        <v>5</v>
      </c>
      <c r="AC166">
        <v>35</v>
      </c>
      <c r="AD166">
        <v>2000</v>
      </c>
      <c r="AE166">
        <v>60</v>
      </c>
      <c r="AF166">
        <v>-7.8130940000000004</v>
      </c>
      <c r="AG166">
        <v>110.615571</v>
      </c>
    </row>
    <row r="167" spans="1:33" x14ac:dyDescent="0.25">
      <c r="A167">
        <v>166</v>
      </c>
      <c r="B167" t="str">
        <f>TRIM(LEFT(Table1[[#This Row],[Location]],SEARCH(",",Table1[[#This Row],[Location]],1)-1))</f>
        <v>Lampung</v>
      </c>
      <c r="C167" t="str">
        <f>TRIM(MID(Table1[[#This Row],[Location]],SEARCH(",",Table1[[#This Row],[Location]],1)+1,LEN(Table1[[#This Row],[Location]])))</f>
        <v>Sumatera Selatan</v>
      </c>
      <c r="I167">
        <v>166</v>
      </c>
      <c r="J167" t="s">
        <v>927</v>
      </c>
      <c r="K167">
        <f>_xlfn.XLOOKUP(Table29[[#This Row],[city_name1]], Table5[city_name], Table5[city_id], "Not Found")</f>
        <v>20</v>
      </c>
      <c r="L167">
        <v>26</v>
      </c>
      <c r="R167">
        <v>6</v>
      </c>
      <c r="S167">
        <v>333</v>
      </c>
      <c r="T167">
        <v>2</v>
      </c>
      <c r="V167">
        <v>42</v>
      </c>
      <c r="W167">
        <v>263</v>
      </c>
      <c r="Y167">
        <v>166</v>
      </c>
      <c r="Z167" t="s">
        <v>381</v>
      </c>
      <c r="AA167" t="s">
        <v>382</v>
      </c>
      <c r="AB167">
        <v>3</v>
      </c>
      <c r="AC167">
        <v>37</v>
      </c>
      <c r="AD167">
        <v>6000</v>
      </c>
      <c r="AF167">
        <v>-7.6470539999999998</v>
      </c>
      <c r="AG167">
        <v>110.1414699</v>
      </c>
    </row>
    <row r="168" spans="1:33" x14ac:dyDescent="0.25">
      <c r="A168">
        <v>167</v>
      </c>
      <c r="B168" t="str">
        <f>TRIM(LEFT(Table1[[#This Row],[Location]],SEARCH(",",Table1[[#This Row],[Location]],1)-1))</f>
        <v>Semarang</v>
      </c>
      <c r="C168" t="str">
        <f>TRIM(MID(Table1[[#This Row],[Location]],SEARCH(",",Table1[[#This Row],[Location]],1)+1,LEN(Table1[[#This Row],[Location]])))</f>
        <v>Jawa Tengah</v>
      </c>
      <c r="I168">
        <v>167</v>
      </c>
      <c r="J168" t="s">
        <v>719</v>
      </c>
      <c r="K168">
        <f>_xlfn.XLOOKUP(Table29[[#This Row],[city_name1]], Table5[city_name], Table5[city_id], "Not Found")</f>
        <v>5</v>
      </c>
      <c r="L168">
        <v>19</v>
      </c>
      <c r="R168">
        <v>6</v>
      </c>
      <c r="S168">
        <v>345</v>
      </c>
      <c r="T168">
        <v>5</v>
      </c>
      <c r="V168">
        <v>43</v>
      </c>
      <c r="W168">
        <v>221</v>
      </c>
      <c r="Y168">
        <v>167</v>
      </c>
      <c r="Z168" t="s">
        <v>383</v>
      </c>
      <c r="AA168" t="s">
        <v>384</v>
      </c>
      <c r="AB168">
        <v>3</v>
      </c>
      <c r="AC168">
        <v>35</v>
      </c>
      <c r="AD168">
        <v>0</v>
      </c>
      <c r="AE168">
        <v>60</v>
      </c>
      <c r="AF168">
        <v>-7.9742940000000004</v>
      </c>
      <c r="AG168">
        <v>110.4364363</v>
      </c>
    </row>
    <row r="169" spans="1:33" x14ac:dyDescent="0.25">
      <c r="A169">
        <v>168</v>
      </c>
      <c r="B169" t="str">
        <f>TRIM(LEFT(Table1[[#This Row],[Location]],SEARCH(",",Table1[[#This Row],[Location]],1)-1))</f>
        <v>Subang</v>
      </c>
      <c r="C169" t="str">
        <f>TRIM(MID(Table1[[#This Row],[Location]],SEARCH(",",Table1[[#This Row],[Location]],1)+1,LEN(Table1[[#This Row],[Location]])))</f>
        <v>Jawa Barat</v>
      </c>
      <c r="I169">
        <v>168</v>
      </c>
      <c r="J169" t="s">
        <v>931</v>
      </c>
      <c r="K169">
        <f>_xlfn.XLOOKUP(Table29[[#This Row],[city_name1]], Table5[city_name], Table5[city_id], "Not Found")</f>
        <v>32</v>
      </c>
      <c r="L169">
        <v>38</v>
      </c>
      <c r="R169">
        <v>6</v>
      </c>
      <c r="S169">
        <v>347</v>
      </c>
      <c r="T169">
        <v>2</v>
      </c>
      <c r="V169">
        <v>43</v>
      </c>
      <c r="W169">
        <v>228</v>
      </c>
      <c r="Y169">
        <v>168</v>
      </c>
      <c r="Z169" t="s">
        <v>385</v>
      </c>
      <c r="AA169" t="s">
        <v>386</v>
      </c>
      <c r="AB169">
        <v>1</v>
      </c>
      <c r="AC169">
        <v>35</v>
      </c>
      <c r="AD169">
        <v>10000</v>
      </c>
      <c r="AE169">
        <v>90</v>
      </c>
      <c r="AF169">
        <v>-8.1759266000000004</v>
      </c>
      <c r="AG169">
        <v>110.66241960000001</v>
      </c>
    </row>
    <row r="170" spans="1:33" x14ac:dyDescent="0.25">
      <c r="A170">
        <v>169</v>
      </c>
      <c r="B170" t="str">
        <f>TRIM(LEFT(Table1[[#This Row],[Location]],SEARCH(",",Table1[[#This Row],[Location]],1)-1))</f>
        <v>Jakarta Barat</v>
      </c>
      <c r="C170" t="str">
        <f>TRIM(MID(Table1[[#This Row],[Location]],SEARCH(",",Table1[[#This Row],[Location]],1)+1,LEN(Table1[[#This Row],[Location]])))</f>
        <v>DKI Jakarta</v>
      </c>
      <c r="I170">
        <v>169</v>
      </c>
      <c r="J170" t="s">
        <v>950</v>
      </c>
      <c r="K170">
        <f>_xlfn.XLOOKUP(Table29[[#This Row],[city_name1]], Table5[city_name], Table5[city_id], "Not Found")</f>
        <v>14</v>
      </c>
      <c r="L170">
        <v>18</v>
      </c>
      <c r="R170">
        <v>6</v>
      </c>
      <c r="S170">
        <v>358</v>
      </c>
      <c r="T170">
        <v>2</v>
      </c>
      <c r="V170">
        <v>43</v>
      </c>
      <c r="W170">
        <v>290</v>
      </c>
      <c r="Y170">
        <v>169</v>
      </c>
      <c r="Z170" t="s">
        <v>387</v>
      </c>
      <c r="AA170" t="s">
        <v>388</v>
      </c>
      <c r="AB170">
        <v>3</v>
      </c>
      <c r="AC170">
        <v>35</v>
      </c>
      <c r="AD170">
        <v>5000</v>
      </c>
      <c r="AE170">
        <v>90</v>
      </c>
      <c r="AF170">
        <v>-8.1026167000000004</v>
      </c>
      <c r="AG170">
        <v>110.45620839999999</v>
      </c>
    </row>
    <row r="171" spans="1:33" x14ac:dyDescent="0.25">
      <c r="A171">
        <v>170</v>
      </c>
      <c r="B171" t="str">
        <f>TRIM(LEFT(Table1[[#This Row],[Location]],SEARCH(",",Table1[[#This Row],[Location]],1)-1))</f>
        <v>Bekasi</v>
      </c>
      <c r="C171" t="str">
        <f>TRIM(MID(Table1[[#This Row],[Location]],SEARCH(",",Table1[[#This Row],[Location]],1)+1,LEN(Table1[[#This Row],[Location]])))</f>
        <v>Jawa Barat</v>
      </c>
      <c r="I171">
        <v>170</v>
      </c>
      <c r="J171" t="s">
        <v>925</v>
      </c>
      <c r="K171">
        <f>_xlfn.XLOOKUP(Table29[[#This Row],[city_name1]], Table5[city_name], Table5[city_id], "Not Found")</f>
        <v>24</v>
      </c>
      <c r="L171">
        <v>19</v>
      </c>
      <c r="R171">
        <v>6</v>
      </c>
      <c r="S171">
        <v>378</v>
      </c>
      <c r="T171">
        <v>4</v>
      </c>
      <c r="V171">
        <v>43</v>
      </c>
      <c r="W171">
        <v>294</v>
      </c>
      <c r="Y171">
        <v>170</v>
      </c>
      <c r="Z171" t="s">
        <v>389</v>
      </c>
      <c r="AA171" t="s">
        <v>390</v>
      </c>
      <c r="AB171">
        <v>2</v>
      </c>
      <c r="AC171">
        <v>30</v>
      </c>
      <c r="AD171">
        <v>50000</v>
      </c>
      <c r="AE171">
        <v>120</v>
      </c>
      <c r="AF171">
        <v>-7.6078738000000001</v>
      </c>
      <c r="AG171">
        <v>110.20375129999999</v>
      </c>
    </row>
    <row r="172" spans="1:33" x14ac:dyDescent="0.25">
      <c r="A172">
        <v>171</v>
      </c>
      <c r="B172" t="str">
        <f>TRIM(LEFT(Table1[[#This Row],[Location]],SEARCH(",",Table1[[#This Row],[Location]],1)-1))</f>
        <v>Lampung</v>
      </c>
      <c r="C172" t="str">
        <f>TRIM(MID(Table1[[#This Row],[Location]],SEARCH(",",Table1[[#This Row],[Location]],1)+1,LEN(Table1[[#This Row],[Location]])))</f>
        <v>Sumatera Selatan</v>
      </c>
      <c r="I172">
        <v>171</v>
      </c>
      <c r="J172" t="s">
        <v>927</v>
      </c>
      <c r="K172">
        <f>_xlfn.XLOOKUP(Table29[[#This Row],[city_name1]], Table5[city_name], Table5[city_id], "Not Found")</f>
        <v>20</v>
      </c>
      <c r="L172">
        <v>33</v>
      </c>
      <c r="R172">
        <v>6</v>
      </c>
      <c r="S172">
        <v>381</v>
      </c>
      <c r="T172">
        <v>2</v>
      </c>
      <c r="V172">
        <v>43</v>
      </c>
      <c r="W172">
        <v>295</v>
      </c>
      <c r="Y172">
        <v>171</v>
      </c>
      <c r="Z172" t="s">
        <v>391</v>
      </c>
      <c r="AA172" t="s">
        <v>392</v>
      </c>
      <c r="AB172">
        <v>2</v>
      </c>
      <c r="AC172">
        <v>38</v>
      </c>
      <c r="AD172">
        <v>5000</v>
      </c>
      <c r="AE172">
        <v>60</v>
      </c>
      <c r="AF172">
        <v>-7.7838276000000004</v>
      </c>
      <c r="AG172">
        <v>110.5118987</v>
      </c>
    </row>
    <row r="173" spans="1:33" x14ac:dyDescent="0.25">
      <c r="A173">
        <v>172</v>
      </c>
      <c r="B173" t="str">
        <f>TRIM(LEFT(Table1[[#This Row],[Location]],SEARCH(",",Table1[[#This Row],[Location]],1)-1))</f>
        <v>Palembang</v>
      </c>
      <c r="C173" t="str">
        <f>TRIM(MID(Table1[[#This Row],[Location]],SEARCH(",",Table1[[#This Row],[Location]],1)+1,LEN(Table1[[#This Row],[Location]])))</f>
        <v>Sumatera Selatan</v>
      </c>
      <c r="I173">
        <v>172</v>
      </c>
      <c r="J173" t="s">
        <v>932</v>
      </c>
      <c r="K173">
        <f>_xlfn.XLOOKUP(Table29[[#This Row],[city_name1]], Table5[city_name], Table5[city_id], "Not Found")</f>
        <v>21</v>
      </c>
      <c r="L173">
        <v>34</v>
      </c>
      <c r="R173">
        <v>6</v>
      </c>
      <c r="S173">
        <v>384</v>
      </c>
      <c r="T173">
        <v>4</v>
      </c>
      <c r="V173">
        <v>44</v>
      </c>
      <c r="W173">
        <v>222</v>
      </c>
      <c r="Y173">
        <v>172</v>
      </c>
      <c r="Z173" t="s">
        <v>393</v>
      </c>
      <c r="AA173" t="s">
        <v>394</v>
      </c>
      <c r="AB173">
        <v>1</v>
      </c>
      <c r="AC173">
        <v>35</v>
      </c>
      <c r="AD173">
        <v>10000</v>
      </c>
      <c r="AF173">
        <v>-8.1508415000000003</v>
      </c>
      <c r="AG173">
        <v>110.6129852</v>
      </c>
    </row>
    <row r="174" spans="1:33" x14ac:dyDescent="0.25">
      <c r="A174">
        <v>173</v>
      </c>
      <c r="B174" t="str">
        <f>TRIM(LEFT(Table1[[#This Row],[Location]],SEARCH(",",Table1[[#This Row],[Location]],1)-1))</f>
        <v>Bogor</v>
      </c>
      <c r="C174" t="str">
        <f>TRIM(MID(Table1[[#This Row],[Location]],SEARCH(",",Table1[[#This Row],[Location]],1)+1,LEN(Table1[[#This Row],[Location]])))</f>
        <v>Jawa Barat</v>
      </c>
      <c r="I174">
        <v>173</v>
      </c>
      <c r="J174" t="s">
        <v>929</v>
      </c>
      <c r="K174">
        <f>_xlfn.XLOOKUP(Table29[[#This Row],[city_name1]], Table5[city_name], Table5[city_id], "Not Found")</f>
        <v>25</v>
      </c>
      <c r="L174">
        <v>29</v>
      </c>
      <c r="R174">
        <v>6</v>
      </c>
      <c r="S174">
        <v>392</v>
      </c>
      <c r="T174">
        <v>2</v>
      </c>
      <c r="V174">
        <v>44</v>
      </c>
      <c r="W174">
        <v>259</v>
      </c>
      <c r="Y174">
        <v>173</v>
      </c>
      <c r="Z174" t="s">
        <v>395</v>
      </c>
      <c r="AA174" t="s">
        <v>396</v>
      </c>
      <c r="AB174">
        <v>1</v>
      </c>
      <c r="AC174">
        <v>35</v>
      </c>
      <c r="AD174">
        <v>10000</v>
      </c>
      <c r="AF174">
        <v>-8.1827027999999995</v>
      </c>
      <c r="AG174">
        <v>110.6792399</v>
      </c>
    </row>
    <row r="175" spans="1:33" x14ac:dyDescent="0.25">
      <c r="A175">
        <v>174</v>
      </c>
      <c r="B175" t="str">
        <f>TRIM(LEFT(Table1[[#This Row],[Location]],SEARCH(",",Table1[[#This Row],[Location]],1)-1))</f>
        <v>Sragen</v>
      </c>
      <c r="C175" t="str">
        <f>TRIM(MID(Table1[[#This Row],[Location]],SEARCH(",",Table1[[#This Row],[Location]],1)+1,LEN(Table1[[#This Row],[Location]])))</f>
        <v>Jawa Tengah</v>
      </c>
      <c r="I175">
        <v>174</v>
      </c>
      <c r="J175" t="s">
        <v>933</v>
      </c>
      <c r="K175">
        <f>_xlfn.XLOOKUP(Table29[[#This Row],[city_name1]], Table5[city_name], Table5[city_id], "Not Found")</f>
        <v>8</v>
      </c>
      <c r="L175">
        <v>32</v>
      </c>
      <c r="R175">
        <v>6</v>
      </c>
      <c r="S175">
        <v>397</v>
      </c>
      <c r="T175">
        <v>5</v>
      </c>
      <c r="V175">
        <v>44</v>
      </c>
      <c r="W175">
        <v>265</v>
      </c>
      <c r="Y175">
        <v>174</v>
      </c>
      <c r="Z175" t="s">
        <v>397</v>
      </c>
      <c r="AA175" t="s">
        <v>398</v>
      </c>
      <c r="AB175">
        <v>4</v>
      </c>
      <c r="AC175">
        <v>39</v>
      </c>
      <c r="AD175">
        <v>0</v>
      </c>
      <c r="AE175">
        <v>60</v>
      </c>
      <c r="AF175">
        <v>-7.7987943</v>
      </c>
      <c r="AG175">
        <v>110.36744299999999</v>
      </c>
    </row>
    <row r="176" spans="1:33" x14ac:dyDescent="0.25">
      <c r="A176">
        <v>175</v>
      </c>
      <c r="B176" t="str">
        <f>TRIM(LEFT(Table1[[#This Row],[Location]],SEARCH(",",Table1[[#This Row],[Location]],1)-1))</f>
        <v>Ponorogo</v>
      </c>
      <c r="C176" t="str">
        <f>TRIM(MID(Table1[[#This Row],[Location]],SEARCH(",",Table1[[#This Row],[Location]],1)+1,LEN(Table1[[#This Row],[Location]])))</f>
        <v>Jawa Timur</v>
      </c>
      <c r="I176">
        <v>175</v>
      </c>
      <c r="J176" t="s">
        <v>934</v>
      </c>
      <c r="K176">
        <f>_xlfn.XLOOKUP(Table29[[#This Row],[city_name1]], Table5[city_name], Table5[city_id], "Not Found")</f>
        <v>17</v>
      </c>
      <c r="L176">
        <v>36</v>
      </c>
      <c r="R176">
        <v>6</v>
      </c>
      <c r="S176">
        <v>409</v>
      </c>
      <c r="T176">
        <v>2</v>
      </c>
      <c r="V176">
        <v>44</v>
      </c>
      <c r="W176">
        <v>285</v>
      </c>
      <c r="Y176">
        <v>175</v>
      </c>
      <c r="Z176" t="s">
        <v>399</v>
      </c>
      <c r="AA176" t="s">
        <v>400</v>
      </c>
      <c r="AB176">
        <v>2</v>
      </c>
      <c r="AC176">
        <v>38</v>
      </c>
      <c r="AD176">
        <v>100000</v>
      </c>
      <c r="AE176">
        <v>120</v>
      </c>
      <c r="AF176">
        <v>-7.5978656000000004</v>
      </c>
      <c r="AG176">
        <v>110.4233959</v>
      </c>
    </row>
    <row r="177" spans="1:33" x14ac:dyDescent="0.25">
      <c r="A177">
        <v>176</v>
      </c>
      <c r="B177" t="str">
        <f>TRIM(LEFT(Table1[[#This Row],[Location]],SEARCH(",",Table1[[#This Row],[Location]],1)-1))</f>
        <v>Depok</v>
      </c>
      <c r="C177" t="str">
        <f>TRIM(MID(Table1[[#This Row],[Location]],SEARCH(",",Table1[[#This Row],[Location]],1)+1,LEN(Table1[[#This Row],[Location]])))</f>
        <v>Jawa Barat</v>
      </c>
      <c r="I177">
        <v>176</v>
      </c>
      <c r="J177" t="s">
        <v>930</v>
      </c>
      <c r="K177">
        <f>_xlfn.XLOOKUP(Table29[[#This Row],[city_name1]], Table5[city_name], Table5[city_id], "Not Found")</f>
        <v>27</v>
      </c>
      <c r="L177">
        <v>31</v>
      </c>
      <c r="R177">
        <v>6</v>
      </c>
      <c r="S177">
        <v>432</v>
      </c>
      <c r="T177">
        <v>4</v>
      </c>
      <c r="V177">
        <v>45</v>
      </c>
      <c r="W177">
        <v>330</v>
      </c>
      <c r="Y177">
        <v>176</v>
      </c>
      <c r="Z177" t="s">
        <v>401</v>
      </c>
      <c r="AA177" t="s">
        <v>402</v>
      </c>
      <c r="AB177">
        <v>2</v>
      </c>
      <c r="AC177">
        <v>38</v>
      </c>
      <c r="AD177">
        <v>10000</v>
      </c>
      <c r="AE177">
        <v>60</v>
      </c>
      <c r="AF177">
        <v>-7.6159271999999998</v>
      </c>
      <c r="AG177">
        <v>110.4243329</v>
      </c>
    </row>
    <row r="178" spans="1:33" x14ac:dyDescent="0.25">
      <c r="A178">
        <v>177</v>
      </c>
      <c r="B178" t="str">
        <f>TRIM(LEFT(Table1[[#This Row],[Location]],SEARCH(",",Table1[[#This Row],[Location]],1)-1))</f>
        <v>Jakarta Selatan</v>
      </c>
      <c r="C178" t="str">
        <f>TRIM(MID(Table1[[#This Row],[Location]],SEARCH(",",Table1[[#This Row],[Location]],1)+1,LEN(Table1[[#This Row],[Location]])))</f>
        <v>DKI Jakarta</v>
      </c>
      <c r="I178">
        <v>177</v>
      </c>
      <c r="J178" t="s">
        <v>953</v>
      </c>
      <c r="K178">
        <f>_xlfn.XLOOKUP(Table29[[#This Row],[city_name1]], Table5[city_name], Table5[city_id], "Not Found")</f>
        <v>12</v>
      </c>
      <c r="L178">
        <v>35</v>
      </c>
      <c r="R178">
        <v>7</v>
      </c>
      <c r="S178">
        <v>13</v>
      </c>
      <c r="T178">
        <v>2</v>
      </c>
      <c r="V178">
        <v>45</v>
      </c>
      <c r="W178">
        <v>297</v>
      </c>
      <c r="Y178">
        <v>177</v>
      </c>
      <c r="Z178" t="s">
        <v>403</v>
      </c>
      <c r="AA178" t="s">
        <v>404</v>
      </c>
      <c r="AB178">
        <v>1</v>
      </c>
      <c r="AC178">
        <v>34</v>
      </c>
      <c r="AD178">
        <v>10000</v>
      </c>
      <c r="AF178">
        <v>-8.0246080000000006</v>
      </c>
      <c r="AG178">
        <v>110.32980449999999</v>
      </c>
    </row>
    <row r="179" spans="1:33" x14ac:dyDescent="0.25">
      <c r="A179">
        <v>178</v>
      </c>
      <c r="B179" t="str">
        <f>TRIM(LEFT(Table1[[#This Row],[Location]],SEARCH(",",Table1[[#This Row],[Location]],1)-1))</f>
        <v>Bekasi</v>
      </c>
      <c r="C179" t="str">
        <f>TRIM(MID(Table1[[#This Row],[Location]],SEARCH(",",Table1[[#This Row],[Location]],1)+1,LEN(Table1[[#This Row],[Location]])))</f>
        <v>Jawa Barat</v>
      </c>
      <c r="I179">
        <v>178</v>
      </c>
      <c r="J179" t="s">
        <v>925</v>
      </c>
      <c r="K179">
        <f>_xlfn.XLOOKUP(Table29[[#This Row],[city_name1]], Table5[city_name], Table5[city_id], "Not Found")</f>
        <v>24</v>
      </c>
      <c r="L179">
        <v>33</v>
      </c>
      <c r="R179">
        <v>7</v>
      </c>
      <c r="S179">
        <v>31</v>
      </c>
      <c r="T179">
        <v>3</v>
      </c>
      <c r="V179">
        <v>45</v>
      </c>
      <c r="W179">
        <v>214</v>
      </c>
      <c r="Y179">
        <v>178</v>
      </c>
      <c r="Z179" t="s">
        <v>405</v>
      </c>
      <c r="AA179" t="s">
        <v>406</v>
      </c>
      <c r="AB179">
        <v>3</v>
      </c>
      <c r="AC179">
        <v>35</v>
      </c>
      <c r="AD179">
        <v>40000</v>
      </c>
      <c r="AF179">
        <v>-7.9339721000000001</v>
      </c>
      <c r="AG179">
        <v>110.651966</v>
      </c>
    </row>
    <row r="180" spans="1:33" x14ac:dyDescent="0.25">
      <c r="A180">
        <v>179</v>
      </c>
      <c r="B180" t="str">
        <f>TRIM(LEFT(Table1[[#This Row],[Location]],SEARCH(",",Table1[[#This Row],[Location]],1)-1))</f>
        <v>Ponorogo</v>
      </c>
      <c r="C180" t="str">
        <f>TRIM(MID(Table1[[#This Row],[Location]],SEARCH(",",Table1[[#This Row],[Location]],1)+1,LEN(Table1[[#This Row],[Location]])))</f>
        <v>Jawa Timur</v>
      </c>
      <c r="I180">
        <v>179</v>
      </c>
      <c r="J180" t="s">
        <v>934</v>
      </c>
      <c r="K180">
        <f>_xlfn.XLOOKUP(Table29[[#This Row],[city_name1]], Table5[city_name], Table5[city_id], "Not Found")</f>
        <v>17</v>
      </c>
      <c r="L180">
        <v>27</v>
      </c>
      <c r="R180">
        <v>7</v>
      </c>
      <c r="S180">
        <v>77</v>
      </c>
      <c r="T180">
        <v>5</v>
      </c>
      <c r="V180">
        <v>46</v>
      </c>
      <c r="W180">
        <v>320</v>
      </c>
      <c r="Y180">
        <v>179</v>
      </c>
      <c r="Z180" t="s">
        <v>407</v>
      </c>
      <c r="AA180" t="s">
        <v>408</v>
      </c>
      <c r="AB180">
        <v>2</v>
      </c>
      <c r="AC180">
        <v>38</v>
      </c>
      <c r="AD180">
        <v>75000</v>
      </c>
      <c r="AE180">
        <v>90</v>
      </c>
      <c r="AF180">
        <v>-7.7705415999999996</v>
      </c>
      <c r="AG180">
        <v>110.4894158</v>
      </c>
    </row>
    <row r="181" spans="1:33" x14ac:dyDescent="0.25">
      <c r="A181">
        <v>180</v>
      </c>
      <c r="B181" t="str">
        <f>TRIM(LEFT(Table1[[#This Row],[Location]],SEARCH(",",Table1[[#This Row],[Location]],1)-1))</f>
        <v>Sragen</v>
      </c>
      <c r="C181" t="str">
        <f>TRIM(MID(Table1[[#This Row],[Location]],SEARCH(",",Table1[[#This Row],[Location]],1)+1,LEN(Table1[[#This Row],[Location]])))</f>
        <v>Jawa Tengah</v>
      </c>
      <c r="I181">
        <v>180</v>
      </c>
      <c r="J181" t="s">
        <v>933</v>
      </c>
      <c r="K181">
        <f>_xlfn.XLOOKUP(Table29[[#This Row],[city_name1]], Table5[city_name], Table5[city_id], "Not Found")</f>
        <v>8</v>
      </c>
      <c r="L181">
        <v>24</v>
      </c>
      <c r="R181">
        <v>7</v>
      </c>
      <c r="S181">
        <v>77</v>
      </c>
      <c r="T181">
        <v>3</v>
      </c>
      <c r="V181">
        <v>46</v>
      </c>
      <c r="W181">
        <v>326</v>
      </c>
      <c r="Y181">
        <v>180</v>
      </c>
      <c r="Z181" t="s">
        <v>409</v>
      </c>
      <c r="AA181" t="s">
        <v>410</v>
      </c>
      <c r="AB181">
        <v>1</v>
      </c>
      <c r="AC181">
        <v>34</v>
      </c>
      <c r="AD181">
        <v>10000</v>
      </c>
      <c r="AF181">
        <v>-8.0137087000000005</v>
      </c>
      <c r="AG181">
        <v>110.2914777</v>
      </c>
    </row>
    <row r="182" spans="1:33" x14ac:dyDescent="0.25">
      <c r="A182">
        <v>181</v>
      </c>
      <c r="B182" t="str">
        <f>TRIM(LEFT(Table1[[#This Row],[Location]],SEARCH(",",Table1[[#This Row],[Location]],1)-1))</f>
        <v>Klaten</v>
      </c>
      <c r="C182" t="str">
        <f>TRIM(MID(Table1[[#This Row],[Location]],SEARCH(",",Table1[[#This Row],[Location]],1)+1,LEN(Table1[[#This Row],[Location]])))</f>
        <v>Jawa Tengah</v>
      </c>
      <c r="I182">
        <v>181</v>
      </c>
      <c r="J182" t="s">
        <v>935</v>
      </c>
      <c r="K182">
        <f>_xlfn.XLOOKUP(Table29[[#This Row],[city_name1]], Table5[city_name], Table5[city_id], "Not Found")</f>
        <v>4</v>
      </c>
      <c r="L182">
        <v>29</v>
      </c>
      <c r="R182">
        <v>7</v>
      </c>
      <c r="S182">
        <v>88</v>
      </c>
      <c r="T182">
        <v>4</v>
      </c>
      <c r="V182">
        <v>46</v>
      </c>
      <c r="W182">
        <v>332</v>
      </c>
      <c r="Y182">
        <v>181</v>
      </c>
      <c r="Z182" t="s">
        <v>411</v>
      </c>
      <c r="AA182" t="s">
        <v>412</v>
      </c>
      <c r="AB182">
        <v>1</v>
      </c>
      <c r="AC182">
        <v>35</v>
      </c>
      <c r="AD182">
        <v>5000</v>
      </c>
      <c r="AF182">
        <v>-8.1470719999999996</v>
      </c>
      <c r="AG182">
        <v>110.6079043</v>
      </c>
    </row>
    <row r="183" spans="1:33" x14ac:dyDescent="0.25">
      <c r="A183">
        <v>182</v>
      </c>
      <c r="B183" t="str">
        <f>TRIM(LEFT(Table1[[#This Row],[Location]],SEARCH(",",Table1[[#This Row],[Location]],1)-1))</f>
        <v>Solo</v>
      </c>
      <c r="C183" t="str">
        <f>TRIM(MID(Table1[[#This Row],[Location]],SEARCH(",",Table1[[#This Row],[Location]],1)+1,LEN(Table1[[#This Row],[Location]])))</f>
        <v>Jawa Tengah</v>
      </c>
      <c r="I183">
        <v>182</v>
      </c>
      <c r="J183" t="s">
        <v>936</v>
      </c>
      <c r="K183">
        <f>_xlfn.XLOOKUP(Table29[[#This Row],[city_name1]], Table5[city_name], Table5[city_id], "Not Found")</f>
        <v>7</v>
      </c>
      <c r="L183">
        <v>34</v>
      </c>
      <c r="R183">
        <v>7</v>
      </c>
      <c r="S183">
        <v>99</v>
      </c>
      <c r="T183">
        <v>4</v>
      </c>
      <c r="V183">
        <v>47</v>
      </c>
      <c r="W183">
        <v>264</v>
      </c>
      <c r="Y183">
        <v>182</v>
      </c>
      <c r="Z183" t="s">
        <v>413</v>
      </c>
      <c r="AA183" t="s">
        <v>414</v>
      </c>
      <c r="AB183">
        <v>1</v>
      </c>
      <c r="AC183">
        <v>37</v>
      </c>
      <c r="AD183">
        <v>5000</v>
      </c>
      <c r="AE183">
        <v>120</v>
      </c>
      <c r="AF183">
        <v>-7.8933458999999999</v>
      </c>
      <c r="AG183">
        <v>110.0198257</v>
      </c>
    </row>
    <row r="184" spans="1:33" x14ac:dyDescent="0.25">
      <c r="A184">
        <v>183</v>
      </c>
      <c r="B184" t="str">
        <f>TRIM(LEFT(Table1[[#This Row],[Location]],SEARCH(",",Table1[[#This Row],[Location]],1)-1))</f>
        <v>Tanggerang</v>
      </c>
      <c r="C184" t="str">
        <f>TRIM(MID(Table1[[#This Row],[Location]],SEARCH(",",Table1[[#This Row],[Location]],1)+1,LEN(Table1[[#This Row],[Location]])))</f>
        <v>Banten</v>
      </c>
      <c r="I184">
        <v>183</v>
      </c>
      <c r="J184" t="s">
        <v>937</v>
      </c>
      <c r="K184">
        <f>_xlfn.XLOOKUP(Table29[[#This Row],[city_name1]], Table5[city_name], Table5[city_id], "Not Found")</f>
        <v>2</v>
      </c>
      <c r="L184">
        <v>37</v>
      </c>
      <c r="R184">
        <v>7</v>
      </c>
      <c r="S184">
        <v>107</v>
      </c>
      <c r="T184">
        <v>2</v>
      </c>
      <c r="V184">
        <v>47</v>
      </c>
      <c r="W184">
        <v>302</v>
      </c>
      <c r="Y184">
        <v>183</v>
      </c>
      <c r="Z184" t="s">
        <v>415</v>
      </c>
      <c r="AA184" t="s">
        <v>416</v>
      </c>
      <c r="AB184">
        <v>5</v>
      </c>
      <c r="AC184">
        <v>38</v>
      </c>
      <c r="AD184">
        <v>150000</v>
      </c>
      <c r="AF184">
        <v>-7.7478461000000003</v>
      </c>
      <c r="AG184">
        <v>110.4188754</v>
      </c>
    </row>
    <row r="185" spans="1:33" x14ac:dyDescent="0.25">
      <c r="A185">
        <v>184</v>
      </c>
      <c r="B185" t="str">
        <f>TRIM(LEFT(Table1[[#This Row],[Location]],SEARCH(",",Table1[[#This Row],[Location]],1)-1))</f>
        <v>Serang</v>
      </c>
      <c r="C185" t="str">
        <f>TRIM(MID(Table1[[#This Row],[Location]],SEARCH(",",Table1[[#This Row],[Location]],1)+1,LEN(Table1[[#This Row],[Location]])))</f>
        <v>Banten</v>
      </c>
      <c r="I185">
        <v>184</v>
      </c>
      <c r="J185" t="s">
        <v>939</v>
      </c>
      <c r="K185">
        <f>_xlfn.XLOOKUP(Table29[[#This Row],[city_name1]], Table5[city_name], Table5[city_id], "Not Found")</f>
        <v>1</v>
      </c>
      <c r="L185">
        <v>30</v>
      </c>
      <c r="R185">
        <v>7</v>
      </c>
      <c r="S185">
        <v>126</v>
      </c>
      <c r="T185">
        <v>5</v>
      </c>
      <c r="V185">
        <v>47</v>
      </c>
      <c r="W185">
        <v>303</v>
      </c>
      <c r="Y185">
        <v>184</v>
      </c>
      <c r="Z185" t="s">
        <v>417</v>
      </c>
      <c r="AA185" t="s">
        <v>418</v>
      </c>
      <c r="AB185">
        <v>1</v>
      </c>
      <c r="AC185">
        <v>35</v>
      </c>
      <c r="AD185">
        <v>10000</v>
      </c>
      <c r="AE185">
        <v>120</v>
      </c>
      <c r="AF185">
        <v>-8.1366656000000006</v>
      </c>
      <c r="AG185">
        <v>110.5659962</v>
      </c>
    </row>
    <row r="186" spans="1:33" x14ac:dyDescent="0.25">
      <c r="A186">
        <v>185</v>
      </c>
      <c r="B186" t="str">
        <f>TRIM(LEFT(Table1[[#This Row],[Location]],SEARCH(",",Table1[[#This Row],[Location]],1)-1))</f>
        <v>Cilacap</v>
      </c>
      <c r="C186" t="str">
        <f>TRIM(MID(Table1[[#This Row],[Location]],SEARCH(",",Table1[[#This Row],[Location]],1)+1,LEN(Table1[[#This Row],[Location]])))</f>
        <v>Jawa Tengah</v>
      </c>
      <c r="I186">
        <v>185</v>
      </c>
      <c r="J186" t="s">
        <v>940</v>
      </c>
      <c r="K186">
        <f>_xlfn.XLOOKUP(Table29[[#This Row],[city_name1]], Table5[city_name], Table5[city_id], "Not Found")</f>
        <v>3</v>
      </c>
      <c r="L186">
        <v>33</v>
      </c>
      <c r="R186">
        <v>7</v>
      </c>
      <c r="S186">
        <v>129</v>
      </c>
      <c r="T186">
        <v>4</v>
      </c>
      <c r="V186">
        <v>48</v>
      </c>
      <c r="W186">
        <v>266</v>
      </c>
      <c r="Y186">
        <v>185</v>
      </c>
      <c r="Z186" t="s">
        <v>419</v>
      </c>
      <c r="AA186" t="s">
        <v>420</v>
      </c>
      <c r="AB186">
        <v>1</v>
      </c>
      <c r="AC186">
        <v>35</v>
      </c>
      <c r="AD186">
        <v>10000</v>
      </c>
      <c r="AF186">
        <v>-8.1450189999999996</v>
      </c>
      <c r="AG186">
        <v>110.5998857</v>
      </c>
    </row>
    <row r="187" spans="1:33" x14ac:dyDescent="0.25">
      <c r="A187">
        <v>186</v>
      </c>
      <c r="B187" t="str">
        <f>TRIM(LEFT(Table1[[#This Row],[Location]],SEARCH(",",Table1[[#This Row],[Location]],1)-1))</f>
        <v>Semarang</v>
      </c>
      <c r="C187" t="str">
        <f>TRIM(MID(Table1[[#This Row],[Location]],SEARCH(",",Table1[[#This Row],[Location]],1)+1,LEN(Table1[[#This Row],[Location]])))</f>
        <v>Jawa Tengah</v>
      </c>
      <c r="I187">
        <v>186</v>
      </c>
      <c r="J187" t="s">
        <v>719</v>
      </c>
      <c r="K187">
        <f>_xlfn.XLOOKUP(Table29[[#This Row],[city_name1]], Table5[city_name], Table5[city_id], "Not Found")</f>
        <v>5</v>
      </c>
      <c r="L187">
        <v>28</v>
      </c>
      <c r="R187">
        <v>7</v>
      </c>
      <c r="S187">
        <v>148</v>
      </c>
      <c r="T187">
        <v>3</v>
      </c>
      <c r="V187">
        <v>48</v>
      </c>
      <c r="W187">
        <v>292</v>
      </c>
      <c r="Y187">
        <v>186</v>
      </c>
      <c r="Z187" t="s">
        <v>421</v>
      </c>
      <c r="AA187" t="s">
        <v>422</v>
      </c>
      <c r="AB187">
        <v>1</v>
      </c>
      <c r="AC187">
        <v>37</v>
      </c>
      <c r="AD187">
        <v>5000</v>
      </c>
      <c r="AF187">
        <v>-7.9119427</v>
      </c>
      <c r="AG187">
        <v>110.06473389999999</v>
      </c>
    </row>
    <row r="188" spans="1:33" x14ac:dyDescent="0.25">
      <c r="A188">
        <v>187</v>
      </c>
      <c r="B188" t="str">
        <f>TRIM(LEFT(Table1[[#This Row],[Location]],SEARCH(",",Table1[[#This Row],[Location]],1)-1))</f>
        <v>Yogyakarta</v>
      </c>
      <c r="C188" t="str">
        <f>TRIM(MID(Table1[[#This Row],[Location]],SEARCH(",",Table1[[#This Row],[Location]],1)+1,LEN(Table1[[#This Row],[Location]])))</f>
        <v>DIY</v>
      </c>
      <c r="I188">
        <v>187</v>
      </c>
      <c r="J188" t="s">
        <v>220</v>
      </c>
      <c r="K188">
        <f>_xlfn.XLOOKUP(Table29[[#This Row],[city_name1]], Table5[city_name], Table5[city_id], "Not Found")</f>
        <v>39</v>
      </c>
      <c r="L188">
        <v>25</v>
      </c>
      <c r="R188">
        <v>7</v>
      </c>
      <c r="S188">
        <v>183</v>
      </c>
      <c r="T188">
        <v>5</v>
      </c>
      <c r="V188">
        <v>48</v>
      </c>
      <c r="W188">
        <v>321</v>
      </c>
      <c r="Y188">
        <v>187</v>
      </c>
      <c r="Z188" t="s">
        <v>423</v>
      </c>
      <c r="AA188" t="s">
        <v>424</v>
      </c>
      <c r="AB188">
        <v>1</v>
      </c>
      <c r="AC188">
        <v>35</v>
      </c>
      <c r="AD188">
        <v>10000</v>
      </c>
      <c r="AF188">
        <v>-8.1818232999999996</v>
      </c>
      <c r="AG188">
        <v>110.68323940000001</v>
      </c>
    </row>
    <row r="189" spans="1:33" x14ac:dyDescent="0.25">
      <c r="A189">
        <v>188</v>
      </c>
      <c r="B189" t="str">
        <f>TRIM(LEFT(Table1[[#This Row],[Location]],SEARCH(",",Table1[[#This Row],[Location]],1)-1))</f>
        <v>Kota Gede</v>
      </c>
      <c r="C189" t="str">
        <f>TRIM(MID(Table1[[#This Row],[Location]],SEARCH(",",Table1[[#This Row],[Location]],1)+1,LEN(Table1[[#This Row],[Location]])))</f>
        <v>DIY</v>
      </c>
      <c r="I189">
        <v>188</v>
      </c>
      <c r="J189" t="s">
        <v>941</v>
      </c>
      <c r="K189">
        <f>_xlfn.XLOOKUP(Table29[[#This Row],[city_name1]], Table5[city_name], Table5[city_id], "Not Found")</f>
        <v>36</v>
      </c>
      <c r="L189">
        <v>37</v>
      </c>
      <c r="R189">
        <v>7</v>
      </c>
      <c r="S189">
        <v>183</v>
      </c>
      <c r="T189">
        <v>4</v>
      </c>
      <c r="V189">
        <v>48</v>
      </c>
      <c r="W189">
        <v>322</v>
      </c>
      <c r="Y189">
        <v>188</v>
      </c>
      <c r="Z189" t="s">
        <v>425</v>
      </c>
      <c r="AA189" t="s">
        <v>426</v>
      </c>
      <c r="AB189">
        <v>1</v>
      </c>
      <c r="AC189">
        <v>35</v>
      </c>
      <c r="AD189">
        <v>10000</v>
      </c>
      <c r="AF189">
        <v>-8.1456680000000006</v>
      </c>
      <c r="AG189">
        <v>110.6043914</v>
      </c>
    </row>
    <row r="190" spans="1:33" x14ac:dyDescent="0.25">
      <c r="A190">
        <v>189</v>
      </c>
      <c r="B190" t="str">
        <f>TRIM(LEFT(Table1[[#This Row],[Location]],SEARCH(",",Table1[[#This Row],[Location]],1)-1))</f>
        <v>Cirebon</v>
      </c>
      <c r="C190" t="str">
        <f>TRIM(MID(Table1[[#This Row],[Location]],SEARCH(",",Table1[[#This Row],[Location]],1)+1,LEN(Table1[[#This Row],[Location]])))</f>
        <v>Jawa Barat</v>
      </c>
      <c r="I190">
        <v>189</v>
      </c>
      <c r="J190" t="s">
        <v>926</v>
      </c>
      <c r="K190">
        <f>_xlfn.XLOOKUP(Table29[[#This Row],[city_name1]], Table5[city_name], Table5[city_id], "Not Found")</f>
        <v>26</v>
      </c>
      <c r="L190">
        <v>21</v>
      </c>
      <c r="R190">
        <v>7</v>
      </c>
      <c r="S190">
        <v>192</v>
      </c>
      <c r="T190">
        <v>5</v>
      </c>
      <c r="V190">
        <v>49</v>
      </c>
      <c r="W190">
        <v>248</v>
      </c>
      <c r="Y190">
        <v>189</v>
      </c>
      <c r="Z190" t="s">
        <v>427</v>
      </c>
      <c r="AA190" t="s">
        <v>428</v>
      </c>
      <c r="AB190">
        <v>1</v>
      </c>
      <c r="AC190">
        <v>35</v>
      </c>
      <c r="AD190">
        <v>10000</v>
      </c>
      <c r="AF190">
        <v>-8.1060061000000001</v>
      </c>
      <c r="AG190">
        <v>110.4618655</v>
      </c>
    </row>
    <row r="191" spans="1:33" x14ac:dyDescent="0.25">
      <c r="A191">
        <v>190</v>
      </c>
      <c r="B191" t="str">
        <f>TRIM(LEFT(Table1[[#This Row],[Location]],SEARCH(",",Table1[[#This Row],[Location]],1)-1))</f>
        <v>Subang</v>
      </c>
      <c r="C191" t="str">
        <f>TRIM(MID(Table1[[#This Row],[Location]],SEARCH(",",Table1[[#This Row],[Location]],1)+1,LEN(Table1[[#This Row],[Location]])))</f>
        <v>Jawa Barat</v>
      </c>
      <c r="I191">
        <v>190</v>
      </c>
      <c r="J191" t="s">
        <v>931</v>
      </c>
      <c r="K191">
        <f>_xlfn.XLOOKUP(Table29[[#This Row],[city_name1]], Table5[city_name], Table5[city_id], "Not Found")</f>
        <v>32</v>
      </c>
      <c r="L191">
        <v>18</v>
      </c>
      <c r="R191">
        <v>7</v>
      </c>
      <c r="S191">
        <v>213</v>
      </c>
      <c r="T191">
        <v>3</v>
      </c>
      <c r="V191">
        <v>49</v>
      </c>
      <c r="W191">
        <v>250</v>
      </c>
      <c r="Y191">
        <v>190</v>
      </c>
      <c r="Z191" t="s">
        <v>429</v>
      </c>
      <c r="AA191" t="s">
        <v>430</v>
      </c>
      <c r="AB191">
        <v>1</v>
      </c>
      <c r="AC191">
        <v>34</v>
      </c>
      <c r="AD191">
        <v>4000</v>
      </c>
      <c r="AE191">
        <v>45</v>
      </c>
      <c r="AF191">
        <v>-8.0045535000000001</v>
      </c>
      <c r="AG191">
        <v>110.27037559999999</v>
      </c>
    </row>
    <row r="192" spans="1:33" x14ac:dyDescent="0.25">
      <c r="A192">
        <v>191</v>
      </c>
      <c r="B192" t="str">
        <f>TRIM(LEFT(Table1[[#This Row],[Location]],SEARCH(",",Table1[[#This Row],[Location]],1)-1))</f>
        <v>Karawang</v>
      </c>
      <c r="C192" t="str">
        <f>TRIM(MID(Table1[[#This Row],[Location]],SEARCH(",",Table1[[#This Row],[Location]],1)+1,LEN(Table1[[#This Row],[Location]])))</f>
        <v>Jawa Barat</v>
      </c>
      <c r="I192">
        <v>191</v>
      </c>
      <c r="J192" t="s">
        <v>942</v>
      </c>
      <c r="K192">
        <f>_xlfn.XLOOKUP(Table29[[#This Row],[city_name1]], Table5[city_name], Table5[city_id], "Not Found")</f>
        <v>29</v>
      </c>
      <c r="L192">
        <v>32</v>
      </c>
      <c r="R192">
        <v>7</v>
      </c>
      <c r="S192">
        <v>213</v>
      </c>
      <c r="T192">
        <v>3</v>
      </c>
      <c r="V192">
        <v>49</v>
      </c>
      <c r="W192">
        <v>267</v>
      </c>
      <c r="Y192">
        <v>191</v>
      </c>
      <c r="Z192" t="s">
        <v>431</v>
      </c>
      <c r="AA192" t="s">
        <v>432</v>
      </c>
      <c r="AB192">
        <v>1</v>
      </c>
      <c r="AC192">
        <v>35</v>
      </c>
      <c r="AD192">
        <v>10000</v>
      </c>
      <c r="AF192">
        <v>-8.1384509000000005</v>
      </c>
      <c r="AG192">
        <v>110.577522</v>
      </c>
    </row>
    <row r="193" spans="1:33" x14ac:dyDescent="0.25">
      <c r="A193">
        <v>192</v>
      </c>
      <c r="B193" t="str">
        <f>TRIM(LEFT(Table1[[#This Row],[Location]],SEARCH(",",Table1[[#This Row],[Location]],1)-1))</f>
        <v>Purwakarat</v>
      </c>
      <c r="C193" t="str">
        <f>TRIM(MID(Table1[[#This Row],[Location]],SEARCH(",",Table1[[#This Row],[Location]],1)+1,LEN(Table1[[#This Row],[Location]])))</f>
        <v>Jawa Barat</v>
      </c>
      <c r="I193">
        <v>192</v>
      </c>
      <c r="J193" t="s">
        <v>957</v>
      </c>
      <c r="K193">
        <f>_xlfn.XLOOKUP(Table29[[#This Row],[city_name1]], Table5[city_name], Table5[city_id], "Not Found")</f>
        <v>31</v>
      </c>
      <c r="L193">
        <v>37</v>
      </c>
      <c r="R193">
        <v>7</v>
      </c>
      <c r="S193">
        <v>228</v>
      </c>
      <c r="T193">
        <v>3</v>
      </c>
      <c r="V193">
        <v>49</v>
      </c>
      <c r="W193">
        <v>291</v>
      </c>
      <c r="Y193">
        <v>192</v>
      </c>
      <c r="Z193" t="s">
        <v>433</v>
      </c>
      <c r="AA193" t="s">
        <v>434</v>
      </c>
      <c r="AB193">
        <v>3</v>
      </c>
      <c r="AC193">
        <v>35</v>
      </c>
      <c r="AD193">
        <v>15000</v>
      </c>
      <c r="AF193">
        <v>-7.9431779999999996</v>
      </c>
      <c r="AG193">
        <v>110.48924</v>
      </c>
    </row>
    <row r="194" spans="1:33" x14ac:dyDescent="0.25">
      <c r="A194">
        <v>193</v>
      </c>
      <c r="B194" t="str">
        <f>TRIM(LEFT(Table1[[#This Row],[Location]],SEARCH(",",Table1[[#This Row],[Location]],1)-1))</f>
        <v>Jakarta Utara</v>
      </c>
      <c r="C194" t="str">
        <f>TRIM(MID(Table1[[#This Row],[Location]],SEARCH(",",Table1[[#This Row],[Location]],1)+1,LEN(Table1[[#This Row],[Location]])))</f>
        <v>DKI Jakarta</v>
      </c>
      <c r="I194">
        <v>193</v>
      </c>
      <c r="J194" t="s">
        <v>951</v>
      </c>
      <c r="K194">
        <f>_xlfn.XLOOKUP(Table29[[#This Row],[city_name1]], Table5[city_name], Table5[city_id], "Not Found")</f>
        <v>11</v>
      </c>
      <c r="L194">
        <v>20</v>
      </c>
      <c r="R194">
        <v>7</v>
      </c>
      <c r="S194">
        <v>237</v>
      </c>
      <c r="T194">
        <v>5</v>
      </c>
      <c r="V194">
        <v>49</v>
      </c>
      <c r="W194">
        <v>333</v>
      </c>
      <c r="Y194">
        <v>193</v>
      </c>
      <c r="Z194" t="s">
        <v>435</v>
      </c>
      <c r="AA194" t="s">
        <v>436</v>
      </c>
      <c r="AB194">
        <v>2</v>
      </c>
      <c r="AC194">
        <v>4</v>
      </c>
      <c r="AD194">
        <v>50000</v>
      </c>
      <c r="AF194">
        <v>-7.7439216999999996</v>
      </c>
      <c r="AG194">
        <v>110.4929095</v>
      </c>
    </row>
    <row r="195" spans="1:33" x14ac:dyDescent="0.25">
      <c r="A195">
        <v>194</v>
      </c>
      <c r="B195" t="str">
        <f>TRIM(LEFT(Table1[[#This Row],[Location]],SEARCH(",",Table1[[#This Row],[Location]],1)-1))</f>
        <v>Jakarta Selatan</v>
      </c>
      <c r="C195" t="str">
        <f>TRIM(MID(Table1[[#This Row],[Location]],SEARCH(",",Table1[[#This Row],[Location]],1)+1,LEN(Table1[[#This Row],[Location]])))</f>
        <v>DKI Jakarta</v>
      </c>
      <c r="I195">
        <v>194</v>
      </c>
      <c r="J195" t="s">
        <v>953</v>
      </c>
      <c r="K195">
        <f>_xlfn.XLOOKUP(Table29[[#This Row],[city_name1]], Table5[city_name], Table5[city_id], "Not Found")</f>
        <v>12</v>
      </c>
      <c r="L195">
        <v>31</v>
      </c>
      <c r="R195">
        <v>7</v>
      </c>
      <c r="S195">
        <v>247</v>
      </c>
      <c r="T195">
        <v>4</v>
      </c>
      <c r="V195">
        <v>50</v>
      </c>
      <c r="W195">
        <v>215</v>
      </c>
      <c r="Y195">
        <v>194</v>
      </c>
      <c r="Z195" t="s">
        <v>437</v>
      </c>
      <c r="AA195" t="s">
        <v>438</v>
      </c>
      <c r="AB195">
        <v>1</v>
      </c>
      <c r="AC195">
        <v>35</v>
      </c>
      <c r="AD195">
        <v>5000</v>
      </c>
      <c r="AF195">
        <v>-8.1862461999999994</v>
      </c>
      <c r="AG195">
        <v>110.709901</v>
      </c>
    </row>
    <row r="196" spans="1:33" x14ac:dyDescent="0.25">
      <c r="A196">
        <v>195</v>
      </c>
      <c r="B196" t="str">
        <f>TRIM(LEFT(Table1[[#This Row],[Location]],SEARCH(",",Table1[[#This Row],[Location]],1)-1))</f>
        <v>Jakarta Pusat</v>
      </c>
      <c r="C196" t="str">
        <f>TRIM(MID(Table1[[#This Row],[Location]],SEARCH(",",Table1[[#This Row],[Location]],1)+1,LEN(Table1[[#This Row],[Location]])))</f>
        <v>DKI Jakarta</v>
      </c>
      <c r="I196">
        <v>195</v>
      </c>
      <c r="J196" t="s">
        <v>949</v>
      </c>
      <c r="K196">
        <f>_xlfn.XLOOKUP(Table29[[#This Row],[city_name1]], Table5[city_name], Table5[city_id], "Not Found")</f>
        <v>9</v>
      </c>
      <c r="L196">
        <v>29</v>
      </c>
      <c r="R196">
        <v>7</v>
      </c>
      <c r="S196">
        <v>255</v>
      </c>
      <c r="T196">
        <v>5</v>
      </c>
      <c r="V196">
        <v>50</v>
      </c>
      <c r="W196">
        <v>219</v>
      </c>
      <c r="Y196">
        <v>195</v>
      </c>
      <c r="Z196" t="s">
        <v>439</v>
      </c>
      <c r="AA196" t="s">
        <v>440</v>
      </c>
      <c r="AB196">
        <v>1</v>
      </c>
      <c r="AC196">
        <v>35</v>
      </c>
      <c r="AD196">
        <v>5000</v>
      </c>
      <c r="AF196">
        <v>-8.1801349999999999</v>
      </c>
      <c r="AG196">
        <v>110.6763715</v>
      </c>
    </row>
    <row r="197" spans="1:33" x14ac:dyDescent="0.25">
      <c r="A197">
        <v>196</v>
      </c>
      <c r="B197" t="str">
        <f>TRIM(LEFT(Table1[[#This Row],[Location]],SEARCH(",",Table1[[#This Row],[Location]],1)-1))</f>
        <v>Bekasi</v>
      </c>
      <c r="C197" t="str">
        <f>TRIM(MID(Table1[[#This Row],[Location]],SEARCH(",",Table1[[#This Row],[Location]],1)+1,LEN(Table1[[#This Row],[Location]])))</f>
        <v>Jawa Barat</v>
      </c>
      <c r="I197">
        <v>196</v>
      </c>
      <c r="J197" t="s">
        <v>925</v>
      </c>
      <c r="K197">
        <f>_xlfn.XLOOKUP(Table29[[#This Row],[city_name1]], Table5[city_name], Table5[city_id], "Not Found")</f>
        <v>24</v>
      </c>
      <c r="L197">
        <v>28</v>
      </c>
      <c r="R197">
        <v>7</v>
      </c>
      <c r="S197">
        <v>269</v>
      </c>
      <c r="T197">
        <v>3</v>
      </c>
      <c r="V197">
        <v>50</v>
      </c>
      <c r="W197">
        <v>243</v>
      </c>
      <c r="Y197">
        <v>196</v>
      </c>
      <c r="Z197" t="s">
        <v>441</v>
      </c>
      <c r="AA197" t="s">
        <v>442</v>
      </c>
      <c r="AB197">
        <v>1</v>
      </c>
      <c r="AC197">
        <v>35</v>
      </c>
      <c r="AD197">
        <v>3000</v>
      </c>
      <c r="AF197">
        <v>-8.1211474999999993</v>
      </c>
      <c r="AG197">
        <v>110.51423370000001</v>
      </c>
    </row>
    <row r="198" spans="1:33" x14ac:dyDescent="0.25">
      <c r="A198">
        <v>197</v>
      </c>
      <c r="B198" t="str">
        <f>TRIM(LEFT(Table1[[#This Row],[Location]],SEARCH(",",Table1[[#This Row],[Location]],1)-1))</f>
        <v>Bogor</v>
      </c>
      <c r="C198" t="str">
        <f>TRIM(MID(Table1[[#This Row],[Location]],SEARCH(",",Table1[[#This Row],[Location]],1)+1,LEN(Table1[[#This Row],[Location]])))</f>
        <v>Jawa Barat</v>
      </c>
      <c r="I198">
        <v>197</v>
      </c>
      <c r="J198" t="s">
        <v>929</v>
      </c>
      <c r="K198">
        <f>_xlfn.XLOOKUP(Table29[[#This Row],[city_name1]], Table5[city_name], Table5[city_id], "Not Found")</f>
        <v>25</v>
      </c>
      <c r="L198">
        <v>27</v>
      </c>
      <c r="R198">
        <v>7</v>
      </c>
      <c r="S198">
        <v>290</v>
      </c>
      <c r="T198">
        <v>4</v>
      </c>
      <c r="V198">
        <v>50</v>
      </c>
      <c r="W198">
        <v>247</v>
      </c>
      <c r="Y198">
        <v>197</v>
      </c>
      <c r="Z198" t="s">
        <v>443</v>
      </c>
      <c r="AA198" t="s">
        <v>444</v>
      </c>
      <c r="AB198">
        <v>1</v>
      </c>
      <c r="AC198">
        <v>35</v>
      </c>
      <c r="AD198">
        <v>5000</v>
      </c>
      <c r="AF198">
        <v>-8.1978220000000004</v>
      </c>
      <c r="AG198">
        <v>110.7123397</v>
      </c>
    </row>
    <row r="199" spans="1:33" x14ac:dyDescent="0.25">
      <c r="A199">
        <v>198</v>
      </c>
      <c r="B199" t="str">
        <f>TRIM(LEFT(Table1[[#This Row],[Location]],SEARCH(",",Table1[[#This Row],[Location]],1)-1))</f>
        <v>Karawang</v>
      </c>
      <c r="C199" t="str">
        <f>TRIM(MID(Table1[[#This Row],[Location]],SEARCH(",",Table1[[#This Row],[Location]],1)+1,LEN(Table1[[#This Row],[Location]])))</f>
        <v>Jawa Barat</v>
      </c>
      <c r="I199">
        <v>198</v>
      </c>
      <c r="J199" t="s">
        <v>942</v>
      </c>
      <c r="K199">
        <f>_xlfn.XLOOKUP(Table29[[#This Row],[city_name1]], Table5[city_name], Table5[city_id], "Not Found")</f>
        <v>29</v>
      </c>
      <c r="L199">
        <v>26</v>
      </c>
      <c r="R199">
        <v>7</v>
      </c>
      <c r="S199">
        <v>296</v>
      </c>
      <c r="T199">
        <v>3</v>
      </c>
      <c r="V199">
        <v>50</v>
      </c>
      <c r="W199">
        <v>277</v>
      </c>
      <c r="Y199">
        <v>198</v>
      </c>
      <c r="Z199" t="s">
        <v>445</v>
      </c>
      <c r="AA199" t="s">
        <v>446</v>
      </c>
      <c r="AB199">
        <v>1</v>
      </c>
      <c r="AC199">
        <v>35</v>
      </c>
      <c r="AD199">
        <v>5000</v>
      </c>
      <c r="AF199">
        <v>-8.1978644000000003</v>
      </c>
      <c r="AG199">
        <v>110.71862160000001</v>
      </c>
    </row>
    <row r="200" spans="1:33" x14ac:dyDescent="0.25">
      <c r="A200">
        <v>199</v>
      </c>
      <c r="B200" t="str">
        <f>TRIM(LEFT(Table1[[#This Row],[Location]],SEARCH(",",Table1[[#This Row],[Location]],1)-1))</f>
        <v>Subang</v>
      </c>
      <c r="C200" t="str">
        <f>TRIM(MID(Table1[[#This Row],[Location]],SEARCH(",",Table1[[#This Row],[Location]],1)+1,LEN(Table1[[#This Row],[Location]])))</f>
        <v>Jawa Barat</v>
      </c>
      <c r="I200">
        <v>199</v>
      </c>
      <c r="J200" t="s">
        <v>931</v>
      </c>
      <c r="K200">
        <f>_xlfn.XLOOKUP(Table29[[#This Row],[city_name1]], Table5[city_name], Table5[city_id], "Not Found")</f>
        <v>32</v>
      </c>
      <c r="L200">
        <v>18</v>
      </c>
      <c r="R200">
        <v>7</v>
      </c>
      <c r="S200">
        <v>298</v>
      </c>
      <c r="T200">
        <v>4</v>
      </c>
      <c r="V200">
        <v>51</v>
      </c>
      <c r="W200">
        <v>317</v>
      </c>
      <c r="Y200">
        <v>199</v>
      </c>
      <c r="Z200" t="s">
        <v>447</v>
      </c>
      <c r="AA200" t="s">
        <v>448</v>
      </c>
      <c r="AB200">
        <v>1</v>
      </c>
      <c r="AC200">
        <v>35</v>
      </c>
      <c r="AD200">
        <v>5000</v>
      </c>
      <c r="AF200">
        <v>-8.1978942999999997</v>
      </c>
      <c r="AG200">
        <v>110.7208535</v>
      </c>
    </row>
    <row r="201" spans="1:33" x14ac:dyDescent="0.25">
      <c r="A201">
        <v>200</v>
      </c>
      <c r="B201" t="str">
        <f>TRIM(LEFT(Table1[[#This Row],[Location]],SEARCH(",",Table1[[#This Row],[Location]],1)-1))</f>
        <v>Serang</v>
      </c>
      <c r="C201" t="str">
        <f>TRIM(MID(Table1[[#This Row],[Location]],SEARCH(",",Table1[[#This Row],[Location]],1)+1,LEN(Table1[[#This Row],[Location]])))</f>
        <v>Banten</v>
      </c>
      <c r="I201">
        <v>200</v>
      </c>
      <c r="J201" t="s">
        <v>939</v>
      </c>
      <c r="K201">
        <f>_xlfn.XLOOKUP(Table29[[#This Row],[city_name1]], Table5[city_name], Table5[city_id], "Not Found")</f>
        <v>1</v>
      </c>
      <c r="L201">
        <v>34</v>
      </c>
      <c r="R201">
        <v>7</v>
      </c>
      <c r="S201">
        <v>303</v>
      </c>
      <c r="T201">
        <v>4</v>
      </c>
      <c r="V201">
        <v>51</v>
      </c>
      <c r="W201">
        <v>331</v>
      </c>
      <c r="Y201">
        <v>200</v>
      </c>
      <c r="Z201" t="s">
        <v>449</v>
      </c>
      <c r="AA201" t="s">
        <v>450</v>
      </c>
      <c r="AB201">
        <v>1</v>
      </c>
      <c r="AC201">
        <v>35</v>
      </c>
      <c r="AD201">
        <v>5000</v>
      </c>
      <c r="AF201">
        <v>-8.1370556000000001</v>
      </c>
      <c r="AG201">
        <v>110.5746611</v>
      </c>
    </row>
    <row r="202" spans="1:33" x14ac:dyDescent="0.25">
      <c r="A202">
        <v>201</v>
      </c>
      <c r="B202" t="str">
        <f>TRIM(LEFT(Table1[[#This Row],[Location]],SEARCH(",",Table1[[#This Row],[Location]],1)-1))</f>
        <v>Bekasi</v>
      </c>
      <c r="C202" t="str">
        <f>TRIM(MID(Table1[[#This Row],[Location]],SEARCH(",",Table1[[#This Row],[Location]],1)+1,LEN(Table1[[#This Row],[Location]])))</f>
        <v>Jawa Barat</v>
      </c>
      <c r="I202">
        <v>201</v>
      </c>
      <c r="J202" t="s">
        <v>925</v>
      </c>
      <c r="K202">
        <f>_xlfn.XLOOKUP(Table29[[#This Row],[city_name1]], Table5[city_name], Table5[city_id], "Not Found")</f>
        <v>24</v>
      </c>
      <c r="L202">
        <v>21</v>
      </c>
      <c r="R202">
        <v>7</v>
      </c>
      <c r="S202">
        <v>375</v>
      </c>
      <c r="T202">
        <v>4</v>
      </c>
      <c r="V202">
        <v>51</v>
      </c>
      <c r="W202">
        <v>332</v>
      </c>
      <c r="Y202">
        <v>201</v>
      </c>
      <c r="Z202" t="s">
        <v>451</v>
      </c>
      <c r="AA202" t="s">
        <v>452</v>
      </c>
      <c r="AB202">
        <v>1</v>
      </c>
      <c r="AC202">
        <v>35</v>
      </c>
      <c r="AD202">
        <v>5000</v>
      </c>
      <c r="AE202">
        <v>90</v>
      </c>
      <c r="AF202">
        <v>-8.0961534999999998</v>
      </c>
      <c r="AG202">
        <v>110.43504830000001</v>
      </c>
    </row>
    <row r="203" spans="1:33" x14ac:dyDescent="0.25">
      <c r="A203">
        <v>202</v>
      </c>
      <c r="B203" t="str">
        <f>TRIM(LEFT(Table1[[#This Row],[Location]],SEARCH(",",Table1[[#This Row],[Location]],1)-1))</f>
        <v>Lampung</v>
      </c>
      <c r="C203" t="str">
        <f>TRIM(MID(Table1[[#This Row],[Location]],SEARCH(",",Table1[[#This Row],[Location]],1)+1,LEN(Table1[[#This Row],[Location]])))</f>
        <v>Sumatera Selatan</v>
      </c>
      <c r="I203">
        <v>202</v>
      </c>
      <c r="J203" t="s">
        <v>927</v>
      </c>
      <c r="K203">
        <f>_xlfn.XLOOKUP(Table29[[#This Row],[city_name1]], Table5[city_name], Table5[city_id], "Not Found")</f>
        <v>20</v>
      </c>
      <c r="L203">
        <v>21</v>
      </c>
      <c r="R203">
        <v>7</v>
      </c>
      <c r="S203">
        <v>376</v>
      </c>
      <c r="T203">
        <v>5</v>
      </c>
      <c r="V203">
        <v>52</v>
      </c>
      <c r="W203">
        <v>312</v>
      </c>
      <c r="Y203">
        <v>202</v>
      </c>
      <c r="Z203" t="s">
        <v>453</v>
      </c>
      <c r="AA203" t="s">
        <v>454</v>
      </c>
      <c r="AB203">
        <v>1</v>
      </c>
      <c r="AC203">
        <v>35</v>
      </c>
      <c r="AD203">
        <v>10000</v>
      </c>
      <c r="AF203">
        <v>-8.1464230000000004</v>
      </c>
      <c r="AG203">
        <v>110.60614080000001</v>
      </c>
    </row>
    <row r="204" spans="1:33" x14ac:dyDescent="0.25">
      <c r="A204">
        <v>203</v>
      </c>
      <c r="B204" t="str">
        <f>TRIM(LEFT(Table1[[#This Row],[Location]],SEARCH(",",Table1[[#This Row],[Location]],1)-1))</f>
        <v>Jakarta Utara</v>
      </c>
      <c r="C204" t="str">
        <f>TRIM(MID(Table1[[#This Row],[Location]],SEARCH(",",Table1[[#This Row],[Location]],1)+1,LEN(Table1[[#This Row],[Location]])))</f>
        <v>DKI Jakarta</v>
      </c>
      <c r="I204">
        <v>203</v>
      </c>
      <c r="J204" t="s">
        <v>951</v>
      </c>
      <c r="K204">
        <f>_xlfn.XLOOKUP(Table29[[#This Row],[city_name1]], Table5[city_name], Table5[city_id], "Not Found")</f>
        <v>11</v>
      </c>
      <c r="L204">
        <v>24</v>
      </c>
      <c r="R204">
        <v>7</v>
      </c>
      <c r="S204">
        <v>384</v>
      </c>
      <c r="T204">
        <v>5</v>
      </c>
      <c r="V204">
        <v>52</v>
      </c>
      <c r="W204">
        <v>315</v>
      </c>
      <c r="Y204">
        <v>203</v>
      </c>
      <c r="Z204" t="s">
        <v>455</v>
      </c>
      <c r="AA204" t="s">
        <v>456</v>
      </c>
      <c r="AB204">
        <v>5</v>
      </c>
      <c r="AC204">
        <v>34</v>
      </c>
      <c r="AD204">
        <v>40000</v>
      </c>
      <c r="AF204">
        <v>-7.8159632999999999</v>
      </c>
      <c r="AG204">
        <v>110.4136917</v>
      </c>
    </row>
    <row r="205" spans="1:33" x14ac:dyDescent="0.25">
      <c r="A205">
        <v>204</v>
      </c>
      <c r="B205" t="str">
        <f>TRIM(LEFT(Table1[[#This Row],[Location]],SEARCH(",",Table1[[#This Row],[Location]],1)-1))</f>
        <v>Jakarta Selatan</v>
      </c>
      <c r="C205" t="str">
        <f>TRIM(MID(Table1[[#This Row],[Location]],SEARCH(",",Table1[[#This Row],[Location]],1)+1,LEN(Table1[[#This Row],[Location]])))</f>
        <v>DKI Jakarta</v>
      </c>
      <c r="I205">
        <v>204</v>
      </c>
      <c r="J205" t="s">
        <v>953</v>
      </c>
      <c r="K205">
        <f>_xlfn.XLOOKUP(Table29[[#This Row],[city_name1]], Table5[city_name], Table5[city_id], "Not Found")</f>
        <v>12</v>
      </c>
      <c r="L205">
        <v>21</v>
      </c>
      <c r="R205">
        <v>8</v>
      </c>
      <c r="S205">
        <v>25</v>
      </c>
      <c r="T205">
        <v>5</v>
      </c>
      <c r="V205">
        <v>52</v>
      </c>
      <c r="W205">
        <v>325</v>
      </c>
      <c r="Y205">
        <v>204</v>
      </c>
      <c r="Z205" t="s">
        <v>457</v>
      </c>
      <c r="AA205" t="s">
        <v>458</v>
      </c>
      <c r="AB205">
        <v>5</v>
      </c>
      <c r="AC205">
        <v>38</v>
      </c>
      <c r="AD205">
        <v>0</v>
      </c>
      <c r="AF205">
        <v>-7.6258806000000003</v>
      </c>
      <c r="AG205">
        <v>110.37169799999999</v>
      </c>
    </row>
    <row r="206" spans="1:33" x14ac:dyDescent="0.25">
      <c r="A206">
        <v>205</v>
      </c>
      <c r="B206" t="str">
        <f>TRIM(LEFT(Table1[[#This Row],[Location]],SEARCH(",",Table1[[#This Row],[Location]],1)-1))</f>
        <v>Bandung</v>
      </c>
      <c r="C206" t="str">
        <f>TRIM(MID(Table1[[#This Row],[Location]],SEARCH(",",Table1[[#This Row],[Location]],1)+1,LEN(Table1[[#This Row],[Location]])))</f>
        <v>Jawa Barat</v>
      </c>
      <c r="I206">
        <v>205</v>
      </c>
      <c r="J206" t="s">
        <v>472</v>
      </c>
      <c r="K206">
        <f>_xlfn.XLOOKUP(Table29[[#This Row],[city_name1]], Table5[city_name], Table5[city_id], "Not Found")</f>
        <v>22</v>
      </c>
      <c r="L206">
        <v>24</v>
      </c>
      <c r="R206">
        <v>8</v>
      </c>
      <c r="S206">
        <v>30</v>
      </c>
      <c r="T206">
        <v>3</v>
      </c>
      <c r="V206">
        <v>52</v>
      </c>
      <c r="W206">
        <v>327</v>
      </c>
      <c r="Y206">
        <v>205</v>
      </c>
      <c r="Z206" t="s">
        <v>459</v>
      </c>
      <c r="AA206" t="s">
        <v>460</v>
      </c>
      <c r="AB206">
        <v>5</v>
      </c>
      <c r="AC206">
        <v>34</v>
      </c>
      <c r="AD206">
        <v>50000</v>
      </c>
      <c r="AF206">
        <v>-7.8725673</v>
      </c>
      <c r="AG206">
        <v>110.3546963</v>
      </c>
    </row>
    <row r="207" spans="1:33" x14ac:dyDescent="0.25">
      <c r="A207">
        <v>206</v>
      </c>
      <c r="B207" t="str">
        <f>TRIM(LEFT(Table1[[#This Row],[Location]],SEARCH(",",Table1[[#This Row],[Location]],1)-1))</f>
        <v>Surabaya</v>
      </c>
      <c r="C207" t="str">
        <f>TRIM(MID(Table1[[#This Row],[Location]],SEARCH(",",Table1[[#This Row],[Location]],1)+1,LEN(Table1[[#This Row],[Location]])))</f>
        <v>Jawa Timur</v>
      </c>
      <c r="I207">
        <v>206</v>
      </c>
      <c r="J207" t="s">
        <v>834</v>
      </c>
      <c r="K207">
        <f>_xlfn.XLOOKUP(Table29[[#This Row],[city_name1]], Table5[city_name], Table5[city_id], "Not Found")</f>
        <v>19</v>
      </c>
      <c r="L207">
        <v>30</v>
      </c>
      <c r="R207">
        <v>8</v>
      </c>
      <c r="S207">
        <v>45</v>
      </c>
      <c r="T207">
        <v>2</v>
      </c>
      <c r="V207">
        <v>52</v>
      </c>
      <c r="W207">
        <v>230</v>
      </c>
      <c r="Y207">
        <v>206</v>
      </c>
      <c r="Z207" t="s">
        <v>461</v>
      </c>
      <c r="AA207" t="s">
        <v>462</v>
      </c>
      <c r="AB207">
        <v>3</v>
      </c>
      <c r="AC207">
        <v>38</v>
      </c>
      <c r="AD207">
        <v>8000</v>
      </c>
      <c r="AE207">
        <v>60</v>
      </c>
      <c r="AF207">
        <v>-7.6120675000000002</v>
      </c>
      <c r="AG207">
        <v>110.4205209</v>
      </c>
    </row>
    <row r="208" spans="1:33" x14ac:dyDescent="0.25">
      <c r="A208">
        <v>207</v>
      </c>
      <c r="B208" t="str">
        <f>TRIM(LEFT(Table1[[#This Row],[Location]],SEARCH(",",Table1[[#This Row],[Location]],1)-1))</f>
        <v>Bekasi</v>
      </c>
      <c r="C208" t="str">
        <f>TRIM(MID(Table1[[#This Row],[Location]],SEARCH(",",Table1[[#This Row],[Location]],1)+1,LEN(Table1[[#This Row],[Location]])))</f>
        <v>Jawa Barat</v>
      </c>
      <c r="I208">
        <v>207</v>
      </c>
      <c r="J208" t="s">
        <v>925</v>
      </c>
      <c r="K208">
        <f>_xlfn.XLOOKUP(Table29[[#This Row],[city_name1]], Table5[city_name], Table5[city_id], "Not Found")</f>
        <v>24</v>
      </c>
      <c r="L208">
        <v>20</v>
      </c>
      <c r="R208">
        <v>8</v>
      </c>
      <c r="S208">
        <v>56</v>
      </c>
      <c r="T208">
        <v>2</v>
      </c>
      <c r="V208">
        <v>53</v>
      </c>
      <c r="W208">
        <v>227</v>
      </c>
      <c r="Y208">
        <v>207</v>
      </c>
      <c r="Z208" t="s">
        <v>463</v>
      </c>
      <c r="AA208" t="s">
        <v>464</v>
      </c>
      <c r="AB208">
        <v>5</v>
      </c>
      <c r="AC208">
        <v>35</v>
      </c>
      <c r="AD208">
        <v>15000</v>
      </c>
      <c r="AE208">
        <v>120</v>
      </c>
      <c r="AF208">
        <v>-7.8496144000000001</v>
      </c>
      <c r="AG208">
        <v>110.478324</v>
      </c>
    </row>
    <row r="209" spans="1:33" x14ac:dyDescent="0.25">
      <c r="A209">
        <v>208</v>
      </c>
      <c r="B209" t="str">
        <f>TRIM(LEFT(Table1[[#This Row],[Location]],SEARCH(",",Table1[[#This Row],[Location]],1)-1))</f>
        <v>Yogyakarta</v>
      </c>
      <c r="C209" t="str">
        <f>TRIM(MID(Table1[[#This Row],[Location]],SEARCH(",",Table1[[#This Row],[Location]],1)+1,LEN(Table1[[#This Row],[Location]])))</f>
        <v>DIY</v>
      </c>
      <c r="I209">
        <v>208</v>
      </c>
      <c r="J209" t="s">
        <v>220</v>
      </c>
      <c r="K209">
        <f>_xlfn.XLOOKUP(Table29[[#This Row],[city_name1]], Table5[city_name], Table5[city_id], "Not Found")</f>
        <v>39</v>
      </c>
      <c r="L209">
        <v>27</v>
      </c>
      <c r="R209">
        <v>8</v>
      </c>
      <c r="S209">
        <v>89</v>
      </c>
      <c r="T209">
        <v>3</v>
      </c>
      <c r="V209">
        <v>53</v>
      </c>
      <c r="W209">
        <v>236</v>
      </c>
      <c r="Y209">
        <v>208</v>
      </c>
      <c r="Z209" t="s">
        <v>465</v>
      </c>
      <c r="AA209" t="s">
        <v>466</v>
      </c>
      <c r="AB209">
        <v>3</v>
      </c>
      <c r="AC209">
        <v>37</v>
      </c>
      <c r="AD209">
        <v>10000</v>
      </c>
      <c r="AE209">
        <v>150</v>
      </c>
      <c r="AF209">
        <v>-7.7628136000000003</v>
      </c>
      <c r="AG209">
        <v>110.1161626</v>
      </c>
    </row>
    <row r="210" spans="1:33" x14ac:dyDescent="0.25">
      <c r="A210">
        <v>209</v>
      </c>
      <c r="B210" t="str">
        <f>TRIM(LEFT(Table1[[#This Row],[Location]],SEARCH(",",Table1[[#This Row],[Location]],1)-1))</f>
        <v>Bogor</v>
      </c>
      <c r="C210" t="str">
        <f>TRIM(MID(Table1[[#This Row],[Location]],SEARCH(",",Table1[[#This Row],[Location]],1)+1,LEN(Table1[[#This Row],[Location]])))</f>
        <v>Jawa Barat</v>
      </c>
      <c r="I210">
        <v>209</v>
      </c>
      <c r="J210" t="s">
        <v>929</v>
      </c>
      <c r="K210">
        <f>_xlfn.XLOOKUP(Table29[[#This Row],[city_name1]], Table5[city_name], Table5[city_id], "Not Found")</f>
        <v>25</v>
      </c>
      <c r="L210">
        <v>19</v>
      </c>
      <c r="R210">
        <v>8</v>
      </c>
      <c r="S210">
        <v>98</v>
      </c>
      <c r="T210">
        <v>5</v>
      </c>
      <c r="V210">
        <v>53</v>
      </c>
      <c r="W210">
        <v>254</v>
      </c>
      <c r="Y210">
        <v>209</v>
      </c>
      <c r="Z210" t="s">
        <v>467</v>
      </c>
      <c r="AA210" t="s">
        <v>468</v>
      </c>
      <c r="AB210">
        <v>1</v>
      </c>
      <c r="AC210">
        <v>35</v>
      </c>
      <c r="AD210">
        <v>10000</v>
      </c>
      <c r="AF210">
        <v>-8.1367455999999994</v>
      </c>
      <c r="AG210">
        <v>110.5716362</v>
      </c>
    </row>
    <row r="211" spans="1:33" x14ac:dyDescent="0.25">
      <c r="A211">
        <v>210</v>
      </c>
      <c r="B211" t="str">
        <f>TRIM(LEFT(Table1[[#This Row],[Location]],SEARCH(",",Table1[[#This Row],[Location]],1)-1))</f>
        <v>Depok</v>
      </c>
      <c r="C211" t="str">
        <f>TRIM(MID(Table1[[#This Row],[Location]],SEARCH(",",Table1[[#This Row],[Location]],1)+1,LEN(Table1[[#This Row],[Location]])))</f>
        <v>Jawa Barat</v>
      </c>
      <c r="I211">
        <v>210</v>
      </c>
      <c r="J211" t="s">
        <v>930</v>
      </c>
      <c r="K211">
        <f>_xlfn.XLOOKUP(Table29[[#This Row],[city_name1]], Table5[city_name], Table5[city_id], "Not Found")</f>
        <v>27</v>
      </c>
      <c r="L211">
        <v>18</v>
      </c>
      <c r="R211">
        <v>8</v>
      </c>
      <c r="S211">
        <v>98</v>
      </c>
      <c r="T211">
        <v>2</v>
      </c>
      <c r="V211">
        <v>53</v>
      </c>
      <c r="W211">
        <v>271</v>
      </c>
      <c r="Y211">
        <v>210</v>
      </c>
      <c r="Z211" t="s">
        <v>469</v>
      </c>
      <c r="AA211" t="s">
        <v>470</v>
      </c>
      <c r="AB211">
        <v>1</v>
      </c>
      <c r="AC211">
        <v>37</v>
      </c>
      <c r="AD211">
        <v>3000</v>
      </c>
      <c r="AF211">
        <v>-7.9075424999999999</v>
      </c>
      <c r="AG211">
        <v>110.0535658</v>
      </c>
    </row>
    <row r="212" spans="1:33" x14ac:dyDescent="0.25">
      <c r="A212">
        <v>211</v>
      </c>
      <c r="B212" t="str">
        <f>TRIM(LEFT(Table1[[#This Row],[Location]],SEARCH(",",Table1[[#This Row],[Location]],1)-1))</f>
        <v>Jakarta Pusat</v>
      </c>
      <c r="C212" t="str">
        <f>TRIM(MID(Table1[[#This Row],[Location]],SEARCH(",",Table1[[#This Row],[Location]],1)+1,LEN(Table1[[#This Row],[Location]])))</f>
        <v>DKI Jakarta</v>
      </c>
      <c r="I212">
        <v>211</v>
      </c>
      <c r="J212" t="s">
        <v>949</v>
      </c>
      <c r="K212">
        <f>_xlfn.XLOOKUP(Table29[[#This Row],[city_name1]], Table5[city_name], Table5[city_id], "Not Found")</f>
        <v>9</v>
      </c>
      <c r="L212">
        <v>22</v>
      </c>
      <c r="R212">
        <v>8</v>
      </c>
      <c r="S212">
        <v>130</v>
      </c>
      <c r="T212">
        <v>3</v>
      </c>
      <c r="V212">
        <v>53</v>
      </c>
      <c r="W212">
        <v>240</v>
      </c>
      <c r="Y212">
        <v>211</v>
      </c>
      <c r="Z212" t="s">
        <v>961</v>
      </c>
      <c r="AA212" t="s">
        <v>471</v>
      </c>
      <c r="AB212">
        <v>3</v>
      </c>
      <c r="AC212">
        <v>33</v>
      </c>
      <c r="AD212">
        <v>30000</v>
      </c>
      <c r="AF212">
        <v>-6.7596376999999999</v>
      </c>
      <c r="AG212">
        <v>107.6097807</v>
      </c>
    </row>
    <row r="213" spans="1:33" x14ac:dyDescent="0.25">
      <c r="A213">
        <v>212</v>
      </c>
      <c r="B213" t="str">
        <f>TRIM(LEFT(Table1[[#This Row],[Location]],SEARCH(",",Table1[[#This Row],[Location]],1)-1))</f>
        <v>Jakarta Timur</v>
      </c>
      <c r="C213" t="str">
        <f>TRIM(MID(Table1[[#This Row],[Location]],SEARCH(",",Table1[[#This Row],[Location]],1)+1,LEN(Table1[[#This Row],[Location]])))</f>
        <v>DKI Jakarta</v>
      </c>
      <c r="I213">
        <v>212</v>
      </c>
      <c r="J213" t="s">
        <v>952</v>
      </c>
      <c r="K213">
        <f>_xlfn.XLOOKUP(Table29[[#This Row],[city_name1]], Table5[city_name], Table5[city_id], "Not Found")</f>
        <v>10</v>
      </c>
      <c r="L213">
        <v>28</v>
      </c>
      <c r="R213">
        <v>8</v>
      </c>
      <c r="S213">
        <v>143</v>
      </c>
      <c r="T213">
        <v>5</v>
      </c>
      <c r="V213">
        <v>54</v>
      </c>
      <c r="W213">
        <v>331</v>
      </c>
      <c r="Y213">
        <v>212</v>
      </c>
      <c r="Z213" t="s">
        <v>473</v>
      </c>
      <c r="AA213" t="s">
        <v>474</v>
      </c>
      <c r="AB213">
        <v>2</v>
      </c>
      <c r="AC213">
        <v>22</v>
      </c>
      <c r="AD213">
        <v>0</v>
      </c>
      <c r="AF213">
        <v>-6.9150533999999997</v>
      </c>
      <c r="AG213">
        <v>107.60898419999999</v>
      </c>
    </row>
    <row r="214" spans="1:33" x14ac:dyDescent="0.25">
      <c r="A214">
        <v>213</v>
      </c>
      <c r="B214" t="str">
        <f>TRIM(LEFT(Table1[[#This Row],[Location]],SEARCH(",",Table1[[#This Row],[Location]],1)-1))</f>
        <v>Bekasi</v>
      </c>
      <c r="C214" t="str">
        <f>TRIM(MID(Table1[[#This Row],[Location]],SEARCH(",",Table1[[#This Row],[Location]],1)+1,LEN(Table1[[#This Row],[Location]])))</f>
        <v>Jawa Barat</v>
      </c>
      <c r="I214">
        <v>213</v>
      </c>
      <c r="J214" t="s">
        <v>925</v>
      </c>
      <c r="K214">
        <f>_xlfn.XLOOKUP(Table29[[#This Row],[city_name1]], Table5[city_name], Table5[city_id], "Not Found")</f>
        <v>24</v>
      </c>
      <c r="L214">
        <v>20</v>
      </c>
      <c r="R214">
        <v>8</v>
      </c>
      <c r="S214">
        <v>158</v>
      </c>
      <c r="T214">
        <v>5</v>
      </c>
      <c r="V214">
        <v>54</v>
      </c>
      <c r="W214">
        <v>332</v>
      </c>
      <c r="Y214">
        <v>213</v>
      </c>
      <c r="Z214" t="s">
        <v>475</v>
      </c>
      <c r="AA214" t="s">
        <v>476</v>
      </c>
      <c r="AB214">
        <v>2</v>
      </c>
      <c r="AC214">
        <v>22</v>
      </c>
      <c r="AD214">
        <v>5000</v>
      </c>
      <c r="AF214">
        <v>-6.9024812000000004</v>
      </c>
      <c r="AG214">
        <v>107.61881</v>
      </c>
    </row>
    <row r="215" spans="1:33" x14ac:dyDescent="0.25">
      <c r="A215">
        <v>214</v>
      </c>
      <c r="B215" t="str">
        <f>TRIM(LEFT(Table1[[#This Row],[Location]],SEARCH(",",Table1[[#This Row],[Location]],1)-1))</f>
        <v>Semarang</v>
      </c>
      <c r="C215" t="str">
        <f>TRIM(MID(Table1[[#This Row],[Location]],SEARCH(",",Table1[[#This Row],[Location]],1)+1,LEN(Table1[[#This Row],[Location]])))</f>
        <v>Jawa Tengah</v>
      </c>
      <c r="I215">
        <v>214</v>
      </c>
      <c r="J215" t="s">
        <v>719</v>
      </c>
      <c r="K215">
        <f>_xlfn.XLOOKUP(Table29[[#This Row],[city_name1]], Table5[city_name], Table5[city_id], "Not Found")</f>
        <v>5</v>
      </c>
      <c r="L215">
        <v>30</v>
      </c>
      <c r="R215">
        <v>8</v>
      </c>
      <c r="S215">
        <v>164</v>
      </c>
      <c r="T215">
        <v>5</v>
      </c>
      <c r="V215">
        <v>54</v>
      </c>
      <c r="W215">
        <v>331</v>
      </c>
      <c r="Y215">
        <v>214</v>
      </c>
      <c r="Z215" t="s">
        <v>477</v>
      </c>
      <c r="AA215" t="s">
        <v>478</v>
      </c>
      <c r="AB215">
        <v>5</v>
      </c>
      <c r="AC215">
        <v>22</v>
      </c>
      <c r="AD215">
        <v>280000</v>
      </c>
      <c r="AE215">
        <v>240</v>
      </c>
      <c r="AF215">
        <v>-6.9250942999999996</v>
      </c>
      <c r="AG215">
        <v>107.6364944</v>
      </c>
    </row>
    <row r="216" spans="1:33" x14ac:dyDescent="0.25">
      <c r="A216">
        <v>215</v>
      </c>
      <c r="B216" t="str">
        <f>TRIM(LEFT(Table1[[#This Row],[Location]],SEARCH(",",Table1[[#This Row],[Location]],1)-1))</f>
        <v>Yogyakarta</v>
      </c>
      <c r="C216" t="str">
        <f>TRIM(MID(Table1[[#This Row],[Location]],SEARCH(",",Table1[[#This Row],[Location]],1)+1,LEN(Table1[[#This Row],[Location]])))</f>
        <v>DIY</v>
      </c>
      <c r="I216">
        <v>215</v>
      </c>
      <c r="J216" t="s">
        <v>220</v>
      </c>
      <c r="K216">
        <f>_xlfn.XLOOKUP(Table29[[#This Row],[city_name1]], Table5[city_name], Table5[city_id], "Not Found")</f>
        <v>39</v>
      </c>
      <c r="L216">
        <v>23</v>
      </c>
      <c r="R216">
        <v>8</v>
      </c>
      <c r="S216">
        <v>173</v>
      </c>
      <c r="T216">
        <v>3</v>
      </c>
      <c r="V216">
        <v>54</v>
      </c>
      <c r="W216">
        <v>332</v>
      </c>
      <c r="Y216">
        <v>215</v>
      </c>
      <c r="Z216" t="s">
        <v>479</v>
      </c>
      <c r="AA216" t="s">
        <v>480</v>
      </c>
      <c r="AB216">
        <v>3</v>
      </c>
      <c r="AC216">
        <v>23</v>
      </c>
      <c r="AD216">
        <v>15000</v>
      </c>
      <c r="AE216">
        <v>90</v>
      </c>
      <c r="AF216">
        <v>-6.8565791000000003</v>
      </c>
      <c r="AG216">
        <v>107.63237340000001</v>
      </c>
    </row>
    <row r="217" spans="1:33" x14ac:dyDescent="0.25">
      <c r="A217">
        <v>216</v>
      </c>
      <c r="B217" t="str">
        <f>TRIM(LEFT(Table1[[#This Row],[Location]],SEARCH(",",Table1[[#This Row],[Location]],1)-1))</f>
        <v>Cirebon</v>
      </c>
      <c r="C217" t="str">
        <f>TRIM(MID(Table1[[#This Row],[Location]],SEARCH(",",Table1[[#This Row],[Location]],1)+1,LEN(Table1[[#This Row],[Location]])))</f>
        <v>Jawa Barat</v>
      </c>
      <c r="I217">
        <v>216</v>
      </c>
      <c r="J217" t="s">
        <v>926</v>
      </c>
      <c r="K217">
        <f>_xlfn.XLOOKUP(Table29[[#This Row],[city_name1]], Table5[city_name], Table5[city_id], "Not Found")</f>
        <v>26</v>
      </c>
      <c r="L217">
        <v>28</v>
      </c>
      <c r="R217">
        <v>8</v>
      </c>
      <c r="S217">
        <v>202</v>
      </c>
      <c r="T217">
        <v>3</v>
      </c>
      <c r="V217">
        <v>55</v>
      </c>
      <c r="W217">
        <v>223</v>
      </c>
      <c r="Y217">
        <v>216</v>
      </c>
      <c r="Z217" t="s">
        <v>481</v>
      </c>
      <c r="AA217" t="s">
        <v>482</v>
      </c>
      <c r="AB217">
        <v>5</v>
      </c>
      <c r="AC217">
        <v>33</v>
      </c>
      <c r="AD217">
        <v>30000</v>
      </c>
      <c r="AF217">
        <v>-6.8329690000000003</v>
      </c>
      <c r="AG217">
        <v>107.6056183</v>
      </c>
    </row>
    <row r="218" spans="1:33" x14ac:dyDescent="0.25">
      <c r="A218">
        <v>217</v>
      </c>
      <c r="B218" t="str">
        <f>TRIM(LEFT(Table1[[#This Row],[Location]],SEARCH(",",Table1[[#This Row],[Location]],1)-1))</f>
        <v>Lampung</v>
      </c>
      <c r="C218" t="str">
        <f>TRIM(MID(Table1[[#This Row],[Location]],SEARCH(",",Table1[[#This Row],[Location]],1)+1,LEN(Table1[[#This Row],[Location]])))</f>
        <v>Sumatera Selatan</v>
      </c>
      <c r="I218">
        <v>217</v>
      </c>
      <c r="J218" t="s">
        <v>927</v>
      </c>
      <c r="K218">
        <f>_xlfn.XLOOKUP(Table29[[#This Row],[city_name1]], Table5[city_name], Table5[city_id], "Not Found")</f>
        <v>20</v>
      </c>
      <c r="L218">
        <v>20</v>
      </c>
      <c r="R218">
        <v>8</v>
      </c>
      <c r="S218">
        <v>223</v>
      </c>
      <c r="T218">
        <v>5</v>
      </c>
      <c r="V218">
        <v>55</v>
      </c>
      <c r="W218">
        <v>251</v>
      </c>
      <c r="Y218">
        <v>217</v>
      </c>
      <c r="Z218" t="s">
        <v>483</v>
      </c>
      <c r="AA218" t="s">
        <v>484</v>
      </c>
      <c r="AB218">
        <v>3</v>
      </c>
      <c r="AC218">
        <v>22</v>
      </c>
      <c r="AD218">
        <v>20000</v>
      </c>
      <c r="AE218">
        <v>180</v>
      </c>
      <c r="AF218">
        <v>-6.8897177000000003</v>
      </c>
      <c r="AG218">
        <v>107.6077282</v>
      </c>
    </row>
    <row r="219" spans="1:33" x14ac:dyDescent="0.25">
      <c r="A219">
        <v>218</v>
      </c>
      <c r="B219" t="str">
        <f>TRIM(LEFT(Table1[[#This Row],[Location]],SEARCH(",",Table1[[#This Row],[Location]],1)-1))</f>
        <v>Semarang</v>
      </c>
      <c r="C219" t="str">
        <f>TRIM(MID(Table1[[#This Row],[Location]],SEARCH(",",Table1[[#This Row],[Location]],1)+1,LEN(Table1[[#This Row],[Location]])))</f>
        <v>Jawa Tengah</v>
      </c>
      <c r="I219">
        <v>218</v>
      </c>
      <c r="J219" t="s">
        <v>719</v>
      </c>
      <c r="K219">
        <f>_xlfn.XLOOKUP(Table29[[#This Row],[city_name1]], Table5[city_name], Table5[city_id], "Not Found")</f>
        <v>5</v>
      </c>
      <c r="L219">
        <v>29</v>
      </c>
      <c r="R219">
        <v>8</v>
      </c>
      <c r="S219">
        <v>235</v>
      </c>
      <c r="T219">
        <v>4</v>
      </c>
      <c r="V219">
        <v>55</v>
      </c>
      <c r="W219">
        <v>257</v>
      </c>
      <c r="Y219">
        <v>218</v>
      </c>
      <c r="Z219" t="s">
        <v>485</v>
      </c>
      <c r="AA219" t="s">
        <v>486</v>
      </c>
      <c r="AB219">
        <v>3</v>
      </c>
      <c r="AC219">
        <v>23</v>
      </c>
      <c r="AD219">
        <v>81000</v>
      </c>
      <c r="AF219">
        <v>-7.1662039000000002</v>
      </c>
      <c r="AG219">
        <v>107.40212560000001</v>
      </c>
    </row>
    <row r="220" spans="1:33" x14ac:dyDescent="0.25">
      <c r="A220">
        <v>219</v>
      </c>
      <c r="B220" t="str">
        <f>TRIM(LEFT(Table1[[#This Row],[Location]],SEARCH(",",Table1[[#This Row],[Location]],1)-1))</f>
        <v>Subang</v>
      </c>
      <c r="C220" t="str">
        <f>TRIM(MID(Table1[[#This Row],[Location]],SEARCH(",",Table1[[#This Row],[Location]],1)+1,LEN(Table1[[#This Row],[Location]])))</f>
        <v>Jawa Barat</v>
      </c>
      <c r="I220">
        <v>219</v>
      </c>
      <c r="J220" t="s">
        <v>931</v>
      </c>
      <c r="K220">
        <f>_xlfn.XLOOKUP(Table29[[#This Row],[city_name1]], Table5[city_name], Table5[city_id], "Not Found")</f>
        <v>32</v>
      </c>
      <c r="L220">
        <v>24</v>
      </c>
      <c r="R220">
        <v>8</v>
      </c>
      <c r="S220">
        <v>238</v>
      </c>
      <c r="T220">
        <v>3</v>
      </c>
      <c r="V220">
        <v>55</v>
      </c>
      <c r="W220">
        <v>260</v>
      </c>
      <c r="Y220">
        <v>219</v>
      </c>
      <c r="Z220" t="s">
        <v>487</v>
      </c>
      <c r="AA220" t="s">
        <v>488</v>
      </c>
      <c r="AB220">
        <v>3</v>
      </c>
      <c r="AC220">
        <v>33</v>
      </c>
      <c r="AD220">
        <v>15000</v>
      </c>
      <c r="AF220">
        <v>-6.8340683000000002</v>
      </c>
      <c r="AG220">
        <v>107.6636151</v>
      </c>
    </row>
    <row r="221" spans="1:33" x14ac:dyDescent="0.25">
      <c r="A221">
        <v>220</v>
      </c>
      <c r="B221" t="str">
        <f>TRIM(LEFT(Table1[[#This Row],[Location]],SEARCH(",",Table1[[#This Row],[Location]],1)-1))</f>
        <v>Jakarta Barat</v>
      </c>
      <c r="C221" t="str">
        <f>TRIM(MID(Table1[[#This Row],[Location]],SEARCH(",",Table1[[#This Row],[Location]],1)+1,LEN(Table1[[#This Row],[Location]])))</f>
        <v>DKI Jakarta</v>
      </c>
      <c r="I221">
        <v>220</v>
      </c>
      <c r="J221" t="s">
        <v>950</v>
      </c>
      <c r="K221">
        <f>_xlfn.XLOOKUP(Table29[[#This Row],[city_name1]], Table5[city_name], Table5[city_id], "Not Found")</f>
        <v>14</v>
      </c>
      <c r="L221">
        <v>23</v>
      </c>
      <c r="R221">
        <v>8</v>
      </c>
      <c r="S221">
        <v>267</v>
      </c>
      <c r="T221">
        <v>4</v>
      </c>
      <c r="V221">
        <v>56</v>
      </c>
      <c r="W221">
        <v>218</v>
      </c>
      <c r="Y221">
        <v>220</v>
      </c>
      <c r="Z221" t="s">
        <v>489</v>
      </c>
      <c r="AA221" t="s">
        <v>490</v>
      </c>
      <c r="AB221">
        <v>5</v>
      </c>
      <c r="AC221">
        <v>33</v>
      </c>
      <c r="AD221">
        <v>25000</v>
      </c>
      <c r="AF221">
        <v>-6.7897147000000002</v>
      </c>
      <c r="AG221">
        <v>107.5791627</v>
      </c>
    </row>
    <row r="222" spans="1:33" x14ac:dyDescent="0.25">
      <c r="A222">
        <v>221</v>
      </c>
      <c r="B222" t="str">
        <f>TRIM(LEFT(Table1[[#This Row],[Location]],SEARCH(",",Table1[[#This Row],[Location]],1)-1))</f>
        <v>Bekasi</v>
      </c>
      <c r="C222" t="str">
        <f>TRIM(MID(Table1[[#This Row],[Location]],SEARCH(",",Table1[[#This Row],[Location]],1)+1,LEN(Table1[[#This Row],[Location]])))</f>
        <v>Jawa Barat</v>
      </c>
      <c r="I222">
        <v>221</v>
      </c>
      <c r="J222" t="s">
        <v>925</v>
      </c>
      <c r="K222">
        <f>_xlfn.XLOOKUP(Table29[[#This Row],[city_name1]], Table5[city_name], Table5[city_id], "Not Found")</f>
        <v>24</v>
      </c>
      <c r="L222">
        <v>30</v>
      </c>
      <c r="R222">
        <v>8</v>
      </c>
      <c r="S222">
        <v>275</v>
      </c>
      <c r="T222">
        <v>3</v>
      </c>
      <c r="V222">
        <v>56</v>
      </c>
      <c r="W222">
        <v>237</v>
      </c>
      <c r="Y222">
        <v>221</v>
      </c>
      <c r="Z222" t="s">
        <v>491</v>
      </c>
      <c r="AA222" t="s">
        <v>492</v>
      </c>
      <c r="AB222">
        <v>2</v>
      </c>
      <c r="AC222">
        <v>22</v>
      </c>
      <c r="AD222">
        <v>2000</v>
      </c>
      <c r="AF222">
        <v>-6.9007161999999997</v>
      </c>
      <c r="AG222">
        <v>107.62145529999999</v>
      </c>
    </row>
    <row r="223" spans="1:33" x14ac:dyDescent="0.25">
      <c r="A223">
        <v>222</v>
      </c>
      <c r="B223" t="str">
        <f>TRIM(LEFT(Table1[[#This Row],[Location]],SEARCH(",",Table1[[#This Row],[Location]],1)-1))</f>
        <v>Lampung</v>
      </c>
      <c r="C223" t="str">
        <f>TRIM(MID(Table1[[#This Row],[Location]],SEARCH(",",Table1[[#This Row],[Location]],1)+1,LEN(Table1[[#This Row],[Location]])))</f>
        <v>Sumatera Selatan</v>
      </c>
      <c r="I223">
        <v>222</v>
      </c>
      <c r="J223" t="s">
        <v>927</v>
      </c>
      <c r="K223">
        <f>_xlfn.XLOOKUP(Table29[[#This Row],[city_name1]], Table5[city_name], Table5[city_id], "Not Found")</f>
        <v>20</v>
      </c>
      <c r="L223">
        <v>30</v>
      </c>
      <c r="R223">
        <v>8</v>
      </c>
      <c r="S223">
        <v>290</v>
      </c>
      <c r="T223">
        <v>2</v>
      </c>
      <c r="V223">
        <v>56</v>
      </c>
      <c r="W223">
        <v>324</v>
      </c>
      <c r="Y223">
        <v>222</v>
      </c>
      <c r="Z223" t="s">
        <v>493</v>
      </c>
      <c r="AA223" t="s">
        <v>494</v>
      </c>
      <c r="AB223">
        <v>2</v>
      </c>
      <c r="AC223">
        <v>22</v>
      </c>
      <c r="AD223">
        <v>0</v>
      </c>
      <c r="AE223">
        <v>60</v>
      </c>
      <c r="AF223">
        <v>-6.9211092000000001</v>
      </c>
      <c r="AG223">
        <v>107.60959699999999</v>
      </c>
    </row>
    <row r="224" spans="1:33" x14ac:dyDescent="0.25">
      <c r="A224">
        <v>223</v>
      </c>
      <c r="B224" t="str">
        <f>TRIM(LEFT(Table1[[#This Row],[Location]],SEARCH(",",Table1[[#This Row],[Location]],1)-1))</f>
        <v>Palembang</v>
      </c>
      <c r="C224" t="str">
        <f>TRIM(MID(Table1[[#This Row],[Location]],SEARCH(",",Table1[[#This Row],[Location]],1)+1,LEN(Table1[[#This Row],[Location]])))</f>
        <v>Sumatera Selatan</v>
      </c>
      <c r="I224">
        <v>223</v>
      </c>
      <c r="J224" t="s">
        <v>932</v>
      </c>
      <c r="K224">
        <f>_xlfn.XLOOKUP(Table29[[#This Row],[city_name1]], Table5[city_name], Table5[city_id], "Not Found")</f>
        <v>21</v>
      </c>
      <c r="L224">
        <v>20</v>
      </c>
      <c r="R224">
        <v>8</v>
      </c>
      <c r="S224">
        <v>294</v>
      </c>
      <c r="T224">
        <v>4</v>
      </c>
      <c r="V224">
        <v>57</v>
      </c>
      <c r="W224">
        <v>258</v>
      </c>
      <c r="Y224">
        <v>223</v>
      </c>
      <c r="Z224" t="s">
        <v>495</v>
      </c>
      <c r="AA224" t="s">
        <v>496</v>
      </c>
      <c r="AB224">
        <v>6</v>
      </c>
      <c r="AC224">
        <v>22</v>
      </c>
      <c r="AD224">
        <v>0</v>
      </c>
      <c r="AF224">
        <v>-6.9216896999999999</v>
      </c>
      <c r="AG224">
        <v>107.6061399</v>
      </c>
    </row>
    <row r="225" spans="1:33" x14ac:dyDescent="0.25">
      <c r="A225">
        <v>224</v>
      </c>
      <c r="B225" t="str">
        <f>TRIM(LEFT(Table1[[#This Row],[Location]],SEARCH(",",Table1[[#This Row],[Location]],1)-1))</f>
        <v>Bogor</v>
      </c>
      <c r="C225" t="str">
        <f>TRIM(MID(Table1[[#This Row],[Location]],SEARCH(",",Table1[[#This Row],[Location]],1)+1,LEN(Table1[[#This Row],[Location]])))</f>
        <v>Jawa Barat</v>
      </c>
      <c r="I225">
        <v>224</v>
      </c>
      <c r="J225" t="s">
        <v>929</v>
      </c>
      <c r="K225">
        <f>_xlfn.XLOOKUP(Table29[[#This Row],[city_name1]], Table5[city_name], Table5[city_id], "Not Found")</f>
        <v>25</v>
      </c>
      <c r="L225">
        <v>28</v>
      </c>
      <c r="R225">
        <v>8</v>
      </c>
      <c r="S225">
        <v>301</v>
      </c>
      <c r="T225">
        <v>3</v>
      </c>
      <c r="V225">
        <v>57</v>
      </c>
      <c r="W225">
        <v>286</v>
      </c>
      <c r="Y225">
        <v>224</v>
      </c>
      <c r="Z225" t="s">
        <v>497</v>
      </c>
      <c r="AA225" t="s">
        <v>498</v>
      </c>
      <c r="AB225">
        <v>5</v>
      </c>
      <c r="AC225">
        <v>33</v>
      </c>
      <c r="AD225">
        <v>40000</v>
      </c>
      <c r="AE225">
        <v>150</v>
      </c>
      <c r="AF225">
        <v>-6.8486422999999998</v>
      </c>
      <c r="AG225">
        <v>107.625939</v>
      </c>
    </row>
    <row r="226" spans="1:33" x14ac:dyDescent="0.25">
      <c r="A226">
        <v>225</v>
      </c>
      <c r="B226" t="str">
        <f>TRIM(LEFT(Table1[[#This Row],[Location]],SEARCH(",",Table1[[#This Row],[Location]],1)-1))</f>
        <v>Sragen</v>
      </c>
      <c r="C226" t="str">
        <f>TRIM(MID(Table1[[#This Row],[Location]],SEARCH(",",Table1[[#This Row],[Location]],1)+1,LEN(Table1[[#This Row],[Location]])))</f>
        <v>Jawa Tengah</v>
      </c>
      <c r="I226">
        <v>225</v>
      </c>
      <c r="J226" t="s">
        <v>933</v>
      </c>
      <c r="K226">
        <f>_xlfn.XLOOKUP(Table29[[#This Row],[city_name1]], Table5[city_name], Table5[city_id], "Not Found")</f>
        <v>8</v>
      </c>
      <c r="L226">
        <v>19</v>
      </c>
      <c r="R226">
        <v>8</v>
      </c>
      <c r="S226">
        <v>306</v>
      </c>
      <c r="T226">
        <v>4</v>
      </c>
      <c r="V226">
        <v>57</v>
      </c>
      <c r="W226">
        <v>290</v>
      </c>
      <c r="Y226">
        <v>225</v>
      </c>
      <c r="Z226" t="s">
        <v>499</v>
      </c>
      <c r="AA226" t="s">
        <v>500</v>
      </c>
      <c r="AB226">
        <v>5</v>
      </c>
      <c r="AC226">
        <v>33</v>
      </c>
      <c r="AD226">
        <v>50000</v>
      </c>
      <c r="AE226">
        <v>150</v>
      </c>
      <c r="AF226">
        <v>-6.7804929999999999</v>
      </c>
      <c r="AG226">
        <v>107.63747499999999</v>
      </c>
    </row>
    <row r="227" spans="1:33" x14ac:dyDescent="0.25">
      <c r="A227">
        <v>226</v>
      </c>
      <c r="B227" t="str">
        <f>TRIM(LEFT(Table1[[#This Row],[Location]],SEARCH(",",Table1[[#This Row],[Location]],1)-1))</f>
        <v>Ponorogo</v>
      </c>
      <c r="C227" t="str">
        <f>TRIM(MID(Table1[[#This Row],[Location]],SEARCH(",",Table1[[#This Row],[Location]],1)+1,LEN(Table1[[#This Row],[Location]])))</f>
        <v>Jawa Timur</v>
      </c>
      <c r="I227">
        <v>226</v>
      </c>
      <c r="J227" t="s">
        <v>934</v>
      </c>
      <c r="K227">
        <f>_xlfn.XLOOKUP(Table29[[#This Row],[city_name1]], Table5[city_name], Table5[city_id], "Not Found")</f>
        <v>17</v>
      </c>
      <c r="L227">
        <v>23</v>
      </c>
      <c r="R227">
        <v>8</v>
      </c>
      <c r="S227">
        <v>306</v>
      </c>
      <c r="T227">
        <v>2</v>
      </c>
      <c r="V227">
        <v>57</v>
      </c>
      <c r="W227">
        <v>294</v>
      </c>
      <c r="Y227">
        <v>226</v>
      </c>
      <c r="Z227" t="s">
        <v>501</v>
      </c>
      <c r="AA227" t="s">
        <v>502</v>
      </c>
      <c r="AB227">
        <v>5</v>
      </c>
      <c r="AC227">
        <v>33</v>
      </c>
      <c r="AD227">
        <v>20000</v>
      </c>
      <c r="AE227">
        <v>120</v>
      </c>
      <c r="AF227">
        <v>-6.8419755999999996</v>
      </c>
      <c r="AG227">
        <v>107.62282399999999</v>
      </c>
    </row>
    <row r="228" spans="1:33" x14ac:dyDescent="0.25">
      <c r="A228">
        <v>227</v>
      </c>
      <c r="B228" t="str">
        <f>TRIM(LEFT(Table1[[#This Row],[Location]],SEARCH(",",Table1[[#This Row],[Location]],1)-1))</f>
        <v>Depok</v>
      </c>
      <c r="C228" t="str">
        <f>TRIM(MID(Table1[[#This Row],[Location]],SEARCH(",",Table1[[#This Row],[Location]],1)+1,LEN(Table1[[#This Row],[Location]])))</f>
        <v>Jawa Barat</v>
      </c>
      <c r="I228">
        <v>227</v>
      </c>
      <c r="J228" t="s">
        <v>930</v>
      </c>
      <c r="K228">
        <f>_xlfn.XLOOKUP(Table29[[#This Row],[city_name1]], Table5[city_name], Table5[city_id], "Not Found")</f>
        <v>27</v>
      </c>
      <c r="L228">
        <v>25</v>
      </c>
      <c r="R228">
        <v>8</v>
      </c>
      <c r="S228">
        <v>321</v>
      </c>
      <c r="T228">
        <v>5</v>
      </c>
      <c r="V228">
        <v>57</v>
      </c>
      <c r="W228">
        <v>295</v>
      </c>
      <c r="Y228">
        <v>227</v>
      </c>
      <c r="Z228" t="s">
        <v>503</v>
      </c>
      <c r="AA228" t="s">
        <v>504</v>
      </c>
      <c r="AB228">
        <v>5</v>
      </c>
      <c r="AC228">
        <v>22</v>
      </c>
      <c r="AD228">
        <v>0</v>
      </c>
      <c r="AE228">
        <v>60</v>
      </c>
      <c r="AF228">
        <v>-6.9218571000000004</v>
      </c>
      <c r="AG228">
        <v>107.6070141</v>
      </c>
    </row>
    <row r="229" spans="1:33" x14ac:dyDescent="0.25">
      <c r="A229">
        <v>228</v>
      </c>
      <c r="B229" t="str">
        <f>TRIM(LEFT(Table1[[#This Row],[Location]],SEARCH(",",Table1[[#This Row],[Location]],1)-1))</f>
        <v>Jakarta Selatan</v>
      </c>
      <c r="C229" t="str">
        <f>TRIM(MID(Table1[[#This Row],[Location]],SEARCH(",",Table1[[#This Row],[Location]],1)+1,LEN(Table1[[#This Row],[Location]])))</f>
        <v>DKI Jakarta</v>
      </c>
      <c r="I229">
        <v>228</v>
      </c>
      <c r="J229" t="s">
        <v>953</v>
      </c>
      <c r="K229">
        <f>_xlfn.XLOOKUP(Table29[[#This Row],[city_name1]], Table5[city_name], Table5[city_id], "Not Found")</f>
        <v>12</v>
      </c>
      <c r="L229">
        <v>18</v>
      </c>
      <c r="R229">
        <v>8</v>
      </c>
      <c r="S229">
        <v>367</v>
      </c>
      <c r="T229">
        <v>2</v>
      </c>
      <c r="V229">
        <v>58</v>
      </c>
      <c r="W229">
        <v>217</v>
      </c>
      <c r="Y229">
        <v>228</v>
      </c>
      <c r="Z229" t="s">
        <v>505</v>
      </c>
      <c r="AA229" t="s">
        <v>506</v>
      </c>
      <c r="AB229">
        <v>2</v>
      </c>
      <c r="AC229">
        <v>22</v>
      </c>
      <c r="AD229">
        <v>3000</v>
      </c>
      <c r="AF229">
        <v>-6.9375748000000002</v>
      </c>
      <c r="AG229">
        <v>107.603775</v>
      </c>
    </row>
    <row r="230" spans="1:33" x14ac:dyDescent="0.25">
      <c r="A230">
        <v>229</v>
      </c>
      <c r="B230" t="str">
        <f>TRIM(LEFT(Table1[[#This Row],[Location]],SEARCH(",",Table1[[#This Row],[Location]],1)-1))</f>
        <v>Bekasi</v>
      </c>
      <c r="C230" t="str">
        <f>TRIM(MID(Table1[[#This Row],[Location]],SEARCH(",",Table1[[#This Row],[Location]],1)+1,LEN(Table1[[#This Row],[Location]])))</f>
        <v>Jawa Barat</v>
      </c>
      <c r="I230">
        <v>229</v>
      </c>
      <c r="J230" t="s">
        <v>925</v>
      </c>
      <c r="K230">
        <f>_xlfn.XLOOKUP(Table29[[#This Row],[city_name1]], Table5[city_name], Table5[city_id], "Not Found")</f>
        <v>24</v>
      </c>
      <c r="L230">
        <v>20</v>
      </c>
      <c r="R230">
        <v>8</v>
      </c>
      <c r="S230">
        <v>392</v>
      </c>
      <c r="T230">
        <v>5</v>
      </c>
      <c r="V230">
        <v>58</v>
      </c>
      <c r="W230">
        <v>239</v>
      </c>
      <c r="Y230">
        <v>229</v>
      </c>
      <c r="Z230" t="s">
        <v>507</v>
      </c>
      <c r="AA230" t="s">
        <v>508</v>
      </c>
      <c r="AB230">
        <v>5</v>
      </c>
      <c r="AC230">
        <v>22</v>
      </c>
      <c r="AD230">
        <v>45000</v>
      </c>
      <c r="AE230">
        <v>90</v>
      </c>
      <c r="AF230">
        <v>-6.8669517999999998</v>
      </c>
      <c r="AG230">
        <v>107.6100859</v>
      </c>
    </row>
    <row r="231" spans="1:33" x14ac:dyDescent="0.25">
      <c r="A231">
        <v>230</v>
      </c>
      <c r="B231" t="str">
        <f>TRIM(LEFT(Table1[[#This Row],[Location]],SEARCH(",",Table1[[#This Row],[Location]],1)-1))</f>
        <v>Ponorogo</v>
      </c>
      <c r="C231" t="str">
        <f>TRIM(MID(Table1[[#This Row],[Location]],SEARCH(",",Table1[[#This Row],[Location]],1)+1,LEN(Table1[[#This Row],[Location]])))</f>
        <v>Jawa Timur</v>
      </c>
      <c r="I231">
        <v>230</v>
      </c>
      <c r="J231" t="s">
        <v>934</v>
      </c>
      <c r="K231">
        <f>_xlfn.XLOOKUP(Table29[[#This Row],[city_name1]], Table5[city_name], Table5[city_id], "Not Found")</f>
        <v>17</v>
      </c>
      <c r="L231">
        <v>20</v>
      </c>
      <c r="R231">
        <v>8</v>
      </c>
      <c r="S231">
        <v>394</v>
      </c>
      <c r="T231">
        <v>5</v>
      </c>
      <c r="V231">
        <v>58</v>
      </c>
      <c r="W231">
        <v>275</v>
      </c>
      <c r="Y231">
        <v>230</v>
      </c>
      <c r="Z231" t="s">
        <v>509</v>
      </c>
      <c r="AA231" t="s">
        <v>510</v>
      </c>
      <c r="AB231">
        <v>5</v>
      </c>
      <c r="AC231">
        <v>33</v>
      </c>
      <c r="AD231">
        <v>30000</v>
      </c>
      <c r="AF231">
        <v>-6.8281527999999998</v>
      </c>
      <c r="AG231">
        <v>107.43501790000001</v>
      </c>
    </row>
    <row r="232" spans="1:33" x14ac:dyDescent="0.25">
      <c r="A232">
        <v>231</v>
      </c>
      <c r="B232" t="str">
        <f>TRIM(LEFT(Table1[[#This Row],[Location]],SEARCH(",",Table1[[#This Row],[Location]],1)-1))</f>
        <v>Sragen</v>
      </c>
      <c r="C232" t="str">
        <f>TRIM(MID(Table1[[#This Row],[Location]],SEARCH(",",Table1[[#This Row],[Location]],1)+1,LEN(Table1[[#This Row],[Location]])))</f>
        <v>Jawa Tengah</v>
      </c>
      <c r="I232">
        <v>231</v>
      </c>
      <c r="J232" t="s">
        <v>933</v>
      </c>
      <c r="K232">
        <f>_xlfn.XLOOKUP(Table29[[#This Row],[city_name1]], Table5[city_name], Table5[city_id], "Not Found")</f>
        <v>8</v>
      </c>
      <c r="L232">
        <v>28</v>
      </c>
      <c r="R232">
        <v>8</v>
      </c>
      <c r="S232">
        <v>432</v>
      </c>
      <c r="T232">
        <v>4</v>
      </c>
      <c r="V232">
        <v>58</v>
      </c>
      <c r="W232">
        <v>313</v>
      </c>
      <c r="Y232">
        <v>231</v>
      </c>
      <c r="Z232" t="s">
        <v>511</v>
      </c>
      <c r="AA232" t="s">
        <v>512</v>
      </c>
      <c r="AB232">
        <v>5</v>
      </c>
      <c r="AC232">
        <v>33</v>
      </c>
      <c r="AD232">
        <v>50000</v>
      </c>
      <c r="AE232">
        <v>180</v>
      </c>
      <c r="AF232">
        <v>-6.8331229999999996</v>
      </c>
      <c r="AG232">
        <v>107.60415949999999</v>
      </c>
    </row>
    <row r="233" spans="1:33" x14ac:dyDescent="0.25">
      <c r="A233">
        <v>232</v>
      </c>
      <c r="B233" t="str">
        <f>TRIM(LEFT(Table1[[#This Row],[Location]],SEARCH(",",Table1[[#This Row],[Location]],1)-1))</f>
        <v>Klaten</v>
      </c>
      <c r="C233" t="str">
        <f>TRIM(MID(Table1[[#This Row],[Location]],SEARCH(",",Table1[[#This Row],[Location]],1)+1,LEN(Table1[[#This Row],[Location]])))</f>
        <v>Jawa Tengah</v>
      </c>
      <c r="I233">
        <v>232</v>
      </c>
      <c r="J233" t="s">
        <v>935</v>
      </c>
      <c r="K233">
        <f>_xlfn.XLOOKUP(Table29[[#This Row],[city_name1]], Table5[city_name], Table5[city_id], "Not Found")</f>
        <v>4</v>
      </c>
      <c r="L233">
        <v>30</v>
      </c>
      <c r="R233">
        <v>9</v>
      </c>
      <c r="S233">
        <v>28</v>
      </c>
      <c r="T233">
        <v>5</v>
      </c>
      <c r="V233">
        <v>59</v>
      </c>
      <c r="W233">
        <v>226</v>
      </c>
      <c r="Y233">
        <v>232</v>
      </c>
      <c r="Z233" t="s">
        <v>513</v>
      </c>
      <c r="AA233" t="s">
        <v>514</v>
      </c>
      <c r="AB233">
        <v>3</v>
      </c>
      <c r="AC233">
        <v>23</v>
      </c>
      <c r="AD233">
        <v>25000</v>
      </c>
      <c r="AF233">
        <v>-6.8422201999999999</v>
      </c>
      <c r="AG233">
        <v>107.6767988</v>
      </c>
    </row>
    <row r="234" spans="1:33" x14ac:dyDescent="0.25">
      <c r="A234">
        <v>233</v>
      </c>
      <c r="B234" t="str">
        <f>TRIM(LEFT(Table1[[#This Row],[Location]],SEARCH(",",Table1[[#This Row],[Location]],1)-1))</f>
        <v>Solo</v>
      </c>
      <c r="C234" t="str">
        <f>TRIM(MID(Table1[[#This Row],[Location]],SEARCH(",",Table1[[#This Row],[Location]],1)+1,LEN(Table1[[#This Row],[Location]])))</f>
        <v>Jawa Tengah</v>
      </c>
      <c r="I234">
        <v>233</v>
      </c>
      <c r="J234" t="s">
        <v>936</v>
      </c>
      <c r="K234">
        <f>_xlfn.XLOOKUP(Table29[[#This Row],[city_name1]], Table5[city_name], Table5[city_id], "Not Found")</f>
        <v>7</v>
      </c>
      <c r="L234">
        <v>23</v>
      </c>
      <c r="R234">
        <v>9</v>
      </c>
      <c r="S234">
        <v>30</v>
      </c>
      <c r="T234">
        <v>3</v>
      </c>
      <c r="V234">
        <v>59</v>
      </c>
      <c r="W234">
        <v>241</v>
      </c>
      <c r="Y234">
        <v>233</v>
      </c>
      <c r="Z234" t="s">
        <v>515</v>
      </c>
      <c r="AA234" t="s">
        <v>516</v>
      </c>
      <c r="AB234">
        <v>3</v>
      </c>
      <c r="AC234">
        <v>28</v>
      </c>
      <c r="AD234">
        <v>30000</v>
      </c>
      <c r="AF234">
        <v>-7.3193253</v>
      </c>
      <c r="AG234">
        <v>107.7310494</v>
      </c>
    </row>
    <row r="235" spans="1:33" x14ac:dyDescent="0.25">
      <c r="A235">
        <v>234</v>
      </c>
      <c r="B235" t="str">
        <f>TRIM(LEFT(Table1[[#This Row],[Location]],SEARCH(",",Table1[[#This Row],[Location]],1)-1))</f>
        <v>Tanggerang</v>
      </c>
      <c r="C235" t="str">
        <f>TRIM(MID(Table1[[#This Row],[Location]],SEARCH(",",Table1[[#This Row],[Location]],1)+1,LEN(Table1[[#This Row],[Location]])))</f>
        <v>Banten</v>
      </c>
      <c r="I235">
        <v>234</v>
      </c>
      <c r="J235" t="s">
        <v>937</v>
      </c>
      <c r="K235">
        <f>_xlfn.XLOOKUP(Table29[[#This Row],[city_name1]], Table5[city_name], Table5[city_id], "Not Found")</f>
        <v>2</v>
      </c>
      <c r="L235">
        <v>27</v>
      </c>
      <c r="R235">
        <v>9</v>
      </c>
      <c r="S235">
        <v>30</v>
      </c>
      <c r="T235">
        <v>2</v>
      </c>
      <c r="V235">
        <v>59</v>
      </c>
      <c r="W235">
        <v>246</v>
      </c>
      <c r="Y235">
        <v>234</v>
      </c>
      <c r="Z235" t="s">
        <v>517</v>
      </c>
      <c r="AA235" t="s">
        <v>518</v>
      </c>
      <c r="AB235">
        <v>2</v>
      </c>
      <c r="AC235">
        <v>22</v>
      </c>
      <c r="AD235">
        <v>75000</v>
      </c>
      <c r="AE235">
        <v>45</v>
      </c>
      <c r="AF235">
        <v>-6.8516591</v>
      </c>
      <c r="AG235">
        <v>107.5955534</v>
      </c>
    </row>
    <row r="236" spans="1:33" x14ac:dyDescent="0.25">
      <c r="A236">
        <v>235</v>
      </c>
      <c r="B236" t="str">
        <f>TRIM(LEFT(Table1[[#This Row],[Location]],SEARCH(",",Table1[[#This Row],[Location]],1)-1))</f>
        <v>Serang</v>
      </c>
      <c r="C236" t="str">
        <f>TRIM(MID(Table1[[#This Row],[Location]],SEARCH(",",Table1[[#This Row],[Location]],1)+1,LEN(Table1[[#This Row],[Location]])))</f>
        <v>Banten</v>
      </c>
      <c r="I236">
        <v>235</v>
      </c>
      <c r="J236" t="s">
        <v>939</v>
      </c>
      <c r="K236">
        <f>_xlfn.XLOOKUP(Table29[[#This Row],[city_name1]], Table5[city_name], Table5[city_id], "Not Found")</f>
        <v>1</v>
      </c>
      <c r="L236">
        <v>18</v>
      </c>
      <c r="R236">
        <v>9</v>
      </c>
      <c r="S236">
        <v>54</v>
      </c>
      <c r="T236">
        <v>3</v>
      </c>
      <c r="V236">
        <v>59</v>
      </c>
      <c r="W236">
        <v>272</v>
      </c>
      <c r="Y236">
        <v>235</v>
      </c>
      <c r="Z236" t="s">
        <v>519</v>
      </c>
      <c r="AA236" t="s">
        <v>520</v>
      </c>
      <c r="AB236">
        <v>3</v>
      </c>
      <c r="AC236">
        <v>23</v>
      </c>
      <c r="AD236">
        <v>15000</v>
      </c>
      <c r="AE236">
        <v>45</v>
      </c>
      <c r="AF236">
        <v>-6.8544593999999996</v>
      </c>
      <c r="AG236">
        <v>107.6377907</v>
      </c>
    </row>
    <row r="237" spans="1:33" x14ac:dyDescent="0.25">
      <c r="A237">
        <v>236</v>
      </c>
      <c r="B237" t="str">
        <f>TRIM(LEFT(Table1[[#This Row],[Location]],SEARCH(",",Table1[[#This Row],[Location]],1)-1))</f>
        <v>Cilacap</v>
      </c>
      <c r="C237" t="str">
        <f>TRIM(MID(Table1[[#This Row],[Location]],SEARCH(",",Table1[[#This Row],[Location]],1)+1,LEN(Table1[[#This Row],[Location]])))</f>
        <v>Jawa Tengah</v>
      </c>
      <c r="I237">
        <v>236</v>
      </c>
      <c r="J237" t="s">
        <v>940</v>
      </c>
      <c r="K237">
        <f>_xlfn.XLOOKUP(Table29[[#This Row],[city_name1]], Table5[city_name], Table5[city_id], "Not Found")</f>
        <v>3</v>
      </c>
      <c r="L237">
        <v>23</v>
      </c>
      <c r="R237">
        <v>9</v>
      </c>
      <c r="S237">
        <v>55</v>
      </c>
      <c r="T237">
        <v>4</v>
      </c>
      <c r="V237">
        <v>59</v>
      </c>
      <c r="W237">
        <v>273</v>
      </c>
      <c r="Y237">
        <v>236</v>
      </c>
      <c r="Z237" t="s">
        <v>521</v>
      </c>
      <c r="AA237" t="s">
        <v>522</v>
      </c>
      <c r="AB237">
        <v>5</v>
      </c>
      <c r="AC237">
        <v>22</v>
      </c>
      <c r="AD237">
        <v>0</v>
      </c>
      <c r="AE237">
        <v>45</v>
      </c>
      <c r="AF237">
        <v>-6.9129659999999999</v>
      </c>
      <c r="AG237">
        <v>107.6096031</v>
      </c>
    </row>
    <row r="238" spans="1:33" x14ac:dyDescent="0.25">
      <c r="A238">
        <v>237</v>
      </c>
      <c r="B238" t="str">
        <f>TRIM(LEFT(Table1[[#This Row],[Location]],SEARCH(",",Table1[[#This Row],[Location]],1)-1))</f>
        <v>Semarang</v>
      </c>
      <c r="C238" t="str">
        <f>TRIM(MID(Table1[[#This Row],[Location]],SEARCH(",",Table1[[#This Row],[Location]],1)+1,LEN(Table1[[#This Row],[Location]])))</f>
        <v>Jawa Tengah</v>
      </c>
      <c r="I238">
        <v>237</v>
      </c>
      <c r="J238" t="s">
        <v>719</v>
      </c>
      <c r="K238">
        <f>_xlfn.XLOOKUP(Table29[[#This Row],[city_name1]], Table5[city_name], Table5[city_id], "Not Found")</f>
        <v>5</v>
      </c>
      <c r="L238">
        <v>20</v>
      </c>
      <c r="R238">
        <v>9</v>
      </c>
      <c r="S238">
        <v>95</v>
      </c>
      <c r="T238">
        <v>5</v>
      </c>
      <c r="V238">
        <v>60</v>
      </c>
      <c r="W238">
        <v>242</v>
      </c>
      <c r="Y238">
        <v>237</v>
      </c>
      <c r="Z238" t="s">
        <v>523</v>
      </c>
      <c r="AA238" t="s">
        <v>524</v>
      </c>
      <c r="AB238">
        <v>5</v>
      </c>
      <c r="AC238">
        <v>22</v>
      </c>
      <c r="AD238">
        <v>75000</v>
      </c>
      <c r="AF238">
        <v>-6.9614032000000003</v>
      </c>
      <c r="AG238">
        <v>107.62273209999999</v>
      </c>
    </row>
    <row r="239" spans="1:33" x14ac:dyDescent="0.25">
      <c r="A239">
        <v>238</v>
      </c>
      <c r="B239" t="str">
        <f>TRIM(LEFT(Table1[[#This Row],[Location]],SEARCH(",",Table1[[#This Row],[Location]],1)-1))</f>
        <v>Yogyakarta</v>
      </c>
      <c r="C239" t="str">
        <f>TRIM(MID(Table1[[#This Row],[Location]],SEARCH(",",Table1[[#This Row],[Location]],1)+1,LEN(Table1[[#This Row],[Location]])))</f>
        <v>DIY</v>
      </c>
      <c r="I239">
        <v>238</v>
      </c>
      <c r="J239" t="s">
        <v>220</v>
      </c>
      <c r="K239">
        <f>_xlfn.XLOOKUP(Table29[[#This Row],[city_name1]], Table5[city_name], Table5[city_id], "Not Found")</f>
        <v>39</v>
      </c>
      <c r="L239">
        <v>30</v>
      </c>
      <c r="R239">
        <v>9</v>
      </c>
      <c r="S239">
        <v>105</v>
      </c>
      <c r="T239">
        <v>2</v>
      </c>
      <c r="V239">
        <v>60</v>
      </c>
      <c r="W239">
        <v>263</v>
      </c>
      <c r="Y239">
        <v>238</v>
      </c>
      <c r="Z239" t="s">
        <v>525</v>
      </c>
      <c r="AA239" t="s">
        <v>526</v>
      </c>
      <c r="AB239">
        <v>3</v>
      </c>
      <c r="AC239">
        <v>23</v>
      </c>
      <c r="AD239">
        <v>7500</v>
      </c>
      <c r="AF239">
        <v>-6.8761111000000001</v>
      </c>
      <c r="AG239">
        <v>107.7436111</v>
      </c>
    </row>
    <row r="240" spans="1:33" x14ac:dyDescent="0.25">
      <c r="A240">
        <v>239</v>
      </c>
      <c r="B240" t="str">
        <f>TRIM(LEFT(Table1[[#This Row],[Location]],SEARCH(",",Table1[[#This Row],[Location]],1)-1))</f>
        <v>Kota Gede</v>
      </c>
      <c r="C240" t="str">
        <f>TRIM(MID(Table1[[#This Row],[Location]],SEARCH(",",Table1[[#This Row],[Location]],1)+1,LEN(Table1[[#This Row],[Location]])))</f>
        <v>DIY</v>
      </c>
      <c r="I240">
        <v>239</v>
      </c>
      <c r="J240" t="s">
        <v>941</v>
      </c>
      <c r="K240">
        <f>_xlfn.XLOOKUP(Table29[[#This Row],[city_name1]], Table5[city_name], Table5[city_id], "Not Found")</f>
        <v>36</v>
      </c>
      <c r="L240">
        <v>23</v>
      </c>
      <c r="R240">
        <v>9</v>
      </c>
      <c r="S240">
        <v>188</v>
      </c>
      <c r="T240">
        <v>4</v>
      </c>
      <c r="V240">
        <v>60</v>
      </c>
      <c r="W240">
        <v>289</v>
      </c>
      <c r="Y240">
        <v>239</v>
      </c>
      <c r="Z240" t="s">
        <v>527</v>
      </c>
      <c r="AA240" t="s">
        <v>528</v>
      </c>
      <c r="AB240">
        <v>3</v>
      </c>
      <c r="AC240">
        <v>33</v>
      </c>
      <c r="AD240">
        <v>50000</v>
      </c>
      <c r="AE240">
        <v>210</v>
      </c>
      <c r="AF240">
        <v>-6.8059153999999999</v>
      </c>
      <c r="AG240">
        <v>107.59197260000001</v>
      </c>
    </row>
    <row r="241" spans="1:33" x14ac:dyDescent="0.25">
      <c r="A241">
        <v>240</v>
      </c>
      <c r="B241" t="str">
        <f>TRIM(LEFT(Table1[[#This Row],[Location]],SEARCH(",",Table1[[#This Row],[Location]],1)-1))</f>
        <v>Cirebon</v>
      </c>
      <c r="C241" t="str">
        <f>TRIM(MID(Table1[[#This Row],[Location]],SEARCH(",",Table1[[#This Row],[Location]],1)+1,LEN(Table1[[#This Row],[Location]])))</f>
        <v>Jawa Barat</v>
      </c>
      <c r="I241">
        <v>240</v>
      </c>
      <c r="J241" t="s">
        <v>926</v>
      </c>
      <c r="K241">
        <f>_xlfn.XLOOKUP(Table29[[#This Row],[city_name1]], Table5[city_name], Table5[city_id], "Not Found")</f>
        <v>26</v>
      </c>
      <c r="L241">
        <v>22</v>
      </c>
      <c r="R241">
        <v>9</v>
      </c>
      <c r="S241">
        <v>196</v>
      </c>
      <c r="T241">
        <v>4</v>
      </c>
      <c r="V241">
        <v>60</v>
      </c>
      <c r="W241">
        <v>292</v>
      </c>
      <c r="Y241">
        <v>240</v>
      </c>
      <c r="Z241" t="s">
        <v>529</v>
      </c>
      <c r="AA241" t="s">
        <v>530</v>
      </c>
      <c r="AB241">
        <v>5</v>
      </c>
      <c r="AC241">
        <v>22</v>
      </c>
      <c r="AD241">
        <v>7000</v>
      </c>
      <c r="AE241">
        <v>60</v>
      </c>
      <c r="AF241">
        <v>-6.9112109999999998</v>
      </c>
      <c r="AG241">
        <v>107.6133389</v>
      </c>
    </row>
    <row r="242" spans="1:33" x14ac:dyDescent="0.25">
      <c r="A242">
        <v>241</v>
      </c>
      <c r="B242" t="str">
        <f>TRIM(LEFT(Table1[[#This Row],[Location]],SEARCH(",",Table1[[#This Row],[Location]],1)-1))</f>
        <v>Subang</v>
      </c>
      <c r="C242" t="str">
        <f>TRIM(MID(Table1[[#This Row],[Location]],SEARCH(",",Table1[[#This Row],[Location]],1)+1,LEN(Table1[[#This Row],[Location]])))</f>
        <v>Jawa Barat</v>
      </c>
      <c r="I242">
        <v>241</v>
      </c>
      <c r="J242" t="s">
        <v>931</v>
      </c>
      <c r="K242">
        <f>_xlfn.XLOOKUP(Table29[[#This Row],[city_name1]], Table5[city_name], Table5[city_id], "Not Found")</f>
        <v>32</v>
      </c>
      <c r="L242">
        <v>20</v>
      </c>
      <c r="R242">
        <v>9</v>
      </c>
      <c r="S242">
        <v>204</v>
      </c>
      <c r="T242">
        <v>2</v>
      </c>
      <c r="V242">
        <v>60</v>
      </c>
      <c r="W242">
        <v>314</v>
      </c>
      <c r="Y242">
        <v>241</v>
      </c>
      <c r="Z242" t="s">
        <v>531</v>
      </c>
      <c r="AA242" t="s">
        <v>532</v>
      </c>
      <c r="AB242">
        <v>5</v>
      </c>
      <c r="AC242">
        <v>33</v>
      </c>
      <c r="AD242">
        <v>0</v>
      </c>
      <c r="AE242">
        <v>120</v>
      </c>
      <c r="AF242">
        <v>-6.8478979999999998</v>
      </c>
      <c r="AG242">
        <v>107.6276146</v>
      </c>
    </row>
    <row r="243" spans="1:33" x14ac:dyDescent="0.25">
      <c r="A243">
        <v>242</v>
      </c>
      <c r="B243" t="str">
        <f>TRIM(LEFT(Table1[[#This Row],[Location]],SEARCH(",",Table1[[#This Row],[Location]],1)-1))</f>
        <v>Karawang</v>
      </c>
      <c r="C243" t="str">
        <f>TRIM(MID(Table1[[#This Row],[Location]],SEARCH(",",Table1[[#This Row],[Location]],1)+1,LEN(Table1[[#This Row],[Location]])))</f>
        <v>Jawa Barat</v>
      </c>
      <c r="I243">
        <v>242</v>
      </c>
      <c r="J243" t="s">
        <v>942</v>
      </c>
      <c r="K243">
        <f>_xlfn.XLOOKUP(Table29[[#This Row],[city_name1]], Table5[city_name], Table5[city_id], "Not Found")</f>
        <v>29</v>
      </c>
      <c r="L243">
        <v>20</v>
      </c>
      <c r="R243">
        <v>9</v>
      </c>
      <c r="S243">
        <v>204</v>
      </c>
      <c r="T243">
        <v>2</v>
      </c>
      <c r="V243">
        <v>61</v>
      </c>
      <c r="W243">
        <v>334</v>
      </c>
      <c r="Y243">
        <v>242</v>
      </c>
      <c r="Z243" t="s">
        <v>533</v>
      </c>
      <c r="AA243" t="s">
        <v>534</v>
      </c>
      <c r="AB243">
        <v>3</v>
      </c>
      <c r="AC243">
        <v>22</v>
      </c>
      <c r="AD243">
        <v>12000</v>
      </c>
      <c r="AF243">
        <v>-6.8655225</v>
      </c>
      <c r="AG243">
        <v>107.6181878</v>
      </c>
    </row>
    <row r="244" spans="1:33" x14ac:dyDescent="0.25">
      <c r="A244">
        <v>243</v>
      </c>
      <c r="B244" t="str">
        <f>TRIM(LEFT(Table1[[#This Row],[Location]],SEARCH(",",Table1[[#This Row],[Location]],1)-1))</f>
        <v>Purwakarat</v>
      </c>
      <c r="C244" t="str">
        <f>TRIM(MID(Table1[[#This Row],[Location]],SEARCH(",",Table1[[#This Row],[Location]],1)+1,LEN(Table1[[#This Row],[Location]])))</f>
        <v>Jawa Barat</v>
      </c>
      <c r="I244">
        <v>243</v>
      </c>
      <c r="J244" t="s">
        <v>957</v>
      </c>
      <c r="K244">
        <f>_xlfn.XLOOKUP(Table29[[#This Row],[city_name1]], Table5[city_name], Table5[city_id], "Not Found")</f>
        <v>31</v>
      </c>
      <c r="L244">
        <v>20</v>
      </c>
      <c r="R244">
        <v>9</v>
      </c>
      <c r="S244">
        <v>206</v>
      </c>
      <c r="T244">
        <v>3</v>
      </c>
      <c r="V244">
        <v>61</v>
      </c>
      <c r="W244">
        <v>337</v>
      </c>
      <c r="Y244">
        <v>243</v>
      </c>
      <c r="Z244" t="s">
        <v>535</v>
      </c>
      <c r="AA244" t="s">
        <v>536</v>
      </c>
      <c r="AB244">
        <v>2</v>
      </c>
      <c r="AC244">
        <v>22</v>
      </c>
      <c r="AD244">
        <v>15000</v>
      </c>
      <c r="AF244">
        <v>-6.9154546000000003</v>
      </c>
      <c r="AG244">
        <v>107.64076900000001</v>
      </c>
    </row>
    <row r="245" spans="1:33" x14ac:dyDescent="0.25">
      <c r="A245">
        <v>244</v>
      </c>
      <c r="B245" t="str">
        <f>TRIM(LEFT(Table1[[#This Row],[Location]],SEARCH(",",Table1[[#This Row],[Location]],1)-1))</f>
        <v>Jakarta Utara</v>
      </c>
      <c r="C245" t="str">
        <f>TRIM(MID(Table1[[#This Row],[Location]],SEARCH(",",Table1[[#This Row],[Location]],1)+1,LEN(Table1[[#This Row],[Location]])))</f>
        <v>DKI Jakarta</v>
      </c>
      <c r="I245">
        <v>244</v>
      </c>
      <c r="J245" t="s">
        <v>951</v>
      </c>
      <c r="K245">
        <f>_xlfn.XLOOKUP(Table29[[#This Row],[city_name1]], Table5[city_name], Table5[city_id], "Not Found")</f>
        <v>11</v>
      </c>
      <c r="L245">
        <v>27</v>
      </c>
      <c r="R245">
        <v>9</v>
      </c>
      <c r="S245">
        <v>211</v>
      </c>
      <c r="T245">
        <v>3</v>
      </c>
      <c r="V245">
        <v>61</v>
      </c>
      <c r="W245">
        <v>338</v>
      </c>
      <c r="Y245">
        <v>244</v>
      </c>
      <c r="Z245" t="s">
        <v>537</v>
      </c>
      <c r="AA245" t="s">
        <v>538</v>
      </c>
      <c r="AB245">
        <v>5</v>
      </c>
      <c r="AC245">
        <v>23</v>
      </c>
      <c r="AD245">
        <v>10000</v>
      </c>
      <c r="AF245">
        <v>-7.0093633000000004</v>
      </c>
      <c r="AG245">
        <v>107.6069444</v>
      </c>
    </row>
    <row r="246" spans="1:33" x14ac:dyDescent="0.25">
      <c r="A246">
        <v>245</v>
      </c>
      <c r="B246" t="str">
        <f>TRIM(LEFT(Table1[[#This Row],[Location]],SEARCH(",",Table1[[#This Row],[Location]],1)-1))</f>
        <v>Jakarta Selatan</v>
      </c>
      <c r="C246" t="str">
        <f>TRIM(MID(Table1[[#This Row],[Location]],SEARCH(",",Table1[[#This Row],[Location]],1)+1,LEN(Table1[[#This Row],[Location]])))</f>
        <v>DKI Jakarta</v>
      </c>
      <c r="I246">
        <v>245</v>
      </c>
      <c r="J246" t="s">
        <v>953</v>
      </c>
      <c r="K246">
        <f>_xlfn.XLOOKUP(Table29[[#This Row],[city_name1]], Table5[city_name], Table5[city_id], "Not Found")</f>
        <v>12</v>
      </c>
      <c r="L246">
        <v>27</v>
      </c>
      <c r="R246">
        <v>9</v>
      </c>
      <c r="S246">
        <v>225</v>
      </c>
      <c r="T246">
        <v>5</v>
      </c>
      <c r="V246">
        <v>62</v>
      </c>
      <c r="W246">
        <v>335</v>
      </c>
      <c r="Y246">
        <v>245</v>
      </c>
      <c r="Z246" t="s">
        <v>539</v>
      </c>
      <c r="AA246" t="s">
        <v>540</v>
      </c>
      <c r="AB246">
        <v>5</v>
      </c>
      <c r="AC246">
        <v>33</v>
      </c>
      <c r="AD246">
        <v>20000</v>
      </c>
      <c r="AE246">
        <v>150</v>
      </c>
      <c r="AF246">
        <v>-6.819604</v>
      </c>
      <c r="AG246">
        <v>107.59645190000001</v>
      </c>
    </row>
    <row r="247" spans="1:33" x14ac:dyDescent="0.25">
      <c r="A247">
        <v>246</v>
      </c>
      <c r="B247" t="str">
        <f>TRIM(LEFT(Table1[[#This Row],[Location]],SEARCH(",",Table1[[#This Row],[Location]],1)-1))</f>
        <v>Jakarta Pusat</v>
      </c>
      <c r="C247" t="str">
        <f>TRIM(MID(Table1[[#This Row],[Location]],SEARCH(",",Table1[[#This Row],[Location]],1)+1,LEN(Table1[[#This Row],[Location]])))</f>
        <v>DKI Jakarta</v>
      </c>
      <c r="I247">
        <v>246</v>
      </c>
      <c r="J247" t="s">
        <v>949</v>
      </c>
      <c r="K247">
        <f>_xlfn.XLOOKUP(Table29[[#This Row],[city_name1]], Table5[city_name], Table5[city_id], "Not Found")</f>
        <v>9</v>
      </c>
      <c r="L247">
        <v>28</v>
      </c>
      <c r="R247">
        <v>9</v>
      </c>
      <c r="S247">
        <v>233</v>
      </c>
      <c r="T247">
        <v>4</v>
      </c>
      <c r="V247">
        <v>62</v>
      </c>
      <c r="W247">
        <v>336</v>
      </c>
      <c r="Y247">
        <v>246</v>
      </c>
      <c r="Z247" t="s">
        <v>541</v>
      </c>
      <c r="AA247" t="s">
        <v>542</v>
      </c>
      <c r="AB247">
        <v>3</v>
      </c>
      <c r="AC247">
        <v>33</v>
      </c>
      <c r="AD247">
        <v>10000</v>
      </c>
      <c r="AE247">
        <v>120</v>
      </c>
      <c r="AF247">
        <v>-6.7905692000000002</v>
      </c>
      <c r="AG247">
        <v>107.5826388</v>
      </c>
    </row>
    <row r="248" spans="1:33" x14ac:dyDescent="0.25">
      <c r="A248">
        <v>247</v>
      </c>
      <c r="B248" t="str">
        <f>TRIM(LEFT(Table1[[#This Row],[Location]],SEARCH(",",Table1[[#This Row],[Location]],1)-1))</f>
        <v>Bekasi</v>
      </c>
      <c r="C248" t="str">
        <f>TRIM(MID(Table1[[#This Row],[Location]],SEARCH(",",Table1[[#This Row],[Location]],1)+1,LEN(Table1[[#This Row],[Location]])))</f>
        <v>Jawa Barat</v>
      </c>
      <c r="I248">
        <v>247</v>
      </c>
      <c r="J248" t="s">
        <v>925</v>
      </c>
      <c r="K248">
        <f>_xlfn.XLOOKUP(Table29[[#This Row],[city_name1]], Table5[city_name], Table5[city_id], "Not Found")</f>
        <v>24</v>
      </c>
      <c r="L248">
        <v>28</v>
      </c>
      <c r="R248">
        <v>9</v>
      </c>
      <c r="S248">
        <v>233</v>
      </c>
      <c r="T248">
        <v>5</v>
      </c>
      <c r="V248">
        <v>62</v>
      </c>
      <c r="W248">
        <v>339</v>
      </c>
      <c r="Y248">
        <v>247</v>
      </c>
      <c r="Z248" t="s">
        <v>543</v>
      </c>
      <c r="AA248" t="s">
        <v>544</v>
      </c>
      <c r="AB248">
        <v>5</v>
      </c>
      <c r="AC248">
        <v>22</v>
      </c>
      <c r="AD248">
        <v>15000</v>
      </c>
      <c r="AF248">
        <v>-6.9159458999999996</v>
      </c>
      <c r="AG248">
        <v>107.6421462</v>
      </c>
    </row>
    <row r="249" spans="1:33" x14ac:dyDescent="0.25">
      <c r="A249">
        <v>248</v>
      </c>
      <c r="B249" t="str">
        <f>TRIM(LEFT(Table1[[#This Row],[Location]],SEARCH(",",Table1[[#This Row],[Location]],1)-1))</f>
        <v>Bogor</v>
      </c>
      <c r="C249" t="str">
        <f>TRIM(MID(Table1[[#This Row],[Location]],SEARCH(",",Table1[[#This Row],[Location]],1)+1,LEN(Table1[[#This Row],[Location]])))</f>
        <v>Jawa Barat</v>
      </c>
      <c r="I249">
        <v>248</v>
      </c>
      <c r="J249" t="s">
        <v>929</v>
      </c>
      <c r="K249">
        <f>_xlfn.XLOOKUP(Table29[[#This Row],[city_name1]], Table5[city_name], Table5[city_id], "Not Found")</f>
        <v>25</v>
      </c>
      <c r="L249">
        <v>29</v>
      </c>
      <c r="R249">
        <v>9</v>
      </c>
      <c r="S249">
        <v>242</v>
      </c>
      <c r="T249">
        <v>3</v>
      </c>
      <c r="V249">
        <v>62</v>
      </c>
      <c r="W249">
        <v>341</v>
      </c>
      <c r="Y249">
        <v>248</v>
      </c>
      <c r="Z249" t="s">
        <v>545</v>
      </c>
      <c r="AA249" t="s">
        <v>546</v>
      </c>
      <c r="AB249">
        <v>5</v>
      </c>
      <c r="AC249">
        <v>22</v>
      </c>
      <c r="AD249">
        <v>50000</v>
      </c>
      <c r="AF249">
        <v>-6.8778588999999997</v>
      </c>
      <c r="AG249">
        <v>107.5720263</v>
      </c>
    </row>
    <row r="250" spans="1:33" x14ac:dyDescent="0.25">
      <c r="A250">
        <v>249</v>
      </c>
      <c r="B250" t="str">
        <f>TRIM(LEFT(Table1[[#This Row],[Location]],SEARCH(",",Table1[[#This Row],[Location]],1)-1))</f>
        <v>Karawang</v>
      </c>
      <c r="C250" t="str">
        <f>TRIM(MID(Table1[[#This Row],[Location]],SEARCH(",",Table1[[#This Row],[Location]],1)+1,LEN(Table1[[#This Row],[Location]])))</f>
        <v>Jawa Barat</v>
      </c>
      <c r="I250">
        <v>249</v>
      </c>
      <c r="J250" t="s">
        <v>942</v>
      </c>
      <c r="K250">
        <f>_xlfn.XLOOKUP(Table29[[#This Row],[city_name1]], Table5[city_name], Table5[city_id], "Not Found")</f>
        <v>29</v>
      </c>
      <c r="L250">
        <v>19</v>
      </c>
      <c r="R250">
        <v>9</v>
      </c>
      <c r="S250">
        <v>246</v>
      </c>
      <c r="T250">
        <v>5</v>
      </c>
      <c r="V250">
        <v>63</v>
      </c>
      <c r="W250">
        <v>342</v>
      </c>
      <c r="Y250">
        <v>249</v>
      </c>
      <c r="Z250" t="s">
        <v>547</v>
      </c>
      <c r="AA250" t="s">
        <v>548</v>
      </c>
      <c r="AB250">
        <v>5</v>
      </c>
      <c r="AC250">
        <v>22</v>
      </c>
      <c r="AD250">
        <v>100000</v>
      </c>
      <c r="AE250">
        <v>30</v>
      </c>
      <c r="AF250">
        <v>-6.8963000000000001</v>
      </c>
      <c r="AG250">
        <v>107.617</v>
      </c>
    </row>
    <row r="251" spans="1:33" x14ac:dyDescent="0.25">
      <c r="A251">
        <v>250</v>
      </c>
      <c r="B251" t="str">
        <f>TRIM(LEFT(Table1[[#This Row],[Location]],SEARCH(",",Table1[[#This Row],[Location]],1)-1))</f>
        <v>Subang</v>
      </c>
      <c r="C251" t="str">
        <f>TRIM(MID(Table1[[#This Row],[Location]],SEARCH(",",Table1[[#This Row],[Location]],1)+1,LEN(Table1[[#This Row],[Location]])))</f>
        <v>Jawa Barat</v>
      </c>
      <c r="I251">
        <v>250</v>
      </c>
      <c r="J251" t="s">
        <v>931</v>
      </c>
      <c r="K251">
        <f>_xlfn.XLOOKUP(Table29[[#This Row],[city_name1]], Table5[city_name], Table5[city_id], "Not Found")</f>
        <v>32</v>
      </c>
      <c r="L251">
        <v>27</v>
      </c>
      <c r="R251">
        <v>9</v>
      </c>
      <c r="S251">
        <v>253</v>
      </c>
      <c r="T251">
        <v>4</v>
      </c>
      <c r="V251">
        <v>63</v>
      </c>
      <c r="W251">
        <v>343</v>
      </c>
      <c r="Y251">
        <v>250</v>
      </c>
      <c r="Z251" t="s">
        <v>549</v>
      </c>
      <c r="AA251" t="s">
        <v>550</v>
      </c>
      <c r="AB251">
        <v>5</v>
      </c>
      <c r="AC251">
        <v>23</v>
      </c>
      <c r="AD251">
        <v>50000</v>
      </c>
      <c r="AF251">
        <v>-7.0409154000000003</v>
      </c>
      <c r="AG251">
        <v>107.5269156</v>
      </c>
    </row>
    <row r="252" spans="1:33" x14ac:dyDescent="0.25">
      <c r="A252">
        <v>251</v>
      </c>
      <c r="B252" t="str">
        <f>TRIM(LEFT(Table1[[#This Row],[Location]],SEARCH(",",Table1[[#This Row],[Location]],1)-1))</f>
        <v>Semarang</v>
      </c>
      <c r="C252" t="str">
        <f>TRIM(MID(Table1[[#This Row],[Location]],SEARCH(",",Table1[[#This Row],[Location]],1)+1,LEN(Table1[[#This Row],[Location]])))</f>
        <v>Jawa Tengah</v>
      </c>
      <c r="I252">
        <v>251</v>
      </c>
      <c r="J252" t="s">
        <v>719</v>
      </c>
      <c r="K252">
        <f>_xlfn.XLOOKUP(Table29[[#This Row],[city_name1]], Table5[city_name], Table5[city_id], "Not Found")</f>
        <v>5</v>
      </c>
      <c r="L252">
        <v>29</v>
      </c>
      <c r="R252">
        <v>9</v>
      </c>
      <c r="S252">
        <v>264</v>
      </c>
      <c r="T252">
        <v>3</v>
      </c>
      <c r="V252">
        <v>63</v>
      </c>
      <c r="W252">
        <v>349</v>
      </c>
      <c r="Y252">
        <v>251</v>
      </c>
      <c r="Z252" t="s">
        <v>551</v>
      </c>
      <c r="AA252" t="s">
        <v>552</v>
      </c>
      <c r="AB252">
        <v>5</v>
      </c>
      <c r="AC252">
        <v>22</v>
      </c>
      <c r="AD252">
        <v>0</v>
      </c>
      <c r="AF252">
        <v>-6.9021325999999998</v>
      </c>
      <c r="AG252">
        <v>107.6209387</v>
      </c>
    </row>
    <row r="253" spans="1:33" x14ac:dyDescent="0.25">
      <c r="A253">
        <v>252</v>
      </c>
      <c r="B253" t="str">
        <f>TRIM(LEFT(Table1[[#This Row],[Location]],SEARCH(",",Table1[[#This Row],[Location]],1)-1))</f>
        <v>Bekasi</v>
      </c>
      <c r="C253" t="str">
        <f>TRIM(MID(Table1[[#This Row],[Location]],SEARCH(",",Table1[[#This Row],[Location]],1)+1,LEN(Table1[[#This Row],[Location]])))</f>
        <v>Jawa Barat</v>
      </c>
      <c r="I253">
        <v>252</v>
      </c>
      <c r="J253" t="s">
        <v>925</v>
      </c>
      <c r="K253">
        <f>_xlfn.XLOOKUP(Table29[[#This Row],[city_name1]], Table5[city_name], Table5[city_id], "Not Found")</f>
        <v>24</v>
      </c>
      <c r="L253">
        <v>30</v>
      </c>
      <c r="R253">
        <v>9</v>
      </c>
      <c r="S253">
        <v>265</v>
      </c>
      <c r="T253">
        <v>4</v>
      </c>
      <c r="V253">
        <v>64</v>
      </c>
      <c r="W253">
        <v>345</v>
      </c>
      <c r="Y253">
        <v>252</v>
      </c>
      <c r="Z253" t="s">
        <v>553</v>
      </c>
      <c r="AA253" t="s">
        <v>554</v>
      </c>
      <c r="AB253">
        <v>5</v>
      </c>
      <c r="AC253">
        <v>22</v>
      </c>
      <c r="AD253">
        <v>15000</v>
      </c>
      <c r="AE253">
        <v>60</v>
      </c>
      <c r="AF253">
        <v>-6.9631619999999996</v>
      </c>
      <c r="AG253">
        <v>107.66195</v>
      </c>
    </row>
    <row r="254" spans="1:33" x14ac:dyDescent="0.25">
      <c r="A254">
        <v>253</v>
      </c>
      <c r="B254" t="str">
        <f>TRIM(LEFT(Table1[[#This Row],[Location]],SEARCH(",",Table1[[#This Row],[Location]],1)-1))</f>
        <v>Cirebon</v>
      </c>
      <c r="C254" t="str">
        <f>TRIM(MID(Table1[[#This Row],[Location]],SEARCH(",",Table1[[#This Row],[Location]],1)+1,LEN(Table1[[#This Row],[Location]])))</f>
        <v>Jawa Barat</v>
      </c>
      <c r="I254">
        <v>253</v>
      </c>
      <c r="J254" t="s">
        <v>926</v>
      </c>
      <c r="K254">
        <f>_xlfn.XLOOKUP(Table29[[#This Row],[city_name1]], Table5[city_name], Table5[city_id], "Not Found")</f>
        <v>26</v>
      </c>
      <c r="L254">
        <v>34</v>
      </c>
      <c r="R254">
        <v>9</v>
      </c>
      <c r="S254">
        <v>304</v>
      </c>
      <c r="T254">
        <v>4</v>
      </c>
      <c r="V254">
        <v>64</v>
      </c>
      <c r="W254">
        <v>346</v>
      </c>
      <c r="Y254">
        <v>253</v>
      </c>
      <c r="Z254" t="s">
        <v>555</v>
      </c>
      <c r="AA254" t="s">
        <v>556</v>
      </c>
      <c r="AB254">
        <v>5</v>
      </c>
      <c r="AC254">
        <v>23</v>
      </c>
      <c r="AD254">
        <v>25000</v>
      </c>
      <c r="AF254">
        <v>-6.8585406000000004</v>
      </c>
      <c r="AG254">
        <v>107.6365486</v>
      </c>
    </row>
    <row r="255" spans="1:33" x14ac:dyDescent="0.25">
      <c r="A255">
        <v>254</v>
      </c>
      <c r="B255" t="str">
        <f>TRIM(LEFT(Table1[[#This Row],[Location]],SEARCH(",",Table1[[#This Row],[Location]],1)-1))</f>
        <v>Bekasi</v>
      </c>
      <c r="C255" t="str">
        <f>TRIM(MID(Table1[[#This Row],[Location]],SEARCH(",",Table1[[#This Row],[Location]],1)+1,LEN(Table1[[#This Row],[Location]])))</f>
        <v>Jawa Barat</v>
      </c>
      <c r="I255">
        <v>254</v>
      </c>
      <c r="J255" t="s">
        <v>925</v>
      </c>
      <c r="K255">
        <f>_xlfn.XLOOKUP(Table29[[#This Row],[city_name1]], Table5[city_name], Table5[city_id], "Not Found")</f>
        <v>24</v>
      </c>
      <c r="L255">
        <v>34</v>
      </c>
      <c r="R255">
        <v>9</v>
      </c>
      <c r="S255">
        <v>310</v>
      </c>
      <c r="T255">
        <v>4</v>
      </c>
      <c r="V255">
        <v>64</v>
      </c>
      <c r="W255">
        <v>352</v>
      </c>
      <c r="Y255">
        <v>254</v>
      </c>
      <c r="Z255" t="s">
        <v>557</v>
      </c>
      <c r="AA255" t="s">
        <v>558</v>
      </c>
      <c r="AB255">
        <v>5</v>
      </c>
      <c r="AC255">
        <v>22</v>
      </c>
      <c r="AD255">
        <v>0</v>
      </c>
      <c r="AE255">
        <v>60</v>
      </c>
      <c r="AF255">
        <v>-6.8844199000000001</v>
      </c>
      <c r="AG255">
        <v>107.6068344</v>
      </c>
    </row>
    <row r="256" spans="1:33" x14ac:dyDescent="0.25">
      <c r="A256">
        <v>255</v>
      </c>
      <c r="B256" t="str">
        <f>TRIM(LEFT(Table1[[#This Row],[Location]],SEARCH(",",Table1[[#This Row],[Location]],1)-1))</f>
        <v>Lampung</v>
      </c>
      <c r="C256" t="str">
        <f>TRIM(MID(Table1[[#This Row],[Location]],SEARCH(",",Table1[[#This Row],[Location]],1)+1,LEN(Table1[[#This Row],[Location]])))</f>
        <v>Sumatera Selatan</v>
      </c>
      <c r="I256">
        <v>255</v>
      </c>
      <c r="J256" t="s">
        <v>927</v>
      </c>
      <c r="K256">
        <f>_xlfn.XLOOKUP(Table29[[#This Row],[city_name1]], Table5[city_name], Table5[city_id], "Not Found")</f>
        <v>20</v>
      </c>
      <c r="L256">
        <v>30</v>
      </c>
      <c r="R256">
        <v>9</v>
      </c>
      <c r="S256">
        <v>330</v>
      </c>
      <c r="T256">
        <v>4</v>
      </c>
      <c r="V256">
        <v>65</v>
      </c>
      <c r="W256">
        <v>377</v>
      </c>
      <c r="Y256">
        <v>255</v>
      </c>
      <c r="Z256" t="s">
        <v>559</v>
      </c>
      <c r="AA256" t="s">
        <v>560</v>
      </c>
      <c r="AB256">
        <v>2</v>
      </c>
      <c r="AC256">
        <v>22</v>
      </c>
      <c r="AD256">
        <v>15000</v>
      </c>
      <c r="AE256">
        <v>180</v>
      </c>
      <c r="AF256">
        <v>-6.8782386999999998</v>
      </c>
      <c r="AG256">
        <v>107.58753489999999</v>
      </c>
    </row>
    <row r="257" spans="1:33" x14ac:dyDescent="0.25">
      <c r="A257">
        <v>256</v>
      </c>
      <c r="B257" t="str">
        <f>TRIM(LEFT(Table1[[#This Row],[Location]],SEARCH(",",Table1[[#This Row],[Location]],1)-1))</f>
        <v>Jakarta Utara</v>
      </c>
      <c r="C257" t="str">
        <f>TRIM(MID(Table1[[#This Row],[Location]],SEARCH(",",Table1[[#This Row],[Location]],1)+1,LEN(Table1[[#This Row],[Location]])))</f>
        <v>DKI Jakarta</v>
      </c>
      <c r="I257">
        <v>256</v>
      </c>
      <c r="J257" t="s">
        <v>951</v>
      </c>
      <c r="K257">
        <f>_xlfn.XLOOKUP(Table29[[#This Row],[city_name1]], Table5[city_name], Table5[city_id], "Not Found")</f>
        <v>11</v>
      </c>
      <c r="L257">
        <v>39</v>
      </c>
      <c r="R257">
        <v>9</v>
      </c>
      <c r="S257">
        <v>340</v>
      </c>
      <c r="T257">
        <v>5</v>
      </c>
      <c r="V257">
        <v>65</v>
      </c>
      <c r="W257">
        <v>379</v>
      </c>
      <c r="Y257">
        <v>256</v>
      </c>
      <c r="Z257" t="s">
        <v>561</v>
      </c>
      <c r="AA257" t="s">
        <v>562</v>
      </c>
      <c r="AB257">
        <v>3</v>
      </c>
      <c r="AC257">
        <v>23</v>
      </c>
      <c r="AD257">
        <v>10000</v>
      </c>
      <c r="AF257">
        <v>-6.8936105999999997</v>
      </c>
      <c r="AG257">
        <v>107.7447399</v>
      </c>
    </row>
    <row r="258" spans="1:33" x14ac:dyDescent="0.25">
      <c r="A258">
        <v>257</v>
      </c>
      <c r="B258" t="str">
        <f>TRIM(LEFT(Table1[[#This Row],[Location]],SEARCH(",",Table1[[#This Row],[Location]],1)-1))</f>
        <v>Jakarta Selatan</v>
      </c>
      <c r="C258" t="str">
        <f>TRIM(MID(Table1[[#This Row],[Location]],SEARCH(",",Table1[[#This Row],[Location]],1)+1,LEN(Table1[[#This Row],[Location]])))</f>
        <v>DKI Jakarta</v>
      </c>
      <c r="I258">
        <v>257</v>
      </c>
      <c r="J258" t="s">
        <v>953</v>
      </c>
      <c r="K258">
        <f>_xlfn.XLOOKUP(Table29[[#This Row],[city_name1]], Table5[city_name], Table5[city_id], "Not Found")</f>
        <v>12</v>
      </c>
      <c r="L258">
        <v>25</v>
      </c>
      <c r="R258">
        <v>9</v>
      </c>
      <c r="S258">
        <v>377</v>
      </c>
      <c r="T258">
        <v>5</v>
      </c>
      <c r="V258">
        <v>65</v>
      </c>
      <c r="W258">
        <v>380</v>
      </c>
      <c r="Y258">
        <v>257</v>
      </c>
      <c r="Z258" t="s">
        <v>563</v>
      </c>
      <c r="AA258" t="s">
        <v>564</v>
      </c>
      <c r="AB258">
        <v>2</v>
      </c>
      <c r="AC258">
        <v>22</v>
      </c>
      <c r="AD258">
        <v>0</v>
      </c>
      <c r="AF258">
        <v>-6.9338496999999997</v>
      </c>
      <c r="AG258">
        <v>107.60492499999999</v>
      </c>
    </row>
    <row r="259" spans="1:33" x14ac:dyDescent="0.25">
      <c r="A259">
        <v>258</v>
      </c>
      <c r="B259" t="str">
        <f>TRIM(LEFT(Table1[[#This Row],[Location]],SEARCH(",",Table1[[#This Row],[Location]],1)-1))</f>
        <v>Bandung</v>
      </c>
      <c r="C259" t="str">
        <f>TRIM(MID(Table1[[#This Row],[Location]],SEARCH(",",Table1[[#This Row],[Location]],1)+1,LEN(Table1[[#This Row],[Location]])))</f>
        <v>Jawa Barat</v>
      </c>
      <c r="I259">
        <v>258</v>
      </c>
      <c r="J259" t="s">
        <v>472</v>
      </c>
      <c r="K259">
        <f>_xlfn.XLOOKUP(Table29[[#This Row],[city_name1]], Table5[city_name], Table5[city_id], "Not Found")</f>
        <v>22</v>
      </c>
      <c r="L259">
        <v>38</v>
      </c>
      <c r="R259">
        <v>9</v>
      </c>
      <c r="S259">
        <v>401</v>
      </c>
      <c r="T259">
        <v>3</v>
      </c>
      <c r="V259">
        <v>65</v>
      </c>
      <c r="W259">
        <v>382</v>
      </c>
      <c r="Y259">
        <v>258</v>
      </c>
      <c r="Z259" t="s">
        <v>565</v>
      </c>
      <c r="AA259" t="s">
        <v>566</v>
      </c>
      <c r="AB259">
        <v>2</v>
      </c>
      <c r="AC259">
        <v>22</v>
      </c>
      <c r="AD259">
        <v>5000</v>
      </c>
      <c r="AF259">
        <v>-6.9026379000000002</v>
      </c>
      <c r="AG259">
        <v>107.619169</v>
      </c>
    </row>
    <row r="260" spans="1:33" x14ac:dyDescent="0.25">
      <c r="A260">
        <v>259</v>
      </c>
      <c r="B260" t="str">
        <f>TRIM(LEFT(Table1[[#This Row],[Location]],SEARCH(",",Table1[[#This Row],[Location]],1)-1))</f>
        <v>Surabaya</v>
      </c>
      <c r="C260" t="str">
        <f>TRIM(MID(Table1[[#This Row],[Location]],SEARCH(",",Table1[[#This Row],[Location]],1)+1,LEN(Table1[[#This Row],[Location]])))</f>
        <v>Jawa Timur</v>
      </c>
      <c r="I260">
        <v>259</v>
      </c>
      <c r="J260" t="s">
        <v>834</v>
      </c>
      <c r="K260">
        <f>_xlfn.XLOOKUP(Table29[[#This Row],[city_name1]], Table5[city_name], Table5[city_id], "Not Found")</f>
        <v>19</v>
      </c>
      <c r="L260">
        <v>27</v>
      </c>
      <c r="R260">
        <v>9</v>
      </c>
      <c r="S260">
        <v>401</v>
      </c>
      <c r="T260">
        <v>3</v>
      </c>
      <c r="V260">
        <v>65</v>
      </c>
      <c r="W260">
        <v>383</v>
      </c>
      <c r="Y260">
        <v>259</v>
      </c>
      <c r="Z260" t="s">
        <v>567</v>
      </c>
      <c r="AA260" t="s">
        <v>568</v>
      </c>
      <c r="AB260">
        <v>2</v>
      </c>
      <c r="AC260">
        <v>22</v>
      </c>
      <c r="AD260">
        <v>0</v>
      </c>
      <c r="AE260">
        <v>45</v>
      </c>
      <c r="AF260">
        <v>-6.8934327</v>
      </c>
      <c r="AG260">
        <v>107.61855129999999</v>
      </c>
    </row>
    <row r="261" spans="1:33" x14ac:dyDescent="0.25">
      <c r="A261">
        <v>260</v>
      </c>
      <c r="B261" t="str">
        <f>TRIM(LEFT(Table1[[#This Row],[Location]],SEARCH(",",Table1[[#This Row],[Location]],1)-1))</f>
        <v>Bekasi</v>
      </c>
      <c r="C261" t="str">
        <f>TRIM(MID(Table1[[#This Row],[Location]],SEARCH(",",Table1[[#This Row],[Location]],1)+1,LEN(Table1[[#This Row],[Location]])))</f>
        <v>Jawa Barat</v>
      </c>
      <c r="I261">
        <v>260</v>
      </c>
      <c r="J261" t="s">
        <v>925</v>
      </c>
      <c r="K261">
        <f>_xlfn.XLOOKUP(Table29[[#This Row],[city_name1]], Table5[city_name], Table5[city_id], "Not Found")</f>
        <v>24</v>
      </c>
      <c r="L261">
        <v>33</v>
      </c>
      <c r="R261">
        <v>9</v>
      </c>
      <c r="S261">
        <v>402</v>
      </c>
      <c r="T261">
        <v>3</v>
      </c>
      <c r="V261">
        <v>66</v>
      </c>
      <c r="W261">
        <v>385</v>
      </c>
      <c r="Y261">
        <v>260</v>
      </c>
      <c r="Z261" t="s">
        <v>569</v>
      </c>
      <c r="AA261" t="s">
        <v>570</v>
      </c>
      <c r="AB261">
        <v>2</v>
      </c>
      <c r="AC261">
        <v>22</v>
      </c>
      <c r="AD261">
        <v>0</v>
      </c>
      <c r="AF261">
        <v>-6.9020130000000002</v>
      </c>
      <c r="AG261">
        <v>107.6197787</v>
      </c>
    </row>
    <row r="262" spans="1:33" x14ac:dyDescent="0.25">
      <c r="A262">
        <v>261</v>
      </c>
      <c r="B262" t="str">
        <f>TRIM(LEFT(Table1[[#This Row],[Location]],SEARCH(",",Table1[[#This Row],[Location]],1)-1))</f>
        <v>Yogyakarta</v>
      </c>
      <c r="C262" t="str">
        <f>TRIM(MID(Table1[[#This Row],[Location]],SEARCH(",",Table1[[#This Row],[Location]],1)+1,LEN(Table1[[#This Row],[Location]])))</f>
        <v>DIY</v>
      </c>
      <c r="I262">
        <v>261</v>
      </c>
      <c r="J262" t="s">
        <v>220</v>
      </c>
      <c r="K262">
        <f>_xlfn.XLOOKUP(Table29[[#This Row],[city_name1]], Table5[city_name], Table5[city_id], "Not Found")</f>
        <v>39</v>
      </c>
      <c r="L262">
        <v>38</v>
      </c>
      <c r="R262">
        <v>9</v>
      </c>
      <c r="S262">
        <v>405</v>
      </c>
      <c r="T262">
        <v>4</v>
      </c>
      <c r="V262">
        <v>66</v>
      </c>
      <c r="W262">
        <v>386</v>
      </c>
      <c r="Y262">
        <v>261</v>
      </c>
      <c r="Z262" t="s">
        <v>571</v>
      </c>
      <c r="AA262" t="s">
        <v>572</v>
      </c>
      <c r="AB262">
        <v>3</v>
      </c>
      <c r="AC262">
        <v>33</v>
      </c>
      <c r="AD262">
        <v>10000</v>
      </c>
      <c r="AF262">
        <v>-6.7869390000000003</v>
      </c>
      <c r="AG262">
        <v>107.5837331</v>
      </c>
    </row>
    <row r="263" spans="1:33" x14ac:dyDescent="0.25">
      <c r="A263">
        <v>262</v>
      </c>
      <c r="B263" t="str">
        <f>TRIM(LEFT(Table1[[#This Row],[Location]],SEARCH(",",Table1[[#This Row],[Location]],1)-1))</f>
        <v>Bogor</v>
      </c>
      <c r="C263" t="str">
        <f>TRIM(MID(Table1[[#This Row],[Location]],SEARCH(",",Table1[[#This Row],[Location]],1)+1,LEN(Table1[[#This Row],[Location]])))</f>
        <v>Jawa Barat</v>
      </c>
      <c r="I263">
        <v>262</v>
      </c>
      <c r="J263" t="s">
        <v>929</v>
      </c>
      <c r="K263">
        <f>_xlfn.XLOOKUP(Table29[[#This Row],[city_name1]], Table5[city_name], Table5[city_id], "Not Found")</f>
        <v>25</v>
      </c>
      <c r="L263">
        <v>38</v>
      </c>
      <c r="R263">
        <v>9</v>
      </c>
      <c r="S263">
        <v>415</v>
      </c>
      <c r="T263">
        <v>4</v>
      </c>
      <c r="V263">
        <v>66</v>
      </c>
      <c r="W263">
        <v>387</v>
      </c>
      <c r="Y263">
        <v>262</v>
      </c>
      <c r="Z263" t="s">
        <v>573</v>
      </c>
      <c r="AA263" t="s">
        <v>574</v>
      </c>
      <c r="AB263">
        <v>3</v>
      </c>
      <c r="AC263">
        <v>23</v>
      </c>
      <c r="AD263">
        <v>50000</v>
      </c>
      <c r="AF263">
        <v>-6.8597013000000002</v>
      </c>
      <c r="AG263">
        <v>107.6360983</v>
      </c>
    </row>
    <row r="264" spans="1:33" x14ac:dyDescent="0.25">
      <c r="A264">
        <v>263</v>
      </c>
      <c r="B264" t="str">
        <f>TRIM(LEFT(Table1[[#This Row],[Location]],SEARCH(",",Table1[[#This Row],[Location]],1)-1))</f>
        <v>Depok</v>
      </c>
      <c r="C264" t="str">
        <f>TRIM(MID(Table1[[#This Row],[Location]],SEARCH(",",Table1[[#This Row],[Location]],1)+1,LEN(Table1[[#This Row],[Location]])))</f>
        <v>Jawa Barat</v>
      </c>
      <c r="I264">
        <v>263</v>
      </c>
      <c r="J264" t="s">
        <v>930</v>
      </c>
      <c r="K264">
        <f>_xlfn.XLOOKUP(Table29[[#This Row],[city_name1]], Table5[city_name], Table5[city_id], "Not Found")</f>
        <v>27</v>
      </c>
      <c r="L264">
        <v>27</v>
      </c>
      <c r="R264">
        <v>9</v>
      </c>
      <c r="S264">
        <v>416</v>
      </c>
      <c r="T264">
        <v>4</v>
      </c>
      <c r="V264">
        <v>66</v>
      </c>
      <c r="W264">
        <v>388</v>
      </c>
      <c r="Y264">
        <v>263</v>
      </c>
      <c r="Z264" t="s">
        <v>575</v>
      </c>
      <c r="AA264" t="s">
        <v>576</v>
      </c>
      <c r="AB264">
        <v>3</v>
      </c>
      <c r="AC264">
        <v>23</v>
      </c>
      <c r="AD264">
        <v>5000</v>
      </c>
      <c r="AE264">
        <v>90</v>
      </c>
      <c r="AF264">
        <v>-6.8743632999999997</v>
      </c>
      <c r="AG264">
        <v>107.6844023</v>
      </c>
    </row>
    <row r="265" spans="1:33" x14ac:dyDescent="0.25">
      <c r="A265">
        <v>264</v>
      </c>
      <c r="B265" t="str">
        <f>TRIM(LEFT(Table1[[#This Row],[Location]],SEARCH(",",Table1[[#This Row],[Location]],1)-1))</f>
        <v>Jakarta Pusat</v>
      </c>
      <c r="C265" t="str">
        <f>TRIM(MID(Table1[[#This Row],[Location]],SEARCH(",",Table1[[#This Row],[Location]],1)+1,LEN(Table1[[#This Row],[Location]])))</f>
        <v>DKI Jakarta</v>
      </c>
      <c r="I265">
        <v>264</v>
      </c>
      <c r="J265" t="s">
        <v>949</v>
      </c>
      <c r="K265">
        <f>_xlfn.XLOOKUP(Table29[[#This Row],[city_name1]], Table5[city_name], Table5[city_id], "Not Found")</f>
        <v>9</v>
      </c>
      <c r="L265">
        <v>37</v>
      </c>
      <c r="R265">
        <v>9</v>
      </c>
      <c r="S265">
        <v>419</v>
      </c>
      <c r="T265">
        <v>5</v>
      </c>
      <c r="V265">
        <v>66</v>
      </c>
      <c r="W265">
        <v>389</v>
      </c>
      <c r="Y265">
        <v>264</v>
      </c>
      <c r="Z265" t="s">
        <v>577</v>
      </c>
      <c r="AA265" t="s">
        <v>578</v>
      </c>
      <c r="AB265">
        <v>6</v>
      </c>
      <c r="AC265">
        <v>22</v>
      </c>
      <c r="AD265">
        <v>0</v>
      </c>
      <c r="AF265">
        <v>-6.9148394</v>
      </c>
      <c r="AG265">
        <v>107.6105511</v>
      </c>
    </row>
    <row r="266" spans="1:33" x14ac:dyDescent="0.25">
      <c r="A266">
        <v>265</v>
      </c>
      <c r="B266" t="str">
        <f>TRIM(LEFT(Table1[[#This Row],[Location]],SEARCH(",",Table1[[#This Row],[Location]],1)-1))</f>
        <v>Jakarta Timur</v>
      </c>
      <c r="C266" t="str">
        <f>TRIM(MID(Table1[[#This Row],[Location]],SEARCH(",",Table1[[#This Row],[Location]],1)+1,LEN(Table1[[#This Row],[Location]])))</f>
        <v>DKI Jakarta</v>
      </c>
      <c r="I266">
        <v>265</v>
      </c>
      <c r="J266" t="s">
        <v>952</v>
      </c>
      <c r="K266">
        <f>_xlfn.XLOOKUP(Table29[[#This Row],[city_name1]], Table5[city_name], Table5[city_id], "Not Found")</f>
        <v>10</v>
      </c>
      <c r="L266">
        <v>30</v>
      </c>
      <c r="R266">
        <v>10</v>
      </c>
      <c r="S266">
        <v>12</v>
      </c>
      <c r="T266">
        <v>2</v>
      </c>
      <c r="V266">
        <v>67</v>
      </c>
      <c r="W266">
        <v>355</v>
      </c>
      <c r="Y266">
        <v>265</v>
      </c>
      <c r="Z266" t="s">
        <v>579</v>
      </c>
      <c r="AA266" t="s">
        <v>580</v>
      </c>
      <c r="AB266">
        <v>2</v>
      </c>
      <c r="AC266">
        <v>22</v>
      </c>
      <c r="AD266">
        <v>0</v>
      </c>
      <c r="AE266">
        <v>60</v>
      </c>
      <c r="AF266">
        <v>-6.9173404999999999</v>
      </c>
      <c r="AG266">
        <v>107.6112627</v>
      </c>
    </row>
    <row r="267" spans="1:33" x14ac:dyDescent="0.25">
      <c r="A267">
        <v>266</v>
      </c>
      <c r="B267" t="str">
        <f>TRIM(LEFT(Table1[[#This Row],[Location]],SEARCH(",",Table1[[#This Row],[Location]],1)-1))</f>
        <v>Bekasi</v>
      </c>
      <c r="C267" t="str">
        <f>TRIM(MID(Table1[[#This Row],[Location]],SEARCH(",",Table1[[#This Row],[Location]],1)+1,LEN(Table1[[#This Row],[Location]])))</f>
        <v>Jawa Barat</v>
      </c>
      <c r="I267">
        <v>266</v>
      </c>
      <c r="J267" t="s">
        <v>925</v>
      </c>
      <c r="K267">
        <f>_xlfn.XLOOKUP(Table29[[#This Row],[city_name1]], Table5[city_name], Table5[city_id], "Not Found")</f>
        <v>24</v>
      </c>
      <c r="L267">
        <v>32</v>
      </c>
      <c r="R267">
        <v>10</v>
      </c>
      <c r="S267">
        <v>18</v>
      </c>
      <c r="T267">
        <v>5</v>
      </c>
      <c r="V267">
        <v>67</v>
      </c>
      <c r="W267">
        <v>363</v>
      </c>
      <c r="Y267">
        <v>266</v>
      </c>
      <c r="Z267" t="s">
        <v>581</v>
      </c>
      <c r="AA267" t="s">
        <v>582</v>
      </c>
      <c r="AB267">
        <v>3</v>
      </c>
      <c r="AC267">
        <v>23</v>
      </c>
      <c r="AD267">
        <v>0</v>
      </c>
      <c r="AF267">
        <v>-6.8580464000000001</v>
      </c>
      <c r="AG267">
        <v>107.66470839999999</v>
      </c>
    </row>
    <row r="268" spans="1:33" x14ac:dyDescent="0.25">
      <c r="A268">
        <v>267</v>
      </c>
      <c r="B268" t="str">
        <f>TRIM(LEFT(Table1[[#This Row],[Location]],SEARCH(",",Table1[[#This Row],[Location]],1)-1))</f>
        <v>Semarang</v>
      </c>
      <c r="C268" t="str">
        <f>TRIM(MID(Table1[[#This Row],[Location]],SEARCH(",",Table1[[#This Row],[Location]],1)+1,LEN(Table1[[#This Row],[Location]])))</f>
        <v>Jawa Tengah</v>
      </c>
      <c r="I268">
        <v>267</v>
      </c>
      <c r="J268" t="s">
        <v>719</v>
      </c>
      <c r="K268">
        <f>_xlfn.XLOOKUP(Table29[[#This Row],[city_name1]], Table5[city_name], Table5[city_id], "Not Found")</f>
        <v>5</v>
      </c>
      <c r="L268">
        <v>31</v>
      </c>
      <c r="R268">
        <v>10</v>
      </c>
      <c r="S268">
        <v>23</v>
      </c>
      <c r="T268">
        <v>2</v>
      </c>
      <c r="V268">
        <v>67</v>
      </c>
      <c r="W268">
        <v>381</v>
      </c>
      <c r="Y268">
        <v>267</v>
      </c>
      <c r="Z268" t="s">
        <v>583</v>
      </c>
      <c r="AA268" t="s">
        <v>584</v>
      </c>
      <c r="AB268">
        <v>5</v>
      </c>
      <c r="AC268">
        <v>22</v>
      </c>
      <c r="AD268">
        <v>50000</v>
      </c>
      <c r="AF268">
        <v>-6.9119767999999997</v>
      </c>
      <c r="AG268">
        <v>107.56967400000001</v>
      </c>
    </row>
    <row r="269" spans="1:33" x14ac:dyDescent="0.25">
      <c r="A269">
        <v>268</v>
      </c>
      <c r="B269" t="str">
        <f>TRIM(LEFT(Table1[[#This Row],[Location]],SEARCH(",",Table1[[#This Row],[Location]],1)-1))</f>
        <v>Yogyakarta</v>
      </c>
      <c r="C269" t="str">
        <f>TRIM(MID(Table1[[#This Row],[Location]],SEARCH(",",Table1[[#This Row],[Location]],1)+1,LEN(Table1[[#This Row],[Location]])))</f>
        <v>DIY</v>
      </c>
      <c r="I269">
        <v>268</v>
      </c>
      <c r="J269" t="s">
        <v>220</v>
      </c>
      <c r="K269">
        <f>_xlfn.XLOOKUP(Table29[[#This Row],[city_name1]], Table5[city_name], Table5[city_id], "Not Found")</f>
        <v>39</v>
      </c>
      <c r="L269">
        <v>32</v>
      </c>
      <c r="R269">
        <v>10</v>
      </c>
      <c r="S269">
        <v>35</v>
      </c>
      <c r="T269">
        <v>4</v>
      </c>
      <c r="V269">
        <v>68</v>
      </c>
      <c r="W269">
        <v>363</v>
      </c>
      <c r="Y269">
        <v>268</v>
      </c>
      <c r="Z269" t="s">
        <v>585</v>
      </c>
      <c r="AA269" t="s">
        <v>586</v>
      </c>
      <c r="AB269">
        <v>5</v>
      </c>
      <c r="AC269">
        <v>33</v>
      </c>
      <c r="AD269">
        <v>50000</v>
      </c>
      <c r="AE269">
        <v>150</v>
      </c>
      <c r="AF269">
        <v>-6.8423638000000002</v>
      </c>
      <c r="AG269">
        <v>107.62324030000001</v>
      </c>
    </row>
    <row r="270" spans="1:33" x14ac:dyDescent="0.25">
      <c r="A270">
        <v>269</v>
      </c>
      <c r="B270" t="str">
        <f>TRIM(LEFT(Table1[[#This Row],[Location]],SEARCH(",",Table1[[#This Row],[Location]],1)-1))</f>
        <v>Cirebon</v>
      </c>
      <c r="C270" t="str">
        <f>TRIM(MID(Table1[[#This Row],[Location]],SEARCH(",",Table1[[#This Row],[Location]],1)+1,LEN(Table1[[#This Row],[Location]])))</f>
        <v>Jawa Barat</v>
      </c>
      <c r="I270">
        <v>269</v>
      </c>
      <c r="J270" t="s">
        <v>926</v>
      </c>
      <c r="K270">
        <f>_xlfn.XLOOKUP(Table29[[#This Row],[city_name1]], Table5[city_name], Table5[city_id], "Not Found")</f>
        <v>26</v>
      </c>
      <c r="L270">
        <v>36</v>
      </c>
      <c r="R270">
        <v>10</v>
      </c>
      <c r="S270">
        <v>36</v>
      </c>
      <c r="T270">
        <v>4</v>
      </c>
      <c r="V270">
        <v>68</v>
      </c>
      <c r="W270">
        <v>384</v>
      </c>
      <c r="Y270">
        <v>269</v>
      </c>
      <c r="Z270" t="s">
        <v>587</v>
      </c>
      <c r="AA270" t="s">
        <v>588</v>
      </c>
      <c r="AB270">
        <v>3</v>
      </c>
      <c r="AC270">
        <v>23</v>
      </c>
      <c r="AD270">
        <v>7500</v>
      </c>
      <c r="AF270">
        <v>-6.8932172999999999</v>
      </c>
      <c r="AG270">
        <v>107.7448856</v>
      </c>
    </row>
    <row r="271" spans="1:33" x14ac:dyDescent="0.25">
      <c r="A271">
        <v>270</v>
      </c>
      <c r="B271" t="str">
        <f>TRIM(LEFT(Table1[[#This Row],[Location]],SEARCH(",",Table1[[#This Row],[Location]],1)-1))</f>
        <v>Lampung</v>
      </c>
      <c r="C271" t="str">
        <f>TRIM(MID(Table1[[#This Row],[Location]],SEARCH(",",Table1[[#This Row],[Location]],1)+1,LEN(Table1[[#This Row],[Location]])))</f>
        <v>Sumatera Selatan</v>
      </c>
      <c r="I271">
        <v>270</v>
      </c>
      <c r="J271" t="s">
        <v>927</v>
      </c>
      <c r="K271">
        <f>_xlfn.XLOOKUP(Table29[[#This Row],[city_name1]], Table5[city_name], Table5[city_id], "Not Found")</f>
        <v>20</v>
      </c>
      <c r="L271">
        <v>25</v>
      </c>
      <c r="R271">
        <v>10</v>
      </c>
      <c r="S271">
        <v>42</v>
      </c>
      <c r="T271">
        <v>3</v>
      </c>
      <c r="V271">
        <v>68</v>
      </c>
      <c r="W271">
        <v>353</v>
      </c>
      <c r="Y271">
        <v>270</v>
      </c>
      <c r="Z271" t="s">
        <v>589</v>
      </c>
      <c r="AA271" t="s">
        <v>590</v>
      </c>
      <c r="AB271">
        <v>3</v>
      </c>
      <c r="AC271">
        <v>23</v>
      </c>
      <c r="AD271">
        <v>25000</v>
      </c>
      <c r="AF271">
        <v>-6.8417795000000003</v>
      </c>
      <c r="AG271">
        <v>107.67685849999999</v>
      </c>
    </row>
    <row r="272" spans="1:33" x14ac:dyDescent="0.25">
      <c r="A272">
        <v>271</v>
      </c>
      <c r="B272" t="str">
        <f>TRIM(LEFT(Table1[[#This Row],[Location]],SEARCH(",",Table1[[#This Row],[Location]],1)-1))</f>
        <v>Semarang</v>
      </c>
      <c r="C272" t="str">
        <f>TRIM(MID(Table1[[#This Row],[Location]],SEARCH(",",Table1[[#This Row],[Location]],1)+1,LEN(Table1[[#This Row],[Location]])))</f>
        <v>Jawa Tengah</v>
      </c>
      <c r="I272">
        <v>271</v>
      </c>
      <c r="J272" t="s">
        <v>719</v>
      </c>
      <c r="K272">
        <f>_xlfn.XLOOKUP(Table29[[#This Row],[city_name1]], Table5[city_name], Table5[city_id], "Not Found")</f>
        <v>5</v>
      </c>
      <c r="L272">
        <v>37</v>
      </c>
      <c r="R272">
        <v>10</v>
      </c>
      <c r="S272">
        <v>63</v>
      </c>
      <c r="T272">
        <v>5</v>
      </c>
      <c r="V272">
        <v>68</v>
      </c>
      <c r="W272">
        <v>390</v>
      </c>
      <c r="Y272">
        <v>271</v>
      </c>
      <c r="Z272" t="s">
        <v>591</v>
      </c>
      <c r="AA272" t="s">
        <v>592</v>
      </c>
      <c r="AB272">
        <v>5</v>
      </c>
      <c r="AC272">
        <v>22</v>
      </c>
      <c r="AD272">
        <v>0</v>
      </c>
      <c r="AE272">
        <v>45</v>
      </c>
      <c r="AF272">
        <v>-6.9140477999999996</v>
      </c>
      <c r="AG272">
        <v>107.61016840000001</v>
      </c>
    </row>
    <row r="273" spans="1:33" x14ac:dyDescent="0.25">
      <c r="A273">
        <v>272</v>
      </c>
      <c r="B273" t="str">
        <f>TRIM(LEFT(Table1[[#This Row],[Location]],SEARCH(",",Table1[[#This Row],[Location]],1)-1))</f>
        <v>Subang</v>
      </c>
      <c r="C273" t="str">
        <f>TRIM(MID(Table1[[#This Row],[Location]],SEARCH(",",Table1[[#This Row],[Location]],1)+1,LEN(Table1[[#This Row],[Location]])))</f>
        <v>Jawa Barat</v>
      </c>
      <c r="I273">
        <v>272</v>
      </c>
      <c r="J273" t="s">
        <v>931</v>
      </c>
      <c r="K273">
        <f>_xlfn.XLOOKUP(Table29[[#This Row],[city_name1]], Table5[city_name], Table5[city_id], "Not Found")</f>
        <v>32</v>
      </c>
      <c r="L273">
        <v>30</v>
      </c>
      <c r="R273">
        <v>10</v>
      </c>
      <c r="S273">
        <v>67</v>
      </c>
      <c r="T273">
        <v>5</v>
      </c>
      <c r="V273">
        <v>69</v>
      </c>
      <c r="W273">
        <v>364</v>
      </c>
      <c r="Y273">
        <v>272</v>
      </c>
      <c r="Z273" t="s">
        <v>593</v>
      </c>
      <c r="AA273" t="s">
        <v>594</v>
      </c>
      <c r="AB273">
        <v>2</v>
      </c>
      <c r="AC273">
        <v>22</v>
      </c>
      <c r="AD273">
        <v>0</v>
      </c>
      <c r="AE273">
        <v>120</v>
      </c>
      <c r="AF273">
        <v>-6.8700989999999997</v>
      </c>
      <c r="AG273">
        <v>107.6164386</v>
      </c>
    </row>
    <row r="274" spans="1:33" x14ac:dyDescent="0.25">
      <c r="A274">
        <v>273</v>
      </c>
      <c r="B274" t="str">
        <f>TRIM(LEFT(Table1[[#This Row],[Location]],SEARCH(",",Table1[[#This Row],[Location]],1)-1))</f>
        <v>Jakarta Barat</v>
      </c>
      <c r="C274" t="str">
        <f>TRIM(MID(Table1[[#This Row],[Location]],SEARCH(",",Table1[[#This Row],[Location]],1)+1,LEN(Table1[[#This Row],[Location]])))</f>
        <v>DKI Jakarta</v>
      </c>
      <c r="I274">
        <v>273</v>
      </c>
      <c r="J274" t="s">
        <v>950</v>
      </c>
      <c r="K274">
        <f>_xlfn.XLOOKUP(Table29[[#This Row],[city_name1]], Table5[city_name], Table5[city_id], "Not Found")</f>
        <v>14</v>
      </c>
      <c r="L274">
        <v>33</v>
      </c>
      <c r="R274">
        <v>10</v>
      </c>
      <c r="S274">
        <v>75</v>
      </c>
      <c r="T274">
        <v>4</v>
      </c>
      <c r="V274">
        <v>69</v>
      </c>
      <c r="W274">
        <v>366</v>
      </c>
      <c r="Y274">
        <v>273</v>
      </c>
      <c r="Z274" t="s">
        <v>595</v>
      </c>
      <c r="AA274" t="s">
        <v>596</v>
      </c>
      <c r="AB274">
        <v>3</v>
      </c>
      <c r="AC274">
        <v>33</v>
      </c>
      <c r="AD274">
        <v>7500</v>
      </c>
      <c r="AE274">
        <v>120</v>
      </c>
      <c r="AF274">
        <v>-6.7903890000000002</v>
      </c>
      <c r="AG274">
        <v>107.57776320000001</v>
      </c>
    </row>
    <row r="275" spans="1:33" x14ac:dyDescent="0.25">
      <c r="A275">
        <v>274</v>
      </c>
      <c r="B275" t="str">
        <f>TRIM(LEFT(Table1[[#This Row],[Location]],SEARCH(",",Table1[[#This Row],[Location]],1)-1))</f>
        <v>Bekasi</v>
      </c>
      <c r="C275" t="str">
        <f>TRIM(MID(Table1[[#This Row],[Location]],SEARCH(",",Table1[[#This Row],[Location]],1)+1,LEN(Table1[[#This Row],[Location]])))</f>
        <v>Jawa Barat</v>
      </c>
      <c r="I275">
        <v>274</v>
      </c>
      <c r="J275" t="s">
        <v>925</v>
      </c>
      <c r="K275">
        <f>_xlfn.XLOOKUP(Table29[[#This Row],[city_name1]], Table5[city_name], Table5[city_id], "Not Found")</f>
        <v>24</v>
      </c>
      <c r="L275">
        <v>38</v>
      </c>
      <c r="R275">
        <v>10</v>
      </c>
      <c r="S275">
        <v>77</v>
      </c>
      <c r="T275">
        <v>2</v>
      </c>
      <c r="V275">
        <v>69</v>
      </c>
      <c r="W275">
        <v>367</v>
      </c>
      <c r="Y275">
        <v>274</v>
      </c>
      <c r="Z275" t="s">
        <v>597</v>
      </c>
      <c r="AA275" t="s">
        <v>598</v>
      </c>
      <c r="AB275">
        <v>3</v>
      </c>
      <c r="AC275">
        <v>22</v>
      </c>
      <c r="AD275">
        <v>0</v>
      </c>
      <c r="AF275">
        <v>-6.8853745999999996</v>
      </c>
      <c r="AG275">
        <v>107.6111899</v>
      </c>
    </row>
    <row r="276" spans="1:33" x14ac:dyDescent="0.25">
      <c r="A276">
        <v>275</v>
      </c>
      <c r="B276" t="str">
        <f>TRIM(LEFT(Table1[[#This Row],[Location]],SEARCH(",",Table1[[#This Row],[Location]],1)-1))</f>
        <v>Lampung</v>
      </c>
      <c r="C276" t="str">
        <f>TRIM(MID(Table1[[#This Row],[Location]],SEARCH(",",Table1[[#This Row],[Location]],1)+1,LEN(Table1[[#This Row],[Location]])))</f>
        <v>Sumatera Selatan</v>
      </c>
      <c r="I276">
        <v>275</v>
      </c>
      <c r="J276" t="s">
        <v>927</v>
      </c>
      <c r="K276">
        <f>_xlfn.XLOOKUP(Table29[[#This Row],[city_name1]], Table5[city_name], Table5[city_id], "Not Found")</f>
        <v>20</v>
      </c>
      <c r="L276">
        <v>34</v>
      </c>
      <c r="R276">
        <v>10</v>
      </c>
      <c r="S276">
        <v>90</v>
      </c>
      <c r="T276">
        <v>5</v>
      </c>
      <c r="V276">
        <v>69</v>
      </c>
      <c r="W276">
        <v>370</v>
      </c>
      <c r="Y276">
        <v>275</v>
      </c>
      <c r="Z276" t="s">
        <v>599</v>
      </c>
      <c r="AA276" t="s">
        <v>600</v>
      </c>
      <c r="AB276">
        <v>3</v>
      </c>
      <c r="AC276">
        <v>33</v>
      </c>
      <c r="AD276">
        <v>20000</v>
      </c>
      <c r="AE276">
        <v>180</v>
      </c>
      <c r="AF276">
        <v>-6.7991957999999997</v>
      </c>
      <c r="AG276">
        <v>107.59220879999999</v>
      </c>
    </row>
    <row r="277" spans="1:33" x14ac:dyDescent="0.25">
      <c r="A277">
        <v>276</v>
      </c>
      <c r="B277" t="str">
        <f>TRIM(LEFT(Table1[[#This Row],[Location]],SEARCH(",",Table1[[#This Row],[Location]],1)-1))</f>
        <v>Lampung</v>
      </c>
      <c r="C277" t="str">
        <f>TRIM(MID(Table1[[#This Row],[Location]],SEARCH(",",Table1[[#This Row],[Location]],1)+1,LEN(Table1[[#This Row],[Location]])))</f>
        <v>Sumatera Selatan</v>
      </c>
      <c r="I277">
        <v>276</v>
      </c>
      <c r="J277" t="s">
        <v>927</v>
      </c>
      <c r="K277">
        <f>_xlfn.XLOOKUP(Table29[[#This Row],[city_name1]], Table5[city_name], Table5[city_id], "Not Found")</f>
        <v>20</v>
      </c>
      <c r="L277">
        <v>39</v>
      </c>
      <c r="R277">
        <v>10</v>
      </c>
      <c r="S277">
        <v>95</v>
      </c>
      <c r="T277">
        <v>5</v>
      </c>
      <c r="V277">
        <v>69</v>
      </c>
      <c r="W277">
        <v>371</v>
      </c>
      <c r="Y277">
        <v>276</v>
      </c>
      <c r="Z277" t="s">
        <v>601</v>
      </c>
      <c r="AA277" t="s">
        <v>602</v>
      </c>
      <c r="AB277">
        <v>5</v>
      </c>
      <c r="AC277">
        <v>22</v>
      </c>
      <c r="AD277">
        <v>10000</v>
      </c>
      <c r="AE277">
        <v>30</v>
      </c>
      <c r="AF277">
        <v>-6.8980549</v>
      </c>
      <c r="AG277">
        <v>107.60946730000001</v>
      </c>
    </row>
    <row r="278" spans="1:33" x14ac:dyDescent="0.25">
      <c r="A278">
        <v>277</v>
      </c>
      <c r="B278" t="str">
        <f>TRIM(LEFT(Table1[[#This Row],[Location]],SEARCH(",",Table1[[#This Row],[Location]],1)-1))</f>
        <v>Jakarta Utara</v>
      </c>
      <c r="C278" t="str">
        <f>TRIM(MID(Table1[[#This Row],[Location]],SEARCH(",",Table1[[#This Row],[Location]],1)+1,LEN(Table1[[#This Row],[Location]])))</f>
        <v>DKI Jakarta</v>
      </c>
      <c r="I278">
        <v>277</v>
      </c>
      <c r="J278" t="s">
        <v>951</v>
      </c>
      <c r="K278">
        <f>_xlfn.XLOOKUP(Table29[[#This Row],[city_name1]], Table5[city_name], Table5[city_id], "Not Found")</f>
        <v>11</v>
      </c>
      <c r="L278">
        <v>29</v>
      </c>
      <c r="R278">
        <v>10</v>
      </c>
      <c r="S278">
        <v>134</v>
      </c>
      <c r="T278">
        <v>5</v>
      </c>
      <c r="V278">
        <v>70</v>
      </c>
      <c r="W278">
        <v>344</v>
      </c>
      <c r="Y278">
        <v>277</v>
      </c>
      <c r="Z278" t="s">
        <v>603</v>
      </c>
      <c r="AA278" t="s">
        <v>604</v>
      </c>
      <c r="AB278">
        <v>5</v>
      </c>
      <c r="AC278">
        <v>22</v>
      </c>
      <c r="AD278">
        <v>15000</v>
      </c>
      <c r="AF278">
        <v>-6.9317951000000004</v>
      </c>
      <c r="AG278">
        <v>107.58830260000001</v>
      </c>
    </row>
    <row r="279" spans="1:33" x14ac:dyDescent="0.25">
      <c r="A279">
        <v>278</v>
      </c>
      <c r="B279" t="str">
        <f>TRIM(LEFT(Table1[[#This Row],[Location]],SEARCH(",",Table1[[#This Row],[Location]],1)-1))</f>
        <v>Jakarta Selatan</v>
      </c>
      <c r="C279" t="str">
        <f>TRIM(MID(Table1[[#This Row],[Location]],SEARCH(",",Table1[[#This Row],[Location]],1)+1,LEN(Table1[[#This Row],[Location]])))</f>
        <v>DKI Jakarta</v>
      </c>
      <c r="I279">
        <v>278</v>
      </c>
      <c r="J279" t="s">
        <v>953</v>
      </c>
      <c r="K279">
        <f>_xlfn.XLOOKUP(Table29[[#This Row],[city_name1]], Table5[city_name], Table5[city_id], "Not Found")</f>
        <v>12</v>
      </c>
      <c r="L279">
        <v>40</v>
      </c>
      <c r="R279">
        <v>10</v>
      </c>
      <c r="S279">
        <v>145</v>
      </c>
      <c r="T279">
        <v>3</v>
      </c>
      <c r="V279">
        <v>70</v>
      </c>
      <c r="W279">
        <v>347</v>
      </c>
      <c r="Y279">
        <v>278</v>
      </c>
      <c r="Z279" t="s">
        <v>605</v>
      </c>
      <c r="AA279" t="s">
        <v>606</v>
      </c>
      <c r="AB279">
        <v>6</v>
      </c>
      <c r="AC279">
        <v>22</v>
      </c>
      <c r="AD279">
        <v>0</v>
      </c>
      <c r="AF279">
        <v>-6.8635270000000004</v>
      </c>
      <c r="AG279">
        <v>107.5899194</v>
      </c>
    </row>
    <row r="280" spans="1:33" x14ac:dyDescent="0.25">
      <c r="A280">
        <v>279</v>
      </c>
      <c r="B280" t="str">
        <f>TRIM(LEFT(Table1[[#This Row],[Location]],SEARCH(",",Table1[[#This Row],[Location]],1)-1))</f>
        <v>Bandung</v>
      </c>
      <c r="C280" t="str">
        <f>TRIM(MID(Table1[[#This Row],[Location]],SEARCH(",",Table1[[#This Row],[Location]],1)+1,LEN(Table1[[#This Row],[Location]])))</f>
        <v>Jawa Barat</v>
      </c>
      <c r="I280">
        <v>279</v>
      </c>
      <c r="J280" t="s">
        <v>472</v>
      </c>
      <c r="K280">
        <f>_xlfn.XLOOKUP(Table29[[#This Row],[city_name1]], Table5[city_name], Table5[city_id], "Not Found")</f>
        <v>22</v>
      </c>
      <c r="L280">
        <v>28</v>
      </c>
      <c r="R280">
        <v>10</v>
      </c>
      <c r="S280">
        <v>159</v>
      </c>
      <c r="T280">
        <v>2</v>
      </c>
      <c r="V280">
        <v>70</v>
      </c>
      <c r="W280">
        <v>350</v>
      </c>
      <c r="Y280">
        <v>279</v>
      </c>
      <c r="Z280" t="s">
        <v>607</v>
      </c>
      <c r="AA280" t="s">
        <v>608</v>
      </c>
      <c r="AB280">
        <v>6</v>
      </c>
      <c r="AC280">
        <v>22</v>
      </c>
      <c r="AD280">
        <v>0</v>
      </c>
      <c r="AF280">
        <v>-6.9259634999999999</v>
      </c>
      <c r="AG280">
        <v>107.6354278</v>
      </c>
    </row>
    <row r="281" spans="1:33" x14ac:dyDescent="0.25">
      <c r="A281">
        <v>280</v>
      </c>
      <c r="B281" t="str">
        <f>TRIM(LEFT(Table1[[#This Row],[Location]],SEARCH(",",Table1[[#This Row],[Location]],1)-1))</f>
        <v>Surabaya</v>
      </c>
      <c r="C281" t="str">
        <f>TRIM(MID(Table1[[#This Row],[Location]],SEARCH(",",Table1[[#This Row],[Location]],1)+1,LEN(Table1[[#This Row],[Location]])))</f>
        <v>Jawa Timur</v>
      </c>
      <c r="I281">
        <v>280</v>
      </c>
      <c r="J281" t="s">
        <v>834</v>
      </c>
      <c r="K281">
        <f>_xlfn.XLOOKUP(Table29[[#This Row],[city_name1]], Table5[city_name], Table5[city_id], "Not Found")</f>
        <v>19</v>
      </c>
      <c r="L281">
        <v>40</v>
      </c>
      <c r="R281">
        <v>10</v>
      </c>
      <c r="S281">
        <v>168</v>
      </c>
      <c r="T281">
        <v>5</v>
      </c>
      <c r="V281">
        <v>70</v>
      </c>
      <c r="W281">
        <v>353</v>
      </c>
      <c r="Y281">
        <v>280</v>
      </c>
      <c r="Z281" t="s">
        <v>609</v>
      </c>
      <c r="AA281" t="s">
        <v>610</v>
      </c>
      <c r="AB281">
        <v>6</v>
      </c>
      <c r="AC281">
        <v>22</v>
      </c>
      <c r="AD281">
        <v>0</v>
      </c>
      <c r="AF281">
        <v>-6.9347697999999998</v>
      </c>
      <c r="AG281">
        <v>107.62535130000001</v>
      </c>
    </row>
    <row r="282" spans="1:33" x14ac:dyDescent="0.25">
      <c r="A282">
        <v>281</v>
      </c>
      <c r="B282" t="str">
        <f>TRIM(LEFT(Table1[[#This Row],[Location]],SEARCH(",",Table1[[#This Row],[Location]],1)-1))</f>
        <v>Bekasi</v>
      </c>
      <c r="C282" t="str">
        <f>TRIM(MID(Table1[[#This Row],[Location]],SEARCH(",",Table1[[#This Row],[Location]],1)+1,LEN(Table1[[#This Row],[Location]])))</f>
        <v>Jawa Barat</v>
      </c>
      <c r="I282">
        <v>281</v>
      </c>
      <c r="J282" t="s">
        <v>925</v>
      </c>
      <c r="K282">
        <f>_xlfn.XLOOKUP(Table29[[#This Row],[city_name1]], Table5[city_name], Table5[city_id], "Not Found")</f>
        <v>24</v>
      </c>
      <c r="L282">
        <v>30</v>
      </c>
      <c r="R282">
        <v>10</v>
      </c>
      <c r="S282">
        <v>197</v>
      </c>
      <c r="T282">
        <v>3</v>
      </c>
      <c r="V282">
        <v>71</v>
      </c>
      <c r="W282">
        <v>366</v>
      </c>
      <c r="Y282">
        <v>281</v>
      </c>
      <c r="Z282" t="s">
        <v>611</v>
      </c>
      <c r="AA282" t="s">
        <v>612</v>
      </c>
      <c r="AB282">
        <v>5</v>
      </c>
      <c r="AC282">
        <v>23</v>
      </c>
      <c r="AD282">
        <v>60000</v>
      </c>
      <c r="AF282">
        <v>-7.0096021999999998</v>
      </c>
      <c r="AG282">
        <v>107.6062161</v>
      </c>
    </row>
    <row r="283" spans="1:33" x14ac:dyDescent="0.25">
      <c r="A283">
        <v>282</v>
      </c>
      <c r="B283" t="str">
        <f>TRIM(LEFT(Table1[[#This Row],[Location]],SEARCH(",",Table1[[#This Row],[Location]],1)-1))</f>
        <v>Yogyakarta</v>
      </c>
      <c r="C283" t="str">
        <f>TRIM(MID(Table1[[#This Row],[Location]],SEARCH(",",Table1[[#This Row],[Location]],1)+1,LEN(Table1[[#This Row],[Location]])))</f>
        <v>DIY</v>
      </c>
      <c r="I283">
        <v>282</v>
      </c>
      <c r="J283" t="s">
        <v>220</v>
      </c>
      <c r="K283">
        <f>_xlfn.XLOOKUP(Table29[[#This Row],[city_name1]], Table5[city_name], Table5[city_id], "Not Found")</f>
        <v>39</v>
      </c>
      <c r="L283">
        <v>39</v>
      </c>
      <c r="R283">
        <v>10</v>
      </c>
      <c r="S283">
        <v>205</v>
      </c>
      <c r="T283">
        <v>5</v>
      </c>
      <c r="V283">
        <v>71</v>
      </c>
      <c r="W283">
        <v>368</v>
      </c>
      <c r="Y283">
        <v>282</v>
      </c>
      <c r="Z283" t="s">
        <v>613</v>
      </c>
      <c r="AA283" t="s">
        <v>614</v>
      </c>
      <c r="AB283">
        <v>3</v>
      </c>
      <c r="AC283">
        <v>23</v>
      </c>
      <c r="AD283">
        <v>7500</v>
      </c>
      <c r="AE283">
        <v>60</v>
      </c>
      <c r="AF283">
        <v>-6.8908877000000004</v>
      </c>
      <c r="AG283">
        <v>107.73070850000001</v>
      </c>
    </row>
    <row r="284" spans="1:33" x14ac:dyDescent="0.25">
      <c r="A284">
        <v>283</v>
      </c>
      <c r="B284" t="str">
        <f>TRIM(LEFT(Table1[[#This Row],[Location]],SEARCH(",",Table1[[#This Row],[Location]],1)-1))</f>
        <v>Bogor</v>
      </c>
      <c r="C284" t="str">
        <f>TRIM(MID(Table1[[#This Row],[Location]],SEARCH(",",Table1[[#This Row],[Location]],1)+1,LEN(Table1[[#This Row],[Location]])))</f>
        <v>Jawa Barat</v>
      </c>
      <c r="I284">
        <v>283</v>
      </c>
      <c r="J284" t="s">
        <v>929</v>
      </c>
      <c r="K284">
        <f>_xlfn.XLOOKUP(Table29[[#This Row],[city_name1]], Table5[city_name], Table5[city_id], "Not Found")</f>
        <v>25</v>
      </c>
      <c r="L284">
        <v>37</v>
      </c>
      <c r="R284">
        <v>10</v>
      </c>
      <c r="S284">
        <v>230</v>
      </c>
      <c r="T284">
        <v>4</v>
      </c>
      <c r="V284">
        <v>71</v>
      </c>
      <c r="W284">
        <v>369</v>
      </c>
      <c r="Y284">
        <v>283</v>
      </c>
      <c r="Z284" t="s">
        <v>615</v>
      </c>
      <c r="AA284" t="s">
        <v>616</v>
      </c>
      <c r="AB284">
        <v>5</v>
      </c>
      <c r="AC284">
        <v>22</v>
      </c>
      <c r="AD284">
        <v>0</v>
      </c>
      <c r="AF284">
        <v>-6.9000987</v>
      </c>
      <c r="AG284">
        <v>107.60467079999999</v>
      </c>
    </row>
    <row r="285" spans="1:33" x14ac:dyDescent="0.25">
      <c r="A285">
        <v>284</v>
      </c>
      <c r="B285" t="str">
        <f>TRIM(LEFT(Table1[[#This Row],[Location]],SEARCH(",",Table1[[#This Row],[Location]],1)-1))</f>
        <v>Depok</v>
      </c>
      <c r="C285" t="str">
        <f>TRIM(MID(Table1[[#This Row],[Location]],SEARCH(",",Table1[[#This Row],[Location]],1)+1,LEN(Table1[[#This Row],[Location]])))</f>
        <v>Jawa Barat</v>
      </c>
      <c r="I285">
        <v>284</v>
      </c>
      <c r="J285" t="s">
        <v>930</v>
      </c>
      <c r="K285">
        <f>_xlfn.XLOOKUP(Table29[[#This Row],[city_name1]], Table5[city_name], Table5[city_id], "Not Found")</f>
        <v>27</v>
      </c>
      <c r="L285">
        <v>29</v>
      </c>
      <c r="R285">
        <v>10</v>
      </c>
      <c r="S285">
        <v>234</v>
      </c>
      <c r="T285">
        <v>3</v>
      </c>
      <c r="V285">
        <v>71</v>
      </c>
      <c r="W285">
        <v>372</v>
      </c>
      <c r="Y285">
        <v>284</v>
      </c>
      <c r="Z285" t="s">
        <v>617</v>
      </c>
      <c r="AA285" t="s">
        <v>618</v>
      </c>
      <c r="AB285">
        <v>4</v>
      </c>
      <c r="AC285">
        <v>22</v>
      </c>
      <c r="AD285">
        <v>0</v>
      </c>
      <c r="AF285">
        <v>-6.9177043999999999</v>
      </c>
      <c r="AG285">
        <v>107.6036014</v>
      </c>
    </row>
    <row r="286" spans="1:33" x14ac:dyDescent="0.25">
      <c r="A286">
        <v>285</v>
      </c>
      <c r="B286" t="str">
        <f>TRIM(LEFT(Table1[[#This Row],[Location]],SEARCH(",",Table1[[#This Row],[Location]],1)-1))</f>
        <v>Jakarta Pusat</v>
      </c>
      <c r="C286" t="str">
        <f>TRIM(MID(Table1[[#This Row],[Location]],SEARCH(",",Table1[[#This Row],[Location]],1)+1,LEN(Table1[[#This Row],[Location]])))</f>
        <v>DKI Jakarta</v>
      </c>
      <c r="I286">
        <v>285</v>
      </c>
      <c r="J286" t="s">
        <v>949</v>
      </c>
      <c r="K286">
        <f>_xlfn.XLOOKUP(Table29[[#This Row],[city_name1]], Table5[city_name], Table5[city_id], "Not Found")</f>
        <v>9</v>
      </c>
      <c r="L286">
        <v>29</v>
      </c>
      <c r="R286">
        <v>10</v>
      </c>
      <c r="S286">
        <v>236</v>
      </c>
      <c r="T286">
        <v>4</v>
      </c>
      <c r="V286">
        <v>71</v>
      </c>
      <c r="W286">
        <v>373</v>
      </c>
      <c r="Y286">
        <v>285</v>
      </c>
      <c r="Z286" t="s">
        <v>619</v>
      </c>
      <c r="AA286" t="s">
        <v>620</v>
      </c>
      <c r="AB286">
        <v>2</v>
      </c>
      <c r="AC286">
        <v>22</v>
      </c>
      <c r="AD286">
        <v>0</v>
      </c>
      <c r="AE286">
        <v>45</v>
      </c>
      <c r="AF286">
        <v>-6.9103085999999996</v>
      </c>
      <c r="AG286">
        <v>107.6098619</v>
      </c>
    </row>
    <row r="287" spans="1:33" x14ac:dyDescent="0.25">
      <c r="A287">
        <v>286</v>
      </c>
      <c r="B287" t="str">
        <f>TRIM(LEFT(Table1[[#This Row],[Location]],SEARCH(",",Table1[[#This Row],[Location]],1)-1))</f>
        <v>Jakarta Timur</v>
      </c>
      <c r="C287" t="str">
        <f>TRIM(MID(Table1[[#This Row],[Location]],SEARCH(",",Table1[[#This Row],[Location]],1)+1,LEN(Table1[[#This Row],[Location]])))</f>
        <v>DKI Jakarta</v>
      </c>
      <c r="I287">
        <v>286</v>
      </c>
      <c r="J287" t="s">
        <v>952</v>
      </c>
      <c r="K287">
        <f>_xlfn.XLOOKUP(Table29[[#This Row],[city_name1]], Table5[city_name], Table5[city_id], "Not Found")</f>
        <v>10</v>
      </c>
      <c r="L287">
        <v>35</v>
      </c>
      <c r="R287">
        <v>10</v>
      </c>
      <c r="S287">
        <v>268</v>
      </c>
      <c r="T287">
        <v>3</v>
      </c>
      <c r="V287">
        <v>72</v>
      </c>
      <c r="W287">
        <v>351</v>
      </c>
      <c r="Y287">
        <v>286</v>
      </c>
      <c r="Z287" t="s">
        <v>621</v>
      </c>
      <c r="AA287" t="s">
        <v>622</v>
      </c>
      <c r="AB287">
        <v>2</v>
      </c>
      <c r="AC287">
        <v>22</v>
      </c>
      <c r="AD287">
        <v>0</v>
      </c>
      <c r="AF287">
        <v>-6.9204173000000004</v>
      </c>
      <c r="AG287">
        <v>107.5996425</v>
      </c>
    </row>
    <row r="288" spans="1:33" x14ac:dyDescent="0.25">
      <c r="A288">
        <v>287</v>
      </c>
      <c r="B288" t="str">
        <f>TRIM(LEFT(Table1[[#This Row],[Location]],SEARCH(",",Table1[[#This Row],[Location]],1)-1))</f>
        <v>Bekasi</v>
      </c>
      <c r="C288" t="str">
        <f>TRIM(MID(Table1[[#This Row],[Location]],SEARCH(",",Table1[[#This Row],[Location]],1)+1,LEN(Table1[[#This Row],[Location]])))</f>
        <v>Jawa Barat</v>
      </c>
      <c r="I288">
        <v>287</v>
      </c>
      <c r="J288" t="s">
        <v>925</v>
      </c>
      <c r="K288">
        <f>_xlfn.XLOOKUP(Table29[[#This Row],[city_name1]], Table5[city_name], Table5[city_id], "Not Found")</f>
        <v>24</v>
      </c>
      <c r="L288">
        <v>27</v>
      </c>
      <c r="R288">
        <v>10</v>
      </c>
      <c r="S288">
        <v>280</v>
      </c>
      <c r="T288">
        <v>4</v>
      </c>
      <c r="V288">
        <v>72</v>
      </c>
      <c r="W288">
        <v>357</v>
      </c>
      <c r="Y288">
        <v>287</v>
      </c>
      <c r="Z288" t="s">
        <v>623</v>
      </c>
      <c r="AA288" t="s">
        <v>624</v>
      </c>
      <c r="AB288">
        <v>5</v>
      </c>
      <c r="AC288">
        <v>33</v>
      </c>
      <c r="AD288">
        <v>25000</v>
      </c>
      <c r="AF288">
        <v>-6.8522080000000001</v>
      </c>
      <c r="AG288">
        <v>107.493882</v>
      </c>
    </row>
    <row r="289" spans="1:33" x14ac:dyDescent="0.25">
      <c r="A289">
        <v>288</v>
      </c>
      <c r="B289" t="str">
        <f>TRIM(LEFT(Table1[[#This Row],[Location]],SEARCH(",",Table1[[#This Row],[Location]],1)-1))</f>
        <v>Semarang</v>
      </c>
      <c r="C289" t="str">
        <f>TRIM(MID(Table1[[#This Row],[Location]],SEARCH(",",Table1[[#This Row],[Location]],1)+1,LEN(Table1[[#This Row],[Location]])))</f>
        <v>Jawa Tengah</v>
      </c>
      <c r="I289">
        <v>288</v>
      </c>
      <c r="J289" t="s">
        <v>719</v>
      </c>
      <c r="K289">
        <f>_xlfn.XLOOKUP(Table29[[#This Row],[city_name1]], Table5[city_name], Table5[city_id], "Not Found")</f>
        <v>5</v>
      </c>
      <c r="L289">
        <v>30</v>
      </c>
      <c r="R289">
        <v>10</v>
      </c>
      <c r="S289">
        <v>280</v>
      </c>
      <c r="T289">
        <v>5</v>
      </c>
      <c r="V289">
        <v>72</v>
      </c>
      <c r="W289">
        <v>379</v>
      </c>
      <c r="Y289">
        <v>288</v>
      </c>
      <c r="Z289" t="s">
        <v>625</v>
      </c>
      <c r="AA289" t="s">
        <v>626</v>
      </c>
      <c r="AB289">
        <v>6</v>
      </c>
      <c r="AC289">
        <v>22</v>
      </c>
      <c r="AD289">
        <v>0</v>
      </c>
      <c r="AF289">
        <v>-6.8936643000000002</v>
      </c>
      <c r="AG289">
        <v>107.611271</v>
      </c>
    </row>
    <row r="290" spans="1:33" x14ac:dyDescent="0.25">
      <c r="A290">
        <v>289</v>
      </c>
      <c r="B290" t="str">
        <f>TRIM(LEFT(Table1[[#This Row],[Location]],SEARCH(",",Table1[[#This Row],[Location]],1)-1))</f>
        <v>Yogyakarta</v>
      </c>
      <c r="C290" t="str">
        <f>TRIM(MID(Table1[[#This Row],[Location]],SEARCH(",",Table1[[#This Row],[Location]],1)+1,LEN(Table1[[#This Row],[Location]])))</f>
        <v>DIY</v>
      </c>
      <c r="I290">
        <v>289</v>
      </c>
      <c r="J290" t="s">
        <v>220</v>
      </c>
      <c r="K290">
        <f>_xlfn.XLOOKUP(Table29[[#This Row],[city_name1]], Table5[city_name], Table5[city_id], "Not Found")</f>
        <v>39</v>
      </c>
      <c r="L290">
        <v>35</v>
      </c>
      <c r="R290">
        <v>10</v>
      </c>
      <c r="S290">
        <v>284</v>
      </c>
      <c r="T290">
        <v>3</v>
      </c>
      <c r="V290">
        <v>73</v>
      </c>
      <c r="W290">
        <v>368</v>
      </c>
      <c r="Y290">
        <v>289</v>
      </c>
      <c r="Z290" t="s">
        <v>627</v>
      </c>
      <c r="AA290" t="s">
        <v>628</v>
      </c>
      <c r="AB290">
        <v>3</v>
      </c>
      <c r="AC290">
        <v>33</v>
      </c>
      <c r="AD290">
        <v>10000</v>
      </c>
      <c r="AF290">
        <v>-6.7875652000000004</v>
      </c>
      <c r="AG290">
        <v>107.58228440000001</v>
      </c>
    </row>
    <row r="291" spans="1:33" x14ac:dyDescent="0.25">
      <c r="A291">
        <v>290</v>
      </c>
      <c r="B291" t="str">
        <f>TRIM(LEFT(Table1[[#This Row],[Location]],SEARCH(",",Table1[[#This Row],[Location]],1)-1))</f>
        <v>Cirebon</v>
      </c>
      <c r="C291" t="str">
        <f>TRIM(MID(Table1[[#This Row],[Location]],SEARCH(",",Table1[[#This Row],[Location]],1)+1,LEN(Table1[[#This Row],[Location]])))</f>
        <v>Jawa Barat</v>
      </c>
      <c r="I291">
        <v>290</v>
      </c>
      <c r="J291" t="s">
        <v>926</v>
      </c>
      <c r="K291">
        <f>_xlfn.XLOOKUP(Table29[[#This Row],[city_name1]], Table5[city_name], Table5[city_id], "Not Found")</f>
        <v>26</v>
      </c>
      <c r="L291">
        <v>34</v>
      </c>
      <c r="R291">
        <v>10</v>
      </c>
      <c r="S291">
        <v>338</v>
      </c>
      <c r="T291">
        <v>3</v>
      </c>
      <c r="V291">
        <v>73</v>
      </c>
      <c r="W291">
        <v>369</v>
      </c>
      <c r="Y291">
        <v>290</v>
      </c>
      <c r="Z291" t="s">
        <v>629</v>
      </c>
      <c r="AA291" t="s">
        <v>630</v>
      </c>
      <c r="AB291">
        <v>2</v>
      </c>
      <c r="AC291">
        <v>22</v>
      </c>
      <c r="AD291">
        <v>5000</v>
      </c>
      <c r="AF291">
        <v>-6.8597473999999998</v>
      </c>
      <c r="AG291">
        <v>107.5941693</v>
      </c>
    </row>
    <row r="292" spans="1:33" x14ac:dyDescent="0.25">
      <c r="A292">
        <v>291</v>
      </c>
      <c r="B292" t="str">
        <f>TRIM(LEFT(Table1[[#This Row],[Location]],SEARCH(",",Table1[[#This Row],[Location]],1)-1))</f>
        <v>Lampung</v>
      </c>
      <c r="C292" t="str">
        <f>TRIM(MID(Table1[[#This Row],[Location]],SEARCH(",",Table1[[#This Row],[Location]],1)+1,LEN(Table1[[#This Row],[Location]])))</f>
        <v>Sumatera Selatan</v>
      </c>
      <c r="I292">
        <v>291</v>
      </c>
      <c r="J292" t="s">
        <v>927</v>
      </c>
      <c r="K292">
        <f>_xlfn.XLOOKUP(Table29[[#This Row],[city_name1]], Table5[city_name], Table5[city_id], "Not Found")</f>
        <v>20</v>
      </c>
      <c r="L292">
        <v>25</v>
      </c>
      <c r="R292">
        <v>10</v>
      </c>
      <c r="S292">
        <v>343</v>
      </c>
      <c r="T292">
        <v>3</v>
      </c>
      <c r="V292">
        <v>73</v>
      </c>
      <c r="W292">
        <v>372</v>
      </c>
      <c r="Y292">
        <v>291</v>
      </c>
      <c r="Z292" t="s">
        <v>631</v>
      </c>
      <c r="AA292" t="s">
        <v>632</v>
      </c>
      <c r="AB292">
        <v>5</v>
      </c>
      <c r="AC292">
        <v>23</v>
      </c>
      <c r="AD292">
        <v>50000</v>
      </c>
      <c r="AF292">
        <v>-6.9805807</v>
      </c>
      <c r="AG292">
        <v>107.5856567</v>
      </c>
    </row>
    <row r="293" spans="1:33" x14ac:dyDescent="0.25">
      <c r="A293">
        <v>292</v>
      </c>
      <c r="B293" t="str">
        <f>TRIM(LEFT(Table1[[#This Row],[Location]],SEARCH(",",Table1[[#This Row],[Location]],1)-1))</f>
        <v>Semarang</v>
      </c>
      <c r="C293" t="str">
        <f>TRIM(MID(Table1[[#This Row],[Location]],SEARCH(",",Table1[[#This Row],[Location]],1)+1,LEN(Table1[[#This Row],[Location]])))</f>
        <v>Jawa Tengah</v>
      </c>
      <c r="I293">
        <v>292</v>
      </c>
      <c r="J293" t="s">
        <v>719</v>
      </c>
      <c r="K293">
        <f>_xlfn.XLOOKUP(Table29[[#This Row],[city_name1]], Table5[city_name], Table5[city_id], "Not Found")</f>
        <v>5</v>
      </c>
      <c r="L293">
        <v>29</v>
      </c>
      <c r="R293">
        <v>10</v>
      </c>
      <c r="S293">
        <v>404</v>
      </c>
      <c r="T293">
        <v>3</v>
      </c>
      <c r="V293">
        <v>73</v>
      </c>
      <c r="W293">
        <v>374</v>
      </c>
      <c r="Y293">
        <v>292</v>
      </c>
      <c r="Z293" t="s">
        <v>633</v>
      </c>
      <c r="AA293" t="s">
        <v>634</v>
      </c>
      <c r="AB293">
        <v>3</v>
      </c>
      <c r="AC293">
        <v>33</v>
      </c>
      <c r="AD293">
        <v>0</v>
      </c>
      <c r="AF293">
        <v>-6.8116009000000002</v>
      </c>
      <c r="AG293">
        <v>107.56952130000001</v>
      </c>
    </row>
    <row r="294" spans="1:33" x14ac:dyDescent="0.25">
      <c r="A294">
        <v>293</v>
      </c>
      <c r="B294" t="str">
        <f>TRIM(LEFT(Table1[[#This Row],[Location]],SEARCH(",",Table1[[#This Row],[Location]],1)-1))</f>
        <v>Subang</v>
      </c>
      <c r="C294" t="str">
        <f>TRIM(MID(Table1[[#This Row],[Location]],SEARCH(",",Table1[[#This Row],[Location]],1)+1,LEN(Table1[[#This Row],[Location]])))</f>
        <v>Jawa Barat</v>
      </c>
      <c r="I294">
        <v>293</v>
      </c>
      <c r="J294" t="s">
        <v>931</v>
      </c>
      <c r="K294">
        <f>_xlfn.XLOOKUP(Table29[[#This Row],[city_name1]], Table5[city_name], Table5[city_id], "Not Found")</f>
        <v>32</v>
      </c>
      <c r="L294">
        <v>34</v>
      </c>
      <c r="R294">
        <v>11</v>
      </c>
      <c r="S294">
        <v>5</v>
      </c>
      <c r="T294">
        <v>5</v>
      </c>
      <c r="V294">
        <v>73</v>
      </c>
      <c r="W294">
        <v>375</v>
      </c>
      <c r="Y294">
        <v>293</v>
      </c>
      <c r="Z294" t="s">
        <v>635</v>
      </c>
      <c r="AA294" t="s">
        <v>636</v>
      </c>
      <c r="AB294">
        <v>5</v>
      </c>
      <c r="AC294">
        <v>22</v>
      </c>
      <c r="AD294">
        <v>0</v>
      </c>
      <c r="AF294">
        <v>-6.9132752000000002</v>
      </c>
      <c r="AG294">
        <v>107.6094908</v>
      </c>
    </row>
    <row r="295" spans="1:33" x14ac:dyDescent="0.25">
      <c r="A295">
        <v>294</v>
      </c>
      <c r="B295" t="str">
        <f>TRIM(LEFT(Table1[[#This Row],[Location]],SEARCH(",",Table1[[#This Row],[Location]],1)-1))</f>
        <v>Jakarta Barat</v>
      </c>
      <c r="C295" t="str">
        <f>TRIM(MID(Table1[[#This Row],[Location]],SEARCH(",",Table1[[#This Row],[Location]],1)+1,LEN(Table1[[#This Row],[Location]])))</f>
        <v>DKI Jakarta</v>
      </c>
      <c r="I295">
        <v>294</v>
      </c>
      <c r="J295" t="s">
        <v>950</v>
      </c>
      <c r="K295">
        <f>_xlfn.XLOOKUP(Table29[[#This Row],[city_name1]], Table5[city_name], Table5[city_id], "Not Found")</f>
        <v>14</v>
      </c>
      <c r="L295">
        <v>28</v>
      </c>
      <c r="R295">
        <v>11</v>
      </c>
      <c r="S295">
        <v>6</v>
      </c>
      <c r="T295">
        <v>5</v>
      </c>
      <c r="V295">
        <v>74</v>
      </c>
      <c r="W295">
        <v>336</v>
      </c>
      <c r="Y295">
        <v>294</v>
      </c>
      <c r="Z295" t="s">
        <v>637</v>
      </c>
      <c r="AA295" t="s">
        <v>638</v>
      </c>
      <c r="AB295">
        <v>2</v>
      </c>
      <c r="AC295">
        <v>22</v>
      </c>
      <c r="AD295">
        <v>0</v>
      </c>
      <c r="AE295">
        <v>90</v>
      </c>
      <c r="AF295">
        <v>-6.8986869000000004</v>
      </c>
      <c r="AG295">
        <v>107.6077451</v>
      </c>
    </row>
    <row r="296" spans="1:33" x14ac:dyDescent="0.25">
      <c r="A296">
        <v>295</v>
      </c>
      <c r="B296" t="str">
        <f>TRIM(LEFT(Table1[[#This Row],[Location]],SEARCH(",",Table1[[#This Row],[Location]],1)-1))</f>
        <v>Bekasi</v>
      </c>
      <c r="C296" t="str">
        <f>TRIM(MID(Table1[[#This Row],[Location]],SEARCH(",",Table1[[#This Row],[Location]],1)+1,LEN(Table1[[#This Row],[Location]])))</f>
        <v>Jawa Barat</v>
      </c>
      <c r="I296">
        <v>295</v>
      </c>
      <c r="J296" t="s">
        <v>925</v>
      </c>
      <c r="K296">
        <f>_xlfn.XLOOKUP(Table29[[#This Row],[city_name1]], Table5[city_name], Table5[city_id], "Not Found")</f>
        <v>24</v>
      </c>
      <c r="L296">
        <v>31</v>
      </c>
      <c r="R296">
        <v>11</v>
      </c>
      <c r="S296">
        <v>6</v>
      </c>
      <c r="T296">
        <v>2</v>
      </c>
      <c r="V296">
        <v>74</v>
      </c>
      <c r="W296">
        <v>340</v>
      </c>
      <c r="Y296">
        <v>295</v>
      </c>
      <c r="Z296" t="s">
        <v>639</v>
      </c>
      <c r="AA296" t="s">
        <v>640</v>
      </c>
      <c r="AB296">
        <v>2</v>
      </c>
      <c r="AC296">
        <v>22</v>
      </c>
      <c r="AD296">
        <v>0</v>
      </c>
      <c r="AF296">
        <v>-6.9406014999999996</v>
      </c>
      <c r="AG296">
        <v>107.6725445</v>
      </c>
    </row>
    <row r="297" spans="1:33" x14ac:dyDescent="0.25">
      <c r="A297">
        <v>296</v>
      </c>
      <c r="B297" t="str">
        <f>TRIM(LEFT(Table1[[#This Row],[Location]],SEARCH(",",Table1[[#This Row],[Location]],1)-1))</f>
        <v>Lampung</v>
      </c>
      <c r="C297" t="str">
        <f>TRIM(MID(Table1[[#This Row],[Location]],SEARCH(",",Table1[[#This Row],[Location]],1)+1,LEN(Table1[[#This Row],[Location]])))</f>
        <v>Sumatera Selatan</v>
      </c>
      <c r="I297">
        <v>296</v>
      </c>
      <c r="J297" t="s">
        <v>927</v>
      </c>
      <c r="K297">
        <f>_xlfn.XLOOKUP(Table29[[#This Row],[city_name1]], Table5[city_name], Table5[city_id], "Not Found")</f>
        <v>20</v>
      </c>
      <c r="L297">
        <v>31</v>
      </c>
      <c r="R297">
        <v>11</v>
      </c>
      <c r="S297">
        <v>11</v>
      </c>
      <c r="T297">
        <v>3</v>
      </c>
      <c r="V297">
        <v>74</v>
      </c>
      <c r="W297">
        <v>341</v>
      </c>
      <c r="Y297">
        <v>296</v>
      </c>
      <c r="Z297" t="s">
        <v>641</v>
      </c>
      <c r="AA297" t="s">
        <v>642</v>
      </c>
      <c r="AB297">
        <v>5</v>
      </c>
      <c r="AC297">
        <v>22</v>
      </c>
      <c r="AD297">
        <v>70000</v>
      </c>
      <c r="AF297">
        <v>-6.9632300000000003</v>
      </c>
      <c r="AG297">
        <v>107.62641600000001</v>
      </c>
    </row>
    <row r="298" spans="1:33" x14ac:dyDescent="0.25">
      <c r="A298">
        <v>297</v>
      </c>
      <c r="B298" t="str">
        <f>TRIM(LEFT(Table1[[#This Row],[Location]],SEARCH(",",Table1[[#This Row],[Location]],1)-1))</f>
        <v>Palembang</v>
      </c>
      <c r="C298" t="str">
        <f>TRIM(MID(Table1[[#This Row],[Location]],SEARCH(",",Table1[[#This Row],[Location]],1)+1,LEN(Table1[[#This Row],[Location]])))</f>
        <v>Sumatera Selatan</v>
      </c>
      <c r="I298">
        <v>297</v>
      </c>
      <c r="J298" t="s">
        <v>932</v>
      </c>
      <c r="K298">
        <f>_xlfn.XLOOKUP(Table29[[#This Row],[city_name1]], Table5[city_name], Table5[city_id], "Not Found")</f>
        <v>21</v>
      </c>
      <c r="L298">
        <v>39</v>
      </c>
      <c r="R298">
        <v>11</v>
      </c>
      <c r="S298">
        <v>37</v>
      </c>
      <c r="T298">
        <v>5</v>
      </c>
      <c r="V298">
        <v>75</v>
      </c>
      <c r="W298">
        <v>348</v>
      </c>
      <c r="Y298">
        <v>297</v>
      </c>
      <c r="Z298" t="s">
        <v>643</v>
      </c>
      <c r="AA298" t="s">
        <v>644</v>
      </c>
      <c r="AB298">
        <v>3</v>
      </c>
      <c r="AC298">
        <v>23</v>
      </c>
      <c r="AD298">
        <v>375000</v>
      </c>
      <c r="AE298">
        <v>120</v>
      </c>
      <c r="AF298">
        <v>-6.8629384</v>
      </c>
      <c r="AG298">
        <v>107.64821910000001</v>
      </c>
    </row>
    <row r="299" spans="1:33" x14ac:dyDescent="0.25">
      <c r="A299">
        <v>298</v>
      </c>
      <c r="B299" t="str">
        <f>TRIM(LEFT(Table1[[#This Row],[Location]],SEARCH(",",Table1[[#This Row],[Location]],1)-1))</f>
        <v>Bogor</v>
      </c>
      <c r="C299" t="str">
        <f>TRIM(MID(Table1[[#This Row],[Location]],SEARCH(",",Table1[[#This Row],[Location]],1)+1,LEN(Table1[[#This Row],[Location]])))</f>
        <v>Jawa Barat</v>
      </c>
      <c r="I299">
        <v>298</v>
      </c>
      <c r="J299" t="s">
        <v>929</v>
      </c>
      <c r="K299">
        <f>_xlfn.XLOOKUP(Table29[[#This Row],[city_name1]], Table5[city_name], Table5[city_id], "Not Found")</f>
        <v>25</v>
      </c>
      <c r="L299">
        <v>38</v>
      </c>
      <c r="R299">
        <v>11</v>
      </c>
      <c r="S299">
        <v>41</v>
      </c>
      <c r="T299">
        <v>3</v>
      </c>
      <c r="V299">
        <v>75</v>
      </c>
      <c r="W299">
        <v>354</v>
      </c>
      <c r="Y299">
        <v>298</v>
      </c>
      <c r="Z299" t="s">
        <v>645</v>
      </c>
      <c r="AA299" t="s">
        <v>646</v>
      </c>
      <c r="AB299">
        <v>3</v>
      </c>
      <c r="AC299">
        <v>33</v>
      </c>
      <c r="AD299">
        <v>0</v>
      </c>
      <c r="AF299">
        <v>-6.9580555999999998</v>
      </c>
      <c r="AG299">
        <v>107.52055559999999</v>
      </c>
    </row>
    <row r="300" spans="1:33" x14ac:dyDescent="0.25">
      <c r="A300">
        <v>299</v>
      </c>
      <c r="B300" t="str">
        <f>TRIM(LEFT(Table1[[#This Row],[Location]],SEARCH(",",Table1[[#This Row],[Location]],1)-1))</f>
        <v>Sragen</v>
      </c>
      <c r="C300" t="str">
        <f>TRIM(MID(Table1[[#This Row],[Location]],SEARCH(",",Table1[[#This Row],[Location]],1)+1,LEN(Table1[[#This Row],[Location]])))</f>
        <v>Jawa Tengah</v>
      </c>
      <c r="I300">
        <v>299</v>
      </c>
      <c r="J300" t="s">
        <v>933</v>
      </c>
      <c r="K300">
        <f>_xlfn.XLOOKUP(Table29[[#This Row],[city_name1]], Table5[city_name], Table5[city_id], "Not Found")</f>
        <v>8</v>
      </c>
      <c r="L300">
        <v>27</v>
      </c>
      <c r="R300">
        <v>11</v>
      </c>
      <c r="S300">
        <v>82</v>
      </c>
      <c r="T300">
        <v>2</v>
      </c>
      <c r="V300">
        <v>75</v>
      </c>
      <c r="W300">
        <v>356</v>
      </c>
      <c r="Y300">
        <v>299</v>
      </c>
      <c r="Z300" t="s">
        <v>647</v>
      </c>
      <c r="AA300" t="s">
        <v>648</v>
      </c>
      <c r="AB300">
        <v>3</v>
      </c>
      <c r="AC300">
        <v>33</v>
      </c>
      <c r="AD300">
        <v>10000</v>
      </c>
      <c r="AE300">
        <v>120</v>
      </c>
      <c r="AF300">
        <v>-6.7495267999999999</v>
      </c>
      <c r="AG300">
        <v>107.478658</v>
      </c>
    </row>
    <row r="301" spans="1:33" x14ac:dyDescent="0.25">
      <c r="A301">
        <v>300</v>
      </c>
      <c r="B301" t="str">
        <f>TRIM(LEFT(Table1[[#This Row],[Location]],SEARCH(",",Table1[[#This Row],[Location]],1)-1))</f>
        <v>Ponorogo</v>
      </c>
      <c r="C301" t="str">
        <f>TRIM(MID(Table1[[#This Row],[Location]],SEARCH(",",Table1[[#This Row],[Location]],1)+1,LEN(Table1[[#This Row],[Location]])))</f>
        <v>Jawa Timur</v>
      </c>
      <c r="I301">
        <v>300</v>
      </c>
      <c r="J301" t="s">
        <v>934</v>
      </c>
      <c r="K301">
        <f>_xlfn.XLOOKUP(Table29[[#This Row],[city_name1]], Table5[city_name], Table5[city_id], "Not Found")</f>
        <v>17</v>
      </c>
      <c r="L301">
        <v>26</v>
      </c>
      <c r="R301">
        <v>11</v>
      </c>
      <c r="S301">
        <v>88</v>
      </c>
      <c r="T301">
        <v>3</v>
      </c>
      <c r="V301">
        <v>76</v>
      </c>
      <c r="W301">
        <v>334</v>
      </c>
      <c r="Y301">
        <v>300</v>
      </c>
      <c r="Z301" t="s">
        <v>649</v>
      </c>
      <c r="AA301" t="s">
        <v>650</v>
      </c>
      <c r="AB301">
        <v>3</v>
      </c>
      <c r="AC301">
        <v>33</v>
      </c>
      <c r="AD301">
        <v>10000</v>
      </c>
      <c r="AF301">
        <v>-6.8765131000000004</v>
      </c>
      <c r="AG301">
        <v>107.3422183</v>
      </c>
    </row>
    <row r="302" spans="1:33" x14ac:dyDescent="0.25">
      <c r="R302">
        <v>11</v>
      </c>
      <c r="S302">
        <v>97</v>
      </c>
      <c r="T302">
        <v>4</v>
      </c>
      <c r="V302">
        <v>76</v>
      </c>
      <c r="W302">
        <v>335</v>
      </c>
      <c r="Y302">
        <v>301</v>
      </c>
      <c r="Z302" t="s">
        <v>651</v>
      </c>
      <c r="AA302" t="s">
        <v>652</v>
      </c>
      <c r="AB302">
        <v>3</v>
      </c>
      <c r="AC302">
        <v>33</v>
      </c>
      <c r="AD302">
        <v>50000</v>
      </c>
      <c r="AE302">
        <v>150</v>
      </c>
      <c r="AF302">
        <v>-6.8425349999999998</v>
      </c>
      <c r="AG302">
        <v>107.622698</v>
      </c>
    </row>
    <row r="303" spans="1:33" x14ac:dyDescent="0.25">
      <c r="R303">
        <v>11</v>
      </c>
      <c r="S303">
        <v>107</v>
      </c>
      <c r="T303">
        <v>3</v>
      </c>
      <c r="V303">
        <v>76</v>
      </c>
      <c r="W303">
        <v>337</v>
      </c>
      <c r="Y303">
        <v>302</v>
      </c>
      <c r="Z303" t="s">
        <v>653</v>
      </c>
      <c r="AA303" t="s">
        <v>654</v>
      </c>
      <c r="AB303">
        <v>6</v>
      </c>
      <c r="AC303">
        <v>22</v>
      </c>
      <c r="AD303">
        <v>0</v>
      </c>
      <c r="AF303">
        <v>-6.9000671999999996</v>
      </c>
      <c r="AG303">
        <v>107.62587000000001</v>
      </c>
    </row>
    <row r="304" spans="1:33" x14ac:dyDescent="0.25">
      <c r="R304">
        <v>11</v>
      </c>
      <c r="S304">
        <v>109</v>
      </c>
      <c r="T304">
        <v>2</v>
      </c>
      <c r="V304">
        <v>77</v>
      </c>
      <c r="W304">
        <v>365</v>
      </c>
      <c r="Y304">
        <v>303</v>
      </c>
      <c r="Z304" t="s">
        <v>655</v>
      </c>
      <c r="AA304" t="s">
        <v>656</v>
      </c>
      <c r="AB304">
        <v>6</v>
      </c>
      <c r="AC304">
        <v>22</v>
      </c>
      <c r="AD304">
        <v>0</v>
      </c>
      <c r="AF304">
        <v>-6.9194250000000004</v>
      </c>
      <c r="AG304">
        <v>107.6078639</v>
      </c>
    </row>
    <row r="305" spans="18:33" x14ac:dyDescent="0.25">
      <c r="R305">
        <v>11</v>
      </c>
      <c r="S305">
        <v>127</v>
      </c>
      <c r="T305">
        <v>3</v>
      </c>
      <c r="V305">
        <v>77</v>
      </c>
      <c r="W305">
        <v>370</v>
      </c>
      <c r="Y305">
        <v>304</v>
      </c>
      <c r="Z305" t="s">
        <v>657</v>
      </c>
      <c r="AA305" t="s">
        <v>658</v>
      </c>
      <c r="AB305">
        <v>3</v>
      </c>
      <c r="AC305">
        <v>23</v>
      </c>
      <c r="AD305">
        <v>2500</v>
      </c>
      <c r="AF305">
        <v>-7.1923281000000001</v>
      </c>
      <c r="AG305">
        <v>107.5510012</v>
      </c>
    </row>
    <row r="306" spans="18:33" x14ac:dyDescent="0.25">
      <c r="R306">
        <v>11</v>
      </c>
      <c r="S306">
        <v>149</v>
      </c>
      <c r="T306">
        <v>2</v>
      </c>
      <c r="V306">
        <v>77</v>
      </c>
      <c r="W306">
        <v>375</v>
      </c>
      <c r="Y306">
        <v>305</v>
      </c>
      <c r="Z306" t="s">
        <v>659</v>
      </c>
      <c r="AA306" t="s">
        <v>660</v>
      </c>
      <c r="AB306">
        <v>3</v>
      </c>
      <c r="AC306">
        <v>23</v>
      </c>
      <c r="AD306">
        <v>10000</v>
      </c>
      <c r="AF306">
        <v>-7.233689</v>
      </c>
      <c r="AG306">
        <v>107.5342933</v>
      </c>
    </row>
    <row r="307" spans="18:33" x14ac:dyDescent="0.25">
      <c r="R307">
        <v>11</v>
      </c>
      <c r="S307">
        <v>150</v>
      </c>
      <c r="T307">
        <v>2</v>
      </c>
      <c r="V307">
        <v>77</v>
      </c>
      <c r="W307">
        <v>376</v>
      </c>
      <c r="Y307">
        <v>306</v>
      </c>
      <c r="Z307" t="s">
        <v>661</v>
      </c>
      <c r="AA307" t="s">
        <v>662</v>
      </c>
      <c r="AB307">
        <v>3</v>
      </c>
      <c r="AC307">
        <v>23</v>
      </c>
      <c r="AD307">
        <v>150000</v>
      </c>
      <c r="AF307">
        <v>-7.1965022999999997</v>
      </c>
      <c r="AG307">
        <v>107.5454594</v>
      </c>
    </row>
    <row r="308" spans="18:33" x14ac:dyDescent="0.25">
      <c r="R308">
        <v>11</v>
      </c>
      <c r="S308">
        <v>151</v>
      </c>
      <c r="T308">
        <v>5</v>
      </c>
      <c r="V308">
        <v>78</v>
      </c>
      <c r="W308">
        <v>342</v>
      </c>
      <c r="Y308">
        <v>307</v>
      </c>
      <c r="Z308" t="s">
        <v>663</v>
      </c>
      <c r="AA308" t="s">
        <v>664</v>
      </c>
      <c r="AB308">
        <v>3</v>
      </c>
      <c r="AC308">
        <v>23</v>
      </c>
      <c r="AD308">
        <v>5000</v>
      </c>
      <c r="AF308">
        <v>-7.2274463000000004</v>
      </c>
      <c r="AG308">
        <v>107.6050805</v>
      </c>
    </row>
    <row r="309" spans="18:33" x14ac:dyDescent="0.25">
      <c r="R309">
        <v>11</v>
      </c>
      <c r="S309">
        <v>186</v>
      </c>
      <c r="T309">
        <v>4</v>
      </c>
      <c r="V309">
        <v>78</v>
      </c>
      <c r="W309">
        <v>343</v>
      </c>
      <c r="Y309">
        <v>308</v>
      </c>
      <c r="Z309" t="s">
        <v>665</v>
      </c>
      <c r="AA309" t="s">
        <v>666</v>
      </c>
      <c r="AB309">
        <v>3</v>
      </c>
      <c r="AC309">
        <v>32</v>
      </c>
      <c r="AD309">
        <v>15000</v>
      </c>
      <c r="AF309">
        <v>-6.7380852999999998</v>
      </c>
      <c r="AG309">
        <v>107.65660920000001</v>
      </c>
    </row>
    <row r="310" spans="18:33" x14ac:dyDescent="0.25">
      <c r="R310">
        <v>11</v>
      </c>
      <c r="S310">
        <v>206</v>
      </c>
      <c r="T310">
        <v>2</v>
      </c>
      <c r="V310">
        <v>78</v>
      </c>
      <c r="W310">
        <v>348</v>
      </c>
      <c r="Y310">
        <v>309</v>
      </c>
      <c r="Z310" t="s">
        <v>667</v>
      </c>
      <c r="AA310" t="s">
        <v>668</v>
      </c>
      <c r="AB310">
        <v>3</v>
      </c>
      <c r="AC310">
        <v>33</v>
      </c>
      <c r="AD310">
        <v>25000</v>
      </c>
      <c r="AF310">
        <v>-6.8246311000000004</v>
      </c>
      <c r="AG310">
        <v>107.6171106</v>
      </c>
    </row>
    <row r="311" spans="18:33" x14ac:dyDescent="0.25">
      <c r="R311">
        <v>11</v>
      </c>
      <c r="S311">
        <v>226</v>
      </c>
      <c r="T311">
        <v>2</v>
      </c>
      <c r="V311">
        <v>78</v>
      </c>
      <c r="W311">
        <v>349</v>
      </c>
      <c r="Y311">
        <v>310</v>
      </c>
      <c r="Z311" t="s">
        <v>669</v>
      </c>
      <c r="AA311" t="s">
        <v>670</v>
      </c>
      <c r="AB311">
        <v>3</v>
      </c>
      <c r="AC311">
        <v>33</v>
      </c>
      <c r="AD311">
        <v>0</v>
      </c>
      <c r="AE311">
        <v>45</v>
      </c>
      <c r="AF311">
        <v>-6.8038882999999997</v>
      </c>
      <c r="AG311">
        <v>107.58663129999999</v>
      </c>
    </row>
    <row r="312" spans="18:33" x14ac:dyDescent="0.25">
      <c r="R312">
        <v>11</v>
      </c>
      <c r="S312">
        <v>229</v>
      </c>
      <c r="T312">
        <v>2</v>
      </c>
      <c r="V312">
        <v>79</v>
      </c>
      <c r="W312">
        <v>364</v>
      </c>
      <c r="Y312">
        <v>311</v>
      </c>
      <c r="Z312" t="s">
        <v>671</v>
      </c>
      <c r="AA312" t="s">
        <v>672</v>
      </c>
      <c r="AB312">
        <v>3</v>
      </c>
      <c r="AC312">
        <v>33</v>
      </c>
      <c r="AD312">
        <v>25000</v>
      </c>
      <c r="AE312">
        <v>150</v>
      </c>
      <c r="AF312">
        <v>-6.8294112</v>
      </c>
      <c r="AG312">
        <v>107.68746659999999</v>
      </c>
    </row>
    <row r="313" spans="18:33" x14ac:dyDescent="0.25">
      <c r="R313">
        <v>11</v>
      </c>
      <c r="S313">
        <v>236</v>
      </c>
      <c r="T313">
        <v>2</v>
      </c>
      <c r="V313">
        <v>79</v>
      </c>
      <c r="W313">
        <v>367</v>
      </c>
      <c r="Y313">
        <v>312</v>
      </c>
      <c r="Z313" t="s">
        <v>673</v>
      </c>
      <c r="AA313" t="s">
        <v>674</v>
      </c>
      <c r="AB313">
        <v>3</v>
      </c>
      <c r="AC313">
        <v>33</v>
      </c>
      <c r="AD313">
        <v>10000</v>
      </c>
      <c r="AE313">
        <v>90</v>
      </c>
      <c r="AF313">
        <v>-6.8260163</v>
      </c>
      <c r="AG313">
        <v>107.63835640000001</v>
      </c>
    </row>
    <row r="314" spans="18:33" x14ac:dyDescent="0.25">
      <c r="R314">
        <v>11</v>
      </c>
      <c r="S314">
        <v>310</v>
      </c>
      <c r="T314">
        <v>3</v>
      </c>
      <c r="V314">
        <v>79</v>
      </c>
      <c r="W314">
        <v>371</v>
      </c>
      <c r="Y314">
        <v>313</v>
      </c>
      <c r="Z314" t="s">
        <v>675</v>
      </c>
      <c r="AA314" t="s">
        <v>676</v>
      </c>
      <c r="AB314">
        <v>3</v>
      </c>
      <c r="AC314">
        <v>33</v>
      </c>
      <c r="AD314">
        <v>0</v>
      </c>
      <c r="AE314">
        <v>180</v>
      </c>
      <c r="AF314">
        <v>-6.8426445999999999</v>
      </c>
      <c r="AG314">
        <v>107.62284080000001</v>
      </c>
    </row>
    <row r="315" spans="18:33" x14ac:dyDescent="0.25">
      <c r="R315">
        <v>11</v>
      </c>
      <c r="S315">
        <v>321</v>
      </c>
      <c r="T315">
        <v>5</v>
      </c>
      <c r="V315">
        <v>79</v>
      </c>
      <c r="W315">
        <v>374</v>
      </c>
      <c r="Y315">
        <v>314</v>
      </c>
      <c r="Z315" t="s">
        <v>677</v>
      </c>
      <c r="AA315" t="s">
        <v>678</v>
      </c>
      <c r="AB315">
        <v>3</v>
      </c>
      <c r="AC315">
        <v>33</v>
      </c>
      <c r="AD315">
        <v>5000</v>
      </c>
      <c r="AF315">
        <v>-6.8131766999999996</v>
      </c>
      <c r="AG315">
        <v>107.7136367</v>
      </c>
    </row>
    <row r="316" spans="18:33" x14ac:dyDescent="0.25">
      <c r="R316">
        <v>11</v>
      </c>
      <c r="S316">
        <v>340</v>
      </c>
      <c r="T316">
        <v>4</v>
      </c>
      <c r="V316">
        <v>80</v>
      </c>
      <c r="W316">
        <v>339</v>
      </c>
      <c r="Y316">
        <v>315</v>
      </c>
      <c r="Z316" t="s">
        <v>679</v>
      </c>
      <c r="AA316" t="s">
        <v>680</v>
      </c>
      <c r="AB316">
        <v>3</v>
      </c>
      <c r="AC316">
        <v>33</v>
      </c>
      <c r="AD316">
        <v>10000</v>
      </c>
      <c r="AF316">
        <v>-7.0182386000000001</v>
      </c>
      <c r="AG316">
        <v>107.20721450000001</v>
      </c>
    </row>
    <row r="317" spans="18:33" x14ac:dyDescent="0.25">
      <c r="R317">
        <v>11</v>
      </c>
      <c r="S317">
        <v>354</v>
      </c>
      <c r="T317">
        <v>4</v>
      </c>
      <c r="V317">
        <v>80</v>
      </c>
      <c r="W317">
        <v>357</v>
      </c>
      <c r="Y317">
        <v>316</v>
      </c>
      <c r="Z317" t="s">
        <v>681</v>
      </c>
      <c r="AA317" t="s">
        <v>682</v>
      </c>
      <c r="AB317">
        <v>3</v>
      </c>
      <c r="AC317">
        <v>33</v>
      </c>
      <c r="AD317">
        <v>15000</v>
      </c>
      <c r="AE317">
        <v>30</v>
      </c>
      <c r="AF317">
        <v>-6.7977382999999998</v>
      </c>
      <c r="AG317">
        <v>107.5783691</v>
      </c>
    </row>
    <row r="318" spans="18:33" x14ac:dyDescent="0.25">
      <c r="R318">
        <v>11</v>
      </c>
      <c r="S318">
        <v>375</v>
      </c>
      <c r="T318">
        <v>4</v>
      </c>
      <c r="V318">
        <v>80</v>
      </c>
      <c r="W318">
        <v>374</v>
      </c>
      <c r="Y318">
        <v>317</v>
      </c>
      <c r="Z318" t="s">
        <v>683</v>
      </c>
      <c r="AA318" t="s">
        <v>684</v>
      </c>
      <c r="AB318">
        <v>3</v>
      </c>
      <c r="AC318">
        <v>23</v>
      </c>
      <c r="AD318">
        <v>20000</v>
      </c>
      <c r="AF318">
        <v>-7.1669649</v>
      </c>
      <c r="AG318">
        <v>107.35753440000001</v>
      </c>
    </row>
    <row r="319" spans="18:33" x14ac:dyDescent="0.25">
      <c r="R319">
        <v>11</v>
      </c>
      <c r="S319">
        <v>377</v>
      </c>
      <c r="T319">
        <v>2</v>
      </c>
      <c r="V319">
        <v>80</v>
      </c>
      <c r="W319">
        <v>388</v>
      </c>
      <c r="Y319">
        <v>318</v>
      </c>
      <c r="Z319" t="s">
        <v>685</v>
      </c>
      <c r="AA319" t="s">
        <v>686</v>
      </c>
      <c r="AB319">
        <v>3</v>
      </c>
      <c r="AC319">
        <v>23</v>
      </c>
      <c r="AD319">
        <v>5000</v>
      </c>
      <c r="AF319">
        <v>-7.1724126000000004</v>
      </c>
      <c r="AG319">
        <v>107.3766656</v>
      </c>
    </row>
    <row r="320" spans="18:33" x14ac:dyDescent="0.25">
      <c r="R320">
        <v>11</v>
      </c>
      <c r="S320">
        <v>405</v>
      </c>
      <c r="T320">
        <v>4</v>
      </c>
      <c r="V320">
        <v>81</v>
      </c>
      <c r="W320">
        <v>394</v>
      </c>
      <c r="Y320">
        <v>319</v>
      </c>
      <c r="Z320" t="s">
        <v>687</v>
      </c>
      <c r="AA320" t="s">
        <v>688</v>
      </c>
      <c r="AB320">
        <v>3</v>
      </c>
      <c r="AC320">
        <v>23</v>
      </c>
      <c r="AD320">
        <v>23000</v>
      </c>
      <c r="AE320">
        <v>60</v>
      </c>
      <c r="AF320">
        <v>-7.1471529</v>
      </c>
      <c r="AG320">
        <v>107.3901424</v>
      </c>
    </row>
    <row r="321" spans="18:33" x14ac:dyDescent="0.25">
      <c r="R321">
        <v>11</v>
      </c>
      <c r="S321">
        <v>429</v>
      </c>
      <c r="T321">
        <v>3</v>
      </c>
      <c r="V321">
        <v>81</v>
      </c>
      <c r="W321">
        <v>400</v>
      </c>
      <c r="Y321">
        <v>320</v>
      </c>
      <c r="Z321" t="s">
        <v>689</v>
      </c>
      <c r="AA321" t="s">
        <v>690</v>
      </c>
      <c r="AB321">
        <v>5</v>
      </c>
      <c r="AC321">
        <v>23</v>
      </c>
      <c r="AD321">
        <v>30000</v>
      </c>
      <c r="AF321">
        <v>-7.1675908000000002</v>
      </c>
      <c r="AG321">
        <v>107.3532419</v>
      </c>
    </row>
    <row r="322" spans="18:33" x14ac:dyDescent="0.25">
      <c r="R322">
        <v>12</v>
      </c>
      <c r="S322">
        <v>5</v>
      </c>
      <c r="T322">
        <v>5</v>
      </c>
      <c r="V322">
        <v>81</v>
      </c>
      <c r="W322">
        <v>433</v>
      </c>
      <c r="Y322">
        <v>321</v>
      </c>
      <c r="Z322" t="s">
        <v>691</v>
      </c>
      <c r="AA322" t="s">
        <v>692</v>
      </c>
      <c r="AB322">
        <v>3</v>
      </c>
      <c r="AC322">
        <v>23</v>
      </c>
      <c r="AD322">
        <v>0</v>
      </c>
      <c r="AF322">
        <v>-7.1951102000000002</v>
      </c>
      <c r="AG322">
        <v>107.43128110000001</v>
      </c>
    </row>
    <row r="323" spans="18:33" x14ac:dyDescent="0.25">
      <c r="R323">
        <v>12</v>
      </c>
      <c r="S323">
        <v>27</v>
      </c>
      <c r="T323">
        <v>2</v>
      </c>
      <c r="V323">
        <v>81</v>
      </c>
      <c r="W323">
        <v>435</v>
      </c>
      <c r="Y323">
        <v>322</v>
      </c>
      <c r="Z323" t="s">
        <v>693</v>
      </c>
      <c r="AA323" t="s">
        <v>694</v>
      </c>
      <c r="AB323">
        <v>3</v>
      </c>
      <c r="AC323">
        <v>23</v>
      </c>
      <c r="AD323">
        <v>0</v>
      </c>
      <c r="AE323">
        <v>90</v>
      </c>
      <c r="AF323">
        <v>-6.6013210000000004</v>
      </c>
      <c r="AG323">
        <v>106.632734</v>
      </c>
    </row>
    <row r="324" spans="18:33" x14ac:dyDescent="0.25">
      <c r="R324">
        <v>12</v>
      </c>
      <c r="S324">
        <v>27</v>
      </c>
      <c r="T324">
        <v>3</v>
      </c>
      <c r="V324">
        <v>82</v>
      </c>
      <c r="W324">
        <v>417</v>
      </c>
      <c r="Y324">
        <v>323</v>
      </c>
      <c r="Z324" t="s">
        <v>695</v>
      </c>
      <c r="AA324" t="s">
        <v>696</v>
      </c>
      <c r="AB324">
        <v>3</v>
      </c>
      <c r="AC324">
        <v>23</v>
      </c>
      <c r="AD324">
        <v>15000</v>
      </c>
      <c r="AE324">
        <v>90</v>
      </c>
      <c r="AF324">
        <v>-7.1147876999999999</v>
      </c>
      <c r="AG324">
        <v>107.4380865</v>
      </c>
    </row>
    <row r="325" spans="18:33" x14ac:dyDescent="0.25">
      <c r="R325">
        <v>12</v>
      </c>
      <c r="S325">
        <v>30</v>
      </c>
      <c r="T325">
        <v>5</v>
      </c>
      <c r="V325">
        <v>82</v>
      </c>
      <c r="W325">
        <v>420</v>
      </c>
      <c r="Y325">
        <v>324</v>
      </c>
      <c r="Z325" t="s">
        <v>697</v>
      </c>
      <c r="AA325" t="s">
        <v>698</v>
      </c>
      <c r="AB325">
        <v>2</v>
      </c>
      <c r="AC325">
        <v>22</v>
      </c>
      <c r="AD325">
        <v>75000</v>
      </c>
      <c r="AF325">
        <v>-6.8971362000000003</v>
      </c>
      <c r="AG325">
        <v>107.6558466</v>
      </c>
    </row>
    <row r="326" spans="18:33" x14ac:dyDescent="0.25">
      <c r="R326">
        <v>12</v>
      </c>
      <c r="S326">
        <v>46</v>
      </c>
      <c r="T326">
        <v>4</v>
      </c>
      <c r="V326">
        <v>82</v>
      </c>
      <c r="W326">
        <v>426</v>
      </c>
      <c r="Y326">
        <v>325</v>
      </c>
      <c r="Z326" t="s">
        <v>699</v>
      </c>
      <c r="AA326" t="s">
        <v>700</v>
      </c>
      <c r="AB326">
        <v>3</v>
      </c>
      <c r="AC326">
        <v>33</v>
      </c>
      <c r="AD326">
        <v>10000</v>
      </c>
      <c r="AF326">
        <v>-6.8590046999999998</v>
      </c>
      <c r="AG326">
        <v>107.56877900000001</v>
      </c>
    </row>
    <row r="327" spans="18:33" x14ac:dyDescent="0.25">
      <c r="R327">
        <v>12</v>
      </c>
      <c r="S327">
        <v>49</v>
      </c>
      <c r="T327">
        <v>5</v>
      </c>
      <c r="V327">
        <v>82</v>
      </c>
      <c r="W327">
        <v>412</v>
      </c>
      <c r="Y327">
        <v>326</v>
      </c>
      <c r="Z327" t="s">
        <v>701</v>
      </c>
      <c r="AA327" t="s">
        <v>702</v>
      </c>
      <c r="AB327">
        <v>5</v>
      </c>
      <c r="AC327">
        <v>33</v>
      </c>
      <c r="AD327">
        <v>15000</v>
      </c>
      <c r="AF327">
        <v>-6.8173269999999997</v>
      </c>
      <c r="AG327">
        <v>107.61794</v>
      </c>
    </row>
    <row r="328" spans="18:33" x14ac:dyDescent="0.25">
      <c r="R328">
        <v>12</v>
      </c>
      <c r="S328">
        <v>52</v>
      </c>
      <c r="T328">
        <v>3</v>
      </c>
      <c r="V328">
        <v>82</v>
      </c>
      <c r="W328">
        <v>415</v>
      </c>
      <c r="Y328">
        <v>327</v>
      </c>
      <c r="Z328" t="s">
        <v>703</v>
      </c>
      <c r="AA328" t="s">
        <v>704</v>
      </c>
      <c r="AB328">
        <v>3</v>
      </c>
      <c r="AC328">
        <v>33</v>
      </c>
      <c r="AD328">
        <v>10000</v>
      </c>
      <c r="AE328">
        <v>90</v>
      </c>
      <c r="AF328">
        <v>-6.8231833000000002</v>
      </c>
      <c r="AG328">
        <v>107.43716550000001</v>
      </c>
    </row>
    <row r="329" spans="18:33" x14ac:dyDescent="0.25">
      <c r="R329">
        <v>12</v>
      </c>
      <c r="S329">
        <v>65</v>
      </c>
      <c r="T329">
        <v>2</v>
      </c>
      <c r="V329">
        <v>83</v>
      </c>
      <c r="W329">
        <v>410</v>
      </c>
      <c r="Y329">
        <v>328</v>
      </c>
      <c r="Z329" t="s">
        <v>705</v>
      </c>
      <c r="AA329" t="s">
        <v>706</v>
      </c>
      <c r="AB329">
        <v>3</v>
      </c>
      <c r="AC329">
        <v>33</v>
      </c>
      <c r="AD329">
        <v>0</v>
      </c>
      <c r="AE329">
        <v>45</v>
      </c>
      <c r="AF329">
        <v>-6.9588812000000004</v>
      </c>
      <c r="AG329">
        <v>107.47131469999999</v>
      </c>
    </row>
    <row r="330" spans="18:33" x14ac:dyDescent="0.25">
      <c r="R330">
        <v>12</v>
      </c>
      <c r="S330">
        <v>71</v>
      </c>
      <c r="T330">
        <v>5</v>
      </c>
      <c r="V330">
        <v>83</v>
      </c>
      <c r="W330">
        <v>411</v>
      </c>
      <c r="Y330">
        <v>329</v>
      </c>
      <c r="Z330" t="s">
        <v>707</v>
      </c>
      <c r="AA330" t="s">
        <v>708</v>
      </c>
      <c r="AB330">
        <v>2</v>
      </c>
      <c r="AC330">
        <v>22</v>
      </c>
      <c r="AD330">
        <v>40000</v>
      </c>
      <c r="AF330">
        <v>-6.9220816000000003</v>
      </c>
      <c r="AG330">
        <v>107.60731819999999</v>
      </c>
    </row>
    <row r="331" spans="18:33" x14ac:dyDescent="0.25">
      <c r="R331">
        <v>12</v>
      </c>
      <c r="S331">
        <v>72</v>
      </c>
      <c r="T331">
        <v>5</v>
      </c>
      <c r="V331">
        <v>83</v>
      </c>
      <c r="W331">
        <v>416</v>
      </c>
      <c r="Y331">
        <v>330</v>
      </c>
      <c r="Z331" t="s">
        <v>709</v>
      </c>
      <c r="AA331" t="s">
        <v>710</v>
      </c>
      <c r="AB331">
        <v>2</v>
      </c>
      <c r="AC331">
        <v>33</v>
      </c>
      <c r="AD331">
        <v>175000</v>
      </c>
      <c r="AE331">
        <v>150</v>
      </c>
      <c r="AF331">
        <v>-6.8198749999999997</v>
      </c>
      <c r="AG331">
        <v>107.618707</v>
      </c>
    </row>
    <row r="332" spans="18:33" x14ac:dyDescent="0.25">
      <c r="R332">
        <v>12</v>
      </c>
      <c r="S332">
        <v>75</v>
      </c>
      <c r="T332">
        <v>5</v>
      </c>
      <c r="V332">
        <v>83</v>
      </c>
      <c r="W332">
        <v>426</v>
      </c>
      <c r="Y332">
        <v>331</v>
      </c>
      <c r="Z332" t="s">
        <v>711</v>
      </c>
      <c r="AA332" t="s">
        <v>712</v>
      </c>
      <c r="AB332">
        <v>3</v>
      </c>
      <c r="AC332">
        <v>23</v>
      </c>
      <c r="AD332">
        <v>20000</v>
      </c>
      <c r="AE332">
        <v>90</v>
      </c>
      <c r="AF332">
        <v>-6.8179514000000001</v>
      </c>
      <c r="AG332">
        <v>107.618914</v>
      </c>
    </row>
    <row r="333" spans="18:33" x14ac:dyDescent="0.25">
      <c r="R333">
        <v>12</v>
      </c>
      <c r="S333">
        <v>82</v>
      </c>
      <c r="T333">
        <v>4</v>
      </c>
      <c r="V333">
        <v>83</v>
      </c>
      <c r="W333">
        <v>436</v>
      </c>
      <c r="Y333">
        <v>332</v>
      </c>
      <c r="Z333" t="s">
        <v>713</v>
      </c>
      <c r="AA333" t="s">
        <v>714</v>
      </c>
      <c r="AB333">
        <v>5</v>
      </c>
      <c r="AC333">
        <v>33</v>
      </c>
      <c r="AD333">
        <v>20000</v>
      </c>
      <c r="AF333">
        <v>-6.8186888000000003</v>
      </c>
      <c r="AG333">
        <v>107.6169403</v>
      </c>
    </row>
    <row r="334" spans="18:33" x14ac:dyDescent="0.25">
      <c r="R334">
        <v>12</v>
      </c>
      <c r="S334">
        <v>94</v>
      </c>
      <c r="T334">
        <v>5</v>
      </c>
      <c r="V334">
        <v>84</v>
      </c>
      <c r="W334">
        <v>409</v>
      </c>
      <c r="Y334">
        <v>333</v>
      </c>
      <c r="Z334" t="s">
        <v>715</v>
      </c>
      <c r="AA334" t="s">
        <v>716</v>
      </c>
      <c r="AB334">
        <v>5</v>
      </c>
      <c r="AC334">
        <v>22</v>
      </c>
      <c r="AD334">
        <v>50000</v>
      </c>
      <c r="AF334">
        <v>-6.9012241000000003</v>
      </c>
      <c r="AG334">
        <v>107.60998530000001</v>
      </c>
    </row>
    <row r="335" spans="18:33" x14ac:dyDescent="0.25">
      <c r="R335">
        <v>12</v>
      </c>
      <c r="S335">
        <v>98</v>
      </c>
      <c r="T335">
        <v>2</v>
      </c>
      <c r="V335">
        <v>84</v>
      </c>
      <c r="W335">
        <v>403</v>
      </c>
      <c r="Y335">
        <v>334</v>
      </c>
      <c r="Z335" t="s">
        <v>717</v>
      </c>
      <c r="AA335" t="s">
        <v>718</v>
      </c>
      <c r="AB335">
        <v>2</v>
      </c>
      <c r="AC335">
        <v>6</v>
      </c>
      <c r="AD335">
        <v>10000</v>
      </c>
      <c r="AF335">
        <v>-7.2098867000000002</v>
      </c>
      <c r="AG335">
        <v>110.34211190000001</v>
      </c>
    </row>
    <row r="336" spans="18:33" x14ac:dyDescent="0.25">
      <c r="R336">
        <v>12</v>
      </c>
      <c r="S336">
        <v>102</v>
      </c>
      <c r="T336">
        <v>5</v>
      </c>
      <c r="V336">
        <v>84</v>
      </c>
      <c r="W336">
        <v>407</v>
      </c>
      <c r="Y336">
        <v>335</v>
      </c>
      <c r="Z336" t="s">
        <v>720</v>
      </c>
      <c r="AA336" t="s">
        <v>721</v>
      </c>
      <c r="AB336">
        <v>5</v>
      </c>
      <c r="AC336">
        <v>5</v>
      </c>
      <c r="AD336">
        <v>15000</v>
      </c>
      <c r="AF336">
        <v>-6.9605224999999997</v>
      </c>
      <c r="AG336">
        <v>110.3863941</v>
      </c>
    </row>
    <row r="337" spans="18:33" x14ac:dyDescent="0.25">
      <c r="R337">
        <v>12</v>
      </c>
      <c r="S337">
        <v>128</v>
      </c>
      <c r="T337">
        <v>2</v>
      </c>
      <c r="V337">
        <v>84</v>
      </c>
      <c r="W337">
        <v>429</v>
      </c>
      <c r="Y337">
        <v>336</v>
      </c>
      <c r="Z337" t="s">
        <v>722</v>
      </c>
      <c r="AA337" t="s">
        <v>723</v>
      </c>
      <c r="AB337">
        <v>5</v>
      </c>
      <c r="AC337">
        <v>5</v>
      </c>
      <c r="AD337">
        <v>3000</v>
      </c>
      <c r="AE337">
        <v>30</v>
      </c>
      <c r="AF337">
        <v>-6.9888811999999998</v>
      </c>
      <c r="AG337">
        <v>110.40837809999999</v>
      </c>
    </row>
    <row r="338" spans="18:33" x14ac:dyDescent="0.25">
      <c r="R338">
        <v>12</v>
      </c>
      <c r="S338">
        <v>139</v>
      </c>
      <c r="T338">
        <v>4</v>
      </c>
      <c r="V338">
        <v>85</v>
      </c>
      <c r="W338">
        <v>393</v>
      </c>
      <c r="Y338">
        <v>337</v>
      </c>
      <c r="Z338" t="s">
        <v>724</v>
      </c>
      <c r="AA338" t="s">
        <v>725</v>
      </c>
      <c r="AB338">
        <v>2</v>
      </c>
      <c r="AC338">
        <v>5</v>
      </c>
      <c r="AD338">
        <v>10000</v>
      </c>
      <c r="AF338">
        <v>-6.9839098999999996</v>
      </c>
      <c r="AG338">
        <v>110.4104342</v>
      </c>
    </row>
    <row r="339" spans="18:33" x14ac:dyDescent="0.25">
      <c r="R339">
        <v>12</v>
      </c>
      <c r="S339">
        <v>141</v>
      </c>
      <c r="T339">
        <v>2</v>
      </c>
      <c r="V339">
        <v>85</v>
      </c>
      <c r="W339">
        <v>395</v>
      </c>
      <c r="Y339">
        <v>338</v>
      </c>
      <c r="Z339" t="s">
        <v>726</v>
      </c>
      <c r="AA339" t="s">
        <v>727</v>
      </c>
      <c r="AB339">
        <v>2</v>
      </c>
      <c r="AC339">
        <v>5</v>
      </c>
      <c r="AD339">
        <v>35000</v>
      </c>
      <c r="AF339">
        <v>-6.9962365999999996</v>
      </c>
      <c r="AG339">
        <v>110.398122</v>
      </c>
    </row>
    <row r="340" spans="18:33" x14ac:dyDescent="0.25">
      <c r="R340">
        <v>12</v>
      </c>
      <c r="S340">
        <v>154</v>
      </c>
      <c r="T340">
        <v>5</v>
      </c>
      <c r="V340">
        <v>85</v>
      </c>
      <c r="W340">
        <v>423</v>
      </c>
      <c r="Y340">
        <v>339</v>
      </c>
      <c r="Z340" t="s">
        <v>728</v>
      </c>
      <c r="AA340" t="s">
        <v>729</v>
      </c>
      <c r="AB340">
        <v>5</v>
      </c>
      <c r="AC340">
        <v>5</v>
      </c>
      <c r="AD340">
        <v>0</v>
      </c>
      <c r="AE340">
        <v>90</v>
      </c>
      <c r="AF340">
        <v>-7.0205244999999996</v>
      </c>
      <c r="AG340">
        <v>110.3754605</v>
      </c>
    </row>
    <row r="341" spans="18:33" x14ac:dyDescent="0.25">
      <c r="R341">
        <v>12</v>
      </c>
      <c r="S341">
        <v>183</v>
      </c>
      <c r="T341">
        <v>5</v>
      </c>
      <c r="V341">
        <v>86</v>
      </c>
      <c r="W341">
        <v>414</v>
      </c>
      <c r="Y341">
        <v>340</v>
      </c>
      <c r="Z341" t="s">
        <v>730</v>
      </c>
      <c r="AA341" t="s">
        <v>731</v>
      </c>
      <c r="AB341">
        <v>3</v>
      </c>
      <c r="AC341">
        <v>5</v>
      </c>
      <c r="AD341">
        <v>3000</v>
      </c>
      <c r="AF341">
        <v>-7.0296836999999996</v>
      </c>
      <c r="AG341">
        <v>110.3999611</v>
      </c>
    </row>
    <row r="342" spans="18:33" x14ac:dyDescent="0.25">
      <c r="R342">
        <v>12</v>
      </c>
      <c r="S342">
        <v>194</v>
      </c>
      <c r="T342">
        <v>3</v>
      </c>
      <c r="V342">
        <v>86</v>
      </c>
      <c r="W342">
        <v>419</v>
      </c>
      <c r="Y342">
        <v>341</v>
      </c>
      <c r="Z342" t="s">
        <v>732</v>
      </c>
      <c r="AA342" t="s">
        <v>733</v>
      </c>
      <c r="AB342">
        <v>5</v>
      </c>
      <c r="AC342">
        <v>5</v>
      </c>
      <c r="AD342">
        <v>3000</v>
      </c>
      <c r="AE342">
        <v>90</v>
      </c>
      <c r="AF342">
        <v>-6.9909404000000004</v>
      </c>
      <c r="AG342">
        <v>110.4065932</v>
      </c>
    </row>
    <row r="343" spans="18:33" x14ac:dyDescent="0.25">
      <c r="R343">
        <v>12</v>
      </c>
      <c r="S343">
        <v>203</v>
      </c>
      <c r="T343">
        <v>5</v>
      </c>
      <c r="V343">
        <v>86</v>
      </c>
      <c r="W343">
        <v>425</v>
      </c>
      <c r="Y343">
        <v>342</v>
      </c>
      <c r="Z343" t="s">
        <v>734</v>
      </c>
      <c r="AA343" t="s">
        <v>735</v>
      </c>
      <c r="AB343">
        <v>1</v>
      </c>
      <c r="AC343">
        <v>5</v>
      </c>
      <c r="AD343">
        <v>3000</v>
      </c>
      <c r="AF343">
        <v>-6.9451052000000004</v>
      </c>
      <c r="AG343">
        <v>110.3982398</v>
      </c>
    </row>
    <row r="344" spans="18:33" x14ac:dyDescent="0.25">
      <c r="R344">
        <v>12</v>
      </c>
      <c r="S344">
        <v>215</v>
      </c>
      <c r="T344">
        <v>5</v>
      </c>
      <c r="V344">
        <v>86</v>
      </c>
      <c r="W344">
        <v>432</v>
      </c>
      <c r="Y344">
        <v>343</v>
      </c>
      <c r="Z344" t="s">
        <v>736</v>
      </c>
      <c r="AA344" t="s">
        <v>737</v>
      </c>
      <c r="AB344">
        <v>1</v>
      </c>
      <c r="AC344">
        <v>5</v>
      </c>
      <c r="AD344">
        <v>3000</v>
      </c>
      <c r="AF344">
        <v>-6.9488770000000004</v>
      </c>
      <c r="AG344">
        <v>110.3893285</v>
      </c>
    </row>
    <row r="345" spans="18:33" x14ac:dyDescent="0.25">
      <c r="R345">
        <v>12</v>
      </c>
      <c r="S345">
        <v>226</v>
      </c>
      <c r="T345">
        <v>4</v>
      </c>
      <c r="V345">
        <v>87</v>
      </c>
      <c r="W345">
        <v>404</v>
      </c>
      <c r="Y345">
        <v>344</v>
      </c>
      <c r="Z345" t="s">
        <v>738</v>
      </c>
      <c r="AA345" t="s">
        <v>739</v>
      </c>
      <c r="AB345">
        <v>2</v>
      </c>
      <c r="AC345">
        <v>5</v>
      </c>
      <c r="AD345">
        <v>10000</v>
      </c>
      <c r="AF345">
        <v>-6.9687730999999999</v>
      </c>
      <c r="AG345">
        <v>110.4319505</v>
      </c>
    </row>
    <row r="346" spans="18:33" x14ac:dyDescent="0.25">
      <c r="R346">
        <v>12</v>
      </c>
      <c r="S346">
        <v>236</v>
      </c>
      <c r="T346">
        <v>3</v>
      </c>
      <c r="V346">
        <v>87</v>
      </c>
      <c r="W346">
        <v>424</v>
      </c>
      <c r="Y346">
        <v>345</v>
      </c>
      <c r="Z346" t="s">
        <v>740</v>
      </c>
      <c r="AA346" t="s">
        <v>741</v>
      </c>
      <c r="AB346">
        <v>5</v>
      </c>
      <c r="AC346">
        <v>5</v>
      </c>
      <c r="AD346">
        <v>0</v>
      </c>
      <c r="AE346">
        <v>45</v>
      </c>
      <c r="AF346">
        <v>-6.9923507000000003</v>
      </c>
      <c r="AG346">
        <v>110.4201162</v>
      </c>
    </row>
    <row r="347" spans="18:33" x14ac:dyDescent="0.25">
      <c r="R347">
        <v>12</v>
      </c>
      <c r="S347">
        <v>265</v>
      </c>
      <c r="T347">
        <v>4</v>
      </c>
      <c r="V347">
        <v>87</v>
      </c>
      <c r="W347">
        <v>401</v>
      </c>
      <c r="Y347">
        <v>346</v>
      </c>
      <c r="Z347" t="s">
        <v>742</v>
      </c>
      <c r="AA347" t="s">
        <v>743</v>
      </c>
      <c r="AB347">
        <v>5</v>
      </c>
      <c r="AC347">
        <v>5</v>
      </c>
      <c r="AD347">
        <v>0</v>
      </c>
      <c r="AE347">
        <v>45</v>
      </c>
      <c r="AF347">
        <v>-6.9877935999999998</v>
      </c>
      <c r="AG347">
        <v>110.4172262</v>
      </c>
    </row>
    <row r="348" spans="18:33" x14ac:dyDescent="0.25">
      <c r="R348">
        <v>12</v>
      </c>
      <c r="S348">
        <v>274</v>
      </c>
      <c r="T348">
        <v>4</v>
      </c>
      <c r="V348">
        <v>88</v>
      </c>
      <c r="W348">
        <v>397</v>
      </c>
      <c r="Y348">
        <v>347</v>
      </c>
      <c r="Z348" t="s">
        <v>744</v>
      </c>
      <c r="AA348" t="s">
        <v>745</v>
      </c>
      <c r="AB348">
        <v>2</v>
      </c>
      <c r="AC348">
        <v>5</v>
      </c>
      <c r="AD348">
        <v>20000</v>
      </c>
      <c r="AF348">
        <v>-6.9984758999999999</v>
      </c>
      <c r="AG348">
        <v>110.41064679999999</v>
      </c>
    </row>
    <row r="349" spans="18:33" x14ac:dyDescent="0.25">
      <c r="R349">
        <v>12</v>
      </c>
      <c r="S349">
        <v>293</v>
      </c>
      <c r="T349">
        <v>5</v>
      </c>
      <c r="V349">
        <v>88</v>
      </c>
      <c r="W349">
        <v>398</v>
      </c>
      <c r="Y349">
        <v>348</v>
      </c>
      <c r="Z349" t="s">
        <v>746</v>
      </c>
      <c r="AA349" t="s">
        <v>747</v>
      </c>
      <c r="AB349">
        <v>3</v>
      </c>
      <c r="AC349">
        <v>5</v>
      </c>
      <c r="AD349">
        <v>5000</v>
      </c>
      <c r="AE349">
        <v>90</v>
      </c>
      <c r="AF349">
        <v>-6.9685617999999998</v>
      </c>
      <c r="AG349">
        <v>110.3459696</v>
      </c>
    </row>
    <row r="350" spans="18:33" x14ac:dyDescent="0.25">
      <c r="R350">
        <v>12</v>
      </c>
      <c r="S350">
        <v>301</v>
      </c>
      <c r="T350">
        <v>5</v>
      </c>
      <c r="V350">
        <v>88</v>
      </c>
      <c r="W350">
        <v>402</v>
      </c>
      <c r="Y350">
        <v>349</v>
      </c>
      <c r="Z350" t="s">
        <v>748</v>
      </c>
      <c r="AA350" t="s">
        <v>749</v>
      </c>
      <c r="AB350">
        <v>1</v>
      </c>
      <c r="AC350">
        <v>5</v>
      </c>
      <c r="AD350">
        <v>5000</v>
      </c>
      <c r="AE350">
        <v>90</v>
      </c>
      <c r="AF350">
        <v>-6.9486401999999998</v>
      </c>
      <c r="AG350">
        <v>110.41029229999999</v>
      </c>
    </row>
    <row r="351" spans="18:33" x14ac:dyDescent="0.25">
      <c r="R351">
        <v>12</v>
      </c>
      <c r="S351">
        <v>302</v>
      </c>
      <c r="T351">
        <v>3</v>
      </c>
      <c r="V351">
        <v>88</v>
      </c>
      <c r="W351">
        <v>431</v>
      </c>
      <c r="Y351">
        <v>350</v>
      </c>
      <c r="Z351" t="s">
        <v>750</v>
      </c>
      <c r="AA351" t="s">
        <v>751</v>
      </c>
      <c r="AB351">
        <v>2</v>
      </c>
      <c r="AC351">
        <v>5</v>
      </c>
      <c r="AD351">
        <v>50000</v>
      </c>
      <c r="AF351">
        <v>-6.9684064000000001</v>
      </c>
      <c r="AG351">
        <v>110.4261995</v>
      </c>
    </row>
    <row r="352" spans="18:33" x14ac:dyDescent="0.25">
      <c r="R352">
        <v>12</v>
      </c>
      <c r="S352">
        <v>368</v>
      </c>
      <c r="T352">
        <v>5</v>
      </c>
      <c r="V352">
        <v>89</v>
      </c>
      <c r="W352">
        <v>408</v>
      </c>
      <c r="Y352">
        <v>351</v>
      </c>
      <c r="Z352" t="s">
        <v>752</v>
      </c>
      <c r="AA352" t="s">
        <v>753</v>
      </c>
      <c r="AB352">
        <v>6</v>
      </c>
      <c r="AC352">
        <v>5</v>
      </c>
      <c r="AD352">
        <v>0</v>
      </c>
      <c r="AF352">
        <v>-6.9683488000000002</v>
      </c>
      <c r="AG352">
        <v>110.4274767</v>
      </c>
    </row>
    <row r="353" spans="18:33" x14ac:dyDescent="0.25">
      <c r="R353">
        <v>12</v>
      </c>
      <c r="S353">
        <v>378</v>
      </c>
      <c r="T353">
        <v>4</v>
      </c>
      <c r="V353">
        <v>89</v>
      </c>
      <c r="W353">
        <v>413</v>
      </c>
      <c r="Y353">
        <v>352</v>
      </c>
      <c r="Z353" t="s">
        <v>754</v>
      </c>
      <c r="AA353" t="s">
        <v>755</v>
      </c>
      <c r="AB353">
        <v>5</v>
      </c>
      <c r="AC353">
        <v>5</v>
      </c>
      <c r="AD353">
        <v>0</v>
      </c>
      <c r="AF353">
        <v>-6.9681727999999996</v>
      </c>
      <c r="AG353">
        <v>110.4278262</v>
      </c>
    </row>
    <row r="354" spans="18:33" x14ac:dyDescent="0.25">
      <c r="R354">
        <v>12</v>
      </c>
      <c r="S354">
        <v>401</v>
      </c>
      <c r="T354">
        <v>3</v>
      </c>
      <c r="V354">
        <v>89</v>
      </c>
      <c r="W354">
        <v>418</v>
      </c>
      <c r="Y354">
        <v>353</v>
      </c>
      <c r="Z354" t="s">
        <v>756</v>
      </c>
      <c r="AA354" t="s">
        <v>757</v>
      </c>
      <c r="AB354">
        <v>2</v>
      </c>
      <c r="AC354">
        <v>5</v>
      </c>
      <c r="AD354">
        <v>10000</v>
      </c>
      <c r="AE354">
        <v>90</v>
      </c>
      <c r="AF354">
        <v>-6.9675000000000002</v>
      </c>
      <c r="AG354">
        <v>110.4282</v>
      </c>
    </row>
    <row r="355" spans="18:33" x14ac:dyDescent="0.25">
      <c r="R355">
        <v>12</v>
      </c>
      <c r="S355">
        <v>428</v>
      </c>
      <c r="T355">
        <v>3</v>
      </c>
      <c r="V355">
        <v>89</v>
      </c>
      <c r="W355">
        <v>421</v>
      </c>
      <c r="Y355">
        <v>354</v>
      </c>
      <c r="Z355" t="s">
        <v>758</v>
      </c>
      <c r="AA355" t="s">
        <v>759</v>
      </c>
      <c r="AB355">
        <v>3</v>
      </c>
      <c r="AC355">
        <v>6</v>
      </c>
      <c r="AD355">
        <v>75000</v>
      </c>
      <c r="AF355">
        <v>-7.1945902999999998</v>
      </c>
      <c r="AG355">
        <v>110.37335830000001</v>
      </c>
    </row>
    <row r="356" spans="18:33" x14ac:dyDescent="0.25">
      <c r="R356">
        <v>13</v>
      </c>
      <c r="S356">
        <v>20</v>
      </c>
      <c r="T356">
        <v>2</v>
      </c>
      <c r="V356">
        <v>89</v>
      </c>
      <c r="W356">
        <v>422</v>
      </c>
      <c r="Y356">
        <v>355</v>
      </c>
      <c r="Z356" t="s">
        <v>760</v>
      </c>
      <c r="AA356" t="s">
        <v>761</v>
      </c>
      <c r="AB356">
        <v>5</v>
      </c>
      <c r="AC356">
        <v>6</v>
      </c>
      <c r="AD356">
        <v>150000</v>
      </c>
      <c r="AE356">
        <v>180</v>
      </c>
      <c r="AF356">
        <v>-7.2807262000000001</v>
      </c>
      <c r="AG356">
        <v>110.4595539</v>
      </c>
    </row>
    <row r="357" spans="18:33" x14ac:dyDescent="0.25">
      <c r="R357">
        <v>13</v>
      </c>
      <c r="S357">
        <v>56</v>
      </c>
      <c r="T357">
        <v>5</v>
      </c>
      <c r="V357">
        <v>90</v>
      </c>
      <c r="W357">
        <v>418</v>
      </c>
      <c r="Y357">
        <v>356</v>
      </c>
      <c r="Z357" t="s">
        <v>762</v>
      </c>
      <c r="AA357" t="s">
        <v>763</v>
      </c>
      <c r="AB357">
        <v>3</v>
      </c>
      <c r="AC357">
        <v>6</v>
      </c>
      <c r="AD357">
        <v>10000</v>
      </c>
      <c r="AE357">
        <v>45</v>
      </c>
      <c r="AF357">
        <v>-7.1157969000000003</v>
      </c>
      <c r="AG357">
        <v>110.42179659999999</v>
      </c>
    </row>
    <row r="358" spans="18:33" x14ac:dyDescent="0.25">
      <c r="R358">
        <v>13</v>
      </c>
      <c r="S358">
        <v>65</v>
      </c>
      <c r="T358">
        <v>2</v>
      </c>
      <c r="V358">
        <v>90</v>
      </c>
      <c r="W358">
        <v>421</v>
      </c>
      <c r="Y358">
        <v>357</v>
      </c>
      <c r="Z358" t="s">
        <v>764</v>
      </c>
      <c r="AA358" t="s">
        <v>765</v>
      </c>
      <c r="AB358">
        <v>6</v>
      </c>
      <c r="AC358">
        <v>5</v>
      </c>
      <c r="AD358">
        <v>0</v>
      </c>
      <c r="AF358">
        <v>-7.0187781999999999</v>
      </c>
      <c r="AG358">
        <v>110.2937134</v>
      </c>
    </row>
    <row r="359" spans="18:33" x14ac:dyDescent="0.25">
      <c r="R359">
        <v>13</v>
      </c>
      <c r="S359">
        <v>75</v>
      </c>
      <c r="T359">
        <v>5</v>
      </c>
      <c r="V359">
        <v>90</v>
      </c>
      <c r="W359">
        <v>422</v>
      </c>
      <c r="Y359">
        <v>358</v>
      </c>
      <c r="Z359" t="s">
        <v>766</v>
      </c>
      <c r="AA359" t="s">
        <v>767</v>
      </c>
      <c r="AB359">
        <v>3</v>
      </c>
      <c r="AC359">
        <v>6</v>
      </c>
      <c r="AD359">
        <v>25000</v>
      </c>
      <c r="AE359">
        <v>90</v>
      </c>
      <c r="AF359">
        <v>-7.2255041000000002</v>
      </c>
      <c r="AG359">
        <v>110.34631659999999</v>
      </c>
    </row>
    <row r="360" spans="18:33" x14ac:dyDescent="0.25">
      <c r="R360">
        <v>13</v>
      </c>
      <c r="S360">
        <v>114</v>
      </c>
      <c r="T360">
        <v>5</v>
      </c>
      <c r="V360">
        <v>90</v>
      </c>
      <c r="W360">
        <v>427</v>
      </c>
      <c r="Y360">
        <v>359</v>
      </c>
      <c r="Z360" t="s">
        <v>768</v>
      </c>
      <c r="AA360" t="s">
        <v>769</v>
      </c>
      <c r="AB360">
        <v>3</v>
      </c>
      <c r="AC360">
        <v>6</v>
      </c>
      <c r="AD360">
        <v>5000</v>
      </c>
      <c r="AF360">
        <v>-7.3580962999999997</v>
      </c>
      <c r="AG360">
        <v>110.4210681</v>
      </c>
    </row>
    <row r="361" spans="18:33" x14ac:dyDescent="0.25">
      <c r="R361">
        <v>13</v>
      </c>
      <c r="S361">
        <v>129</v>
      </c>
      <c r="T361">
        <v>4</v>
      </c>
      <c r="V361">
        <v>90</v>
      </c>
      <c r="W361">
        <v>428</v>
      </c>
      <c r="Y361">
        <v>360</v>
      </c>
      <c r="Z361" t="s">
        <v>770</v>
      </c>
      <c r="AA361" t="s">
        <v>771</v>
      </c>
      <c r="AB361">
        <v>5</v>
      </c>
      <c r="AC361">
        <v>6</v>
      </c>
      <c r="AD361">
        <v>10000</v>
      </c>
      <c r="AF361">
        <v>-7.2141582</v>
      </c>
      <c r="AG361">
        <v>110.37695410000001</v>
      </c>
    </row>
    <row r="362" spans="18:33" x14ac:dyDescent="0.25">
      <c r="R362">
        <v>13</v>
      </c>
      <c r="S362">
        <v>142</v>
      </c>
      <c r="T362">
        <v>5</v>
      </c>
      <c r="V362">
        <v>91</v>
      </c>
      <c r="W362">
        <v>391</v>
      </c>
      <c r="Y362">
        <v>361</v>
      </c>
      <c r="Z362" t="s">
        <v>772</v>
      </c>
      <c r="AA362" t="s">
        <v>773</v>
      </c>
      <c r="AB362">
        <v>3</v>
      </c>
      <c r="AC362">
        <v>6</v>
      </c>
      <c r="AD362">
        <v>15000</v>
      </c>
      <c r="AF362">
        <v>-7.2854929000000004</v>
      </c>
      <c r="AG362">
        <v>110.4321671</v>
      </c>
    </row>
    <row r="363" spans="18:33" x14ac:dyDescent="0.25">
      <c r="R363">
        <v>13</v>
      </c>
      <c r="S363">
        <v>156</v>
      </c>
      <c r="T363">
        <v>3</v>
      </c>
      <c r="V363">
        <v>91</v>
      </c>
      <c r="W363">
        <v>392</v>
      </c>
      <c r="Y363">
        <v>362</v>
      </c>
      <c r="Z363" t="s">
        <v>774</v>
      </c>
      <c r="AA363" t="s">
        <v>775</v>
      </c>
      <c r="AB363">
        <v>1</v>
      </c>
      <c r="AC363">
        <v>5</v>
      </c>
      <c r="AD363">
        <v>5000</v>
      </c>
      <c r="AF363">
        <v>-6.9545687000000003</v>
      </c>
      <c r="AG363">
        <v>110.3600951</v>
      </c>
    </row>
    <row r="364" spans="18:33" x14ac:dyDescent="0.25">
      <c r="R364">
        <v>13</v>
      </c>
      <c r="S364">
        <v>163</v>
      </c>
      <c r="T364">
        <v>4</v>
      </c>
      <c r="V364">
        <v>91</v>
      </c>
      <c r="W364">
        <v>434</v>
      </c>
      <c r="Y364">
        <v>363</v>
      </c>
      <c r="Z364" t="s">
        <v>776</v>
      </c>
      <c r="AA364" t="s">
        <v>777</v>
      </c>
      <c r="AB364">
        <v>5</v>
      </c>
      <c r="AC364">
        <v>5</v>
      </c>
      <c r="AD364">
        <v>80000</v>
      </c>
      <c r="AE364">
        <v>60</v>
      </c>
      <c r="AF364">
        <v>-7.0218894000000001</v>
      </c>
      <c r="AG364">
        <v>110.4383345</v>
      </c>
    </row>
    <row r="365" spans="18:33" x14ac:dyDescent="0.25">
      <c r="R365">
        <v>13</v>
      </c>
      <c r="S365">
        <v>177</v>
      </c>
      <c r="T365">
        <v>2</v>
      </c>
      <c r="V365">
        <v>92</v>
      </c>
      <c r="W365">
        <v>396</v>
      </c>
      <c r="Y365">
        <v>364</v>
      </c>
      <c r="Z365" t="s">
        <v>778</v>
      </c>
      <c r="AA365" t="s">
        <v>779</v>
      </c>
      <c r="AB365">
        <v>3</v>
      </c>
      <c r="AC365">
        <v>5</v>
      </c>
      <c r="AD365">
        <v>2500</v>
      </c>
      <c r="AF365">
        <v>-7.0370499000000004</v>
      </c>
      <c r="AG365">
        <v>110.34775860000001</v>
      </c>
    </row>
    <row r="366" spans="18:33" x14ac:dyDescent="0.25">
      <c r="R366">
        <v>13</v>
      </c>
      <c r="S366">
        <v>178</v>
      </c>
      <c r="T366">
        <v>2</v>
      </c>
      <c r="V366">
        <v>92</v>
      </c>
      <c r="W366">
        <v>406</v>
      </c>
      <c r="Y366">
        <v>365</v>
      </c>
      <c r="Z366" t="s">
        <v>780</v>
      </c>
      <c r="AA366" t="s">
        <v>781</v>
      </c>
      <c r="AB366">
        <v>5</v>
      </c>
      <c r="AC366">
        <v>6</v>
      </c>
      <c r="AD366">
        <v>20000</v>
      </c>
      <c r="AE366">
        <v>150</v>
      </c>
      <c r="AF366">
        <v>-7.1321060000000003</v>
      </c>
      <c r="AG366">
        <v>110.39452300000001</v>
      </c>
    </row>
    <row r="367" spans="18:33" x14ac:dyDescent="0.25">
      <c r="R367">
        <v>13</v>
      </c>
      <c r="S367">
        <v>191</v>
      </c>
      <c r="T367">
        <v>2</v>
      </c>
      <c r="V367">
        <v>92</v>
      </c>
      <c r="W367">
        <v>434</v>
      </c>
      <c r="Y367">
        <v>366</v>
      </c>
      <c r="Z367" t="s">
        <v>782</v>
      </c>
      <c r="AA367" t="s">
        <v>783</v>
      </c>
      <c r="AB367">
        <v>3</v>
      </c>
      <c r="AC367">
        <v>6</v>
      </c>
      <c r="AD367">
        <v>7000</v>
      </c>
      <c r="AF367">
        <v>-7.3126613000000003</v>
      </c>
      <c r="AG367">
        <v>110.3746785</v>
      </c>
    </row>
    <row r="368" spans="18:33" x14ac:dyDescent="0.25">
      <c r="R368">
        <v>13</v>
      </c>
      <c r="S368">
        <v>214</v>
      </c>
      <c r="T368">
        <v>5</v>
      </c>
      <c r="V368">
        <v>93</v>
      </c>
      <c r="W368">
        <v>412</v>
      </c>
      <c r="Y368">
        <v>367</v>
      </c>
      <c r="Z368" t="s">
        <v>784</v>
      </c>
      <c r="AA368" t="s">
        <v>785</v>
      </c>
      <c r="AB368">
        <v>3</v>
      </c>
      <c r="AC368">
        <v>6</v>
      </c>
      <c r="AD368">
        <v>3000</v>
      </c>
      <c r="AF368">
        <v>-7.2675390000000002</v>
      </c>
      <c r="AG368">
        <v>110.418076</v>
      </c>
    </row>
    <row r="369" spans="18:33" x14ac:dyDescent="0.25">
      <c r="R369">
        <v>13</v>
      </c>
      <c r="S369">
        <v>229</v>
      </c>
      <c r="T369">
        <v>2</v>
      </c>
      <c r="V369">
        <v>93</v>
      </c>
      <c r="W369">
        <v>416</v>
      </c>
      <c r="Y369">
        <v>368</v>
      </c>
      <c r="Z369" t="s">
        <v>786</v>
      </c>
      <c r="AA369" t="s">
        <v>787</v>
      </c>
      <c r="AB369">
        <v>2</v>
      </c>
      <c r="AC369">
        <v>6</v>
      </c>
      <c r="AD369">
        <v>7500</v>
      </c>
      <c r="AE369">
        <v>20</v>
      </c>
      <c r="AF369">
        <v>-7.2598861000000001</v>
      </c>
      <c r="AG369">
        <v>110.4025602</v>
      </c>
    </row>
    <row r="370" spans="18:33" x14ac:dyDescent="0.25">
      <c r="R370">
        <v>13</v>
      </c>
      <c r="S370">
        <v>242</v>
      </c>
      <c r="T370">
        <v>3</v>
      </c>
      <c r="V370">
        <v>93</v>
      </c>
      <c r="W370">
        <v>417</v>
      </c>
      <c r="Y370">
        <v>369</v>
      </c>
      <c r="Z370" t="s">
        <v>788</v>
      </c>
      <c r="AA370" t="s">
        <v>789</v>
      </c>
      <c r="AB370">
        <v>2</v>
      </c>
      <c r="AC370">
        <v>3</v>
      </c>
      <c r="AD370">
        <v>5000</v>
      </c>
      <c r="AE370">
        <v>60</v>
      </c>
      <c r="AF370">
        <v>-7.2706461999999998</v>
      </c>
      <c r="AG370">
        <v>110.4103291</v>
      </c>
    </row>
    <row r="371" spans="18:33" x14ac:dyDescent="0.25">
      <c r="R371">
        <v>13</v>
      </c>
      <c r="S371">
        <v>245</v>
      </c>
      <c r="T371">
        <v>4</v>
      </c>
      <c r="V371">
        <v>93</v>
      </c>
      <c r="W371">
        <v>420</v>
      </c>
      <c r="Y371">
        <v>370</v>
      </c>
      <c r="Z371" t="s">
        <v>790</v>
      </c>
      <c r="AA371" t="s">
        <v>791</v>
      </c>
      <c r="AB371">
        <v>3</v>
      </c>
      <c r="AC371">
        <v>6</v>
      </c>
      <c r="AD371">
        <v>25000</v>
      </c>
      <c r="AE371">
        <v>90</v>
      </c>
      <c r="AF371">
        <v>-7.2531096000000002</v>
      </c>
      <c r="AG371">
        <v>110.4264512</v>
      </c>
    </row>
    <row r="372" spans="18:33" x14ac:dyDescent="0.25">
      <c r="R372">
        <v>13</v>
      </c>
      <c r="S372">
        <v>265</v>
      </c>
      <c r="T372">
        <v>4</v>
      </c>
      <c r="V372">
        <v>93</v>
      </c>
      <c r="W372">
        <v>430</v>
      </c>
      <c r="Y372">
        <v>371</v>
      </c>
      <c r="Z372" t="s">
        <v>792</v>
      </c>
      <c r="AA372" t="s">
        <v>793</v>
      </c>
      <c r="AB372">
        <v>3</v>
      </c>
      <c r="AC372">
        <v>6</v>
      </c>
      <c r="AD372">
        <v>2000</v>
      </c>
      <c r="AF372">
        <v>-7.2552364000000003</v>
      </c>
      <c r="AG372">
        <v>110.39918969999999</v>
      </c>
    </row>
    <row r="373" spans="18:33" x14ac:dyDescent="0.25">
      <c r="R373">
        <v>13</v>
      </c>
      <c r="S373">
        <v>290</v>
      </c>
      <c r="T373">
        <v>2</v>
      </c>
      <c r="V373">
        <v>94</v>
      </c>
      <c r="W373">
        <v>397</v>
      </c>
      <c r="Y373">
        <v>372</v>
      </c>
      <c r="Z373" t="s">
        <v>794</v>
      </c>
      <c r="AA373" t="s">
        <v>795</v>
      </c>
      <c r="AB373">
        <v>2</v>
      </c>
      <c r="AC373">
        <v>6</v>
      </c>
      <c r="AD373">
        <v>10000</v>
      </c>
      <c r="AE373">
        <v>60</v>
      </c>
      <c r="AF373">
        <v>-7.2645989000000002</v>
      </c>
      <c r="AG373">
        <v>110.4046017</v>
      </c>
    </row>
    <row r="374" spans="18:33" x14ac:dyDescent="0.25">
      <c r="R374">
        <v>13</v>
      </c>
      <c r="S374">
        <v>296</v>
      </c>
      <c r="T374">
        <v>2</v>
      </c>
      <c r="V374">
        <v>94</v>
      </c>
      <c r="W374">
        <v>398</v>
      </c>
      <c r="Y374">
        <v>373</v>
      </c>
      <c r="Z374" t="s">
        <v>796</v>
      </c>
      <c r="AA374" t="s">
        <v>797</v>
      </c>
      <c r="AB374">
        <v>3</v>
      </c>
      <c r="AC374">
        <v>6</v>
      </c>
      <c r="AD374">
        <v>6000</v>
      </c>
      <c r="AF374">
        <v>-7.3956059999999999</v>
      </c>
      <c r="AG374">
        <v>110.45177270000001</v>
      </c>
    </row>
    <row r="375" spans="18:33" x14ac:dyDescent="0.25">
      <c r="R375">
        <v>13</v>
      </c>
      <c r="S375">
        <v>370</v>
      </c>
      <c r="T375">
        <v>5</v>
      </c>
      <c r="V375">
        <v>94</v>
      </c>
      <c r="W375">
        <v>399</v>
      </c>
      <c r="Y375">
        <v>374</v>
      </c>
      <c r="Z375" t="s">
        <v>798</v>
      </c>
      <c r="AA375" t="s">
        <v>799</v>
      </c>
      <c r="AB375">
        <v>2</v>
      </c>
      <c r="AC375">
        <v>5</v>
      </c>
      <c r="AD375">
        <v>0</v>
      </c>
      <c r="AE375">
        <v>90</v>
      </c>
      <c r="AF375">
        <v>-6.9681398999999997</v>
      </c>
      <c r="AG375">
        <v>110.4278611</v>
      </c>
    </row>
    <row r="376" spans="18:33" x14ac:dyDescent="0.25">
      <c r="R376">
        <v>13</v>
      </c>
      <c r="S376">
        <v>397</v>
      </c>
      <c r="T376">
        <v>2</v>
      </c>
      <c r="V376">
        <v>94</v>
      </c>
      <c r="W376">
        <v>402</v>
      </c>
      <c r="Y376">
        <v>375</v>
      </c>
      <c r="Z376" t="s">
        <v>800</v>
      </c>
      <c r="AA376" t="s">
        <v>801</v>
      </c>
      <c r="AB376">
        <v>2</v>
      </c>
      <c r="AC376">
        <v>5</v>
      </c>
      <c r="AD376">
        <v>30000</v>
      </c>
      <c r="AE376">
        <v>30</v>
      </c>
      <c r="AF376">
        <v>-6.9749923000000003</v>
      </c>
      <c r="AG376">
        <v>110.424954</v>
      </c>
    </row>
    <row r="377" spans="18:33" x14ac:dyDescent="0.25">
      <c r="R377">
        <v>13</v>
      </c>
      <c r="S377">
        <v>397</v>
      </c>
      <c r="T377">
        <v>2</v>
      </c>
      <c r="V377">
        <v>94</v>
      </c>
      <c r="W377">
        <v>405</v>
      </c>
      <c r="Y377">
        <v>376</v>
      </c>
      <c r="Z377" t="s">
        <v>802</v>
      </c>
      <c r="AA377" t="s">
        <v>803</v>
      </c>
      <c r="AB377">
        <v>5</v>
      </c>
      <c r="AC377">
        <v>6</v>
      </c>
      <c r="AD377">
        <v>35000</v>
      </c>
      <c r="AF377">
        <v>-7.2156922999999997</v>
      </c>
      <c r="AG377">
        <v>110.36493919999999</v>
      </c>
    </row>
    <row r="378" spans="18:33" x14ac:dyDescent="0.25">
      <c r="R378">
        <v>13</v>
      </c>
      <c r="S378">
        <v>405</v>
      </c>
      <c r="T378">
        <v>2</v>
      </c>
      <c r="V378">
        <v>95</v>
      </c>
      <c r="W378">
        <v>412</v>
      </c>
      <c r="Y378">
        <v>377</v>
      </c>
      <c r="Z378" t="s">
        <v>804</v>
      </c>
      <c r="AA378" t="s">
        <v>805</v>
      </c>
      <c r="AB378">
        <v>5</v>
      </c>
      <c r="AC378">
        <v>6</v>
      </c>
      <c r="AD378">
        <v>0</v>
      </c>
      <c r="AE378">
        <v>60</v>
      </c>
      <c r="AF378">
        <v>-7.2678200999999998</v>
      </c>
      <c r="AG378">
        <v>110.44832169999999</v>
      </c>
    </row>
    <row r="379" spans="18:33" x14ac:dyDescent="0.25">
      <c r="R379">
        <v>13</v>
      </c>
      <c r="S379">
        <v>421</v>
      </c>
      <c r="T379">
        <v>4</v>
      </c>
      <c r="V379">
        <v>95</v>
      </c>
      <c r="W379">
        <v>430</v>
      </c>
      <c r="Y379">
        <v>378</v>
      </c>
      <c r="Z379" t="s">
        <v>806</v>
      </c>
      <c r="AA379" t="s">
        <v>807</v>
      </c>
      <c r="AB379">
        <v>3</v>
      </c>
      <c r="AC379">
        <v>6</v>
      </c>
      <c r="AD379">
        <v>5000</v>
      </c>
      <c r="AF379">
        <v>-7.2721621000000001</v>
      </c>
      <c r="AG379">
        <v>110.46984569999999</v>
      </c>
    </row>
    <row r="380" spans="18:33" x14ac:dyDescent="0.25">
      <c r="R380">
        <v>13</v>
      </c>
      <c r="S380">
        <v>436</v>
      </c>
      <c r="T380">
        <v>5</v>
      </c>
      <c r="V380">
        <v>95</v>
      </c>
      <c r="W380">
        <v>414</v>
      </c>
      <c r="Y380">
        <v>379</v>
      </c>
      <c r="Z380" t="s">
        <v>808</v>
      </c>
      <c r="AA380" t="s">
        <v>809</v>
      </c>
      <c r="AB380">
        <v>6</v>
      </c>
      <c r="AC380">
        <v>6</v>
      </c>
      <c r="AD380">
        <v>0</v>
      </c>
      <c r="AF380">
        <v>-7.1350705000000003</v>
      </c>
      <c r="AG380">
        <v>110.4088131</v>
      </c>
    </row>
    <row r="381" spans="18:33" x14ac:dyDescent="0.25">
      <c r="R381">
        <v>14</v>
      </c>
      <c r="S381">
        <v>8</v>
      </c>
      <c r="T381">
        <v>4</v>
      </c>
      <c r="V381">
        <v>95</v>
      </c>
      <c r="W381">
        <v>432</v>
      </c>
      <c r="Y381">
        <v>380</v>
      </c>
      <c r="Z381" t="s">
        <v>810</v>
      </c>
      <c r="AA381" t="s">
        <v>811</v>
      </c>
      <c r="AB381">
        <v>2</v>
      </c>
      <c r="AC381">
        <v>5</v>
      </c>
      <c r="AD381">
        <v>0</v>
      </c>
      <c r="AF381">
        <v>-6.9843485000000003</v>
      </c>
      <c r="AG381">
        <v>110.40932069999999</v>
      </c>
    </row>
    <row r="382" spans="18:33" x14ac:dyDescent="0.25">
      <c r="R382">
        <v>14</v>
      </c>
      <c r="S382">
        <v>11</v>
      </c>
      <c r="T382">
        <v>2</v>
      </c>
      <c r="V382">
        <v>96</v>
      </c>
      <c r="W382">
        <v>391</v>
      </c>
      <c r="Y382">
        <v>381</v>
      </c>
      <c r="Z382" t="s">
        <v>812</v>
      </c>
      <c r="AA382" t="s">
        <v>813</v>
      </c>
      <c r="AB382">
        <v>5</v>
      </c>
      <c r="AC382">
        <v>6</v>
      </c>
      <c r="AD382">
        <v>200000</v>
      </c>
      <c r="AE382">
        <v>90</v>
      </c>
      <c r="AF382">
        <v>-7.2539005000000003</v>
      </c>
      <c r="AG382">
        <v>110.4414953</v>
      </c>
    </row>
    <row r="383" spans="18:33" x14ac:dyDescent="0.25">
      <c r="R383">
        <v>14</v>
      </c>
      <c r="S383">
        <v>50</v>
      </c>
      <c r="T383">
        <v>2</v>
      </c>
      <c r="V383">
        <v>96</v>
      </c>
      <c r="W383">
        <v>392</v>
      </c>
      <c r="Y383">
        <v>382</v>
      </c>
      <c r="Z383" t="s">
        <v>814</v>
      </c>
      <c r="AA383" t="s">
        <v>815</v>
      </c>
      <c r="AB383">
        <v>5</v>
      </c>
      <c r="AC383">
        <v>5</v>
      </c>
      <c r="AD383">
        <v>0</v>
      </c>
      <c r="AE383">
        <v>60</v>
      </c>
      <c r="AF383">
        <v>-7.0388032000000003</v>
      </c>
      <c r="AG383">
        <v>110.4215576</v>
      </c>
    </row>
    <row r="384" spans="18:33" x14ac:dyDescent="0.25">
      <c r="R384">
        <v>14</v>
      </c>
      <c r="S384">
        <v>54</v>
      </c>
      <c r="T384">
        <v>2</v>
      </c>
      <c r="V384">
        <v>96</v>
      </c>
      <c r="W384">
        <v>396</v>
      </c>
      <c r="Y384">
        <v>383</v>
      </c>
      <c r="Z384" t="s">
        <v>816</v>
      </c>
      <c r="AA384" t="s">
        <v>817</v>
      </c>
      <c r="AB384">
        <v>2</v>
      </c>
      <c r="AC384">
        <v>5</v>
      </c>
      <c r="AD384">
        <v>0</v>
      </c>
      <c r="AE384">
        <v>90</v>
      </c>
      <c r="AF384">
        <v>-7.0290974000000004</v>
      </c>
      <c r="AG384">
        <v>110.3775382</v>
      </c>
    </row>
    <row r="385" spans="18:33" x14ac:dyDescent="0.25">
      <c r="R385">
        <v>14</v>
      </c>
      <c r="S385">
        <v>59</v>
      </c>
      <c r="T385">
        <v>3</v>
      </c>
      <c r="V385">
        <v>96</v>
      </c>
      <c r="W385">
        <v>406</v>
      </c>
      <c r="Y385">
        <v>384</v>
      </c>
      <c r="Z385" t="s">
        <v>818</v>
      </c>
      <c r="AA385" t="s">
        <v>819</v>
      </c>
      <c r="AB385">
        <v>2</v>
      </c>
      <c r="AC385">
        <v>5</v>
      </c>
      <c r="AD385">
        <v>0</v>
      </c>
      <c r="AE385">
        <v>45</v>
      </c>
      <c r="AF385">
        <v>-6.9688821000000001</v>
      </c>
      <c r="AG385">
        <v>110.43186919999999</v>
      </c>
    </row>
    <row r="386" spans="18:33" x14ac:dyDescent="0.25">
      <c r="R386">
        <v>14</v>
      </c>
      <c r="S386">
        <v>67</v>
      </c>
      <c r="T386">
        <v>5</v>
      </c>
      <c r="V386">
        <v>96</v>
      </c>
      <c r="W386">
        <v>414</v>
      </c>
      <c r="Y386">
        <v>385</v>
      </c>
      <c r="Z386" t="s">
        <v>820</v>
      </c>
      <c r="AA386" t="s">
        <v>821</v>
      </c>
      <c r="AB386">
        <v>3</v>
      </c>
      <c r="AC386">
        <v>6</v>
      </c>
      <c r="AD386">
        <v>9000</v>
      </c>
      <c r="AF386">
        <v>-7.1662971000000004</v>
      </c>
      <c r="AG386">
        <v>110.381068</v>
      </c>
    </row>
    <row r="387" spans="18:33" x14ac:dyDescent="0.25">
      <c r="R387">
        <v>14</v>
      </c>
      <c r="S387">
        <v>88</v>
      </c>
      <c r="T387">
        <v>2</v>
      </c>
      <c r="V387">
        <v>97</v>
      </c>
      <c r="W387">
        <v>409</v>
      </c>
      <c r="Y387">
        <v>386</v>
      </c>
      <c r="Z387" t="s">
        <v>822</v>
      </c>
      <c r="AA387" t="s">
        <v>823</v>
      </c>
      <c r="AB387">
        <v>3</v>
      </c>
      <c r="AC387">
        <v>5</v>
      </c>
      <c r="AD387">
        <v>5500</v>
      </c>
      <c r="AE387">
        <v>60</v>
      </c>
      <c r="AF387">
        <v>-7.0372113000000001</v>
      </c>
      <c r="AG387">
        <v>110.34761640000001</v>
      </c>
    </row>
    <row r="388" spans="18:33" x14ac:dyDescent="0.25">
      <c r="R388">
        <v>14</v>
      </c>
      <c r="S388">
        <v>91</v>
      </c>
      <c r="T388">
        <v>5</v>
      </c>
      <c r="V388">
        <v>97</v>
      </c>
      <c r="W388">
        <v>403</v>
      </c>
      <c r="Y388">
        <v>387</v>
      </c>
      <c r="Z388" t="s">
        <v>824</v>
      </c>
      <c r="AA388" t="s">
        <v>825</v>
      </c>
      <c r="AB388">
        <v>3</v>
      </c>
      <c r="AC388">
        <v>6</v>
      </c>
      <c r="AD388">
        <v>25000</v>
      </c>
      <c r="AF388">
        <v>-7.1298066000000002</v>
      </c>
      <c r="AG388">
        <v>110.38883199999999</v>
      </c>
    </row>
    <row r="389" spans="18:33" x14ac:dyDescent="0.25">
      <c r="R389">
        <v>14</v>
      </c>
      <c r="S389">
        <v>96</v>
      </c>
      <c r="T389">
        <v>2</v>
      </c>
      <c r="V389">
        <v>97</v>
      </c>
      <c r="W389">
        <v>407</v>
      </c>
      <c r="Y389">
        <v>388</v>
      </c>
      <c r="Z389" t="s">
        <v>826</v>
      </c>
      <c r="AA389" t="s">
        <v>827</v>
      </c>
      <c r="AB389">
        <v>3</v>
      </c>
      <c r="AC389">
        <v>5</v>
      </c>
      <c r="AD389">
        <v>0</v>
      </c>
      <c r="AE389">
        <v>30</v>
      </c>
      <c r="AF389">
        <v>-7.0565163999999996</v>
      </c>
      <c r="AG389">
        <v>110.4862531</v>
      </c>
    </row>
    <row r="390" spans="18:33" x14ac:dyDescent="0.25">
      <c r="R390">
        <v>14</v>
      </c>
      <c r="S390">
        <v>118</v>
      </c>
      <c r="T390">
        <v>4</v>
      </c>
      <c r="V390">
        <v>97</v>
      </c>
      <c r="W390">
        <v>401</v>
      </c>
      <c r="Y390">
        <v>389</v>
      </c>
      <c r="Z390" t="s">
        <v>828</v>
      </c>
      <c r="AA390" t="s">
        <v>829</v>
      </c>
      <c r="AB390">
        <v>3</v>
      </c>
      <c r="AC390">
        <v>5</v>
      </c>
      <c r="AD390">
        <v>5000</v>
      </c>
      <c r="AE390">
        <v>45</v>
      </c>
      <c r="AF390">
        <v>-7.0967079000000002</v>
      </c>
      <c r="AG390">
        <v>110.3900517</v>
      </c>
    </row>
    <row r="391" spans="18:33" x14ac:dyDescent="0.25">
      <c r="R391">
        <v>14</v>
      </c>
      <c r="S391">
        <v>167</v>
      </c>
      <c r="T391">
        <v>3</v>
      </c>
      <c r="V391">
        <v>97</v>
      </c>
      <c r="W391">
        <v>429</v>
      </c>
      <c r="Y391">
        <v>390</v>
      </c>
      <c r="Z391" t="s">
        <v>830</v>
      </c>
      <c r="AA391" t="s">
        <v>831</v>
      </c>
      <c r="AB391">
        <v>3</v>
      </c>
      <c r="AC391">
        <v>6</v>
      </c>
      <c r="AD391">
        <v>7500</v>
      </c>
      <c r="AE391">
        <v>45</v>
      </c>
      <c r="AF391">
        <v>-7.2241812999999997</v>
      </c>
      <c r="AG391">
        <v>110.3782661</v>
      </c>
    </row>
    <row r="392" spans="18:33" x14ac:dyDescent="0.25">
      <c r="R392">
        <v>14</v>
      </c>
      <c r="S392">
        <v>167</v>
      </c>
      <c r="T392">
        <v>4</v>
      </c>
      <c r="V392">
        <v>98</v>
      </c>
      <c r="W392">
        <v>420</v>
      </c>
      <c r="Y392">
        <v>391</v>
      </c>
      <c r="Z392" t="s">
        <v>832</v>
      </c>
      <c r="AA392" t="s">
        <v>833</v>
      </c>
      <c r="AB392">
        <v>3</v>
      </c>
      <c r="AC392">
        <v>19</v>
      </c>
      <c r="AD392">
        <v>0</v>
      </c>
      <c r="AE392">
        <v>60</v>
      </c>
      <c r="AF392">
        <v>-7.3086482000000004</v>
      </c>
      <c r="AG392">
        <v>112.82166220000001</v>
      </c>
    </row>
    <row r="393" spans="18:33" x14ac:dyDescent="0.25">
      <c r="R393">
        <v>14</v>
      </c>
      <c r="S393">
        <v>171</v>
      </c>
      <c r="T393">
        <v>3</v>
      </c>
      <c r="V393">
        <v>98</v>
      </c>
      <c r="W393">
        <v>426</v>
      </c>
      <c r="Y393">
        <v>392</v>
      </c>
      <c r="Z393" t="s">
        <v>835</v>
      </c>
      <c r="AA393" t="s">
        <v>836</v>
      </c>
      <c r="AB393">
        <v>3</v>
      </c>
      <c r="AC393">
        <v>19</v>
      </c>
      <c r="AD393">
        <v>0</v>
      </c>
      <c r="AE393">
        <v>60</v>
      </c>
      <c r="AF393">
        <v>-7.2952211</v>
      </c>
      <c r="AG393">
        <v>112.8035603</v>
      </c>
    </row>
    <row r="394" spans="18:33" x14ac:dyDescent="0.25">
      <c r="R394">
        <v>14</v>
      </c>
      <c r="S394">
        <v>173</v>
      </c>
      <c r="T394">
        <v>5</v>
      </c>
      <c r="V394">
        <v>98</v>
      </c>
      <c r="W394">
        <v>430</v>
      </c>
      <c r="Y394">
        <v>393</v>
      </c>
      <c r="Z394" t="s">
        <v>837</v>
      </c>
      <c r="AA394" t="s">
        <v>838</v>
      </c>
      <c r="AB394">
        <v>5</v>
      </c>
      <c r="AC394">
        <v>19</v>
      </c>
      <c r="AD394">
        <v>35000</v>
      </c>
      <c r="AE394">
        <v>45</v>
      </c>
      <c r="AF394">
        <v>-7.2356933000000003</v>
      </c>
      <c r="AG394">
        <v>112.79552339999999</v>
      </c>
    </row>
    <row r="395" spans="18:33" x14ac:dyDescent="0.25">
      <c r="R395">
        <v>14</v>
      </c>
      <c r="S395">
        <v>186</v>
      </c>
      <c r="T395">
        <v>4</v>
      </c>
      <c r="V395">
        <v>98</v>
      </c>
      <c r="W395">
        <v>433</v>
      </c>
      <c r="Y395">
        <v>394</v>
      </c>
      <c r="Z395" t="s">
        <v>839</v>
      </c>
      <c r="AA395" t="s">
        <v>840</v>
      </c>
      <c r="AB395">
        <v>5</v>
      </c>
      <c r="AC395">
        <v>19</v>
      </c>
      <c r="AD395">
        <v>0</v>
      </c>
      <c r="AF395">
        <v>-7.2614722</v>
      </c>
      <c r="AG395">
        <v>112.74282839999999</v>
      </c>
    </row>
    <row r="396" spans="18:33" x14ac:dyDescent="0.25">
      <c r="R396">
        <v>14</v>
      </c>
      <c r="S396">
        <v>227</v>
      </c>
      <c r="T396">
        <v>4</v>
      </c>
      <c r="V396">
        <v>98</v>
      </c>
      <c r="W396">
        <v>435</v>
      </c>
      <c r="Y396">
        <v>395</v>
      </c>
      <c r="Z396" t="s">
        <v>841</v>
      </c>
      <c r="AA396" t="s">
        <v>842</v>
      </c>
      <c r="AB396">
        <v>2</v>
      </c>
      <c r="AC396">
        <v>19</v>
      </c>
      <c r="AD396">
        <v>15000</v>
      </c>
      <c r="AE396">
        <v>30</v>
      </c>
      <c r="AF396">
        <v>-7.2654303999999996</v>
      </c>
      <c r="AG396">
        <v>112.7503052</v>
      </c>
    </row>
    <row r="397" spans="18:33" x14ac:dyDescent="0.25">
      <c r="R397">
        <v>14</v>
      </c>
      <c r="S397">
        <v>230</v>
      </c>
      <c r="T397">
        <v>5</v>
      </c>
      <c r="V397">
        <v>99</v>
      </c>
      <c r="W397">
        <v>406</v>
      </c>
      <c r="Y397">
        <v>396</v>
      </c>
      <c r="Z397" t="s">
        <v>843</v>
      </c>
      <c r="AA397" t="s">
        <v>844</v>
      </c>
      <c r="AB397">
        <v>5</v>
      </c>
      <c r="AC397">
        <v>19</v>
      </c>
      <c r="AD397">
        <v>0</v>
      </c>
      <c r="AE397">
        <v>45</v>
      </c>
      <c r="AF397">
        <v>-7.3182201999999998</v>
      </c>
      <c r="AG397">
        <v>112.7842405</v>
      </c>
    </row>
    <row r="398" spans="18:33" x14ac:dyDescent="0.25">
      <c r="R398">
        <v>14</v>
      </c>
      <c r="S398">
        <v>233</v>
      </c>
      <c r="T398">
        <v>3</v>
      </c>
      <c r="V398">
        <v>99</v>
      </c>
      <c r="W398">
        <v>414</v>
      </c>
      <c r="Y398">
        <v>397</v>
      </c>
      <c r="Z398" t="s">
        <v>845</v>
      </c>
      <c r="AA398" t="s">
        <v>846</v>
      </c>
      <c r="AB398">
        <v>5</v>
      </c>
      <c r="AC398">
        <v>19</v>
      </c>
      <c r="AD398">
        <v>0</v>
      </c>
      <c r="AE398">
        <v>30</v>
      </c>
      <c r="AF398">
        <v>-7.2662139000000003</v>
      </c>
      <c r="AG398">
        <v>112.795281</v>
      </c>
    </row>
    <row r="399" spans="18:33" x14ac:dyDescent="0.25">
      <c r="R399">
        <v>14</v>
      </c>
      <c r="S399">
        <v>249</v>
      </c>
      <c r="T399">
        <v>5</v>
      </c>
      <c r="V399">
        <v>99</v>
      </c>
      <c r="W399">
        <v>419</v>
      </c>
      <c r="Y399">
        <v>398</v>
      </c>
      <c r="Z399" t="s">
        <v>847</v>
      </c>
      <c r="AA399" t="s">
        <v>848</v>
      </c>
      <c r="AB399">
        <v>5</v>
      </c>
      <c r="AC399">
        <v>19</v>
      </c>
      <c r="AD399">
        <v>0</v>
      </c>
      <c r="AE399">
        <v>20</v>
      </c>
      <c r="AF399">
        <v>-7.3275604000000003</v>
      </c>
      <c r="AG399">
        <v>112.7312242</v>
      </c>
    </row>
    <row r="400" spans="18:33" x14ac:dyDescent="0.25">
      <c r="R400">
        <v>14</v>
      </c>
      <c r="S400">
        <v>259</v>
      </c>
      <c r="T400">
        <v>5</v>
      </c>
      <c r="V400">
        <v>99</v>
      </c>
      <c r="W400">
        <v>432</v>
      </c>
      <c r="Y400">
        <v>399</v>
      </c>
      <c r="Z400" t="s">
        <v>849</v>
      </c>
      <c r="AA400" t="s">
        <v>850</v>
      </c>
      <c r="AB400">
        <v>3</v>
      </c>
      <c r="AC400">
        <v>19</v>
      </c>
      <c r="AD400">
        <v>0</v>
      </c>
      <c r="AE400">
        <v>25</v>
      </c>
      <c r="AF400">
        <v>-7.2941909000000003</v>
      </c>
      <c r="AG400">
        <v>112.8017238</v>
      </c>
    </row>
    <row r="401" spans="18:33" x14ac:dyDescent="0.25">
      <c r="R401">
        <v>14</v>
      </c>
      <c r="S401">
        <v>274</v>
      </c>
      <c r="T401">
        <v>4</v>
      </c>
      <c r="V401">
        <v>99</v>
      </c>
      <c r="W401">
        <v>434</v>
      </c>
      <c r="Y401">
        <v>400</v>
      </c>
      <c r="Z401" t="s">
        <v>851</v>
      </c>
      <c r="AA401" t="s">
        <v>852</v>
      </c>
      <c r="AB401">
        <v>5</v>
      </c>
      <c r="AC401">
        <v>19</v>
      </c>
      <c r="AD401">
        <v>0</v>
      </c>
      <c r="AF401">
        <v>-7.2732153000000004</v>
      </c>
      <c r="AG401">
        <v>112.744102</v>
      </c>
    </row>
    <row r="402" spans="18:33" x14ac:dyDescent="0.25">
      <c r="R402">
        <v>14</v>
      </c>
      <c r="S402">
        <v>294</v>
      </c>
      <c r="T402">
        <v>2</v>
      </c>
      <c r="V402">
        <v>100</v>
      </c>
      <c r="W402">
        <v>397</v>
      </c>
      <c r="Y402">
        <v>401</v>
      </c>
      <c r="Z402" t="s">
        <v>853</v>
      </c>
      <c r="AA402" t="s">
        <v>854</v>
      </c>
      <c r="AB402">
        <v>4</v>
      </c>
      <c r="AC402">
        <v>19</v>
      </c>
      <c r="AD402">
        <v>0</v>
      </c>
      <c r="AE402">
        <v>120</v>
      </c>
      <c r="AF402">
        <v>-7.2510219999999999</v>
      </c>
      <c r="AG402">
        <v>112.6620053</v>
      </c>
    </row>
    <row r="403" spans="18:33" x14ac:dyDescent="0.25">
      <c r="R403">
        <v>14</v>
      </c>
      <c r="S403">
        <v>304</v>
      </c>
      <c r="T403">
        <v>3</v>
      </c>
      <c r="V403">
        <v>100</v>
      </c>
      <c r="W403">
        <v>399</v>
      </c>
      <c r="Y403">
        <v>402</v>
      </c>
      <c r="Z403" t="s">
        <v>855</v>
      </c>
      <c r="AA403" t="s">
        <v>856</v>
      </c>
      <c r="AB403">
        <v>5</v>
      </c>
      <c r="AC403">
        <v>19</v>
      </c>
      <c r="AD403">
        <v>0</v>
      </c>
      <c r="AE403">
        <v>30</v>
      </c>
      <c r="AF403">
        <v>-7.2220559</v>
      </c>
      <c r="AG403">
        <v>112.7319967</v>
      </c>
    </row>
    <row r="404" spans="18:33" x14ac:dyDescent="0.25">
      <c r="R404">
        <v>14</v>
      </c>
      <c r="S404">
        <v>324</v>
      </c>
      <c r="T404">
        <v>3</v>
      </c>
      <c r="V404">
        <v>100</v>
      </c>
      <c r="W404">
        <v>402</v>
      </c>
      <c r="Y404">
        <v>403</v>
      </c>
      <c r="Z404" t="s">
        <v>857</v>
      </c>
      <c r="AA404" t="s">
        <v>858</v>
      </c>
      <c r="AB404">
        <v>5</v>
      </c>
      <c r="AC404">
        <v>19</v>
      </c>
      <c r="AD404">
        <v>35000</v>
      </c>
      <c r="AE404">
        <v>120</v>
      </c>
      <c r="AF404">
        <v>-7.2522963999999996</v>
      </c>
      <c r="AG404">
        <v>112.7966952</v>
      </c>
    </row>
    <row r="405" spans="18:33" x14ac:dyDescent="0.25">
      <c r="R405">
        <v>14</v>
      </c>
      <c r="S405">
        <v>327</v>
      </c>
      <c r="T405">
        <v>5</v>
      </c>
      <c r="V405">
        <v>100</v>
      </c>
      <c r="W405">
        <v>405</v>
      </c>
      <c r="Y405">
        <v>404</v>
      </c>
      <c r="Z405" t="s">
        <v>859</v>
      </c>
      <c r="AA405" t="s">
        <v>860</v>
      </c>
      <c r="AB405">
        <v>5</v>
      </c>
      <c r="AC405">
        <v>19</v>
      </c>
      <c r="AD405">
        <v>50000</v>
      </c>
      <c r="AF405">
        <v>-7.1968192999999996</v>
      </c>
      <c r="AG405">
        <v>112.73245780000001</v>
      </c>
    </row>
    <row r="406" spans="18:33" x14ac:dyDescent="0.25">
      <c r="R406">
        <v>14</v>
      </c>
      <c r="S406">
        <v>343</v>
      </c>
      <c r="T406">
        <v>2</v>
      </c>
      <c r="V406">
        <v>100</v>
      </c>
      <c r="W406">
        <v>431</v>
      </c>
      <c r="Y406">
        <v>405</v>
      </c>
      <c r="Z406" t="s">
        <v>861</v>
      </c>
      <c r="AA406" t="s">
        <v>862</v>
      </c>
      <c r="AB406">
        <v>3</v>
      </c>
      <c r="AC406">
        <v>19</v>
      </c>
      <c r="AD406">
        <v>0</v>
      </c>
      <c r="AE406">
        <v>30</v>
      </c>
      <c r="AF406">
        <v>-7.3123655000000003</v>
      </c>
      <c r="AG406">
        <v>112.7889021</v>
      </c>
    </row>
    <row r="407" spans="18:33" x14ac:dyDescent="0.25">
      <c r="R407">
        <v>14</v>
      </c>
      <c r="S407">
        <v>361</v>
      </c>
      <c r="T407">
        <v>2</v>
      </c>
      <c r="Y407">
        <v>406</v>
      </c>
      <c r="Z407" t="s">
        <v>863</v>
      </c>
      <c r="AA407" t="s">
        <v>864</v>
      </c>
      <c r="AB407">
        <v>5</v>
      </c>
      <c r="AC407">
        <v>19</v>
      </c>
      <c r="AD407">
        <v>0</v>
      </c>
      <c r="AE407">
        <v>45</v>
      </c>
      <c r="AF407">
        <v>-7.2573071999999996</v>
      </c>
      <c r="AG407">
        <v>112.7437199</v>
      </c>
    </row>
    <row r="408" spans="18:33" x14ac:dyDescent="0.25">
      <c r="R408">
        <v>14</v>
      </c>
      <c r="S408">
        <v>367</v>
      </c>
      <c r="T408">
        <v>3</v>
      </c>
      <c r="Y408">
        <v>407</v>
      </c>
      <c r="Z408" t="s">
        <v>865</v>
      </c>
      <c r="AA408" t="s">
        <v>866</v>
      </c>
      <c r="AB408">
        <v>3</v>
      </c>
      <c r="AC408">
        <v>19</v>
      </c>
      <c r="AD408">
        <v>15000</v>
      </c>
      <c r="AE408">
        <v>180</v>
      </c>
      <c r="AF408">
        <v>-7.2959546</v>
      </c>
      <c r="AG408">
        <v>112.73660940000001</v>
      </c>
    </row>
    <row r="409" spans="18:33" x14ac:dyDescent="0.25">
      <c r="R409">
        <v>14</v>
      </c>
      <c r="S409">
        <v>370</v>
      </c>
      <c r="T409">
        <v>4</v>
      </c>
      <c r="Y409">
        <v>408</v>
      </c>
      <c r="Z409" t="s">
        <v>867</v>
      </c>
      <c r="AA409" t="s">
        <v>868</v>
      </c>
      <c r="AB409">
        <v>2</v>
      </c>
      <c r="AC409">
        <v>19</v>
      </c>
      <c r="AD409">
        <v>0</v>
      </c>
      <c r="AE409">
        <v>15</v>
      </c>
      <c r="AF409">
        <v>-7.2787360000000003</v>
      </c>
      <c r="AG409">
        <v>112.718453</v>
      </c>
    </row>
    <row r="410" spans="18:33" x14ac:dyDescent="0.25">
      <c r="R410">
        <v>14</v>
      </c>
      <c r="S410">
        <v>375</v>
      </c>
      <c r="T410">
        <v>5</v>
      </c>
      <c r="Y410">
        <v>409</v>
      </c>
      <c r="Z410" t="s">
        <v>869</v>
      </c>
      <c r="AA410" t="s">
        <v>870</v>
      </c>
      <c r="AB410">
        <v>5</v>
      </c>
      <c r="AC410">
        <v>19</v>
      </c>
      <c r="AD410">
        <v>95000</v>
      </c>
      <c r="AE410">
        <v>90</v>
      </c>
      <c r="AF410">
        <v>-7.2861706999999996</v>
      </c>
      <c r="AG410">
        <v>112.6333338</v>
      </c>
    </row>
    <row r="411" spans="18:33" x14ac:dyDescent="0.25">
      <c r="R411">
        <v>14</v>
      </c>
      <c r="S411">
        <v>395</v>
      </c>
      <c r="T411">
        <v>2</v>
      </c>
      <c r="Y411">
        <v>410</v>
      </c>
      <c r="Z411" t="s">
        <v>871</v>
      </c>
      <c r="AA411" t="s">
        <v>872</v>
      </c>
      <c r="AB411">
        <v>6</v>
      </c>
      <c r="AC411">
        <v>19</v>
      </c>
      <c r="AD411">
        <v>0</v>
      </c>
      <c r="AF411">
        <v>-7.2522754000000003</v>
      </c>
      <c r="AG411">
        <v>112.7468796</v>
      </c>
    </row>
    <row r="412" spans="18:33" x14ac:dyDescent="0.25">
      <c r="R412">
        <v>14</v>
      </c>
      <c r="S412">
        <v>421</v>
      </c>
      <c r="T412">
        <v>4</v>
      </c>
      <c r="Y412">
        <v>411</v>
      </c>
      <c r="Z412" t="s">
        <v>873</v>
      </c>
      <c r="AA412" t="s">
        <v>874</v>
      </c>
      <c r="AB412">
        <v>6</v>
      </c>
      <c r="AC412">
        <v>19</v>
      </c>
      <c r="AD412">
        <v>0</v>
      </c>
      <c r="AF412">
        <v>-7.3366141000000002</v>
      </c>
      <c r="AG412">
        <v>112.7151806</v>
      </c>
    </row>
    <row r="413" spans="18:33" x14ac:dyDescent="0.25">
      <c r="R413">
        <v>14</v>
      </c>
      <c r="S413">
        <v>434</v>
      </c>
      <c r="T413">
        <v>5</v>
      </c>
      <c r="Y413">
        <v>412</v>
      </c>
      <c r="Z413" t="s">
        <v>875</v>
      </c>
      <c r="AA413" t="s">
        <v>876</v>
      </c>
      <c r="AB413">
        <v>2</v>
      </c>
      <c r="AC413">
        <v>19</v>
      </c>
      <c r="AD413">
        <v>2000</v>
      </c>
      <c r="AF413">
        <v>-7.2271850000000004</v>
      </c>
      <c r="AG413">
        <v>112.718997</v>
      </c>
    </row>
    <row r="414" spans="18:33" x14ac:dyDescent="0.25">
      <c r="R414">
        <v>15</v>
      </c>
      <c r="S414">
        <v>9</v>
      </c>
      <c r="T414">
        <v>4</v>
      </c>
      <c r="Y414">
        <v>413</v>
      </c>
      <c r="Z414" t="s">
        <v>877</v>
      </c>
      <c r="AA414" t="s">
        <v>878</v>
      </c>
      <c r="AB414">
        <v>2</v>
      </c>
      <c r="AC414">
        <v>19</v>
      </c>
      <c r="AD414">
        <v>0</v>
      </c>
      <c r="AE414">
        <v>30</v>
      </c>
      <c r="AF414">
        <v>-7.2367447</v>
      </c>
      <c r="AG414">
        <v>112.7383009</v>
      </c>
    </row>
    <row r="415" spans="18:33" x14ac:dyDescent="0.25">
      <c r="R415">
        <v>15</v>
      </c>
      <c r="S415">
        <v>21</v>
      </c>
      <c r="T415">
        <v>2</v>
      </c>
      <c r="Y415">
        <v>414</v>
      </c>
      <c r="Z415" t="s">
        <v>879</v>
      </c>
      <c r="AA415" t="s">
        <v>880</v>
      </c>
      <c r="AB415">
        <v>2</v>
      </c>
      <c r="AC415">
        <v>19</v>
      </c>
      <c r="AD415">
        <v>5000</v>
      </c>
      <c r="AE415">
        <v>60</v>
      </c>
      <c r="AF415">
        <v>-7.2353939</v>
      </c>
      <c r="AG415">
        <v>112.7367646</v>
      </c>
    </row>
    <row r="416" spans="18:33" x14ac:dyDescent="0.25">
      <c r="R416">
        <v>15</v>
      </c>
      <c r="S416">
        <v>23</v>
      </c>
      <c r="T416">
        <v>5</v>
      </c>
      <c r="Y416">
        <v>415</v>
      </c>
      <c r="Z416" t="s">
        <v>881</v>
      </c>
      <c r="AA416" t="s">
        <v>882</v>
      </c>
      <c r="AB416">
        <v>2</v>
      </c>
      <c r="AC416">
        <v>19</v>
      </c>
      <c r="AD416">
        <v>0</v>
      </c>
      <c r="AF416">
        <v>-7.2567553</v>
      </c>
      <c r="AG416">
        <v>112.79422030000001</v>
      </c>
    </row>
    <row r="417" spans="18:33" x14ac:dyDescent="0.25">
      <c r="R417">
        <v>15</v>
      </c>
      <c r="S417">
        <v>27</v>
      </c>
      <c r="T417">
        <v>3</v>
      </c>
      <c r="Y417">
        <v>416</v>
      </c>
      <c r="Z417" t="s">
        <v>883</v>
      </c>
      <c r="AA417" t="s">
        <v>884</v>
      </c>
      <c r="AB417">
        <v>2</v>
      </c>
      <c r="AC417">
        <v>19</v>
      </c>
      <c r="AD417">
        <v>10000</v>
      </c>
      <c r="AF417">
        <v>-7.2469440000000001</v>
      </c>
      <c r="AG417">
        <v>112.802222</v>
      </c>
    </row>
    <row r="418" spans="18:33" x14ac:dyDescent="0.25">
      <c r="R418">
        <v>15</v>
      </c>
      <c r="S418">
        <v>74</v>
      </c>
      <c r="T418">
        <v>3</v>
      </c>
      <c r="Y418">
        <v>417</v>
      </c>
      <c r="Z418" t="s">
        <v>885</v>
      </c>
      <c r="AA418" t="s">
        <v>886</v>
      </c>
      <c r="AB418">
        <v>2</v>
      </c>
      <c r="AC418">
        <v>19</v>
      </c>
      <c r="AD418">
        <v>5000</v>
      </c>
      <c r="AF418">
        <v>-7.2454368999999996</v>
      </c>
      <c r="AG418">
        <v>112.7378985</v>
      </c>
    </row>
    <row r="419" spans="18:33" x14ac:dyDescent="0.25">
      <c r="R419">
        <v>15</v>
      </c>
      <c r="S419">
        <v>90</v>
      </c>
      <c r="T419">
        <v>5</v>
      </c>
      <c r="Y419">
        <v>418</v>
      </c>
      <c r="Z419" t="s">
        <v>887</v>
      </c>
      <c r="AA419" t="s">
        <v>888</v>
      </c>
      <c r="AB419">
        <v>2</v>
      </c>
      <c r="AC419">
        <v>19</v>
      </c>
      <c r="AD419">
        <v>0</v>
      </c>
      <c r="AE419">
        <v>30</v>
      </c>
      <c r="AF419">
        <v>-7.2469260000000002</v>
      </c>
      <c r="AG419">
        <v>112.73781</v>
      </c>
    </row>
    <row r="420" spans="18:33" x14ac:dyDescent="0.25">
      <c r="R420">
        <v>15</v>
      </c>
      <c r="S420">
        <v>95</v>
      </c>
      <c r="T420">
        <v>3</v>
      </c>
      <c r="Y420">
        <v>419</v>
      </c>
      <c r="Z420" t="s">
        <v>889</v>
      </c>
      <c r="AA420" t="s">
        <v>890</v>
      </c>
      <c r="AB420">
        <v>2</v>
      </c>
      <c r="AC420">
        <v>19</v>
      </c>
      <c r="AD420">
        <v>0</v>
      </c>
      <c r="AE420">
        <v>45</v>
      </c>
      <c r="AF420">
        <v>-7.2562971999999997</v>
      </c>
      <c r="AG420">
        <v>112.7379955</v>
      </c>
    </row>
    <row r="421" spans="18:33" x14ac:dyDescent="0.25">
      <c r="R421">
        <v>15</v>
      </c>
      <c r="S421">
        <v>119</v>
      </c>
      <c r="T421">
        <v>4</v>
      </c>
      <c r="Y421">
        <v>420</v>
      </c>
      <c r="Z421" t="s">
        <v>891</v>
      </c>
      <c r="AA421" t="s">
        <v>892</v>
      </c>
      <c r="AB421">
        <v>2</v>
      </c>
      <c r="AC421">
        <v>19</v>
      </c>
      <c r="AD421">
        <v>10000</v>
      </c>
      <c r="AF421">
        <v>-7.2403279999999999</v>
      </c>
      <c r="AG421">
        <v>112.731431</v>
      </c>
    </row>
    <row r="422" spans="18:33" x14ac:dyDescent="0.25">
      <c r="R422">
        <v>15</v>
      </c>
      <c r="S422">
        <v>142</v>
      </c>
      <c r="T422">
        <v>2</v>
      </c>
      <c r="Y422">
        <v>421</v>
      </c>
      <c r="Z422" t="s">
        <v>893</v>
      </c>
      <c r="AA422" t="s">
        <v>894</v>
      </c>
      <c r="AB422">
        <v>2</v>
      </c>
      <c r="AC422">
        <v>19</v>
      </c>
      <c r="AD422">
        <v>0</v>
      </c>
      <c r="AE422">
        <v>15</v>
      </c>
      <c r="AF422">
        <v>-7.1954748000000004</v>
      </c>
      <c r="AG422">
        <v>112.73952060000001</v>
      </c>
    </row>
    <row r="423" spans="18:33" x14ac:dyDescent="0.25">
      <c r="R423">
        <v>15</v>
      </c>
      <c r="S423">
        <v>153</v>
      </c>
      <c r="T423">
        <v>5</v>
      </c>
      <c r="Y423">
        <v>422</v>
      </c>
      <c r="Z423" t="s">
        <v>895</v>
      </c>
      <c r="AA423" t="s">
        <v>896</v>
      </c>
      <c r="AB423">
        <v>2</v>
      </c>
      <c r="AC423">
        <v>19</v>
      </c>
      <c r="AD423">
        <v>0</v>
      </c>
      <c r="AE423">
        <v>30</v>
      </c>
      <c r="AF423">
        <v>-7.2960491999999997</v>
      </c>
      <c r="AG423">
        <v>112.73870119999999</v>
      </c>
    </row>
    <row r="424" spans="18:33" x14ac:dyDescent="0.25">
      <c r="R424">
        <v>15</v>
      </c>
      <c r="S424">
        <v>170</v>
      </c>
      <c r="T424">
        <v>3</v>
      </c>
      <c r="Y424">
        <v>423</v>
      </c>
      <c r="Z424" t="s">
        <v>897</v>
      </c>
      <c r="AA424" t="s">
        <v>898</v>
      </c>
      <c r="AB424">
        <v>1</v>
      </c>
      <c r="AC424">
        <v>19</v>
      </c>
      <c r="AD424">
        <v>15000</v>
      </c>
      <c r="AE424">
        <v>45</v>
      </c>
      <c r="AF424">
        <v>-7.2509164000000004</v>
      </c>
      <c r="AG424">
        <v>112.8009332</v>
      </c>
    </row>
    <row r="425" spans="18:33" x14ac:dyDescent="0.25">
      <c r="R425">
        <v>15</v>
      </c>
      <c r="S425">
        <v>187</v>
      </c>
      <c r="T425">
        <v>4</v>
      </c>
      <c r="Y425">
        <v>424</v>
      </c>
      <c r="Z425" t="s">
        <v>899</v>
      </c>
      <c r="AA425" t="s">
        <v>900</v>
      </c>
      <c r="AB425">
        <v>5</v>
      </c>
      <c r="AC425">
        <v>19</v>
      </c>
      <c r="AD425">
        <v>35000</v>
      </c>
      <c r="AF425">
        <v>-7.2477963000000001</v>
      </c>
      <c r="AG425">
        <v>112.7998235</v>
      </c>
    </row>
    <row r="426" spans="18:33" x14ac:dyDescent="0.25">
      <c r="R426">
        <v>15</v>
      </c>
      <c r="S426">
        <v>207</v>
      </c>
      <c r="T426">
        <v>4</v>
      </c>
      <c r="Y426">
        <v>425</v>
      </c>
      <c r="Z426" t="s">
        <v>901</v>
      </c>
      <c r="AA426" t="s">
        <v>902</v>
      </c>
      <c r="AB426">
        <v>2</v>
      </c>
      <c r="AC426">
        <v>19</v>
      </c>
      <c r="AD426">
        <v>0</v>
      </c>
      <c r="AE426">
        <v>60</v>
      </c>
      <c r="AF426">
        <v>-7.2592948000000002</v>
      </c>
      <c r="AG426">
        <v>112.7470512</v>
      </c>
    </row>
    <row r="427" spans="18:33" x14ac:dyDescent="0.25">
      <c r="R427">
        <v>15</v>
      </c>
      <c r="S427">
        <v>219</v>
      </c>
      <c r="T427">
        <v>2</v>
      </c>
      <c r="Y427">
        <v>426</v>
      </c>
      <c r="Z427" t="s">
        <v>903</v>
      </c>
      <c r="AA427" t="s">
        <v>904</v>
      </c>
      <c r="AB427">
        <v>2</v>
      </c>
      <c r="AC427">
        <v>19</v>
      </c>
      <c r="AD427">
        <v>0</v>
      </c>
      <c r="AF427">
        <v>-7.2472840999999999</v>
      </c>
      <c r="AG427">
        <v>112.8010814</v>
      </c>
    </row>
    <row r="428" spans="18:33" x14ac:dyDescent="0.25">
      <c r="R428">
        <v>15</v>
      </c>
      <c r="S428">
        <v>239</v>
      </c>
      <c r="T428">
        <v>3</v>
      </c>
      <c r="Y428">
        <v>427</v>
      </c>
      <c r="Z428" t="s">
        <v>905</v>
      </c>
      <c r="AA428" t="s">
        <v>906</v>
      </c>
      <c r="AB428">
        <v>2</v>
      </c>
      <c r="AC428">
        <v>19</v>
      </c>
      <c r="AD428">
        <v>0</v>
      </c>
      <c r="AE428">
        <v>15</v>
      </c>
      <c r="AF428">
        <v>-7.2677754999999999</v>
      </c>
      <c r="AG428">
        <v>112.74438979999999</v>
      </c>
    </row>
    <row r="429" spans="18:33" x14ac:dyDescent="0.25">
      <c r="R429">
        <v>15</v>
      </c>
      <c r="S429">
        <v>248</v>
      </c>
      <c r="T429">
        <v>2</v>
      </c>
      <c r="Y429">
        <v>428</v>
      </c>
      <c r="Z429" t="s">
        <v>907</v>
      </c>
      <c r="AA429" t="s">
        <v>908</v>
      </c>
      <c r="AB429">
        <v>2</v>
      </c>
      <c r="AC429">
        <v>19</v>
      </c>
      <c r="AD429">
        <v>0</v>
      </c>
      <c r="AE429">
        <v>30</v>
      </c>
      <c r="AF429">
        <v>-7.2308173</v>
      </c>
      <c r="AG429">
        <v>112.73423440000001</v>
      </c>
    </row>
    <row r="430" spans="18:33" x14ac:dyDescent="0.25">
      <c r="R430">
        <v>15</v>
      </c>
      <c r="S430">
        <v>248</v>
      </c>
      <c r="T430">
        <v>4</v>
      </c>
      <c r="Y430">
        <v>429</v>
      </c>
      <c r="Z430" t="s">
        <v>909</v>
      </c>
      <c r="AA430" t="s">
        <v>910</v>
      </c>
      <c r="AB430">
        <v>5</v>
      </c>
      <c r="AC430">
        <v>19</v>
      </c>
      <c r="AD430">
        <v>125000</v>
      </c>
      <c r="AE430">
        <v>120</v>
      </c>
      <c r="AF430">
        <v>-7.2516189000000004</v>
      </c>
      <c r="AG430">
        <v>112.8009694</v>
      </c>
    </row>
    <row r="431" spans="18:33" x14ac:dyDescent="0.25">
      <c r="R431">
        <v>15</v>
      </c>
      <c r="S431">
        <v>260</v>
      </c>
      <c r="T431">
        <v>5</v>
      </c>
      <c r="Y431">
        <v>430</v>
      </c>
      <c r="Z431" t="s">
        <v>911</v>
      </c>
      <c r="AA431" t="s">
        <v>912</v>
      </c>
      <c r="AB431">
        <v>5</v>
      </c>
      <c r="AC431">
        <v>19</v>
      </c>
      <c r="AD431">
        <v>5000</v>
      </c>
      <c r="AF431">
        <v>-7.2522909999999996</v>
      </c>
      <c r="AG431">
        <v>112.7520012</v>
      </c>
    </row>
    <row r="432" spans="18:33" x14ac:dyDescent="0.25">
      <c r="R432">
        <v>15</v>
      </c>
      <c r="S432">
        <v>275</v>
      </c>
      <c r="T432">
        <v>2</v>
      </c>
      <c r="Y432">
        <v>431</v>
      </c>
      <c r="Z432" t="s">
        <v>913</v>
      </c>
      <c r="AA432" t="s">
        <v>914</v>
      </c>
      <c r="AB432">
        <v>5</v>
      </c>
      <c r="AC432">
        <v>19</v>
      </c>
      <c r="AD432">
        <v>0</v>
      </c>
      <c r="AE432">
        <v>30</v>
      </c>
      <c r="AF432">
        <v>-7.2516046000000003</v>
      </c>
      <c r="AG432">
        <v>112.7545983</v>
      </c>
    </row>
    <row r="433" spans="10:33" x14ac:dyDescent="0.25">
      <c r="R433">
        <v>15</v>
      </c>
      <c r="S433">
        <v>277</v>
      </c>
      <c r="T433">
        <v>3</v>
      </c>
      <c r="Y433">
        <v>432</v>
      </c>
      <c r="Z433" t="s">
        <v>915</v>
      </c>
      <c r="AA433" t="s">
        <v>916</v>
      </c>
      <c r="AB433">
        <v>2</v>
      </c>
      <c r="AC433">
        <v>18</v>
      </c>
      <c r="AD433">
        <v>2000</v>
      </c>
      <c r="AE433">
        <v>45</v>
      </c>
      <c r="AF433">
        <v>-7.4338592999999999</v>
      </c>
      <c r="AG433">
        <v>112.71990580000001</v>
      </c>
    </row>
    <row r="434" spans="10:33" x14ac:dyDescent="0.25">
      <c r="R434">
        <v>15</v>
      </c>
      <c r="S434">
        <v>284</v>
      </c>
      <c r="T434">
        <v>2</v>
      </c>
      <c r="Y434">
        <v>433</v>
      </c>
      <c r="Z434" t="s">
        <v>917</v>
      </c>
      <c r="AA434" t="s">
        <v>918</v>
      </c>
      <c r="AB434">
        <v>5</v>
      </c>
      <c r="AC434">
        <v>19</v>
      </c>
      <c r="AD434">
        <v>0</v>
      </c>
      <c r="AF434">
        <v>-7.2913468000000003</v>
      </c>
      <c r="AG434">
        <v>112.7398218</v>
      </c>
    </row>
    <row r="435" spans="10:33" x14ac:dyDescent="0.25">
      <c r="R435">
        <v>15</v>
      </c>
      <c r="S435">
        <v>297</v>
      </c>
      <c r="T435">
        <v>4</v>
      </c>
      <c r="Y435">
        <v>434</v>
      </c>
      <c r="Z435" t="s">
        <v>919</v>
      </c>
      <c r="AA435" t="s">
        <v>920</v>
      </c>
      <c r="AB435">
        <v>5</v>
      </c>
      <c r="AC435">
        <v>19</v>
      </c>
      <c r="AD435">
        <v>0</v>
      </c>
      <c r="AE435">
        <v>45</v>
      </c>
      <c r="AF435">
        <v>-7.2752955000000004</v>
      </c>
      <c r="AG435">
        <v>112.7549381</v>
      </c>
    </row>
    <row r="436" spans="10:33" x14ac:dyDescent="0.25">
      <c r="R436">
        <v>15</v>
      </c>
      <c r="S436">
        <v>298</v>
      </c>
      <c r="T436">
        <v>3</v>
      </c>
      <c r="Y436">
        <v>435</v>
      </c>
      <c r="Z436" t="s">
        <v>921</v>
      </c>
      <c r="AA436" t="s">
        <v>922</v>
      </c>
      <c r="AB436">
        <v>5</v>
      </c>
      <c r="AC436">
        <v>19</v>
      </c>
      <c r="AD436">
        <v>0</v>
      </c>
      <c r="AF436">
        <v>-7.2943303000000004</v>
      </c>
      <c r="AG436">
        <v>112.7617534</v>
      </c>
    </row>
    <row r="437" spans="10:33" x14ac:dyDescent="0.25">
      <c r="J437" t="s">
        <v>220</v>
      </c>
      <c r="R437">
        <v>15</v>
      </c>
      <c r="S437">
        <v>320</v>
      </c>
      <c r="T437">
        <v>2</v>
      </c>
      <c r="Y437">
        <v>436</v>
      </c>
      <c r="Z437" t="s">
        <v>923</v>
      </c>
      <c r="AA437" t="s">
        <v>924</v>
      </c>
      <c r="AB437">
        <v>6</v>
      </c>
      <c r="AC437">
        <v>19</v>
      </c>
      <c r="AD437">
        <v>10000</v>
      </c>
      <c r="AF437">
        <v>-7.2420758000000003</v>
      </c>
      <c r="AG437">
        <v>112.7368158</v>
      </c>
    </row>
    <row r="438" spans="10:33" x14ac:dyDescent="0.25">
      <c r="R438">
        <v>15</v>
      </c>
      <c r="S438">
        <v>339</v>
      </c>
      <c r="T438">
        <v>3</v>
      </c>
    </row>
    <row r="439" spans="10:33" x14ac:dyDescent="0.25">
      <c r="R439">
        <v>15</v>
      </c>
      <c r="S439">
        <v>341</v>
      </c>
      <c r="T439">
        <v>5</v>
      </c>
    </row>
    <row r="440" spans="10:33" x14ac:dyDescent="0.25">
      <c r="R440">
        <v>15</v>
      </c>
      <c r="S440">
        <v>347</v>
      </c>
      <c r="T440">
        <v>2</v>
      </c>
    </row>
    <row r="441" spans="10:33" x14ac:dyDescent="0.25">
      <c r="R441">
        <v>15</v>
      </c>
      <c r="S441">
        <v>354</v>
      </c>
      <c r="T441">
        <v>5</v>
      </c>
    </row>
    <row r="442" spans="10:33" x14ac:dyDescent="0.25">
      <c r="R442">
        <v>15</v>
      </c>
      <c r="S442">
        <v>356</v>
      </c>
      <c r="T442">
        <v>3</v>
      </c>
    </row>
    <row r="443" spans="10:33" x14ac:dyDescent="0.25">
      <c r="R443">
        <v>15</v>
      </c>
      <c r="S443">
        <v>359</v>
      </c>
      <c r="T443">
        <v>3</v>
      </c>
    </row>
    <row r="444" spans="10:33" x14ac:dyDescent="0.25">
      <c r="R444">
        <v>15</v>
      </c>
      <c r="S444">
        <v>364</v>
      </c>
      <c r="T444">
        <v>5</v>
      </c>
    </row>
    <row r="445" spans="10:33" x14ac:dyDescent="0.25">
      <c r="R445">
        <v>15</v>
      </c>
      <c r="S445">
        <v>366</v>
      </c>
      <c r="T445">
        <v>5</v>
      </c>
    </row>
    <row r="446" spans="10:33" x14ac:dyDescent="0.25">
      <c r="R446">
        <v>15</v>
      </c>
      <c r="S446">
        <v>368</v>
      </c>
      <c r="T446">
        <v>4</v>
      </c>
    </row>
    <row r="447" spans="10:33" x14ac:dyDescent="0.25">
      <c r="R447">
        <v>15</v>
      </c>
      <c r="S447">
        <v>416</v>
      </c>
      <c r="T447">
        <v>3</v>
      </c>
    </row>
    <row r="448" spans="10:33" x14ac:dyDescent="0.25">
      <c r="R448">
        <v>15</v>
      </c>
      <c r="S448">
        <v>433</v>
      </c>
      <c r="T448">
        <v>2</v>
      </c>
    </row>
    <row r="449" spans="18:20" x14ac:dyDescent="0.25">
      <c r="R449">
        <v>15</v>
      </c>
      <c r="S449">
        <v>434</v>
      </c>
      <c r="T449">
        <v>3</v>
      </c>
    </row>
    <row r="450" spans="18:20" x14ac:dyDescent="0.25">
      <c r="R450">
        <v>16</v>
      </c>
      <c r="S450">
        <v>26</v>
      </c>
      <c r="T450">
        <v>2</v>
      </c>
    </row>
    <row r="451" spans="18:20" x14ac:dyDescent="0.25">
      <c r="R451">
        <v>16</v>
      </c>
      <c r="S451">
        <v>30</v>
      </c>
      <c r="T451">
        <v>4</v>
      </c>
    </row>
    <row r="452" spans="18:20" x14ac:dyDescent="0.25">
      <c r="R452">
        <v>16</v>
      </c>
      <c r="S452">
        <v>67</v>
      </c>
      <c r="T452">
        <v>4</v>
      </c>
    </row>
    <row r="453" spans="18:20" x14ac:dyDescent="0.25">
      <c r="R453">
        <v>16</v>
      </c>
      <c r="S453">
        <v>68</v>
      </c>
      <c r="T453">
        <v>2</v>
      </c>
    </row>
    <row r="454" spans="18:20" x14ac:dyDescent="0.25">
      <c r="R454">
        <v>16</v>
      </c>
      <c r="S454">
        <v>73</v>
      </c>
      <c r="T454">
        <v>2</v>
      </c>
    </row>
    <row r="455" spans="18:20" x14ac:dyDescent="0.25">
      <c r="R455">
        <v>16</v>
      </c>
      <c r="S455">
        <v>89</v>
      </c>
      <c r="T455">
        <v>3</v>
      </c>
    </row>
    <row r="456" spans="18:20" x14ac:dyDescent="0.25">
      <c r="R456">
        <v>16</v>
      </c>
      <c r="S456">
        <v>121</v>
      </c>
      <c r="T456">
        <v>3</v>
      </c>
    </row>
    <row r="457" spans="18:20" x14ac:dyDescent="0.25">
      <c r="R457">
        <v>16</v>
      </c>
      <c r="S457">
        <v>121</v>
      </c>
      <c r="T457">
        <v>4</v>
      </c>
    </row>
    <row r="458" spans="18:20" x14ac:dyDescent="0.25">
      <c r="R458">
        <v>16</v>
      </c>
      <c r="S458">
        <v>132</v>
      </c>
      <c r="T458">
        <v>5</v>
      </c>
    </row>
    <row r="459" spans="18:20" x14ac:dyDescent="0.25">
      <c r="R459">
        <v>16</v>
      </c>
      <c r="S459">
        <v>150</v>
      </c>
      <c r="T459">
        <v>4</v>
      </c>
    </row>
    <row r="460" spans="18:20" x14ac:dyDescent="0.25">
      <c r="R460">
        <v>16</v>
      </c>
      <c r="S460">
        <v>167</v>
      </c>
      <c r="T460">
        <v>3</v>
      </c>
    </row>
    <row r="461" spans="18:20" x14ac:dyDescent="0.25">
      <c r="R461">
        <v>16</v>
      </c>
      <c r="S461">
        <v>201</v>
      </c>
      <c r="T461">
        <v>3</v>
      </c>
    </row>
    <row r="462" spans="18:20" x14ac:dyDescent="0.25">
      <c r="R462">
        <v>16</v>
      </c>
      <c r="S462">
        <v>203</v>
      </c>
      <c r="T462">
        <v>4</v>
      </c>
    </row>
    <row r="463" spans="18:20" x14ac:dyDescent="0.25">
      <c r="R463">
        <v>16</v>
      </c>
      <c r="S463">
        <v>237</v>
      </c>
      <c r="T463">
        <v>4</v>
      </c>
    </row>
    <row r="464" spans="18:20" x14ac:dyDescent="0.25">
      <c r="R464">
        <v>16</v>
      </c>
      <c r="S464">
        <v>252</v>
      </c>
      <c r="T464">
        <v>2</v>
      </c>
    </row>
    <row r="465" spans="18:20" x14ac:dyDescent="0.25">
      <c r="R465">
        <v>16</v>
      </c>
      <c r="S465">
        <v>264</v>
      </c>
      <c r="T465">
        <v>2</v>
      </c>
    </row>
    <row r="466" spans="18:20" x14ac:dyDescent="0.25">
      <c r="R466">
        <v>16</v>
      </c>
      <c r="S466">
        <v>266</v>
      </c>
      <c r="T466">
        <v>4</v>
      </c>
    </row>
    <row r="467" spans="18:20" x14ac:dyDescent="0.25">
      <c r="R467">
        <v>16</v>
      </c>
      <c r="S467">
        <v>270</v>
      </c>
      <c r="T467">
        <v>5</v>
      </c>
    </row>
    <row r="468" spans="18:20" x14ac:dyDescent="0.25">
      <c r="R468">
        <v>16</v>
      </c>
      <c r="S468">
        <v>275</v>
      </c>
      <c r="T468">
        <v>4</v>
      </c>
    </row>
    <row r="469" spans="18:20" x14ac:dyDescent="0.25">
      <c r="R469">
        <v>16</v>
      </c>
      <c r="S469">
        <v>292</v>
      </c>
      <c r="T469">
        <v>2</v>
      </c>
    </row>
    <row r="470" spans="18:20" x14ac:dyDescent="0.25">
      <c r="R470">
        <v>16</v>
      </c>
      <c r="S470">
        <v>321</v>
      </c>
      <c r="T470">
        <v>5</v>
      </c>
    </row>
    <row r="471" spans="18:20" x14ac:dyDescent="0.25">
      <c r="R471">
        <v>16</v>
      </c>
      <c r="S471">
        <v>346</v>
      </c>
      <c r="T471">
        <v>3</v>
      </c>
    </row>
    <row r="472" spans="18:20" x14ac:dyDescent="0.25">
      <c r="R472">
        <v>16</v>
      </c>
      <c r="S472">
        <v>358</v>
      </c>
      <c r="T472">
        <v>5</v>
      </c>
    </row>
    <row r="473" spans="18:20" x14ac:dyDescent="0.25">
      <c r="R473">
        <v>16</v>
      </c>
      <c r="S473">
        <v>383</v>
      </c>
      <c r="T473">
        <v>4</v>
      </c>
    </row>
    <row r="474" spans="18:20" x14ac:dyDescent="0.25">
      <c r="R474">
        <v>16</v>
      </c>
      <c r="S474">
        <v>384</v>
      </c>
      <c r="T474">
        <v>2</v>
      </c>
    </row>
    <row r="475" spans="18:20" x14ac:dyDescent="0.25">
      <c r="R475">
        <v>16</v>
      </c>
      <c r="S475">
        <v>389</v>
      </c>
      <c r="T475">
        <v>2</v>
      </c>
    </row>
    <row r="476" spans="18:20" x14ac:dyDescent="0.25">
      <c r="R476">
        <v>16</v>
      </c>
      <c r="S476">
        <v>412</v>
      </c>
      <c r="T476">
        <v>4</v>
      </c>
    </row>
    <row r="477" spans="18:20" x14ac:dyDescent="0.25">
      <c r="R477">
        <v>16</v>
      </c>
      <c r="S477">
        <v>413</v>
      </c>
      <c r="T477">
        <v>5</v>
      </c>
    </row>
    <row r="478" spans="18:20" x14ac:dyDescent="0.25">
      <c r="R478">
        <v>16</v>
      </c>
      <c r="S478">
        <v>433</v>
      </c>
      <c r="T478">
        <v>3</v>
      </c>
    </row>
    <row r="479" spans="18:20" x14ac:dyDescent="0.25">
      <c r="R479">
        <v>17</v>
      </c>
      <c r="S479">
        <v>2</v>
      </c>
      <c r="T479">
        <v>3</v>
      </c>
    </row>
    <row r="480" spans="18:20" x14ac:dyDescent="0.25">
      <c r="R480">
        <v>17</v>
      </c>
      <c r="S480">
        <v>3</v>
      </c>
      <c r="T480">
        <v>2</v>
      </c>
    </row>
    <row r="481" spans="18:20" x14ac:dyDescent="0.25">
      <c r="R481">
        <v>17</v>
      </c>
      <c r="S481">
        <v>11</v>
      </c>
      <c r="T481">
        <v>3</v>
      </c>
    </row>
    <row r="482" spans="18:20" x14ac:dyDescent="0.25">
      <c r="R482">
        <v>17</v>
      </c>
      <c r="S482">
        <v>16</v>
      </c>
      <c r="T482">
        <v>4</v>
      </c>
    </row>
    <row r="483" spans="18:20" x14ac:dyDescent="0.25">
      <c r="R483">
        <v>17</v>
      </c>
      <c r="S483">
        <v>19</v>
      </c>
      <c r="T483">
        <v>2</v>
      </c>
    </row>
    <row r="484" spans="18:20" x14ac:dyDescent="0.25">
      <c r="R484">
        <v>17</v>
      </c>
      <c r="S484">
        <v>27</v>
      </c>
      <c r="T484">
        <v>4</v>
      </c>
    </row>
    <row r="485" spans="18:20" x14ac:dyDescent="0.25">
      <c r="R485">
        <v>17</v>
      </c>
      <c r="S485">
        <v>32</v>
      </c>
      <c r="T485">
        <v>2</v>
      </c>
    </row>
    <row r="486" spans="18:20" x14ac:dyDescent="0.25">
      <c r="R486">
        <v>17</v>
      </c>
      <c r="S486">
        <v>33</v>
      </c>
      <c r="T486">
        <v>5</v>
      </c>
    </row>
    <row r="487" spans="18:20" x14ac:dyDescent="0.25">
      <c r="R487">
        <v>17</v>
      </c>
      <c r="S487">
        <v>37</v>
      </c>
      <c r="T487">
        <v>2</v>
      </c>
    </row>
    <row r="488" spans="18:20" x14ac:dyDescent="0.25">
      <c r="R488">
        <v>17</v>
      </c>
      <c r="S488">
        <v>47</v>
      </c>
      <c r="T488">
        <v>4</v>
      </c>
    </row>
    <row r="489" spans="18:20" x14ac:dyDescent="0.25">
      <c r="R489">
        <v>17</v>
      </c>
      <c r="S489">
        <v>70</v>
      </c>
      <c r="T489">
        <v>2</v>
      </c>
    </row>
    <row r="490" spans="18:20" x14ac:dyDescent="0.25">
      <c r="R490">
        <v>17</v>
      </c>
      <c r="S490">
        <v>78</v>
      </c>
      <c r="T490">
        <v>4</v>
      </c>
    </row>
    <row r="491" spans="18:20" x14ac:dyDescent="0.25">
      <c r="R491">
        <v>17</v>
      </c>
      <c r="S491">
        <v>92</v>
      </c>
      <c r="T491">
        <v>3</v>
      </c>
    </row>
    <row r="492" spans="18:20" x14ac:dyDescent="0.25">
      <c r="R492">
        <v>17</v>
      </c>
      <c r="S492">
        <v>98</v>
      </c>
      <c r="T492">
        <v>5</v>
      </c>
    </row>
    <row r="493" spans="18:20" x14ac:dyDescent="0.25">
      <c r="R493">
        <v>17</v>
      </c>
      <c r="S493">
        <v>104</v>
      </c>
      <c r="T493">
        <v>4</v>
      </c>
    </row>
    <row r="494" spans="18:20" x14ac:dyDescent="0.25">
      <c r="R494">
        <v>17</v>
      </c>
      <c r="S494">
        <v>134</v>
      </c>
      <c r="T494">
        <v>4</v>
      </c>
    </row>
    <row r="495" spans="18:20" x14ac:dyDescent="0.25">
      <c r="R495">
        <v>17</v>
      </c>
      <c r="S495">
        <v>145</v>
      </c>
      <c r="T495">
        <v>3</v>
      </c>
    </row>
    <row r="496" spans="18:20" x14ac:dyDescent="0.25">
      <c r="R496">
        <v>17</v>
      </c>
      <c r="S496">
        <v>154</v>
      </c>
      <c r="T496">
        <v>5</v>
      </c>
    </row>
    <row r="497" spans="18:20" x14ac:dyDescent="0.25">
      <c r="R497">
        <v>17</v>
      </c>
      <c r="S497">
        <v>173</v>
      </c>
      <c r="T497">
        <v>5</v>
      </c>
    </row>
    <row r="498" spans="18:20" x14ac:dyDescent="0.25">
      <c r="R498">
        <v>17</v>
      </c>
      <c r="S498">
        <v>181</v>
      </c>
      <c r="T498">
        <v>2</v>
      </c>
    </row>
    <row r="499" spans="18:20" x14ac:dyDescent="0.25">
      <c r="R499">
        <v>17</v>
      </c>
      <c r="S499">
        <v>199</v>
      </c>
      <c r="T499">
        <v>3</v>
      </c>
    </row>
    <row r="500" spans="18:20" x14ac:dyDescent="0.25">
      <c r="R500">
        <v>17</v>
      </c>
      <c r="S500">
        <v>210</v>
      </c>
      <c r="T500">
        <v>4</v>
      </c>
    </row>
    <row r="501" spans="18:20" x14ac:dyDescent="0.25">
      <c r="R501">
        <v>17</v>
      </c>
      <c r="S501">
        <v>236</v>
      </c>
      <c r="T501">
        <v>3</v>
      </c>
    </row>
    <row r="502" spans="18:20" x14ac:dyDescent="0.25">
      <c r="R502">
        <v>17</v>
      </c>
      <c r="S502">
        <v>237</v>
      </c>
      <c r="T502">
        <v>3</v>
      </c>
    </row>
    <row r="503" spans="18:20" x14ac:dyDescent="0.25">
      <c r="R503">
        <v>17</v>
      </c>
      <c r="S503">
        <v>256</v>
      </c>
      <c r="T503">
        <v>4</v>
      </c>
    </row>
    <row r="504" spans="18:20" x14ac:dyDescent="0.25">
      <c r="R504">
        <v>17</v>
      </c>
      <c r="S504">
        <v>262</v>
      </c>
      <c r="T504">
        <v>2</v>
      </c>
    </row>
    <row r="505" spans="18:20" x14ac:dyDescent="0.25">
      <c r="R505">
        <v>17</v>
      </c>
      <c r="S505">
        <v>265</v>
      </c>
      <c r="T505">
        <v>4</v>
      </c>
    </row>
    <row r="506" spans="18:20" x14ac:dyDescent="0.25">
      <c r="R506">
        <v>17</v>
      </c>
      <c r="S506">
        <v>267</v>
      </c>
      <c r="T506">
        <v>5</v>
      </c>
    </row>
    <row r="507" spans="18:20" x14ac:dyDescent="0.25">
      <c r="R507">
        <v>17</v>
      </c>
      <c r="S507">
        <v>279</v>
      </c>
      <c r="T507">
        <v>4</v>
      </c>
    </row>
    <row r="508" spans="18:20" x14ac:dyDescent="0.25">
      <c r="R508">
        <v>17</v>
      </c>
      <c r="S508">
        <v>288</v>
      </c>
      <c r="T508">
        <v>4</v>
      </c>
    </row>
    <row r="509" spans="18:20" x14ac:dyDescent="0.25">
      <c r="R509">
        <v>17</v>
      </c>
      <c r="S509">
        <v>289</v>
      </c>
      <c r="T509">
        <v>4</v>
      </c>
    </row>
    <row r="510" spans="18:20" x14ac:dyDescent="0.25">
      <c r="R510">
        <v>17</v>
      </c>
      <c r="S510">
        <v>307</v>
      </c>
      <c r="T510">
        <v>3</v>
      </c>
    </row>
    <row r="511" spans="18:20" x14ac:dyDescent="0.25">
      <c r="R511">
        <v>17</v>
      </c>
      <c r="S511">
        <v>308</v>
      </c>
      <c r="T511">
        <v>2</v>
      </c>
    </row>
    <row r="512" spans="18:20" x14ac:dyDescent="0.25">
      <c r="R512">
        <v>17</v>
      </c>
      <c r="S512">
        <v>317</v>
      </c>
      <c r="T512">
        <v>5</v>
      </c>
    </row>
    <row r="513" spans="18:20" x14ac:dyDescent="0.25">
      <c r="R513">
        <v>17</v>
      </c>
      <c r="S513">
        <v>320</v>
      </c>
      <c r="T513">
        <v>3</v>
      </c>
    </row>
    <row r="514" spans="18:20" x14ac:dyDescent="0.25">
      <c r="R514">
        <v>17</v>
      </c>
      <c r="S514">
        <v>329</v>
      </c>
      <c r="T514">
        <v>3</v>
      </c>
    </row>
    <row r="515" spans="18:20" x14ac:dyDescent="0.25">
      <c r="R515">
        <v>17</v>
      </c>
      <c r="S515">
        <v>338</v>
      </c>
      <c r="T515">
        <v>2</v>
      </c>
    </row>
    <row r="516" spans="18:20" x14ac:dyDescent="0.25">
      <c r="R516">
        <v>17</v>
      </c>
      <c r="S516">
        <v>345</v>
      </c>
      <c r="T516">
        <v>2</v>
      </c>
    </row>
    <row r="517" spans="18:20" x14ac:dyDescent="0.25">
      <c r="R517">
        <v>17</v>
      </c>
      <c r="S517">
        <v>370</v>
      </c>
      <c r="T517">
        <v>4</v>
      </c>
    </row>
    <row r="518" spans="18:20" x14ac:dyDescent="0.25">
      <c r="R518">
        <v>17</v>
      </c>
      <c r="S518">
        <v>370</v>
      </c>
      <c r="T518">
        <v>3</v>
      </c>
    </row>
    <row r="519" spans="18:20" x14ac:dyDescent="0.25">
      <c r="R519">
        <v>17</v>
      </c>
      <c r="S519">
        <v>383</v>
      </c>
      <c r="T519">
        <v>5</v>
      </c>
    </row>
    <row r="520" spans="18:20" x14ac:dyDescent="0.25">
      <c r="R520">
        <v>17</v>
      </c>
      <c r="S520">
        <v>397</v>
      </c>
      <c r="T520">
        <v>3</v>
      </c>
    </row>
    <row r="521" spans="18:20" x14ac:dyDescent="0.25">
      <c r="R521">
        <v>17</v>
      </c>
      <c r="S521">
        <v>397</v>
      </c>
      <c r="T521">
        <v>4</v>
      </c>
    </row>
    <row r="522" spans="18:20" x14ac:dyDescent="0.25">
      <c r="R522">
        <v>17</v>
      </c>
      <c r="S522">
        <v>405</v>
      </c>
      <c r="T522">
        <v>5</v>
      </c>
    </row>
    <row r="523" spans="18:20" x14ac:dyDescent="0.25">
      <c r="R523">
        <v>17</v>
      </c>
      <c r="S523">
        <v>409</v>
      </c>
      <c r="T523">
        <v>4</v>
      </c>
    </row>
    <row r="524" spans="18:20" x14ac:dyDescent="0.25">
      <c r="R524">
        <v>17</v>
      </c>
      <c r="S524">
        <v>413</v>
      </c>
      <c r="T524">
        <v>4</v>
      </c>
    </row>
    <row r="525" spans="18:20" x14ac:dyDescent="0.25">
      <c r="R525">
        <v>18</v>
      </c>
      <c r="S525">
        <v>8</v>
      </c>
      <c r="T525">
        <v>3</v>
      </c>
    </row>
    <row r="526" spans="18:20" x14ac:dyDescent="0.25">
      <c r="R526">
        <v>18</v>
      </c>
      <c r="S526">
        <v>46</v>
      </c>
      <c r="T526">
        <v>4</v>
      </c>
    </row>
    <row r="527" spans="18:20" x14ac:dyDescent="0.25">
      <c r="R527">
        <v>18</v>
      </c>
      <c r="S527">
        <v>49</v>
      </c>
      <c r="T527">
        <v>4</v>
      </c>
    </row>
    <row r="528" spans="18:20" x14ac:dyDescent="0.25">
      <c r="R528">
        <v>18</v>
      </c>
      <c r="S528">
        <v>50</v>
      </c>
      <c r="T528">
        <v>4</v>
      </c>
    </row>
    <row r="529" spans="18:20" x14ac:dyDescent="0.25">
      <c r="R529">
        <v>18</v>
      </c>
      <c r="S529">
        <v>54</v>
      </c>
      <c r="T529">
        <v>4</v>
      </c>
    </row>
    <row r="530" spans="18:20" x14ac:dyDescent="0.25">
      <c r="R530">
        <v>18</v>
      </c>
      <c r="S530">
        <v>71</v>
      </c>
      <c r="T530">
        <v>4</v>
      </c>
    </row>
    <row r="531" spans="18:20" x14ac:dyDescent="0.25">
      <c r="R531">
        <v>18</v>
      </c>
      <c r="S531">
        <v>80</v>
      </c>
      <c r="T531">
        <v>5</v>
      </c>
    </row>
    <row r="532" spans="18:20" x14ac:dyDescent="0.25">
      <c r="R532">
        <v>18</v>
      </c>
      <c r="S532">
        <v>80</v>
      </c>
      <c r="T532">
        <v>5</v>
      </c>
    </row>
    <row r="533" spans="18:20" x14ac:dyDescent="0.25">
      <c r="R533">
        <v>18</v>
      </c>
      <c r="S533">
        <v>88</v>
      </c>
      <c r="T533">
        <v>3</v>
      </c>
    </row>
    <row r="534" spans="18:20" x14ac:dyDescent="0.25">
      <c r="R534">
        <v>18</v>
      </c>
      <c r="S534">
        <v>101</v>
      </c>
      <c r="T534">
        <v>5</v>
      </c>
    </row>
    <row r="535" spans="18:20" x14ac:dyDescent="0.25">
      <c r="R535">
        <v>18</v>
      </c>
      <c r="S535">
        <v>102</v>
      </c>
      <c r="T535">
        <v>3</v>
      </c>
    </row>
    <row r="536" spans="18:20" x14ac:dyDescent="0.25">
      <c r="R536">
        <v>18</v>
      </c>
      <c r="S536">
        <v>111</v>
      </c>
      <c r="T536">
        <v>4</v>
      </c>
    </row>
    <row r="537" spans="18:20" x14ac:dyDescent="0.25">
      <c r="R537">
        <v>18</v>
      </c>
      <c r="S537">
        <v>113</v>
      </c>
      <c r="T537">
        <v>2</v>
      </c>
    </row>
    <row r="538" spans="18:20" x14ac:dyDescent="0.25">
      <c r="R538">
        <v>18</v>
      </c>
      <c r="S538">
        <v>147</v>
      </c>
      <c r="T538">
        <v>4</v>
      </c>
    </row>
    <row r="539" spans="18:20" x14ac:dyDescent="0.25">
      <c r="R539">
        <v>18</v>
      </c>
      <c r="S539">
        <v>151</v>
      </c>
      <c r="T539">
        <v>5</v>
      </c>
    </row>
    <row r="540" spans="18:20" x14ac:dyDescent="0.25">
      <c r="R540">
        <v>18</v>
      </c>
      <c r="S540">
        <v>176</v>
      </c>
      <c r="T540">
        <v>5</v>
      </c>
    </row>
    <row r="541" spans="18:20" x14ac:dyDescent="0.25">
      <c r="R541">
        <v>18</v>
      </c>
      <c r="S541">
        <v>182</v>
      </c>
      <c r="T541">
        <v>5</v>
      </c>
    </row>
    <row r="542" spans="18:20" x14ac:dyDescent="0.25">
      <c r="R542">
        <v>18</v>
      </c>
      <c r="S542">
        <v>184</v>
      </c>
      <c r="T542">
        <v>3</v>
      </c>
    </row>
    <row r="543" spans="18:20" x14ac:dyDescent="0.25">
      <c r="R543">
        <v>18</v>
      </c>
      <c r="S543">
        <v>185</v>
      </c>
      <c r="T543">
        <v>3</v>
      </c>
    </row>
    <row r="544" spans="18:20" x14ac:dyDescent="0.25">
      <c r="R544">
        <v>18</v>
      </c>
      <c r="S544">
        <v>197</v>
      </c>
      <c r="T544">
        <v>2</v>
      </c>
    </row>
    <row r="545" spans="18:20" x14ac:dyDescent="0.25">
      <c r="R545">
        <v>18</v>
      </c>
      <c r="S545">
        <v>201</v>
      </c>
      <c r="T545">
        <v>5</v>
      </c>
    </row>
    <row r="546" spans="18:20" x14ac:dyDescent="0.25">
      <c r="R546">
        <v>18</v>
      </c>
      <c r="S546">
        <v>235</v>
      </c>
      <c r="T546">
        <v>5</v>
      </c>
    </row>
    <row r="547" spans="18:20" x14ac:dyDescent="0.25">
      <c r="R547">
        <v>18</v>
      </c>
      <c r="S547">
        <v>245</v>
      </c>
      <c r="T547">
        <v>4</v>
      </c>
    </row>
    <row r="548" spans="18:20" x14ac:dyDescent="0.25">
      <c r="R548">
        <v>18</v>
      </c>
      <c r="S548">
        <v>260</v>
      </c>
      <c r="T548">
        <v>4</v>
      </c>
    </row>
    <row r="549" spans="18:20" x14ac:dyDescent="0.25">
      <c r="R549">
        <v>18</v>
      </c>
      <c r="S549">
        <v>261</v>
      </c>
      <c r="T549">
        <v>2</v>
      </c>
    </row>
    <row r="550" spans="18:20" x14ac:dyDescent="0.25">
      <c r="R550">
        <v>18</v>
      </c>
      <c r="S550">
        <v>272</v>
      </c>
      <c r="T550">
        <v>3</v>
      </c>
    </row>
    <row r="551" spans="18:20" x14ac:dyDescent="0.25">
      <c r="R551">
        <v>18</v>
      </c>
      <c r="S551">
        <v>331</v>
      </c>
      <c r="T551">
        <v>2</v>
      </c>
    </row>
    <row r="552" spans="18:20" x14ac:dyDescent="0.25">
      <c r="R552">
        <v>18</v>
      </c>
      <c r="S552">
        <v>356</v>
      </c>
      <c r="T552">
        <v>4</v>
      </c>
    </row>
    <row r="553" spans="18:20" x14ac:dyDescent="0.25">
      <c r="R553">
        <v>18</v>
      </c>
      <c r="S553">
        <v>374</v>
      </c>
      <c r="T553">
        <v>3</v>
      </c>
    </row>
    <row r="554" spans="18:20" x14ac:dyDescent="0.25">
      <c r="R554">
        <v>18</v>
      </c>
      <c r="S554">
        <v>398</v>
      </c>
      <c r="T554">
        <v>3</v>
      </c>
    </row>
    <row r="555" spans="18:20" x14ac:dyDescent="0.25">
      <c r="R555">
        <v>18</v>
      </c>
      <c r="S555">
        <v>404</v>
      </c>
      <c r="T555">
        <v>5</v>
      </c>
    </row>
    <row r="556" spans="18:20" x14ac:dyDescent="0.25">
      <c r="R556">
        <v>18</v>
      </c>
      <c r="S556">
        <v>411</v>
      </c>
      <c r="T556">
        <v>2</v>
      </c>
    </row>
    <row r="557" spans="18:20" x14ac:dyDescent="0.25">
      <c r="R557">
        <v>18</v>
      </c>
      <c r="S557">
        <v>412</v>
      </c>
      <c r="T557">
        <v>2</v>
      </c>
    </row>
    <row r="558" spans="18:20" x14ac:dyDescent="0.25">
      <c r="R558">
        <v>18</v>
      </c>
      <c r="S558">
        <v>425</v>
      </c>
      <c r="T558">
        <v>2</v>
      </c>
    </row>
    <row r="559" spans="18:20" x14ac:dyDescent="0.25">
      <c r="R559">
        <v>19</v>
      </c>
      <c r="S559">
        <v>9</v>
      </c>
      <c r="T559">
        <v>3</v>
      </c>
    </row>
    <row r="560" spans="18:20" x14ac:dyDescent="0.25">
      <c r="R560">
        <v>19</v>
      </c>
      <c r="S560">
        <v>15</v>
      </c>
      <c r="T560">
        <v>4</v>
      </c>
    </row>
    <row r="561" spans="18:20" x14ac:dyDescent="0.25">
      <c r="R561">
        <v>19</v>
      </c>
      <c r="S561">
        <v>34</v>
      </c>
      <c r="T561">
        <v>5</v>
      </c>
    </row>
    <row r="562" spans="18:20" x14ac:dyDescent="0.25">
      <c r="R562">
        <v>19</v>
      </c>
      <c r="S562">
        <v>38</v>
      </c>
      <c r="T562">
        <v>5</v>
      </c>
    </row>
    <row r="563" spans="18:20" x14ac:dyDescent="0.25">
      <c r="R563">
        <v>19</v>
      </c>
      <c r="S563">
        <v>38</v>
      </c>
      <c r="T563">
        <v>5</v>
      </c>
    </row>
    <row r="564" spans="18:20" x14ac:dyDescent="0.25">
      <c r="R564">
        <v>19</v>
      </c>
      <c r="S564">
        <v>42</v>
      </c>
      <c r="T564">
        <v>2</v>
      </c>
    </row>
    <row r="565" spans="18:20" x14ac:dyDescent="0.25">
      <c r="R565">
        <v>19</v>
      </c>
      <c r="S565">
        <v>56</v>
      </c>
      <c r="T565">
        <v>3</v>
      </c>
    </row>
    <row r="566" spans="18:20" x14ac:dyDescent="0.25">
      <c r="R566">
        <v>19</v>
      </c>
      <c r="S566">
        <v>84</v>
      </c>
      <c r="T566">
        <v>2</v>
      </c>
    </row>
    <row r="567" spans="18:20" x14ac:dyDescent="0.25">
      <c r="R567">
        <v>19</v>
      </c>
      <c r="S567">
        <v>112</v>
      </c>
      <c r="T567">
        <v>3</v>
      </c>
    </row>
    <row r="568" spans="18:20" x14ac:dyDescent="0.25">
      <c r="R568">
        <v>19</v>
      </c>
      <c r="S568">
        <v>124</v>
      </c>
      <c r="T568">
        <v>4</v>
      </c>
    </row>
    <row r="569" spans="18:20" x14ac:dyDescent="0.25">
      <c r="R569">
        <v>19</v>
      </c>
      <c r="S569">
        <v>127</v>
      </c>
      <c r="T569">
        <v>5</v>
      </c>
    </row>
    <row r="570" spans="18:20" x14ac:dyDescent="0.25">
      <c r="R570">
        <v>19</v>
      </c>
      <c r="S570">
        <v>151</v>
      </c>
      <c r="T570">
        <v>3</v>
      </c>
    </row>
    <row r="571" spans="18:20" x14ac:dyDescent="0.25">
      <c r="R571">
        <v>19</v>
      </c>
      <c r="S571">
        <v>165</v>
      </c>
      <c r="T571">
        <v>4</v>
      </c>
    </row>
    <row r="572" spans="18:20" x14ac:dyDescent="0.25">
      <c r="R572">
        <v>19</v>
      </c>
      <c r="S572">
        <v>168</v>
      </c>
      <c r="T572">
        <v>3</v>
      </c>
    </row>
    <row r="573" spans="18:20" x14ac:dyDescent="0.25">
      <c r="R573">
        <v>19</v>
      </c>
      <c r="S573">
        <v>170</v>
      </c>
      <c r="T573">
        <v>5</v>
      </c>
    </row>
    <row r="574" spans="18:20" x14ac:dyDescent="0.25">
      <c r="R574">
        <v>19</v>
      </c>
      <c r="S574">
        <v>192</v>
      </c>
      <c r="T574">
        <v>5</v>
      </c>
    </row>
    <row r="575" spans="18:20" x14ac:dyDescent="0.25">
      <c r="R575">
        <v>19</v>
      </c>
      <c r="S575">
        <v>192</v>
      </c>
      <c r="T575">
        <v>3</v>
      </c>
    </row>
    <row r="576" spans="18:20" x14ac:dyDescent="0.25">
      <c r="R576">
        <v>19</v>
      </c>
      <c r="S576">
        <v>194</v>
      </c>
      <c r="T576">
        <v>5</v>
      </c>
    </row>
    <row r="577" spans="18:20" x14ac:dyDescent="0.25">
      <c r="R577">
        <v>19</v>
      </c>
      <c r="S577">
        <v>195</v>
      </c>
      <c r="T577">
        <v>4</v>
      </c>
    </row>
    <row r="578" spans="18:20" x14ac:dyDescent="0.25">
      <c r="R578">
        <v>19</v>
      </c>
      <c r="S578">
        <v>197</v>
      </c>
      <c r="T578">
        <v>5</v>
      </c>
    </row>
    <row r="579" spans="18:20" x14ac:dyDescent="0.25">
      <c r="R579">
        <v>19</v>
      </c>
      <c r="S579">
        <v>203</v>
      </c>
      <c r="T579">
        <v>2</v>
      </c>
    </row>
    <row r="580" spans="18:20" x14ac:dyDescent="0.25">
      <c r="R580">
        <v>19</v>
      </c>
      <c r="S580">
        <v>205</v>
      </c>
      <c r="T580">
        <v>3</v>
      </c>
    </row>
    <row r="581" spans="18:20" x14ac:dyDescent="0.25">
      <c r="R581">
        <v>19</v>
      </c>
      <c r="S581">
        <v>210</v>
      </c>
      <c r="T581">
        <v>5</v>
      </c>
    </row>
    <row r="582" spans="18:20" x14ac:dyDescent="0.25">
      <c r="R582">
        <v>19</v>
      </c>
      <c r="S582">
        <v>212</v>
      </c>
      <c r="T582">
        <v>3</v>
      </c>
    </row>
    <row r="583" spans="18:20" x14ac:dyDescent="0.25">
      <c r="R583">
        <v>19</v>
      </c>
      <c r="S583">
        <v>213</v>
      </c>
      <c r="T583">
        <v>2</v>
      </c>
    </row>
    <row r="584" spans="18:20" x14ac:dyDescent="0.25">
      <c r="R584">
        <v>19</v>
      </c>
      <c r="S584">
        <v>228</v>
      </c>
      <c r="T584">
        <v>2</v>
      </c>
    </row>
    <row r="585" spans="18:20" x14ac:dyDescent="0.25">
      <c r="R585">
        <v>19</v>
      </c>
      <c r="S585">
        <v>247</v>
      </c>
      <c r="T585">
        <v>3</v>
      </c>
    </row>
    <row r="586" spans="18:20" x14ac:dyDescent="0.25">
      <c r="R586">
        <v>19</v>
      </c>
      <c r="S586">
        <v>252</v>
      </c>
      <c r="T586">
        <v>5</v>
      </c>
    </row>
    <row r="587" spans="18:20" x14ac:dyDescent="0.25">
      <c r="R587">
        <v>19</v>
      </c>
      <c r="S587">
        <v>295</v>
      </c>
      <c r="T587">
        <v>3</v>
      </c>
    </row>
    <row r="588" spans="18:20" x14ac:dyDescent="0.25">
      <c r="R588">
        <v>19</v>
      </c>
      <c r="S588">
        <v>316</v>
      </c>
      <c r="T588">
        <v>3</v>
      </c>
    </row>
    <row r="589" spans="18:20" x14ac:dyDescent="0.25">
      <c r="R589">
        <v>19</v>
      </c>
      <c r="S589">
        <v>326</v>
      </c>
      <c r="T589">
        <v>4</v>
      </c>
    </row>
    <row r="590" spans="18:20" x14ac:dyDescent="0.25">
      <c r="R590">
        <v>19</v>
      </c>
      <c r="S590">
        <v>330</v>
      </c>
      <c r="T590">
        <v>3</v>
      </c>
    </row>
    <row r="591" spans="18:20" x14ac:dyDescent="0.25">
      <c r="R591">
        <v>19</v>
      </c>
      <c r="S591">
        <v>332</v>
      </c>
      <c r="T591">
        <v>4</v>
      </c>
    </row>
    <row r="592" spans="18:20" x14ac:dyDescent="0.25">
      <c r="R592">
        <v>19</v>
      </c>
      <c r="S592">
        <v>343</v>
      </c>
      <c r="T592">
        <v>2</v>
      </c>
    </row>
    <row r="593" spans="18:20" x14ac:dyDescent="0.25">
      <c r="R593">
        <v>19</v>
      </c>
      <c r="S593">
        <v>345</v>
      </c>
      <c r="T593">
        <v>4</v>
      </c>
    </row>
    <row r="594" spans="18:20" x14ac:dyDescent="0.25">
      <c r="R594">
        <v>19</v>
      </c>
      <c r="S594">
        <v>381</v>
      </c>
      <c r="T594">
        <v>4</v>
      </c>
    </row>
    <row r="595" spans="18:20" x14ac:dyDescent="0.25">
      <c r="R595">
        <v>19</v>
      </c>
      <c r="S595">
        <v>392</v>
      </c>
      <c r="T595">
        <v>3</v>
      </c>
    </row>
    <row r="596" spans="18:20" x14ac:dyDescent="0.25">
      <c r="R596">
        <v>19</v>
      </c>
      <c r="S596">
        <v>394</v>
      </c>
      <c r="T596">
        <v>2</v>
      </c>
    </row>
    <row r="597" spans="18:20" x14ac:dyDescent="0.25">
      <c r="R597">
        <v>19</v>
      </c>
      <c r="S597">
        <v>399</v>
      </c>
      <c r="T597">
        <v>2</v>
      </c>
    </row>
    <row r="598" spans="18:20" x14ac:dyDescent="0.25">
      <c r="R598">
        <v>19</v>
      </c>
      <c r="S598">
        <v>416</v>
      </c>
      <c r="T598">
        <v>3</v>
      </c>
    </row>
    <row r="599" spans="18:20" x14ac:dyDescent="0.25">
      <c r="R599">
        <v>19</v>
      </c>
      <c r="S599">
        <v>417</v>
      </c>
      <c r="T599">
        <v>4</v>
      </c>
    </row>
    <row r="600" spans="18:20" x14ac:dyDescent="0.25">
      <c r="R600">
        <v>19</v>
      </c>
      <c r="S600">
        <v>425</v>
      </c>
      <c r="T600">
        <v>5</v>
      </c>
    </row>
    <row r="601" spans="18:20" x14ac:dyDescent="0.25">
      <c r="R601">
        <v>19</v>
      </c>
      <c r="S601">
        <v>429</v>
      </c>
      <c r="T601">
        <v>4</v>
      </c>
    </row>
    <row r="602" spans="18:20" x14ac:dyDescent="0.25">
      <c r="R602">
        <v>19</v>
      </c>
      <c r="S602">
        <v>431</v>
      </c>
      <c r="T602">
        <v>4</v>
      </c>
    </row>
    <row r="603" spans="18:20" x14ac:dyDescent="0.25">
      <c r="R603">
        <v>20</v>
      </c>
      <c r="S603">
        <v>9</v>
      </c>
      <c r="T603">
        <v>2</v>
      </c>
    </row>
    <row r="604" spans="18:20" x14ac:dyDescent="0.25">
      <c r="R604">
        <v>20</v>
      </c>
      <c r="S604">
        <v>21</v>
      </c>
      <c r="T604">
        <v>3</v>
      </c>
    </row>
    <row r="605" spans="18:20" x14ac:dyDescent="0.25">
      <c r="R605">
        <v>20</v>
      </c>
      <c r="S605">
        <v>22</v>
      </c>
      <c r="T605">
        <v>3</v>
      </c>
    </row>
    <row r="606" spans="18:20" x14ac:dyDescent="0.25">
      <c r="R606">
        <v>20</v>
      </c>
      <c r="S606">
        <v>46</v>
      </c>
      <c r="T606">
        <v>3</v>
      </c>
    </row>
    <row r="607" spans="18:20" x14ac:dyDescent="0.25">
      <c r="R607">
        <v>20</v>
      </c>
      <c r="S607">
        <v>67</v>
      </c>
      <c r="T607">
        <v>4</v>
      </c>
    </row>
    <row r="608" spans="18:20" x14ac:dyDescent="0.25">
      <c r="R608">
        <v>20</v>
      </c>
      <c r="S608">
        <v>81</v>
      </c>
      <c r="T608">
        <v>3</v>
      </c>
    </row>
    <row r="609" spans="18:20" x14ac:dyDescent="0.25">
      <c r="R609">
        <v>20</v>
      </c>
      <c r="S609">
        <v>83</v>
      </c>
      <c r="T609">
        <v>3</v>
      </c>
    </row>
    <row r="610" spans="18:20" x14ac:dyDescent="0.25">
      <c r="R610">
        <v>20</v>
      </c>
      <c r="S610">
        <v>84</v>
      </c>
      <c r="T610">
        <v>3</v>
      </c>
    </row>
    <row r="611" spans="18:20" x14ac:dyDescent="0.25">
      <c r="R611">
        <v>20</v>
      </c>
      <c r="S611">
        <v>90</v>
      </c>
      <c r="T611">
        <v>2</v>
      </c>
    </row>
    <row r="612" spans="18:20" x14ac:dyDescent="0.25">
      <c r="R612">
        <v>20</v>
      </c>
      <c r="S612">
        <v>99</v>
      </c>
      <c r="T612">
        <v>2</v>
      </c>
    </row>
    <row r="613" spans="18:20" x14ac:dyDescent="0.25">
      <c r="R613">
        <v>20</v>
      </c>
      <c r="S613">
        <v>108</v>
      </c>
      <c r="T613">
        <v>4</v>
      </c>
    </row>
    <row r="614" spans="18:20" x14ac:dyDescent="0.25">
      <c r="R614">
        <v>20</v>
      </c>
      <c r="S614">
        <v>136</v>
      </c>
      <c r="T614">
        <v>3</v>
      </c>
    </row>
    <row r="615" spans="18:20" x14ac:dyDescent="0.25">
      <c r="R615">
        <v>20</v>
      </c>
      <c r="S615">
        <v>142</v>
      </c>
      <c r="T615">
        <v>2</v>
      </c>
    </row>
    <row r="616" spans="18:20" x14ac:dyDescent="0.25">
      <c r="R616">
        <v>20</v>
      </c>
      <c r="S616">
        <v>145</v>
      </c>
      <c r="T616">
        <v>2</v>
      </c>
    </row>
    <row r="617" spans="18:20" x14ac:dyDescent="0.25">
      <c r="R617">
        <v>20</v>
      </c>
      <c r="S617">
        <v>159</v>
      </c>
      <c r="T617">
        <v>4</v>
      </c>
    </row>
    <row r="618" spans="18:20" x14ac:dyDescent="0.25">
      <c r="R618">
        <v>20</v>
      </c>
      <c r="S618">
        <v>163</v>
      </c>
      <c r="T618">
        <v>2</v>
      </c>
    </row>
    <row r="619" spans="18:20" x14ac:dyDescent="0.25">
      <c r="R619">
        <v>20</v>
      </c>
      <c r="S619">
        <v>192</v>
      </c>
      <c r="T619">
        <v>2</v>
      </c>
    </row>
    <row r="620" spans="18:20" x14ac:dyDescent="0.25">
      <c r="R620">
        <v>20</v>
      </c>
      <c r="S620">
        <v>202</v>
      </c>
      <c r="T620">
        <v>5</v>
      </c>
    </row>
    <row r="621" spans="18:20" x14ac:dyDescent="0.25">
      <c r="R621">
        <v>20</v>
      </c>
      <c r="S621">
        <v>227</v>
      </c>
      <c r="T621">
        <v>5</v>
      </c>
    </row>
    <row r="622" spans="18:20" x14ac:dyDescent="0.25">
      <c r="R622">
        <v>20</v>
      </c>
      <c r="S622">
        <v>239</v>
      </c>
      <c r="T622">
        <v>4</v>
      </c>
    </row>
    <row r="623" spans="18:20" x14ac:dyDescent="0.25">
      <c r="R623">
        <v>20</v>
      </c>
      <c r="S623">
        <v>278</v>
      </c>
      <c r="T623">
        <v>3</v>
      </c>
    </row>
    <row r="624" spans="18:20" x14ac:dyDescent="0.25">
      <c r="R624">
        <v>20</v>
      </c>
      <c r="S624">
        <v>302</v>
      </c>
      <c r="T624">
        <v>5</v>
      </c>
    </row>
    <row r="625" spans="18:20" x14ac:dyDescent="0.25">
      <c r="R625">
        <v>20</v>
      </c>
      <c r="S625">
        <v>326</v>
      </c>
      <c r="T625">
        <v>5</v>
      </c>
    </row>
    <row r="626" spans="18:20" x14ac:dyDescent="0.25">
      <c r="R626">
        <v>20</v>
      </c>
      <c r="S626">
        <v>334</v>
      </c>
      <c r="T626">
        <v>4</v>
      </c>
    </row>
    <row r="627" spans="18:20" x14ac:dyDescent="0.25">
      <c r="R627">
        <v>20</v>
      </c>
      <c r="S627">
        <v>343</v>
      </c>
      <c r="T627">
        <v>2</v>
      </c>
    </row>
    <row r="628" spans="18:20" x14ac:dyDescent="0.25">
      <c r="R628">
        <v>20</v>
      </c>
      <c r="S628">
        <v>345</v>
      </c>
      <c r="T628">
        <v>3</v>
      </c>
    </row>
    <row r="629" spans="18:20" x14ac:dyDescent="0.25">
      <c r="R629">
        <v>20</v>
      </c>
      <c r="S629">
        <v>348</v>
      </c>
      <c r="T629">
        <v>2</v>
      </c>
    </row>
    <row r="630" spans="18:20" x14ac:dyDescent="0.25">
      <c r="R630">
        <v>20</v>
      </c>
      <c r="S630">
        <v>359</v>
      </c>
      <c r="T630">
        <v>2</v>
      </c>
    </row>
    <row r="631" spans="18:20" x14ac:dyDescent="0.25">
      <c r="R631">
        <v>20</v>
      </c>
      <c r="S631">
        <v>373</v>
      </c>
      <c r="T631">
        <v>3</v>
      </c>
    </row>
    <row r="632" spans="18:20" x14ac:dyDescent="0.25">
      <c r="R632">
        <v>20</v>
      </c>
      <c r="S632">
        <v>374</v>
      </c>
      <c r="T632">
        <v>5</v>
      </c>
    </row>
    <row r="633" spans="18:20" x14ac:dyDescent="0.25">
      <c r="R633">
        <v>20</v>
      </c>
      <c r="S633">
        <v>403</v>
      </c>
      <c r="T633">
        <v>2</v>
      </c>
    </row>
    <row r="634" spans="18:20" x14ac:dyDescent="0.25">
      <c r="R634">
        <v>20</v>
      </c>
      <c r="S634">
        <v>424</v>
      </c>
      <c r="T634">
        <v>4</v>
      </c>
    </row>
    <row r="635" spans="18:20" x14ac:dyDescent="0.25">
      <c r="R635">
        <v>20</v>
      </c>
      <c r="S635">
        <v>424</v>
      </c>
      <c r="T635">
        <v>3</v>
      </c>
    </row>
    <row r="636" spans="18:20" x14ac:dyDescent="0.25">
      <c r="R636">
        <v>20</v>
      </c>
      <c r="S636">
        <v>428</v>
      </c>
      <c r="T636">
        <v>3</v>
      </c>
    </row>
    <row r="637" spans="18:20" x14ac:dyDescent="0.25">
      <c r="R637">
        <v>21</v>
      </c>
      <c r="S637">
        <v>44</v>
      </c>
      <c r="T637">
        <v>2</v>
      </c>
    </row>
    <row r="638" spans="18:20" x14ac:dyDescent="0.25">
      <c r="R638">
        <v>21</v>
      </c>
      <c r="S638">
        <v>45</v>
      </c>
      <c r="T638">
        <v>2</v>
      </c>
    </row>
    <row r="639" spans="18:20" x14ac:dyDescent="0.25">
      <c r="R639">
        <v>21</v>
      </c>
      <c r="S639">
        <v>64</v>
      </c>
      <c r="T639">
        <v>3</v>
      </c>
    </row>
    <row r="640" spans="18:20" x14ac:dyDescent="0.25">
      <c r="R640">
        <v>21</v>
      </c>
      <c r="S640">
        <v>74</v>
      </c>
      <c r="T640">
        <v>3</v>
      </c>
    </row>
    <row r="641" spans="18:20" x14ac:dyDescent="0.25">
      <c r="R641">
        <v>21</v>
      </c>
      <c r="S641">
        <v>88</v>
      </c>
      <c r="T641">
        <v>5</v>
      </c>
    </row>
    <row r="642" spans="18:20" x14ac:dyDescent="0.25">
      <c r="R642">
        <v>21</v>
      </c>
      <c r="S642">
        <v>101</v>
      </c>
      <c r="T642">
        <v>4</v>
      </c>
    </row>
    <row r="643" spans="18:20" x14ac:dyDescent="0.25">
      <c r="R643">
        <v>21</v>
      </c>
      <c r="S643">
        <v>102</v>
      </c>
      <c r="T643">
        <v>2</v>
      </c>
    </row>
    <row r="644" spans="18:20" x14ac:dyDescent="0.25">
      <c r="R644">
        <v>21</v>
      </c>
      <c r="S644">
        <v>113</v>
      </c>
      <c r="T644">
        <v>3</v>
      </c>
    </row>
    <row r="645" spans="18:20" x14ac:dyDescent="0.25">
      <c r="R645">
        <v>21</v>
      </c>
      <c r="S645">
        <v>121</v>
      </c>
      <c r="T645">
        <v>2</v>
      </c>
    </row>
    <row r="646" spans="18:20" x14ac:dyDescent="0.25">
      <c r="R646">
        <v>21</v>
      </c>
      <c r="S646">
        <v>147</v>
      </c>
      <c r="T646">
        <v>3</v>
      </c>
    </row>
    <row r="647" spans="18:20" x14ac:dyDescent="0.25">
      <c r="R647">
        <v>21</v>
      </c>
      <c r="S647">
        <v>177</v>
      </c>
      <c r="T647">
        <v>4</v>
      </c>
    </row>
    <row r="648" spans="18:20" x14ac:dyDescent="0.25">
      <c r="R648">
        <v>21</v>
      </c>
      <c r="S648">
        <v>209</v>
      </c>
      <c r="T648">
        <v>3</v>
      </c>
    </row>
    <row r="649" spans="18:20" x14ac:dyDescent="0.25">
      <c r="R649">
        <v>21</v>
      </c>
      <c r="S649">
        <v>233</v>
      </c>
      <c r="T649">
        <v>4</v>
      </c>
    </row>
    <row r="650" spans="18:20" x14ac:dyDescent="0.25">
      <c r="R650">
        <v>21</v>
      </c>
      <c r="S650">
        <v>241</v>
      </c>
      <c r="T650">
        <v>4</v>
      </c>
    </row>
    <row r="651" spans="18:20" x14ac:dyDescent="0.25">
      <c r="R651">
        <v>21</v>
      </c>
      <c r="S651">
        <v>296</v>
      </c>
      <c r="T651">
        <v>2</v>
      </c>
    </row>
    <row r="652" spans="18:20" x14ac:dyDescent="0.25">
      <c r="R652">
        <v>21</v>
      </c>
      <c r="S652">
        <v>322</v>
      </c>
      <c r="T652">
        <v>2</v>
      </c>
    </row>
    <row r="653" spans="18:20" x14ac:dyDescent="0.25">
      <c r="R653">
        <v>21</v>
      </c>
      <c r="S653">
        <v>361</v>
      </c>
      <c r="T653">
        <v>2</v>
      </c>
    </row>
    <row r="654" spans="18:20" x14ac:dyDescent="0.25">
      <c r="R654">
        <v>21</v>
      </c>
      <c r="S654">
        <v>372</v>
      </c>
      <c r="T654">
        <v>5</v>
      </c>
    </row>
    <row r="655" spans="18:20" x14ac:dyDescent="0.25">
      <c r="R655">
        <v>21</v>
      </c>
      <c r="S655">
        <v>410</v>
      </c>
      <c r="T655">
        <v>4</v>
      </c>
    </row>
    <row r="656" spans="18:20" x14ac:dyDescent="0.25">
      <c r="R656">
        <v>21</v>
      </c>
      <c r="S656">
        <v>411</v>
      </c>
      <c r="T656">
        <v>5</v>
      </c>
    </row>
    <row r="657" spans="18:20" x14ac:dyDescent="0.25">
      <c r="R657">
        <v>21</v>
      </c>
      <c r="S657">
        <v>412</v>
      </c>
      <c r="T657">
        <v>5</v>
      </c>
    </row>
    <row r="658" spans="18:20" x14ac:dyDescent="0.25">
      <c r="R658">
        <v>21</v>
      </c>
      <c r="S658">
        <v>426</v>
      </c>
      <c r="T658">
        <v>4</v>
      </c>
    </row>
    <row r="659" spans="18:20" x14ac:dyDescent="0.25">
      <c r="R659">
        <v>22</v>
      </c>
      <c r="S659">
        <v>17</v>
      </c>
      <c r="T659">
        <v>3</v>
      </c>
    </row>
    <row r="660" spans="18:20" x14ac:dyDescent="0.25">
      <c r="R660">
        <v>22</v>
      </c>
      <c r="S660">
        <v>18</v>
      </c>
      <c r="T660">
        <v>5</v>
      </c>
    </row>
    <row r="661" spans="18:20" x14ac:dyDescent="0.25">
      <c r="R661">
        <v>22</v>
      </c>
      <c r="S661">
        <v>24</v>
      </c>
      <c r="T661">
        <v>5</v>
      </c>
    </row>
    <row r="662" spans="18:20" x14ac:dyDescent="0.25">
      <c r="R662">
        <v>22</v>
      </c>
      <c r="S662">
        <v>37</v>
      </c>
      <c r="T662">
        <v>5</v>
      </c>
    </row>
    <row r="663" spans="18:20" x14ac:dyDescent="0.25">
      <c r="R663">
        <v>22</v>
      </c>
      <c r="S663">
        <v>54</v>
      </c>
      <c r="T663">
        <v>4</v>
      </c>
    </row>
    <row r="664" spans="18:20" x14ac:dyDescent="0.25">
      <c r="R664">
        <v>22</v>
      </c>
      <c r="S664">
        <v>62</v>
      </c>
      <c r="T664">
        <v>4</v>
      </c>
    </row>
    <row r="665" spans="18:20" x14ac:dyDescent="0.25">
      <c r="R665">
        <v>22</v>
      </c>
      <c r="S665">
        <v>68</v>
      </c>
      <c r="T665">
        <v>2</v>
      </c>
    </row>
    <row r="666" spans="18:20" x14ac:dyDescent="0.25">
      <c r="R666">
        <v>22</v>
      </c>
      <c r="S666">
        <v>77</v>
      </c>
      <c r="T666">
        <v>3</v>
      </c>
    </row>
    <row r="667" spans="18:20" x14ac:dyDescent="0.25">
      <c r="R667">
        <v>22</v>
      </c>
      <c r="S667">
        <v>78</v>
      </c>
      <c r="T667">
        <v>2</v>
      </c>
    </row>
    <row r="668" spans="18:20" x14ac:dyDescent="0.25">
      <c r="R668">
        <v>22</v>
      </c>
      <c r="S668">
        <v>84</v>
      </c>
      <c r="T668">
        <v>2</v>
      </c>
    </row>
    <row r="669" spans="18:20" x14ac:dyDescent="0.25">
      <c r="R669">
        <v>22</v>
      </c>
      <c r="S669">
        <v>103</v>
      </c>
      <c r="T669">
        <v>5</v>
      </c>
    </row>
    <row r="670" spans="18:20" x14ac:dyDescent="0.25">
      <c r="R670">
        <v>22</v>
      </c>
      <c r="S670">
        <v>113</v>
      </c>
      <c r="T670">
        <v>2</v>
      </c>
    </row>
    <row r="671" spans="18:20" x14ac:dyDescent="0.25">
      <c r="R671">
        <v>22</v>
      </c>
      <c r="S671">
        <v>124</v>
      </c>
      <c r="T671">
        <v>3</v>
      </c>
    </row>
    <row r="672" spans="18:20" x14ac:dyDescent="0.25">
      <c r="R672">
        <v>22</v>
      </c>
      <c r="S672">
        <v>135</v>
      </c>
      <c r="T672">
        <v>3</v>
      </c>
    </row>
    <row r="673" spans="18:20" x14ac:dyDescent="0.25">
      <c r="R673">
        <v>22</v>
      </c>
      <c r="S673">
        <v>137</v>
      </c>
      <c r="T673">
        <v>2</v>
      </c>
    </row>
    <row r="674" spans="18:20" x14ac:dyDescent="0.25">
      <c r="R674">
        <v>22</v>
      </c>
      <c r="S674">
        <v>139</v>
      </c>
      <c r="T674">
        <v>5</v>
      </c>
    </row>
    <row r="675" spans="18:20" x14ac:dyDescent="0.25">
      <c r="R675">
        <v>22</v>
      </c>
      <c r="S675">
        <v>169</v>
      </c>
      <c r="T675">
        <v>3</v>
      </c>
    </row>
    <row r="676" spans="18:20" x14ac:dyDescent="0.25">
      <c r="R676">
        <v>22</v>
      </c>
      <c r="S676">
        <v>176</v>
      </c>
      <c r="T676">
        <v>3</v>
      </c>
    </row>
    <row r="677" spans="18:20" x14ac:dyDescent="0.25">
      <c r="R677">
        <v>22</v>
      </c>
      <c r="S677">
        <v>179</v>
      </c>
      <c r="T677">
        <v>4</v>
      </c>
    </row>
    <row r="678" spans="18:20" x14ac:dyDescent="0.25">
      <c r="R678">
        <v>22</v>
      </c>
      <c r="S678">
        <v>197</v>
      </c>
      <c r="T678">
        <v>2</v>
      </c>
    </row>
    <row r="679" spans="18:20" x14ac:dyDescent="0.25">
      <c r="R679">
        <v>22</v>
      </c>
      <c r="S679">
        <v>242</v>
      </c>
      <c r="T679">
        <v>4</v>
      </c>
    </row>
    <row r="680" spans="18:20" x14ac:dyDescent="0.25">
      <c r="R680">
        <v>22</v>
      </c>
      <c r="S680">
        <v>244</v>
      </c>
      <c r="T680">
        <v>2</v>
      </c>
    </row>
    <row r="681" spans="18:20" x14ac:dyDescent="0.25">
      <c r="R681">
        <v>22</v>
      </c>
      <c r="S681">
        <v>274</v>
      </c>
      <c r="T681">
        <v>3</v>
      </c>
    </row>
    <row r="682" spans="18:20" x14ac:dyDescent="0.25">
      <c r="R682">
        <v>22</v>
      </c>
      <c r="S682">
        <v>314</v>
      </c>
      <c r="T682">
        <v>3</v>
      </c>
    </row>
    <row r="683" spans="18:20" x14ac:dyDescent="0.25">
      <c r="R683">
        <v>22</v>
      </c>
      <c r="S683">
        <v>321</v>
      </c>
      <c r="T683">
        <v>4</v>
      </c>
    </row>
    <row r="684" spans="18:20" x14ac:dyDescent="0.25">
      <c r="R684">
        <v>22</v>
      </c>
      <c r="S684">
        <v>347</v>
      </c>
      <c r="T684">
        <v>4</v>
      </c>
    </row>
    <row r="685" spans="18:20" x14ac:dyDescent="0.25">
      <c r="R685">
        <v>22</v>
      </c>
      <c r="S685">
        <v>365</v>
      </c>
      <c r="T685">
        <v>2</v>
      </c>
    </row>
    <row r="686" spans="18:20" x14ac:dyDescent="0.25">
      <c r="R686">
        <v>22</v>
      </c>
      <c r="S686">
        <v>419</v>
      </c>
      <c r="T686">
        <v>5</v>
      </c>
    </row>
    <row r="687" spans="18:20" x14ac:dyDescent="0.25">
      <c r="R687">
        <v>22</v>
      </c>
      <c r="S687">
        <v>434</v>
      </c>
      <c r="T687">
        <v>2</v>
      </c>
    </row>
    <row r="688" spans="18:20" x14ac:dyDescent="0.25">
      <c r="R688">
        <v>23</v>
      </c>
      <c r="S688">
        <v>6</v>
      </c>
      <c r="T688">
        <v>2</v>
      </c>
    </row>
    <row r="689" spans="18:20" x14ac:dyDescent="0.25">
      <c r="R689">
        <v>23</v>
      </c>
      <c r="S689">
        <v>18</v>
      </c>
      <c r="T689">
        <v>4</v>
      </c>
    </row>
    <row r="690" spans="18:20" x14ac:dyDescent="0.25">
      <c r="R690">
        <v>23</v>
      </c>
      <c r="S690">
        <v>29</v>
      </c>
      <c r="T690">
        <v>2</v>
      </c>
    </row>
    <row r="691" spans="18:20" x14ac:dyDescent="0.25">
      <c r="R691">
        <v>23</v>
      </c>
      <c r="S691">
        <v>49</v>
      </c>
      <c r="T691">
        <v>3</v>
      </c>
    </row>
    <row r="692" spans="18:20" x14ac:dyDescent="0.25">
      <c r="R692">
        <v>23</v>
      </c>
      <c r="S692">
        <v>60</v>
      </c>
      <c r="T692">
        <v>4</v>
      </c>
    </row>
    <row r="693" spans="18:20" x14ac:dyDescent="0.25">
      <c r="R693">
        <v>23</v>
      </c>
      <c r="S693">
        <v>60</v>
      </c>
      <c r="T693">
        <v>3</v>
      </c>
    </row>
    <row r="694" spans="18:20" x14ac:dyDescent="0.25">
      <c r="R694">
        <v>23</v>
      </c>
      <c r="S694">
        <v>85</v>
      </c>
      <c r="T694">
        <v>4</v>
      </c>
    </row>
    <row r="695" spans="18:20" x14ac:dyDescent="0.25">
      <c r="R695">
        <v>23</v>
      </c>
      <c r="S695">
        <v>97</v>
      </c>
      <c r="T695">
        <v>5</v>
      </c>
    </row>
    <row r="696" spans="18:20" x14ac:dyDescent="0.25">
      <c r="R696">
        <v>23</v>
      </c>
      <c r="S696">
        <v>112</v>
      </c>
      <c r="T696">
        <v>5</v>
      </c>
    </row>
    <row r="697" spans="18:20" x14ac:dyDescent="0.25">
      <c r="R697">
        <v>23</v>
      </c>
      <c r="S697">
        <v>142</v>
      </c>
      <c r="T697">
        <v>4</v>
      </c>
    </row>
    <row r="698" spans="18:20" x14ac:dyDescent="0.25">
      <c r="R698">
        <v>23</v>
      </c>
      <c r="S698">
        <v>147</v>
      </c>
      <c r="T698">
        <v>5</v>
      </c>
    </row>
    <row r="699" spans="18:20" x14ac:dyDescent="0.25">
      <c r="R699">
        <v>23</v>
      </c>
      <c r="S699">
        <v>151</v>
      </c>
      <c r="T699">
        <v>2</v>
      </c>
    </row>
    <row r="700" spans="18:20" x14ac:dyDescent="0.25">
      <c r="R700">
        <v>23</v>
      </c>
      <c r="S700">
        <v>152</v>
      </c>
      <c r="T700">
        <v>3</v>
      </c>
    </row>
    <row r="701" spans="18:20" x14ac:dyDescent="0.25">
      <c r="R701">
        <v>23</v>
      </c>
      <c r="S701">
        <v>156</v>
      </c>
      <c r="T701">
        <v>4</v>
      </c>
    </row>
    <row r="702" spans="18:20" x14ac:dyDescent="0.25">
      <c r="R702">
        <v>23</v>
      </c>
      <c r="S702">
        <v>165</v>
      </c>
      <c r="T702">
        <v>4</v>
      </c>
    </row>
    <row r="703" spans="18:20" x14ac:dyDescent="0.25">
      <c r="R703">
        <v>23</v>
      </c>
      <c r="S703">
        <v>177</v>
      </c>
      <c r="T703">
        <v>4</v>
      </c>
    </row>
    <row r="704" spans="18:20" x14ac:dyDescent="0.25">
      <c r="R704">
        <v>23</v>
      </c>
      <c r="S704">
        <v>190</v>
      </c>
      <c r="T704">
        <v>3</v>
      </c>
    </row>
    <row r="705" spans="18:20" x14ac:dyDescent="0.25">
      <c r="R705">
        <v>23</v>
      </c>
      <c r="S705">
        <v>202</v>
      </c>
      <c r="T705">
        <v>3</v>
      </c>
    </row>
    <row r="706" spans="18:20" x14ac:dyDescent="0.25">
      <c r="R706">
        <v>23</v>
      </c>
      <c r="S706">
        <v>209</v>
      </c>
      <c r="T706">
        <v>4</v>
      </c>
    </row>
    <row r="707" spans="18:20" x14ac:dyDescent="0.25">
      <c r="R707">
        <v>23</v>
      </c>
      <c r="S707">
        <v>212</v>
      </c>
      <c r="T707">
        <v>4</v>
      </c>
    </row>
    <row r="708" spans="18:20" x14ac:dyDescent="0.25">
      <c r="R708">
        <v>23</v>
      </c>
      <c r="S708">
        <v>223</v>
      </c>
      <c r="T708">
        <v>3</v>
      </c>
    </row>
    <row r="709" spans="18:20" x14ac:dyDescent="0.25">
      <c r="R709">
        <v>23</v>
      </c>
      <c r="S709">
        <v>240</v>
      </c>
      <c r="T709">
        <v>4</v>
      </c>
    </row>
    <row r="710" spans="18:20" x14ac:dyDescent="0.25">
      <c r="R710">
        <v>23</v>
      </c>
      <c r="S710">
        <v>260</v>
      </c>
      <c r="T710">
        <v>4</v>
      </c>
    </row>
    <row r="711" spans="18:20" x14ac:dyDescent="0.25">
      <c r="R711">
        <v>23</v>
      </c>
      <c r="S711">
        <v>281</v>
      </c>
      <c r="T711">
        <v>5</v>
      </c>
    </row>
    <row r="712" spans="18:20" x14ac:dyDescent="0.25">
      <c r="R712">
        <v>23</v>
      </c>
      <c r="S712">
        <v>307</v>
      </c>
      <c r="T712">
        <v>4</v>
      </c>
    </row>
    <row r="713" spans="18:20" x14ac:dyDescent="0.25">
      <c r="R713">
        <v>23</v>
      </c>
      <c r="S713">
        <v>335</v>
      </c>
      <c r="T713">
        <v>2</v>
      </c>
    </row>
    <row r="714" spans="18:20" x14ac:dyDescent="0.25">
      <c r="R714">
        <v>23</v>
      </c>
      <c r="S714">
        <v>338</v>
      </c>
      <c r="T714">
        <v>3</v>
      </c>
    </row>
    <row r="715" spans="18:20" x14ac:dyDescent="0.25">
      <c r="R715">
        <v>23</v>
      </c>
      <c r="S715">
        <v>347</v>
      </c>
      <c r="T715">
        <v>5</v>
      </c>
    </row>
    <row r="716" spans="18:20" x14ac:dyDescent="0.25">
      <c r="R716">
        <v>23</v>
      </c>
      <c r="S716">
        <v>383</v>
      </c>
      <c r="T716">
        <v>4</v>
      </c>
    </row>
    <row r="717" spans="18:20" x14ac:dyDescent="0.25">
      <c r="R717">
        <v>23</v>
      </c>
      <c r="S717">
        <v>397</v>
      </c>
      <c r="T717">
        <v>4</v>
      </c>
    </row>
    <row r="718" spans="18:20" x14ac:dyDescent="0.25">
      <c r="R718">
        <v>23</v>
      </c>
      <c r="S718">
        <v>431</v>
      </c>
      <c r="T718">
        <v>2</v>
      </c>
    </row>
    <row r="719" spans="18:20" x14ac:dyDescent="0.25">
      <c r="R719">
        <v>23</v>
      </c>
      <c r="S719">
        <v>433</v>
      </c>
      <c r="T719">
        <v>2</v>
      </c>
    </row>
    <row r="720" spans="18:20" x14ac:dyDescent="0.25">
      <c r="R720">
        <v>24</v>
      </c>
      <c r="S720">
        <v>24</v>
      </c>
      <c r="T720">
        <v>2</v>
      </c>
    </row>
    <row r="721" spans="18:20" x14ac:dyDescent="0.25">
      <c r="R721">
        <v>24</v>
      </c>
      <c r="S721">
        <v>29</v>
      </c>
      <c r="T721">
        <v>3</v>
      </c>
    </row>
    <row r="722" spans="18:20" x14ac:dyDescent="0.25">
      <c r="R722">
        <v>24</v>
      </c>
      <c r="S722">
        <v>33</v>
      </c>
      <c r="T722">
        <v>2</v>
      </c>
    </row>
    <row r="723" spans="18:20" x14ac:dyDescent="0.25">
      <c r="R723">
        <v>24</v>
      </c>
      <c r="S723">
        <v>66</v>
      </c>
      <c r="T723">
        <v>3</v>
      </c>
    </row>
    <row r="724" spans="18:20" x14ac:dyDescent="0.25">
      <c r="R724">
        <v>24</v>
      </c>
      <c r="S724">
        <v>91</v>
      </c>
      <c r="T724">
        <v>5</v>
      </c>
    </row>
    <row r="725" spans="18:20" x14ac:dyDescent="0.25">
      <c r="R725">
        <v>24</v>
      </c>
      <c r="S725">
        <v>96</v>
      </c>
      <c r="T725">
        <v>2</v>
      </c>
    </row>
    <row r="726" spans="18:20" x14ac:dyDescent="0.25">
      <c r="R726">
        <v>24</v>
      </c>
      <c r="S726">
        <v>98</v>
      </c>
      <c r="T726">
        <v>4</v>
      </c>
    </row>
    <row r="727" spans="18:20" x14ac:dyDescent="0.25">
      <c r="R727">
        <v>24</v>
      </c>
      <c r="S727">
        <v>113</v>
      </c>
      <c r="T727">
        <v>2</v>
      </c>
    </row>
    <row r="728" spans="18:20" x14ac:dyDescent="0.25">
      <c r="R728">
        <v>24</v>
      </c>
      <c r="S728">
        <v>148</v>
      </c>
      <c r="T728">
        <v>3</v>
      </c>
    </row>
    <row r="729" spans="18:20" x14ac:dyDescent="0.25">
      <c r="R729">
        <v>24</v>
      </c>
      <c r="S729">
        <v>161</v>
      </c>
      <c r="T729">
        <v>4</v>
      </c>
    </row>
    <row r="730" spans="18:20" x14ac:dyDescent="0.25">
      <c r="R730">
        <v>24</v>
      </c>
      <c r="S730">
        <v>163</v>
      </c>
      <c r="T730">
        <v>2</v>
      </c>
    </row>
    <row r="731" spans="18:20" x14ac:dyDescent="0.25">
      <c r="R731">
        <v>24</v>
      </c>
      <c r="S731">
        <v>191</v>
      </c>
      <c r="T731">
        <v>5</v>
      </c>
    </row>
    <row r="732" spans="18:20" x14ac:dyDescent="0.25">
      <c r="R732">
        <v>24</v>
      </c>
      <c r="S732">
        <v>192</v>
      </c>
      <c r="T732">
        <v>4</v>
      </c>
    </row>
    <row r="733" spans="18:20" x14ac:dyDescent="0.25">
      <c r="R733">
        <v>24</v>
      </c>
      <c r="S733">
        <v>200</v>
      </c>
      <c r="T733">
        <v>2</v>
      </c>
    </row>
    <row r="734" spans="18:20" x14ac:dyDescent="0.25">
      <c r="R734">
        <v>24</v>
      </c>
      <c r="S734">
        <v>219</v>
      </c>
      <c r="T734">
        <v>4</v>
      </c>
    </row>
    <row r="735" spans="18:20" x14ac:dyDescent="0.25">
      <c r="R735">
        <v>24</v>
      </c>
      <c r="S735">
        <v>264</v>
      </c>
      <c r="T735">
        <v>2</v>
      </c>
    </row>
    <row r="736" spans="18:20" x14ac:dyDescent="0.25">
      <c r="R736">
        <v>24</v>
      </c>
      <c r="S736">
        <v>311</v>
      </c>
      <c r="T736">
        <v>5</v>
      </c>
    </row>
    <row r="737" spans="18:20" x14ac:dyDescent="0.25">
      <c r="R737">
        <v>24</v>
      </c>
      <c r="S737">
        <v>318</v>
      </c>
      <c r="T737">
        <v>5</v>
      </c>
    </row>
    <row r="738" spans="18:20" x14ac:dyDescent="0.25">
      <c r="R738">
        <v>24</v>
      </c>
      <c r="S738">
        <v>326</v>
      </c>
      <c r="T738">
        <v>2</v>
      </c>
    </row>
    <row r="739" spans="18:20" x14ac:dyDescent="0.25">
      <c r="R739">
        <v>24</v>
      </c>
      <c r="S739">
        <v>337</v>
      </c>
      <c r="T739">
        <v>2</v>
      </c>
    </row>
    <row r="740" spans="18:20" x14ac:dyDescent="0.25">
      <c r="R740">
        <v>24</v>
      </c>
      <c r="S740">
        <v>343</v>
      </c>
      <c r="T740">
        <v>3</v>
      </c>
    </row>
    <row r="741" spans="18:20" x14ac:dyDescent="0.25">
      <c r="R741">
        <v>24</v>
      </c>
      <c r="S741">
        <v>371</v>
      </c>
      <c r="T741">
        <v>4</v>
      </c>
    </row>
    <row r="742" spans="18:20" x14ac:dyDescent="0.25">
      <c r="R742">
        <v>24</v>
      </c>
      <c r="S742">
        <v>377</v>
      </c>
      <c r="T742">
        <v>3</v>
      </c>
    </row>
    <row r="743" spans="18:20" x14ac:dyDescent="0.25">
      <c r="R743">
        <v>24</v>
      </c>
      <c r="S743">
        <v>426</v>
      </c>
      <c r="T743">
        <v>5</v>
      </c>
    </row>
    <row r="744" spans="18:20" x14ac:dyDescent="0.25">
      <c r="R744">
        <v>25</v>
      </c>
      <c r="S744">
        <v>14</v>
      </c>
      <c r="T744">
        <v>5</v>
      </c>
    </row>
    <row r="745" spans="18:20" x14ac:dyDescent="0.25">
      <c r="R745">
        <v>25</v>
      </c>
      <c r="S745">
        <v>33</v>
      </c>
      <c r="T745">
        <v>4</v>
      </c>
    </row>
    <row r="746" spans="18:20" x14ac:dyDescent="0.25">
      <c r="R746">
        <v>25</v>
      </c>
      <c r="S746">
        <v>52</v>
      </c>
      <c r="T746">
        <v>3</v>
      </c>
    </row>
    <row r="747" spans="18:20" x14ac:dyDescent="0.25">
      <c r="R747">
        <v>25</v>
      </c>
      <c r="S747">
        <v>53</v>
      </c>
      <c r="T747">
        <v>2</v>
      </c>
    </row>
    <row r="748" spans="18:20" x14ac:dyDescent="0.25">
      <c r="R748">
        <v>25</v>
      </c>
      <c r="S748">
        <v>60</v>
      </c>
      <c r="T748">
        <v>2</v>
      </c>
    </row>
    <row r="749" spans="18:20" x14ac:dyDescent="0.25">
      <c r="R749">
        <v>25</v>
      </c>
      <c r="S749">
        <v>85</v>
      </c>
      <c r="T749">
        <v>2</v>
      </c>
    </row>
    <row r="750" spans="18:20" x14ac:dyDescent="0.25">
      <c r="R750">
        <v>25</v>
      </c>
      <c r="S750">
        <v>88</v>
      </c>
      <c r="T750">
        <v>5</v>
      </c>
    </row>
    <row r="751" spans="18:20" x14ac:dyDescent="0.25">
      <c r="R751">
        <v>25</v>
      </c>
      <c r="S751">
        <v>89</v>
      </c>
      <c r="T751">
        <v>3</v>
      </c>
    </row>
    <row r="752" spans="18:20" x14ac:dyDescent="0.25">
      <c r="R752">
        <v>25</v>
      </c>
      <c r="S752">
        <v>94</v>
      </c>
      <c r="T752">
        <v>4</v>
      </c>
    </row>
    <row r="753" spans="18:20" x14ac:dyDescent="0.25">
      <c r="R753">
        <v>25</v>
      </c>
      <c r="S753">
        <v>116</v>
      </c>
      <c r="T753">
        <v>3</v>
      </c>
    </row>
    <row r="754" spans="18:20" x14ac:dyDescent="0.25">
      <c r="R754">
        <v>25</v>
      </c>
      <c r="S754">
        <v>172</v>
      </c>
      <c r="T754">
        <v>4</v>
      </c>
    </row>
    <row r="755" spans="18:20" x14ac:dyDescent="0.25">
      <c r="R755">
        <v>25</v>
      </c>
      <c r="S755">
        <v>183</v>
      </c>
      <c r="T755">
        <v>3</v>
      </c>
    </row>
    <row r="756" spans="18:20" x14ac:dyDescent="0.25">
      <c r="R756">
        <v>25</v>
      </c>
      <c r="S756">
        <v>190</v>
      </c>
      <c r="T756">
        <v>3</v>
      </c>
    </row>
    <row r="757" spans="18:20" x14ac:dyDescent="0.25">
      <c r="R757">
        <v>25</v>
      </c>
      <c r="S757">
        <v>206</v>
      </c>
      <c r="T757">
        <v>3</v>
      </c>
    </row>
    <row r="758" spans="18:20" x14ac:dyDescent="0.25">
      <c r="R758">
        <v>25</v>
      </c>
      <c r="S758">
        <v>250</v>
      </c>
      <c r="T758">
        <v>5</v>
      </c>
    </row>
    <row r="759" spans="18:20" x14ac:dyDescent="0.25">
      <c r="R759">
        <v>25</v>
      </c>
      <c r="S759">
        <v>253</v>
      </c>
      <c r="T759">
        <v>4</v>
      </c>
    </row>
    <row r="760" spans="18:20" x14ac:dyDescent="0.25">
      <c r="R760">
        <v>25</v>
      </c>
      <c r="S760">
        <v>268</v>
      </c>
      <c r="T760">
        <v>3</v>
      </c>
    </row>
    <row r="761" spans="18:20" x14ac:dyDescent="0.25">
      <c r="R761">
        <v>25</v>
      </c>
      <c r="S761">
        <v>272</v>
      </c>
      <c r="T761">
        <v>4</v>
      </c>
    </row>
    <row r="762" spans="18:20" x14ac:dyDescent="0.25">
      <c r="R762">
        <v>25</v>
      </c>
      <c r="S762">
        <v>286</v>
      </c>
      <c r="T762">
        <v>4</v>
      </c>
    </row>
    <row r="763" spans="18:20" x14ac:dyDescent="0.25">
      <c r="R763">
        <v>25</v>
      </c>
      <c r="S763">
        <v>299</v>
      </c>
      <c r="T763">
        <v>3</v>
      </c>
    </row>
    <row r="764" spans="18:20" x14ac:dyDescent="0.25">
      <c r="R764">
        <v>25</v>
      </c>
      <c r="S764">
        <v>325</v>
      </c>
      <c r="T764">
        <v>3</v>
      </c>
    </row>
    <row r="765" spans="18:20" x14ac:dyDescent="0.25">
      <c r="R765">
        <v>25</v>
      </c>
      <c r="S765">
        <v>327</v>
      </c>
      <c r="T765">
        <v>4</v>
      </c>
    </row>
    <row r="766" spans="18:20" x14ac:dyDescent="0.25">
      <c r="R766">
        <v>25</v>
      </c>
      <c r="S766">
        <v>335</v>
      </c>
      <c r="T766">
        <v>3</v>
      </c>
    </row>
    <row r="767" spans="18:20" x14ac:dyDescent="0.25">
      <c r="R767">
        <v>25</v>
      </c>
      <c r="S767">
        <v>336</v>
      </c>
      <c r="T767">
        <v>5</v>
      </c>
    </row>
    <row r="768" spans="18:20" x14ac:dyDescent="0.25">
      <c r="R768">
        <v>25</v>
      </c>
      <c r="S768">
        <v>351</v>
      </c>
      <c r="T768">
        <v>2</v>
      </c>
    </row>
    <row r="769" spans="18:20" x14ac:dyDescent="0.25">
      <c r="R769">
        <v>25</v>
      </c>
      <c r="S769">
        <v>367</v>
      </c>
      <c r="T769">
        <v>3</v>
      </c>
    </row>
    <row r="770" spans="18:20" x14ac:dyDescent="0.25">
      <c r="R770">
        <v>25</v>
      </c>
      <c r="S770">
        <v>370</v>
      </c>
      <c r="T770">
        <v>4</v>
      </c>
    </row>
    <row r="771" spans="18:20" x14ac:dyDescent="0.25">
      <c r="R771">
        <v>25</v>
      </c>
      <c r="S771">
        <v>376</v>
      </c>
      <c r="T771">
        <v>4</v>
      </c>
    </row>
    <row r="772" spans="18:20" x14ac:dyDescent="0.25">
      <c r="R772">
        <v>25</v>
      </c>
      <c r="S772">
        <v>385</v>
      </c>
      <c r="T772">
        <v>3</v>
      </c>
    </row>
    <row r="773" spans="18:20" x14ac:dyDescent="0.25">
      <c r="R773">
        <v>25</v>
      </c>
      <c r="S773">
        <v>391</v>
      </c>
      <c r="T773">
        <v>4</v>
      </c>
    </row>
    <row r="774" spans="18:20" x14ac:dyDescent="0.25">
      <c r="R774">
        <v>25</v>
      </c>
      <c r="S774">
        <v>405</v>
      </c>
      <c r="T774">
        <v>5</v>
      </c>
    </row>
    <row r="775" spans="18:20" x14ac:dyDescent="0.25">
      <c r="R775">
        <v>25</v>
      </c>
      <c r="S775">
        <v>415</v>
      </c>
      <c r="T775">
        <v>5</v>
      </c>
    </row>
    <row r="776" spans="18:20" x14ac:dyDescent="0.25">
      <c r="R776">
        <v>25</v>
      </c>
      <c r="S776">
        <v>422</v>
      </c>
      <c r="T776">
        <v>3</v>
      </c>
    </row>
    <row r="777" spans="18:20" x14ac:dyDescent="0.25">
      <c r="R777">
        <v>26</v>
      </c>
      <c r="S777">
        <v>4</v>
      </c>
      <c r="T777">
        <v>3</v>
      </c>
    </row>
    <row r="778" spans="18:20" x14ac:dyDescent="0.25">
      <c r="R778">
        <v>26</v>
      </c>
      <c r="S778">
        <v>14</v>
      </c>
      <c r="T778">
        <v>5</v>
      </c>
    </row>
    <row r="779" spans="18:20" x14ac:dyDescent="0.25">
      <c r="R779">
        <v>26</v>
      </c>
      <c r="S779">
        <v>15</v>
      </c>
      <c r="T779">
        <v>2</v>
      </c>
    </row>
    <row r="780" spans="18:20" x14ac:dyDescent="0.25">
      <c r="R780">
        <v>26</v>
      </c>
      <c r="S780">
        <v>15</v>
      </c>
      <c r="T780">
        <v>2</v>
      </c>
    </row>
    <row r="781" spans="18:20" x14ac:dyDescent="0.25">
      <c r="R781">
        <v>26</v>
      </c>
      <c r="S781">
        <v>36</v>
      </c>
      <c r="T781">
        <v>5</v>
      </c>
    </row>
    <row r="782" spans="18:20" x14ac:dyDescent="0.25">
      <c r="R782">
        <v>26</v>
      </c>
      <c r="S782">
        <v>49</v>
      </c>
      <c r="T782">
        <v>3</v>
      </c>
    </row>
    <row r="783" spans="18:20" x14ac:dyDescent="0.25">
      <c r="R783">
        <v>26</v>
      </c>
      <c r="S783">
        <v>53</v>
      </c>
      <c r="T783">
        <v>5</v>
      </c>
    </row>
    <row r="784" spans="18:20" x14ac:dyDescent="0.25">
      <c r="R784">
        <v>26</v>
      </c>
      <c r="S784">
        <v>83</v>
      </c>
      <c r="T784">
        <v>5</v>
      </c>
    </row>
    <row r="785" spans="18:20" x14ac:dyDescent="0.25">
      <c r="R785">
        <v>26</v>
      </c>
      <c r="S785">
        <v>93</v>
      </c>
      <c r="T785">
        <v>3</v>
      </c>
    </row>
    <row r="786" spans="18:20" x14ac:dyDescent="0.25">
      <c r="R786">
        <v>26</v>
      </c>
      <c r="S786">
        <v>125</v>
      </c>
      <c r="T786">
        <v>5</v>
      </c>
    </row>
    <row r="787" spans="18:20" x14ac:dyDescent="0.25">
      <c r="R787">
        <v>26</v>
      </c>
      <c r="S787">
        <v>137</v>
      </c>
      <c r="T787">
        <v>3</v>
      </c>
    </row>
    <row r="788" spans="18:20" x14ac:dyDescent="0.25">
      <c r="R788">
        <v>26</v>
      </c>
      <c r="S788">
        <v>148</v>
      </c>
      <c r="T788">
        <v>5</v>
      </c>
    </row>
    <row r="789" spans="18:20" x14ac:dyDescent="0.25">
      <c r="R789">
        <v>26</v>
      </c>
      <c r="S789">
        <v>160</v>
      </c>
      <c r="T789">
        <v>4</v>
      </c>
    </row>
    <row r="790" spans="18:20" x14ac:dyDescent="0.25">
      <c r="R790">
        <v>26</v>
      </c>
      <c r="S790">
        <v>162</v>
      </c>
      <c r="T790">
        <v>2</v>
      </c>
    </row>
    <row r="791" spans="18:20" x14ac:dyDescent="0.25">
      <c r="R791">
        <v>26</v>
      </c>
      <c r="S791">
        <v>167</v>
      </c>
      <c r="T791">
        <v>5</v>
      </c>
    </row>
    <row r="792" spans="18:20" x14ac:dyDescent="0.25">
      <c r="R792">
        <v>26</v>
      </c>
      <c r="S792">
        <v>173</v>
      </c>
      <c r="T792">
        <v>4</v>
      </c>
    </row>
    <row r="793" spans="18:20" x14ac:dyDescent="0.25">
      <c r="R793">
        <v>26</v>
      </c>
      <c r="S793">
        <v>203</v>
      </c>
      <c r="T793">
        <v>3</v>
      </c>
    </row>
    <row r="794" spans="18:20" x14ac:dyDescent="0.25">
      <c r="R794">
        <v>26</v>
      </c>
      <c r="S794">
        <v>208</v>
      </c>
      <c r="T794">
        <v>4</v>
      </c>
    </row>
    <row r="795" spans="18:20" x14ac:dyDescent="0.25">
      <c r="R795">
        <v>26</v>
      </c>
      <c r="S795">
        <v>211</v>
      </c>
      <c r="T795">
        <v>2</v>
      </c>
    </row>
    <row r="796" spans="18:20" x14ac:dyDescent="0.25">
      <c r="R796">
        <v>26</v>
      </c>
      <c r="S796">
        <v>239</v>
      </c>
      <c r="T796">
        <v>3</v>
      </c>
    </row>
    <row r="797" spans="18:20" x14ac:dyDescent="0.25">
      <c r="R797">
        <v>26</v>
      </c>
      <c r="S797">
        <v>246</v>
      </c>
      <c r="T797">
        <v>3</v>
      </c>
    </row>
    <row r="798" spans="18:20" x14ac:dyDescent="0.25">
      <c r="R798">
        <v>26</v>
      </c>
      <c r="S798">
        <v>250</v>
      </c>
      <c r="T798">
        <v>4</v>
      </c>
    </row>
    <row r="799" spans="18:20" x14ac:dyDescent="0.25">
      <c r="R799">
        <v>26</v>
      </c>
      <c r="S799">
        <v>251</v>
      </c>
      <c r="T799">
        <v>5</v>
      </c>
    </row>
    <row r="800" spans="18:20" x14ac:dyDescent="0.25">
      <c r="R800">
        <v>26</v>
      </c>
      <c r="S800">
        <v>260</v>
      </c>
      <c r="T800">
        <v>5</v>
      </c>
    </row>
    <row r="801" spans="18:20" x14ac:dyDescent="0.25">
      <c r="R801">
        <v>26</v>
      </c>
      <c r="S801">
        <v>275</v>
      </c>
      <c r="T801">
        <v>5</v>
      </c>
    </row>
    <row r="802" spans="18:20" x14ac:dyDescent="0.25">
      <c r="R802">
        <v>26</v>
      </c>
      <c r="S802">
        <v>280</v>
      </c>
      <c r="T802">
        <v>3</v>
      </c>
    </row>
    <row r="803" spans="18:20" x14ac:dyDescent="0.25">
      <c r="R803">
        <v>26</v>
      </c>
      <c r="S803">
        <v>297</v>
      </c>
      <c r="T803">
        <v>3</v>
      </c>
    </row>
    <row r="804" spans="18:20" x14ac:dyDescent="0.25">
      <c r="R804">
        <v>26</v>
      </c>
      <c r="S804">
        <v>300</v>
      </c>
      <c r="T804">
        <v>4</v>
      </c>
    </row>
    <row r="805" spans="18:20" x14ac:dyDescent="0.25">
      <c r="R805">
        <v>26</v>
      </c>
      <c r="S805">
        <v>318</v>
      </c>
      <c r="T805">
        <v>5</v>
      </c>
    </row>
    <row r="806" spans="18:20" x14ac:dyDescent="0.25">
      <c r="R806">
        <v>26</v>
      </c>
      <c r="S806">
        <v>322</v>
      </c>
      <c r="T806">
        <v>5</v>
      </c>
    </row>
    <row r="807" spans="18:20" x14ac:dyDescent="0.25">
      <c r="R807">
        <v>26</v>
      </c>
      <c r="S807">
        <v>355</v>
      </c>
      <c r="T807">
        <v>3</v>
      </c>
    </row>
    <row r="808" spans="18:20" x14ac:dyDescent="0.25">
      <c r="R808">
        <v>26</v>
      </c>
      <c r="S808">
        <v>368</v>
      </c>
      <c r="T808">
        <v>3</v>
      </c>
    </row>
    <row r="809" spans="18:20" x14ac:dyDescent="0.25">
      <c r="R809">
        <v>26</v>
      </c>
      <c r="S809">
        <v>405</v>
      </c>
      <c r="T809">
        <v>5</v>
      </c>
    </row>
    <row r="810" spans="18:20" x14ac:dyDescent="0.25">
      <c r="R810">
        <v>26</v>
      </c>
      <c r="S810">
        <v>420</v>
      </c>
      <c r="T810">
        <v>5</v>
      </c>
    </row>
    <row r="811" spans="18:20" x14ac:dyDescent="0.25">
      <c r="R811">
        <v>26</v>
      </c>
      <c r="S811">
        <v>421</v>
      </c>
      <c r="T811">
        <v>3</v>
      </c>
    </row>
    <row r="812" spans="18:20" x14ac:dyDescent="0.25">
      <c r="R812">
        <v>27</v>
      </c>
      <c r="S812">
        <v>46</v>
      </c>
      <c r="T812">
        <v>3</v>
      </c>
    </row>
    <row r="813" spans="18:20" x14ac:dyDescent="0.25">
      <c r="R813">
        <v>27</v>
      </c>
      <c r="S813">
        <v>48</v>
      </c>
      <c r="T813">
        <v>3</v>
      </c>
    </row>
    <row r="814" spans="18:20" x14ac:dyDescent="0.25">
      <c r="R814">
        <v>27</v>
      </c>
      <c r="S814">
        <v>70</v>
      </c>
      <c r="T814">
        <v>4</v>
      </c>
    </row>
    <row r="815" spans="18:20" x14ac:dyDescent="0.25">
      <c r="R815">
        <v>27</v>
      </c>
      <c r="S815">
        <v>75</v>
      </c>
      <c r="T815">
        <v>5</v>
      </c>
    </row>
    <row r="816" spans="18:20" x14ac:dyDescent="0.25">
      <c r="R816">
        <v>27</v>
      </c>
      <c r="S816">
        <v>78</v>
      </c>
      <c r="T816">
        <v>3</v>
      </c>
    </row>
    <row r="817" spans="18:20" x14ac:dyDescent="0.25">
      <c r="R817">
        <v>27</v>
      </c>
      <c r="S817">
        <v>81</v>
      </c>
      <c r="T817">
        <v>2</v>
      </c>
    </row>
    <row r="818" spans="18:20" x14ac:dyDescent="0.25">
      <c r="R818">
        <v>27</v>
      </c>
      <c r="S818">
        <v>92</v>
      </c>
      <c r="T818">
        <v>3</v>
      </c>
    </row>
    <row r="819" spans="18:20" x14ac:dyDescent="0.25">
      <c r="R819">
        <v>27</v>
      </c>
      <c r="S819">
        <v>95</v>
      </c>
      <c r="T819">
        <v>2</v>
      </c>
    </row>
    <row r="820" spans="18:20" x14ac:dyDescent="0.25">
      <c r="R820">
        <v>27</v>
      </c>
      <c r="S820">
        <v>95</v>
      </c>
      <c r="T820">
        <v>4</v>
      </c>
    </row>
    <row r="821" spans="18:20" x14ac:dyDescent="0.25">
      <c r="R821">
        <v>27</v>
      </c>
      <c r="S821">
        <v>96</v>
      </c>
      <c r="T821">
        <v>2</v>
      </c>
    </row>
    <row r="822" spans="18:20" x14ac:dyDescent="0.25">
      <c r="R822">
        <v>27</v>
      </c>
      <c r="S822">
        <v>103</v>
      </c>
      <c r="T822">
        <v>5</v>
      </c>
    </row>
    <row r="823" spans="18:20" x14ac:dyDescent="0.25">
      <c r="R823">
        <v>27</v>
      </c>
      <c r="S823">
        <v>116</v>
      </c>
      <c r="T823">
        <v>5</v>
      </c>
    </row>
    <row r="824" spans="18:20" x14ac:dyDescent="0.25">
      <c r="R824">
        <v>27</v>
      </c>
      <c r="S824">
        <v>121</v>
      </c>
      <c r="T824">
        <v>3</v>
      </c>
    </row>
    <row r="825" spans="18:20" x14ac:dyDescent="0.25">
      <c r="R825">
        <v>27</v>
      </c>
      <c r="S825">
        <v>123</v>
      </c>
      <c r="T825">
        <v>5</v>
      </c>
    </row>
    <row r="826" spans="18:20" x14ac:dyDescent="0.25">
      <c r="R826">
        <v>27</v>
      </c>
      <c r="S826">
        <v>158</v>
      </c>
      <c r="T826">
        <v>3</v>
      </c>
    </row>
    <row r="827" spans="18:20" x14ac:dyDescent="0.25">
      <c r="R827">
        <v>27</v>
      </c>
      <c r="S827">
        <v>174</v>
      </c>
      <c r="T827">
        <v>2</v>
      </c>
    </row>
    <row r="828" spans="18:20" x14ac:dyDescent="0.25">
      <c r="R828">
        <v>27</v>
      </c>
      <c r="S828">
        <v>181</v>
      </c>
      <c r="T828">
        <v>5</v>
      </c>
    </row>
    <row r="829" spans="18:20" x14ac:dyDescent="0.25">
      <c r="R829">
        <v>27</v>
      </c>
      <c r="S829">
        <v>182</v>
      </c>
      <c r="T829">
        <v>3</v>
      </c>
    </row>
    <row r="830" spans="18:20" x14ac:dyDescent="0.25">
      <c r="R830">
        <v>27</v>
      </c>
      <c r="S830">
        <v>183</v>
      </c>
      <c r="T830">
        <v>3</v>
      </c>
    </row>
    <row r="831" spans="18:20" x14ac:dyDescent="0.25">
      <c r="R831">
        <v>27</v>
      </c>
      <c r="S831">
        <v>185</v>
      </c>
      <c r="T831">
        <v>3</v>
      </c>
    </row>
    <row r="832" spans="18:20" x14ac:dyDescent="0.25">
      <c r="R832">
        <v>27</v>
      </c>
      <c r="S832">
        <v>212</v>
      </c>
      <c r="T832">
        <v>5</v>
      </c>
    </row>
    <row r="833" spans="18:20" x14ac:dyDescent="0.25">
      <c r="R833">
        <v>27</v>
      </c>
      <c r="S833">
        <v>221</v>
      </c>
      <c r="T833">
        <v>2</v>
      </c>
    </row>
    <row r="834" spans="18:20" x14ac:dyDescent="0.25">
      <c r="R834">
        <v>27</v>
      </c>
      <c r="S834">
        <v>221</v>
      </c>
      <c r="T834">
        <v>4</v>
      </c>
    </row>
    <row r="835" spans="18:20" x14ac:dyDescent="0.25">
      <c r="R835">
        <v>27</v>
      </c>
      <c r="S835">
        <v>225</v>
      </c>
      <c r="T835">
        <v>5</v>
      </c>
    </row>
    <row r="836" spans="18:20" x14ac:dyDescent="0.25">
      <c r="R836">
        <v>27</v>
      </c>
      <c r="S836">
        <v>263</v>
      </c>
      <c r="T836">
        <v>2</v>
      </c>
    </row>
    <row r="837" spans="18:20" x14ac:dyDescent="0.25">
      <c r="R837">
        <v>27</v>
      </c>
      <c r="S837">
        <v>283</v>
      </c>
      <c r="T837">
        <v>2</v>
      </c>
    </row>
    <row r="838" spans="18:20" x14ac:dyDescent="0.25">
      <c r="R838">
        <v>27</v>
      </c>
      <c r="S838">
        <v>295</v>
      </c>
      <c r="T838">
        <v>3</v>
      </c>
    </row>
    <row r="839" spans="18:20" x14ac:dyDescent="0.25">
      <c r="R839">
        <v>27</v>
      </c>
      <c r="S839">
        <v>302</v>
      </c>
      <c r="T839">
        <v>3</v>
      </c>
    </row>
    <row r="840" spans="18:20" x14ac:dyDescent="0.25">
      <c r="R840">
        <v>27</v>
      </c>
      <c r="S840">
        <v>308</v>
      </c>
      <c r="T840">
        <v>4</v>
      </c>
    </row>
    <row r="841" spans="18:20" x14ac:dyDescent="0.25">
      <c r="R841">
        <v>27</v>
      </c>
      <c r="S841">
        <v>311</v>
      </c>
      <c r="T841">
        <v>3</v>
      </c>
    </row>
    <row r="842" spans="18:20" x14ac:dyDescent="0.25">
      <c r="R842">
        <v>27</v>
      </c>
      <c r="S842">
        <v>315</v>
      </c>
      <c r="T842">
        <v>4</v>
      </c>
    </row>
    <row r="843" spans="18:20" x14ac:dyDescent="0.25">
      <c r="R843">
        <v>27</v>
      </c>
      <c r="S843">
        <v>332</v>
      </c>
      <c r="T843">
        <v>2</v>
      </c>
    </row>
    <row r="844" spans="18:20" x14ac:dyDescent="0.25">
      <c r="R844">
        <v>27</v>
      </c>
      <c r="S844">
        <v>337</v>
      </c>
      <c r="T844">
        <v>3</v>
      </c>
    </row>
    <row r="845" spans="18:20" x14ac:dyDescent="0.25">
      <c r="R845">
        <v>27</v>
      </c>
      <c r="S845">
        <v>368</v>
      </c>
      <c r="T845">
        <v>4</v>
      </c>
    </row>
    <row r="846" spans="18:20" x14ac:dyDescent="0.25">
      <c r="R846">
        <v>27</v>
      </c>
      <c r="S846">
        <v>373</v>
      </c>
      <c r="T846">
        <v>4</v>
      </c>
    </row>
    <row r="847" spans="18:20" x14ac:dyDescent="0.25">
      <c r="R847">
        <v>27</v>
      </c>
      <c r="S847">
        <v>388</v>
      </c>
      <c r="T847">
        <v>5</v>
      </c>
    </row>
    <row r="848" spans="18:20" x14ac:dyDescent="0.25">
      <c r="R848">
        <v>27</v>
      </c>
      <c r="S848">
        <v>389</v>
      </c>
      <c r="T848">
        <v>4</v>
      </c>
    </row>
    <row r="849" spans="18:20" x14ac:dyDescent="0.25">
      <c r="R849">
        <v>27</v>
      </c>
      <c r="S849">
        <v>392</v>
      </c>
      <c r="T849">
        <v>3</v>
      </c>
    </row>
    <row r="850" spans="18:20" x14ac:dyDescent="0.25">
      <c r="R850">
        <v>27</v>
      </c>
      <c r="S850">
        <v>407</v>
      </c>
      <c r="T850">
        <v>2</v>
      </c>
    </row>
    <row r="851" spans="18:20" x14ac:dyDescent="0.25">
      <c r="R851">
        <v>28</v>
      </c>
      <c r="S851">
        <v>16</v>
      </c>
      <c r="T851">
        <v>4</v>
      </c>
    </row>
    <row r="852" spans="18:20" x14ac:dyDescent="0.25">
      <c r="R852">
        <v>28</v>
      </c>
      <c r="S852">
        <v>28</v>
      </c>
      <c r="T852">
        <v>2</v>
      </c>
    </row>
    <row r="853" spans="18:20" x14ac:dyDescent="0.25">
      <c r="R853">
        <v>28</v>
      </c>
      <c r="S853">
        <v>60</v>
      </c>
      <c r="T853">
        <v>4</v>
      </c>
    </row>
    <row r="854" spans="18:20" x14ac:dyDescent="0.25">
      <c r="R854">
        <v>28</v>
      </c>
      <c r="S854">
        <v>74</v>
      </c>
      <c r="T854">
        <v>4</v>
      </c>
    </row>
    <row r="855" spans="18:20" x14ac:dyDescent="0.25">
      <c r="R855">
        <v>28</v>
      </c>
      <c r="S855">
        <v>82</v>
      </c>
      <c r="T855">
        <v>2</v>
      </c>
    </row>
    <row r="856" spans="18:20" x14ac:dyDescent="0.25">
      <c r="R856">
        <v>28</v>
      </c>
      <c r="S856">
        <v>83</v>
      </c>
      <c r="T856">
        <v>5</v>
      </c>
    </row>
    <row r="857" spans="18:20" x14ac:dyDescent="0.25">
      <c r="R857">
        <v>28</v>
      </c>
      <c r="S857">
        <v>90</v>
      </c>
      <c r="T857">
        <v>3</v>
      </c>
    </row>
    <row r="858" spans="18:20" x14ac:dyDescent="0.25">
      <c r="R858">
        <v>28</v>
      </c>
      <c r="S858">
        <v>92</v>
      </c>
      <c r="T858">
        <v>5</v>
      </c>
    </row>
    <row r="859" spans="18:20" x14ac:dyDescent="0.25">
      <c r="R859">
        <v>28</v>
      </c>
      <c r="S859">
        <v>96</v>
      </c>
      <c r="T859">
        <v>4</v>
      </c>
    </row>
    <row r="860" spans="18:20" x14ac:dyDescent="0.25">
      <c r="R860">
        <v>28</v>
      </c>
      <c r="S860">
        <v>110</v>
      </c>
      <c r="T860">
        <v>5</v>
      </c>
    </row>
    <row r="861" spans="18:20" x14ac:dyDescent="0.25">
      <c r="R861">
        <v>28</v>
      </c>
      <c r="S861">
        <v>131</v>
      </c>
      <c r="T861">
        <v>5</v>
      </c>
    </row>
    <row r="862" spans="18:20" x14ac:dyDescent="0.25">
      <c r="R862">
        <v>28</v>
      </c>
      <c r="S862">
        <v>143</v>
      </c>
      <c r="T862">
        <v>5</v>
      </c>
    </row>
    <row r="863" spans="18:20" x14ac:dyDescent="0.25">
      <c r="R863">
        <v>28</v>
      </c>
      <c r="S863">
        <v>158</v>
      </c>
      <c r="T863">
        <v>2</v>
      </c>
    </row>
    <row r="864" spans="18:20" x14ac:dyDescent="0.25">
      <c r="R864">
        <v>28</v>
      </c>
      <c r="S864">
        <v>163</v>
      </c>
      <c r="T864">
        <v>5</v>
      </c>
    </row>
    <row r="865" spans="18:20" x14ac:dyDescent="0.25">
      <c r="R865">
        <v>28</v>
      </c>
      <c r="S865">
        <v>165</v>
      </c>
      <c r="T865">
        <v>2</v>
      </c>
    </row>
    <row r="866" spans="18:20" x14ac:dyDescent="0.25">
      <c r="R866">
        <v>28</v>
      </c>
      <c r="S866">
        <v>168</v>
      </c>
      <c r="T866">
        <v>4</v>
      </c>
    </row>
    <row r="867" spans="18:20" x14ac:dyDescent="0.25">
      <c r="R867">
        <v>28</v>
      </c>
      <c r="S867">
        <v>190</v>
      </c>
      <c r="T867">
        <v>4</v>
      </c>
    </row>
    <row r="868" spans="18:20" x14ac:dyDescent="0.25">
      <c r="R868">
        <v>28</v>
      </c>
      <c r="S868">
        <v>201</v>
      </c>
      <c r="T868">
        <v>2</v>
      </c>
    </row>
    <row r="869" spans="18:20" x14ac:dyDescent="0.25">
      <c r="R869">
        <v>28</v>
      </c>
      <c r="S869">
        <v>212</v>
      </c>
      <c r="T869">
        <v>3</v>
      </c>
    </row>
    <row r="870" spans="18:20" x14ac:dyDescent="0.25">
      <c r="R870">
        <v>28</v>
      </c>
      <c r="S870">
        <v>215</v>
      </c>
      <c r="T870">
        <v>5</v>
      </c>
    </row>
    <row r="871" spans="18:20" x14ac:dyDescent="0.25">
      <c r="R871">
        <v>28</v>
      </c>
      <c r="S871">
        <v>215</v>
      </c>
      <c r="T871">
        <v>5</v>
      </c>
    </row>
    <row r="872" spans="18:20" x14ac:dyDescent="0.25">
      <c r="R872">
        <v>28</v>
      </c>
      <c r="S872">
        <v>228</v>
      </c>
      <c r="T872">
        <v>4</v>
      </c>
    </row>
    <row r="873" spans="18:20" x14ac:dyDescent="0.25">
      <c r="R873">
        <v>28</v>
      </c>
      <c r="S873">
        <v>269</v>
      </c>
      <c r="T873">
        <v>4</v>
      </c>
    </row>
    <row r="874" spans="18:20" x14ac:dyDescent="0.25">
      <c r="R874">
        <v>28</v>
      </c>
      <c r="S874">
        <v>283</v>
      </c>
      <c r="T874">
        <v>5</v>
      </c>
    </row>
    <row r="875" spans="18:20" x14ac:dyDescent="0.25">
      <c r="R875">
        <v>28</v>
      </c>
      <c r="S875">
        <v>286</v>
      </c>
      <c r="T875">
        <v>5</v>
      </c>
    </row>
    <row r="876" spans="18:20" x14ac:dyDescent="0.25">
      <c r="R876">
        <v>28</v>
      </c>
      <c r="S876">
        <v>288</v>
      </c>
      <c r="T876">
        <v>2</v>
      </c>
    </row>
    <row r="877" spans="18:20" x14ac:dyDescent="0.25">
      <c r="R877">
        <v>28</v>
      </c>
      <c r="S877">
        <v>297</v>
      </c>
      <c r="T877">
        <v>5</v>
      </c>
    </row>
    <row r="878" spans="18:20" x14ac:dyDescent="0.25">
      <c r="R878">
        <v>28</v>
      </c>
      <c r="S878">
        <v>335</v>
      </c>
      <c r="T878">
        <v>3</v>
      </c>
    </row>
    <row r="879" spans="18:20" x14ac:dyDescent="0.25">
      <c r="R879">
        <v>28</v>
      </c>
      <c r="S879">
        <v>343</v>
      </c>
      <c r="T879">
        <v>4</v>
      </c>
    </row>
    <row r="880" spans="18:20" x14ac:dyDescent="0.25">
      <c r="R880">
        <v>28</v>
      </c>
      <c r="S880">
        <v>352</v>
      </c>
      <c r="T880">
        <v>5</v>
      </c>
    </row>
    <row r="881" spans="18:20" x14ac:dyDescent="0.25">
      <c r="R881">
        <v>28</v>
      </c>
      <c r="S881">
        <v>356</v>
      </c>
      <c r="T881">
        <v>3</v>
      </c>
    </row>
    <row r="882" spans="18:20" x14ac:dyDescent="0.25">
      <c r="R882">
        <v>28</v>
      </c>
      <c r="S882">
        <v>357</v>
      </c>
      <c r="T882">
        <v>4</v>
      </c>
    </row>
    <row r="883" spans="18:20" x14ac:dyDescent="0.25">
      <c r="R883">
        <v>28</v>
      </c>
      <c r="S883">
        <v>358</v>
      </c>
      <c r="T883">
        <v>3</v>
      </c>
    </row>
    <row r="884" spans="18:20" x14ac:dyDescent="0.25">
      <c r="R884">
        <v>28</v>
      </c>
      <c r="S884">
        <v>363</v>
      </c>
      <c r="T884">
        <v>3</v>
      </c>
    </row>
    <row r="885" spans="18:20" x14ac:dyDescent="0.25">
      <c r="R885">
        <v>28</v>
      </c>
      <c r="S885">
        <v>381</v>
      </c>
      <c r="T885">
        <v>4</v>
      </c>
    </row>
    <row r="886" spans="18:20" x14ac:dyDescent="0.25">
      <c r="R886">
        <v>28</v>
      </c>
      <c r="S886">
        <v>396</v>
      </c>
      <c r="T886">
        <v>5</v>
      </c>
    </row>
    <row r="887" spans="18:20" x14ac:dyDescent="0.25">
      <c r="R887">
        <v>28</v>
      </c>
      <c r="S887">
        <v>397</v>
      </c>
      <c r="T887">
        <v>2</v>
      </c>
    </row>
    <row r="888" spans="18:20" x14ac:dyDescent="0.25">
      <c r="R888">
        <v>28</v>
      </c>
      <c r="S888">
        <v>398</v>
      </c>
      <c r="T888">
        <v>5</v>
      </c>
    </row>
    <row r="889" spans="18:20" x14ac:dyDescent="0.25">
      <c r="R889">
        <v>28</v>
      </c>
      <c r="S889">
        <v>400</v>
      </c>
      <c r="T889">
        <v>4</v>
      </c>
    </row>
    <row r="890" spans="18:20" x14ac:dyDescent="0.25">
      <c r="R890">
        <v>28</v>
      </c>
      <c r="S890">
        <v>415</v>
      </c>
      <c r="T890">
        <v>4</v>
      </c>
    </row>
    <row r="891" spans="18:20" x14ac:dyDescent="0.25">
      <c r="R891">
        <v>28</v>
      </c>
      <c r="S891">
        <v>416</v>
      </c>
      <c r="T891">
        <v>4</v>
      </c>
    </row>
    <row r="892" spans="18:20" x14ac:dyDescent="0.25">
      <c r="R892">
        <v>29</v>
      </c>
      <c r="S892">
        <v>19</v>
      </c>
      <c r="T892">
        <v>3</v>
      </c>
    </row>
    <row r="893" spans="18:20" x14ac:dyDescent="0.25">
      <c r="R893">
        <v>29</v>
      </c>
      <c r="S893">
        <v>28</v>
      </c>
      <c r="T893">
        <v>2</v>
      </c>
    </row>
    <row r="894" spans="18:20" x14ac:dyDescent="0.25">
      <c r="R894">
        <v>29</v>
      </c>
      <c r="S894">
        <v>32</v>
      </c>
      <c r="T894">
        <v>3</v>
      </c>
    </row>
    <row r="895" spans="18:20" x14ac:dyDescent="0.25">
      <c r="R895">
        <v>29</v>
      </c>
      <c r="S895">
        <v>38</v>
      </c>
      <c r="T895">
        <v>4</v>
      </c>
    </row>
    <row r="896" spans="18:20" x14ac:dyDescent="0.25">
      <c r="R896">
        <v>29</v>
      </c>
      <c r="S896">
        <v>40</v>
      </c>
      <c r="T896">
        <v>5</v>
      </c>
    </row>
    <row r="897" spans="18:20" x14ac:dyDescent="0.25">
      <c r="R897">
        <v>29</v>
      </c>
      <c r="S897">
        <v>41</v>
      </c>
      <c r="T897">
        <v>4</v>
      </c>
    </row>
    <row r="898" spans="18:20" x14ac:dyDescent="0.25">
      <c r="R898">
        <v>29</v>
      </c>
      <c r="S898">
        <v>41</v>
      </c>
      <c r="T898">
        <v>3</v>
      </c>
    </row>
    <row r="899" spans="18:20" x14ac:dyDescent="0.25">
      <c r="R899">
        <v>29</v>
      </c>
      <c r="S899">
        <v>62</v>
      </c>
      <c r="T899">
        <v>3</v>
      </c>
    </row>
    <row r="900" spans="18:20" x14ac:dyDescent="0.25">
      <c r="R900">
        <v>29</v>
      </c>
      <c r="S900">
        <v>68</v>
      </c>
      <c r="T900">
        <v>5</v>
      </c>
    </row>
    <row r="901" spans="18:20" x14ac:dyDescent="0.25">
      <c r="R901">
        <v>29</v>
      </c>
      <c r="S901">
        <v>95</v>
      </c>
      <c r="T901">
        <v>3</v>
      </c>
    </row>
    <row r="902" spans="18:20" x14ac:dyDescent="0.25">
      <c r="R902">
        <v>29</v>
      </c>
      <c r="S902">
        <v>104</v>
      </c>
      <c r="T902">
        <v>3</v>
      </c>
    </row>
    <row r="903" spans="18:20" x14ac:dyDescent="0.25">
      <c r="R903">
        <v>29</v>
      </c>
      <c r="S903">
        <v>114</v>
      </c>
      <c r="T903">
        <v>2</v>
      </c>
    </row>
    <row r="904" spans="18:20" x14ac:dyDescent="0.25">
      <c r="R904">
        <v>29</v>
      </c>
      <c r="S904">
        <v>123</v>
      </c>
      <c r="T904">
        <v>3</v>
      </c>
    </row>
    <row r="905" spans="18:20" x14ac:dyDescent="0.25">
      <c r="R905">
        <v>29</v>
      </c>
      <c r="S905">
        <v>124</v>
      </c>
      <c r="T905">
        <v>2</v>
      </c>
    </row>
    <row r="906" spans="18:20" x14ac:dyDescent="0.25">
      <c r="R906">
        <v>29</v>
      </c>
      <c r="S906">
        <v>144</v>
      </c>
      <c r="T906">
        <v>5</v>
      </c>
    </row>
    <row r="907" spans="18:20" x14ac:dyDescent="0.25">
      <c r="R907">
        <v>29</v>
      </c>
      <c r="S907">
        <v>168</v>
      </c>
      <c r="T907">
        <v>3</v>
      </c>
    </row>
    <row r="908" spans="18:20" x14ac:dyDescent="0.25">
      <c r="R908">
        <v>29</v>
      </c>
      <c r="S908">
        <v>174</v>
      </c>
      <c r="T908">
        <v>3</v>
      </c>
    </row>
    <row r="909" spans="18:20" x14ac:dyDescent="0.25">
      <c r="R909">
        <v>29</v>
      </c>
      <c r="S909">
        <v>193</v>
      </c>
      <c r="T909">
        <v>2</v>
      </c>
    </row>
    <row r="910" spans="18:20" x14ac:dyDescent="0.25">
      <c r="R910">
        <v>29</v>
      </c>
      <c r="S910">
        <v>202</v>
      </c>
      <c r="T910">
        <v>3</v>
      </c>
    </row>
    <row r="911" spans="18:20" x14ac:dyDescent="0.25">
      <c r="R911">
        <v>29</v>
      </c>
      <c r="S911">
        <v>213</v>
      </c>
      <c r="T911">
        <v>3</v>
      </c>
    </row>
    <row r="912" spans="18:20" x14ac:dyDescent="0.25">
      <c r="R912">
        <v>29</v>
      </c>
      <c r="S912">
        <v>246</v>
      </c>
      <c r="T912">
        <v>3</v>
      </c>
    </row>
    <row r="913" spans="18:20" x14ac:dyDescent="0.25">
      <c r="R913">
        <v>29</v>
      </c>
      <c r="S913">
        <v>266</v>
      </c>
      <c r="T913">
        <v>2</v>
      </c>
    </row>
    <row r="914" spans="18:20" x14ac:dyDescent="0.25">
      <c r="R914">
        <v>29</v>
      </c>
      <c r="S914">
        <v>267</v>
      </c>
      <c r="T914">
        <v>5</v>
      </c>
    </row>
    <row r="915" spans="18:20" x14ac:dyDescent="0.25">
      <c r="R915">
        <v>29</v>
      </c>
      <c r="S915">
        <v>291</v>
      </c>
      <c r="T915">
        <v>2</v>
      </c>
    </row>
    <row r="916" spans="18:20" x14ac:dyDescent="0.25">
      <c r="R916">
        <v>29</v>
      </c>
      <c r="S916">
        <v>298</v>
      </c>
      <c r="T916">
        <v>2</v>
      </c>
    </row>
    <row r="917" spans="18:20" x14ac:dyDescent="0.25">
      <c r="R917">
        <v>29</v>
      </c>
      <c r="S917">
        <v>300</v>
      </c>
      <c r="T917">
        <v>4</v>
      </c>
    </row>
    <row r="918" spans="18:20" x14ac:dyDescent="0.25">
      <c r="R918">
        <v>29</v>
      </c>
      <c r="S918">
        <v>321</v>
      </c>
      <c r="T918">
        <v>5</v>
      </c>
    </row>
    <row r="919" spans="18:20" x14ac:dyDescent="0.25">
      <c r="R919">
        <v>29</v>
      </c>
      <c r="S919">
        <v>327</v>
      </c>
      <c r="T919">
        <v>5</v>
      </c>
    </row>
    <row r="920" spans="18:20" x14ac:dyDescent="0.25">
      <c r="R920">
        <v>29</v>
      </c>
      <c r="S920">
        <v>341</v>
      </c>
      <c r="T920">
        <v>5</v>
      </c>
    </row>
    <row r="921" spans="18:20" x14ac:dyDescent="0.25">
      <c r="R921">
        <v>29</v>
      </c>
      <c r="S921">
        <v>385</v>
      </c>
      <c r="T921">
        <v>4</v>
      </c>
    </row>
    <row r="922" spans="18:20" x14ac:dyDescent="0.25">
      <c r="R922">
        <v>29</v>
      </c>
      <c r="S922">
        <v>396</v>
      </c>
      <c r="T922">
        <v>4</v>
      </c>
    </row>
    <row r="923" spans="18:20" x14ac:dyDescent="0.25">
      <c r="R923">
        <v>29</v>
      </c>
      <c r="S923">
        <v>401</v>
      </c>
      <c r="T923">
        <v>5</v>
      </c>
    </row>
    <row r="924" spans="18:20" x14ac:dyDescent="0.25">
      <c r="R924">
        <v>29</v>
      </c>
      <c r="S924">
        <v>417</v>
      </c>
      <c r="T924">
        <v>4</v>
      </c>
    </row>
    <row r="925" spans="18:20" x14ac:dyDescent="0.25">
      <c r="R925">
        <v>29</v>
      </c>
      <c r="S925">
        <v>428</v>
      </c>
      <c r="T925">
        <v>3</v>
      </c>
    </row>
    <row r="926" spans="18:20" x14ac:dyDescent="0.25">
      <c r="R926">
        <v>30</v>
      </c>
      <c r="S926">
        <v>2</v>
      </c>
      <c r="T926">
        <v>2</v>
      </c>
    </row>
    <row r="927" spans="18:20" x14ac:dyDescent="0.25">
      <c r="R927">
        <v>30</v>
      </c>
      <c r="S927">
        <v>45</v>
      </c>
      <c r="T927">
        <v>3</v>
      </c>
    </row>
    <row r="928" spans="18:20" x14ac:dyDescent="0.25">
      <c r="R928">
        <v>30</v>
      </c>
      <c r="S928">
        <v>71</v>
      </c>
      <c r="T928">
        <v>4</v>
      </c>
    </row>
    <row r="929" spans="18:20" x14ac:dyDescent="0.25">
      <c r="R929">
        <v>30</v>
      </c>
      <c r="S929">
        <v>76</v>
      </c>
      <c r="T929">
        <v>2</v>
      </c>
    </row>
    <row r="930" spans="18:20" x14ac:dyDescent="0.25">
      <c r="R930">
        <v>30</v>
      </c>
      <c r="S930">
        <v>83</v>
      </c>
      <c r="T930">
        <v>2</v>
      </c>
    </row>
    <row r="931" spans="18:20" x14ac:dyDescent="0.25">
      <c r="R931">
        <v>30</v>
      </c>
      <c r="S931">
        <v>118</v>
      </c>
      <c r="T931">
        <v>5</v>
      </c>
    </row>
    <row r="932" spans="18:20" x14ac:dyDescent="0.25">
      <c r="R932">
        <v>30</v>
      </c>
      <c r="S932">
        <v>120</v>
      </c>
      <c r="T932">
        <v>2</v>
      </c>
    </row>
    <row r="933" spans="18:20" x14ac:dyDescent="0.25">
      <c r="R933">
        <v>30</v>
      </c>
      <c r="S933">
        <v>157</v>
      </c>
      <c r="T933">
        <v>5</v>
      </c>
    </row>
    <row r="934" spans="18:20" x14ac:dyDescent="0.25">
      <c r="R934">
        <v>30</v>
      </c>
      <c r="S934">
        <v>164</v>
      </c>
      <c r="T934">
        <v>4</v>
      </c>
    </row>
    <row r="935" spans="18:20" x14ac:dyDescent="0.25">
      <c r="R935">
        <v>30</v>
      </c>
      <c r="S935">
        <v>172</v>
      </c>
      <c r="T935">
        <v>2</v>
      </c>
    </row>
    <row r="936" spans="18:20" x14ac:dyDescent="0.25">
      <c r="R936">
        <v>30</v>
      </c>
      <c r="S936">
        <v>196</v>
      </c>
      <c r="T936">
        <v>5</v>
      </c>
    </row>
    <row r="937" spans="18:20" x14ac:dyDescent="0.25">
      <c r="R937">
        <v>30</v>
      </c>
      <c r="S937">
        <v>200</v>
      </c>
      <c r="T937">
        <v>5</v>
      </c>
    </row>
    <row r="938" spans="18:20" x14ac:dyDescent="0.25">
      <c r="R938">
        <v>30</v>
      </c>
      <c r="S938">
        <v>207</v>
      </c>
      <c r="T938">
        <v>2</v>
      </c>
    </row>
    <row r="939" spans="18:20" x14ac:dyDescent="0.25">
      <c r="R939">
        <v>30</v>
      </c>
      <c r="S939">
        <v>216</v>
      </c>
      <c r="T939">
        <v>4</v>
      </c>
    </row>
    <row r="940" spans="18:20" x14ac:dyDescent="0.25">
      <c r="R940">
        <v>30</v>
      </c>
      <c r="S940">
        <v>219</v>
      </c>
      <c r="T940">
        <v>2</v>
      </c>
    </row>
    <row r="941" spans="18:20" x14ac:dyDescent="0.25">
      <c r="R941">
        <v>30</v>
      </c>
      <c r="S941">
        <v>226</v>
      </c>
      <c r="T941">
        <v>4</v>
      </c>
    </row>
    <row r="942" spans="18:20" x14ac:dyDescent="0.25">
      <c r="R942">
        <v>30</v>
      </c>
      <c r="S942">
        <v>236</v>
      </c>
      <c r="T942">
        <v>5</v>
      </c>
    </row>
    <row r="943" spans="18:20" x14ac:dyDescent="0.25">
      <c r="R943">
        <v>30</v>
      </c>
      <c r="S943">
        <v>237</v>
      </c>
      <c r="T943">
        <v>2</v>
      </c>
    </row>
    <row r="944" spans="18:20" x14ac:dyDescent="0.25">
      <c r="R944">
        <v>30</v>
      </c>
      <c r="S944">
        <v>263</v>
      </c>
      <c r="T944">
        <v>2</v>
      </c>
    </row>
    <row r="945" spans="18:20" x14ac:dyDescent="0.25">
      <c r="R945">
        <v>30</v>
      </c>
      <c r="S945">
        <v>269</v>
      </c>
      <c r="T945">
        <v>3</v>
      </c>
    </row>
    <row r="946" spans="18:20" x14ac:dyDescent="0.25">
      <c r="R946">
        <v>30</v>
      </c>
      <c r="S946">
        <v>272</v>
      </c>
      <c r="T946">
        <v>2</v>
      </c>
    </row>
    <row r="947" spans="18:20" x14ac:dyDescent="0.25">
      <c r="R947">
        <v>30</v>
      </c>
      <c r="S947">
        <v>277</v>
      </c>
      <c r="T947">
        <v>2</v>
      </c>
    </row>
    <row r="948" spans="18:20" x14ac:dyDescent="0.25">
      <c r="R948">
        <v>30</v>
      </c>
      <c r="S948">
        <v>282</v>
      </c>
      <c r="T948">
        <v>5</v>
      </c>
    </row>
    <row r="949" spans="18:20" x14ac:dyDescent="0.25">
      <c r="R949">
        <v>30</v>
      </c>
      <c r="S949">
        <v>294</v>
      </c>
      <c r="T949">
        <v>2</v>
      </c>
    </row>
    <row r="950" spans="18:20" x14ac:dyDescent="0.25">
      <c r="R950">
        <v>30</v>
      </c>
      <c r="S950">
        <v>312</v>
      </c>
      <c r="T950">
        <v>5</v>
      </c>
    </row>
    <row r="951" spans="18:20" x14ac:dyDescent="0.25">
      <c r="R951">
        <v>30</v>
      </c>
      <c r="S951">
        <v>316</v>
      </c>
      <c r="T951">
        <v>3</v>
      </c>
    </row>
    <row r="952" spans="18:20" x14ac:dyDescent="0.25">
      <c r="R952">
        <v>30</v>
      </c>
      <c r="S952">
        <v>322</v>
      </c>
      <c r="T952">
        <v>3</v>
      </c>
    </row>
    <row r="953" spans="18:20" x14ac:dyDescent="0.25">
      <c r="R953">
        <v>30</v>
      </c>
      <c r="S953">
        <v>322</v>
      </c>
      <c r="T953">
        <v>4</v>
      </c>
    </row>
    <row r="954" spans="18:20" x14ac:dyDescent="0.25">
      <c r="R954">
        <v>30</v>
      </c>
      <c r="S954">
        <v>345</v>
      </c>
      <c r="T954">
        <v>3</v>
      </c>
    </row>
    <row r="955" spans="18:20" x14ac:dyDescent="0.25">
      <c r="R955">
        <v>30</v>
      </c>
      <c r="S955">
        <v>372</v>
      </c>
      <c r="T955">
        <v>2</v>
      </c>
    </row>
    <row r="956" spans="18:20" x14ac:dyDescent="0.25">
      <c r="R956">
        <v>30</v>
      </c>
      <c r="S956">
        <v>372</v>
      </c>
      <c r="T956">
        <v>3</v>
      </c>
    </row>
    <row r="957" spans="18:20" x14ac:dyDescent="0.25">
      <c r="R957">
        <v>30</v>
      </c>
      <c r="S957">
        <v>376</v>
      </c>
      <c r="T957">
        <v>5</v>
      </c>
    </row>
    <row r="958" spans="18:20" x14ac:dyDescent="0.25">
      <c r="R958">
        <v>30</v>
      </c>
      <c r="S958">
        <v>399</v>
      </c>
      <c r="T958">
        <v>4</v>
      </c>
    </row>
    <row r="959" spans="18:20" x14ac:dyDescent="0.25">
      <c r="R959">
        <v>30</v>
      </c>
      <c r="S959">
        <v>430</v>
      </c>
      <c r="T959">
        <v>4</v>
      </c>
    </row>
    <row r="960" spans="18:20" x14ac:dyDescent="0.25">
      <c r="R960">
        <v>30</v>
      </c>
      <c r="S960">
        <v>433</v>
      </c>
      <c r="T960">
        <v>3</v>
      </c>
    </row>
    <row r="961" spans="18:20" x14ac:dyDescent="0.25">
      <c r="R961">
        <v>31</v>
      </c>
      <c r="S961">
        <v>6</v>
      </c>
      <c r="T961">
        <v>2</v>
      </c>
    </row>
    <row r="962" spans="18:20" x14ac:dyDescent="0.25">
      <c r="R962">
        <v>31</v>
      </c>
      <c r="S962">
        <v>37</v>
      </c>
      <c r="T962">
        <v>2</v>
      </c>
    </row>
    <row r="963" spans="18:20" x14ac:dyDescent="0.25">
      <c r="R963">
        <v>31</v>
      </c>
      <c r="S963">
        <v>39</v>
      </c>
      <c r="T963">
        <v>3</v>
      </c>
    </row>
    <row r="964" spans="18:20" x14ac:dyDescent="0.25">
      <c r="R964">
        <v>31</v>
      </c>
      <c r="S964">
        <v>43</v>
      </c>
      <c r="T964">
        <v>3</v>
      </c>
    </row>
    <row r="965" spans="18:20" x14ac:dyDescent="0.25">
      <c r="R965">
        <v>31</v>
      </c>
      <c r="S965">
        <v>84</v>
      </c>
      <c r="T965">
        <v>5</v>
      </c>
    </row>
    <row r="966" spans="18:20" x14ac:dyDescent="0.25">
      <c r="R966">
        <v>31</v>
      </c>
      <c r="S966">
        <v>86</v>
      </c>
      <c r="T966">
        <v>3</v>
      </c>
    </row>
    <row r="967" spans="18:20" x14ac:dyDescent="0.25">
      <c r="R967">
        <v>31</v>
      </c>
      <c r="S967">
        <v>94</v>
      </c>
      <c r="T967">
        <v>4</v>
      </c>
    </row>
    <row r="968" spans="18:20" x14ac:dyDescent="0.25">
      <c r="R968">
        <v>31</v>
      </c>
      <c r="S968">
        <v>101</v>
      </c>
      <c r="T968">
        <v>2</v>
      </c>
    </row>
    <row r="969" spans="18:20" x14ac:dyDescent="0.25">
      <c r="R969">
        <v>31</v>
      </c>
      <c r="S969">
        <v>102</v>
      </c>
      <c r="T969">
        <v>3</v>
      </c>
    </row>
    <row r="970" spans="18:20" x14ac:dyDescent="0.25">
      <c r="R970">
        <v>31</v>
      </c>
      <c r="S970">
        <v>105</v>
      </c>
      <c r="T970">
        <v>3</v>
      </c>
    </row>
    <row r="971" spans="18:20" x14ac:dyDescent="0.25">
      <c r="R971">
        <v>31</v>
      </c>
      <c r="S971">
        <v>107</v>
      </c>
      <c r="T971">
        <v>5</v>
      </c>
    </row>
    <row r="972" spans="18:20" x14ac:dyDescent="0.25">
      <c r="R972">
        <v>31</v>
      </c>
      <c r="S972">
        <v>110</v>
      </c>
      <c r="T972">
        <v>2</v>
      </c>
    </row>
    <row r="973" spans="18:20" x14ac:dyDescent="0.25">
      <c r="R973">
        <v>31</v>
      </c>
      <c r="S973">
        <v>126</v>
      </c>
      <c r="T973">
        <v>5</v>
      </c>
    </row>
    <row r="974" spans="18:20" x14ac:dyDescent="0.25">
      <c r="R974">
        <v>31</v>
      </c>
      <c r="S974">
        <v>130</v>
      </c>
      <c r="T974">
        <v>2</v>
      </c>
    </row>
    <row r="975" spans="18:20" x14ac:dyDescent="0.25">
      <c r="R975">
        <v>31</v>
      </c>
      <c r="S975">
        <v>142</v>
      </c>
      <c r="T975">
        <v>3</v>
      </c>
    </row>
    <row r="976" spans="18:20" x14ac:dyDescent="0.25">
      <c r="R976">
        <v>31</v>
      </c>
      <c r="S976">
        <v>177</v>
      </c>
      <c r="T976">
        <v>5</v>
      </c>
    </row>
    <row r="977" spans="18:20" x14ac:dyDescent="0.25">
      <c r="R977">
        <v>31</v>
      </c>
      <c r="S977">
        <v>187</v>
      </c>
      <c r="T977">
        <v>3</v>
      </c>
    </row>
    <row r="978" spans="18:20" x14ac:dyDescent="0.25">
      <c r="R978">
        <v>31</v>
      </c>
      <c r="S978">
        <v>191</v>
      </c>
      <c r="T978">
        <v>2</v>
      </c>
    </row>
    <row r="979" spans="18:20" x14ac:dyDescent="0.25">
      <c r="R979">
        <v>31</v>
      </c>
      <c r="S979">
        <v>200</v>
      </c>
      <c r="T979">
        <v>5</v>
      </c>
    </row>
    <row r="980" spans="18:20" x14ac:dyDescent="0.25">
      <c r="R980">
        <v>31</v>
      </c>
      <c r="S980">
        <v>215</v>
      </c>
      <c r="T980">
        <v>3</v>
      </c>
    </row>
    <row r="981" spans="18:20" x14ac:dyDescent="0.25">
      <c r="R981">
        <v>31</v>
      </c>
      <c r="S981">
        <v>229</v>
      </c>
      <c r="T981">
        <v>2</v>
      </c>
    </row>
    <row r="982" spans="18:20" x14ac:dyDescent="0.25">
      <c r="R982">
        <v>31</v>
      </c>
      <c r="S982">
        <v>231</v>
      </c>
      <c r="T982">
        <v>5</v>
      </c>
    </row>
    <row r="983" spans="18:20" x14ac:dyDescent="0.25">
      <c r="R983">
        <v>31</v>
      </c>
      <c r="S983">
        <v>238</v>
      </c>
      <c r="T983">
        <v>4</v>
      </c>
    </row>
    <row r="984" spans="18:20" x14ac:dyDescent="0.25">
      <c r="R984">
        <v>31</v>
      </c>
      <c r="S984">
        <v>244</v>
      </c>
      <c r="T984">
        <v>4</v>
      </c>
    </row>
    <row r="985" spans="18:20" x14ac:dyDescent="0.25">
      <c r="R985">
        <v>31</v>
      </c>
      <c r="S985">
        <v>251</v>
      </c>
      <c r="T985">
        <v>2</v>
      </c>
    </row>
    <row r="986" spans="18:20" x14ac:dyDescent="0.25">
      <c r="R986">
        <v>31</v>
      </c>
      <c r="S986">
        <v>267</v>
      </c>
      <c r="T986">
        <v>4</v>
      </c>
    </row>
    <row r="987" spans="18:20" x14ac:dyDescent="0.25">
      <c r="R987">
        <v>31</v>
      </c>
      <c r="S987">
        <v>273</v>
      </c>
      <c r="T987">
        <v>5</v>
      </c>
    </row>
    <row r="988" spans="18:20" x14ac:dyDescent="0.25">
      <c r="R988">
        <v>31</v>
      </c>
      <c r="S988">
        <v>291</v>
      </c>
      <c r="T988">
        <v>2</v>
      </c>
    </row>
    <row r="989" spans="18:20" x14ac:dyDescent="0.25">
      <c r="R989">
        <v>31</v>
      </c>
      <c r="S989">
        <v>300</v>
      </c>
      <c r="T989">
        <v>5</v>
      </c>
    </row>
    <row r="990" spans="18:20" x14ac:dyDescent="0.25">
      <c r="R990">
        <v>31</v>
      </c>
      <c r="S990">
        <v>321</v>
      </c>
      <c r="T990">
        <v>2</v>
      </c>
    </row>
    <row r="991" spans="18:20" x14ac:dyDescent="0.25">
      <c r="R991">
        <v>31</v>
      </c>
      <c r="S991">
        <v>323</v>
      </c>
      <c r="T991">
        <v>2</v>
      </c>
    </row>
    <row r="992" spans="18:20" x14ac:dyDescent="0.25">
      <c r="R992">
        <v>31</v>
      </c>
      <c r="S992">
        <v>326</v>
      </c>
      <c r="T992">
        <v>2</v>
      </c>
    </row>
    <row r="993" spans="18:20" x14ac:dyDescent="0.25">
      <c r="R993">
        <v>31</v>
      </c>
      <c r="S993">
        <v>327</v>
      </c>
      <c r="T993">
        <v>3</v>
      </c>
    </row>
    <row r="994" spans="18:20" x14ac:dyDescent="0.25">
      <c r="R994">
        <v>31</v>
      </c>
      <c r="S994">
        <v>328</v>
      </c>
      <c r="T994">
        <v>3</v>
      </c>
    </row>
    <row r="995" spans="18:20" x14ac:dyDescent="0.25">
      <c r="R995">
        <v>31</v>
      </c>
      <c r="S995">
        <v>344</v>
      </c>
      <c r="T995">
        <v>2</v>
      </c>
    </row>
    <row r="996" spans="18:20" x14ac:dyDescent="0.25">
      <c r="R996">
        <v>31</v>
      </c>
      <c r="S996">
        <v>373</v>
      </c>
      <c r="T996">
        <v>5</v>
      </c>
    </row>
    <row r="997" spans="18:20" x14ac:dyDescent="0.25">
      <c r="R997">
        <v>31</v>
      </c>
      <c r="S997">
        <v>377</v>
      </c>
      <c r="T997">
        <v>4</v>
      </c>
    </row>
    <row r="998" spans="18:20" x14ac:dyDescent="0.25">
      <c r="R998">
        <v>31</v>
      </c>
      <c r="S998">
        <v>384</v>
      </c>
      <c r="T998">
        <v>4</v>
      </c>
    </row>
    <row r="999" spans="18:20" x14ac:dyDescent="0.25">
      <c r="R999">
        <v>31</v>
      </c>
      <c r="S999">
        <v>396</v>
      </c>
      <c r="T999">
        <v>4</v>
      </c>
    </row>
    <row r="1000" spans="18:20" x14ac:dyDescent="0.25">
      <c r="R1000">
        <v>31</v>
      </c>
      <c r="S1000">
        <v>401</v>
      </c>
      <c r="T1000">
        <v>2</v>
      </c>
    </row>
    <row r="1001" spans="18:20" x14ac:dyDescent="0.25">
      <c r="R1001">
        <v>31</v>
      </c>
      <c r="S1001">
        <v>408</v>
      </c>
      <c r="T1001">
        <v>2</v>
      </c>
    </row>
    <row r="1002" spans="18:20" x14ac:dyDescent="0.25">
      <c r="R1002">
        <v>32</v>
      </c>
      <c r="S1002">
        <v>54</v>
      </c>
      <c r="T1002">
        <v>2</v>
      </c>
    </row>
    <row r="1003" spans="18:20" x14ac:dyDescent="0.25">
      <c r="R1003">
        <v>32</v>
      </c>
      <c r="S1003">
        <v>62</v>
      </c>
      <c r="T1003">
        <v>3</v>
      </c>
    </row>
    <row r="1004" spans="18:20" x14ac:dyDescent="0.25">
      <c r="R1004">
        <v>32</v>
      </c>
      <c r="S1004">
        <v>62</v>
      </c>
      <c r="T1004">
        <v>3</v>
      </c>
    </row>
    <row r="1005" spans="18:20" x14ac:dyDescent="0.25">
      <c r="R1005">
        <v>32</v>
      </c>
      <c r="S1005">
        <v>76</v>
      </c>
      <c r="T1005">
        <v>3</v>
      </c>
    </row>
    <row r="1006" spans="18:20" x14ac:dyDescent="0.25">
      <c r="R1006">
        <v>32</v>
      </c>
      <c r="S1006">
        <v>77</v>
      </c>
      <c r="T1006">
        <v>2</v>
      </c>
    </row>
    <row r="1007" spans="18:20" x14ac:dyDescent="0.25">
      <c r="R1007">
        <v>32</v>
      </c>
      <c r="S1007">
        <v>79</v>
      </c>
      <c r="T1007">
        <v>3</v>
      </c>
    </row>
    <row r="1008" spans="18:20" x14ac:dyDescent="0.25">
      <c r="R1008">
        <v>32</v>
      </c>
      <c r="S1008">
        <v>122</v>
      </c>
      <c r="T1008">
        <v>4</v>
      </c>
    </row>
    <row r="1009" spans="18:20" x14ac:dyDescent="0.25">
      <c r="R1009">
        <v>32</v>
      </c>
      <c r="S1009">
        <v>141</v>
      </c>
      <c r="T1009">
        <v>2</v>
      </c>
    </row>
    <row r="1010" spans="18:20" x14ac:dyDescent="0.25">
      <c r="R1010">
        <v>32</v>
      </c>
      <c r="S1010">
        <v>147</v>
      </c>
      <c r="T1010">
        <v>2</v>
      </c>
    </row>
    <row r="1011" spans="18:20" x14ac:dyDescent="0.25">
      <c r="R1011">
        <v>32</v>
      </c>
      <c r="S1011">
        <v>166</v>
      </c>
      <c r="T1011">
        <v>2</v>
      </c>
    </row>
    <row r="1012" spans="18:20" x14ac:dyDescent="0.25">
      <c r="R1012">
        <v>32</v>
      </c>
      <c r="S1012">
        <v>200</v>
      </c>
      <c r="T1012">
        <v>4</v>
      </c>
    </row>
    <row r="1013" spans="18:20" x14ac:dyDescent="0.25">
      <c r="R1013">
        <v>32</v>
      </c>
      <c r="S1013">
        <v>215</v>
      </c>
      <c r="T1013">
        <v>5</v>
      </c>
    </row>
    <row r="1014" spans="18:20" x14ac:dyDescent="0.25">
      <c r="R1014">
        <v>32</v>
      </c>
      <c r="S1014">
        <v>236</v>
      </c>
      <c r="T1014">
        <v>3</v>
      </c>
    </row>
    <row r="1015" spans="18:20" x14ac:dyDescent="0.25">
      <c r="R1015">
        <v>32</v>
      </c>
      <c r="S1015">
        <v>241</v>
      </c>
      <c r="T1015">
        <v>4</v>
      </c>
    </row>
    <row r="1016" spans="18:20" x14ac:dyDescent="0.25">
      <c r="R1016">
        <v>32</v>
      </c>
      <c r="S1016">
        <v>246</v>
      </c>
      <c r="T1016">
        <v>4</v>
      </c>
    </row>
    <row r="1017" spans="18:20" x14ac:dyDescent="0.25">
      <c r="R1017">
        <v>32</v>
      </c>
      <c r="S1017">
        <v>256</v>
      </c>
      <c r="T1017">
        <v>3</v>
      </c>
    </row>
    <row r="1018" spans="18:20" x14ac:dyDescent="0.25">
      <c r="R1018">
        <v>32</v>
      </c>
      <c r="S1018">
        <v>279</v>
      </c>
      <c r="T1018">
        <v>4</v>
      </c>
    </row>
    <row r="1019" spans="18:20" x14ac:dyDescent="0.25">
      <c r="R1019">
        <v>32</v>
      </c>
      <c r="S1019">
        <v>282</v>
      </c>
      <c r="T1019">
        <v>5</v>
      </c>
    </row>
    <row r="1020" spans="18:20" x14ac:dyDescent="0.25">
      <c r="R1020">
        <v>32</v>
      </c>
      <c r="S1020">
        <v>297</v>
      </c>
      <c r="T1020">
        <v>3</v>
      </c>
    </row>
    <row r="1021" spans="18:20" x14ac:dyDescent="0.25">
      <c r="R1021">
        <v>32</v>
      </c>
      <c r="S1021">
        <v>298</v>
      </c>
      <c r="T1021">
        <v>5</v>
      </c>
    </row>
    <row r="1022" spans="18:20" x14ac:dyDescent="0.25">
      <c r="R1022">
        <v>32</v>
      </c>
      <c r="S1022">
        <v>321</v>
      </c>
      <c r="T1022">
        <v>3</v>
      </c>
    </row>
    <row r="1023" spans="18:20" x14ac:dyDescent="0.25">
      <c r="R1023">
        <v>32</v>
      </c>
      <c r="S1023">
        <v>322</v>
      </c>
      <c r="T1023">
        <v>4</v>
      </c>
    </row>
    <row r="1024" spans="18:20" x14ac:dyDescent="0.25">
      <c r="R1024">
        <v>32</v>
      </c>
      <c r="S1024">
        <v>327</v>
      </c>
      <c r="T1024">
        <v>3</v>
      </c>
    </row>
    <row r="1025" spans="18:20" x14ac:dyDescent="0.25">
      <c r="R1025">
        <v>32</v>
      </c>
      <c r="S1025">
        <v>335</v>
      </c>
      <c r="T1025">
        <v>5</v>
      </c>
    </row>
    <row r="1026" spans="18:20" x14ac:dyDescent="0.25">
      <c r="R1026">
        <v>32</v>
      </c>
      <c r="S1026">
        <v>343</v>
      </c>
      <c r="T1026">
        <v>3</v>
      </c>
    </row>
    <row r="1027" spans="18:20" x14ac:dyDescent="0.25">
      <c r="R1027">
        <v>32</v>
      </c>
      <c r="S1027">
        <v>356</v>
      </c>
      <c r="T1027">
        <v>2</v>
      </c>
    </row>
    <row r="1028" spans="18:20" x14ac:dyDescent="0.25">
      <c r="R1028">
        <v>32</v>
      </c>
      <c r="S1028">
        <v>358</v>
      </c>
      <c r="T1028">
        <v>3</v>
      </c>
    </row>
    <row r="1029" spans="18:20" x14ac:dyDescent="0.25">
      <c r="R1029">
        <v>32</v>
      </c>
      <c r="S1029">
        <v>361</v>
      </c>
      <c r="T1029">
        <v>5</v>
      </c>
    </row>
    <row r="1030" spans="18:20" x14ac:dyDescent="0.25">
      <c r="R1030">
        <v>32</v>
      </c>
      <c r="S1030">
        <v>366</v>
      </c>
      <c r="T1030">
        <v>3</v>
      </c>
    </row>
    <row r="1031" spans="18:20" x14ac:dyDescent="0.25">
      <c r="R1031">
        <v>32</v>
      </c>
      <c r="S1031">
        <v>373</v>
      </c>
      <c r="T1031">
        <v>4</v>
      </c>
    </row>
    <row r="1032" spans="18:20" x14ac:dyDescent="0.25">
      <c r="R1032">
        <v>32</v>
      </c>
      <c r="S1032">
        <v>401</v>
      </c>
      <c r="T1032">
        <v>5</v>
      </c>
    </row>
    <row r="1033" spans="18:20" x14ac:dyDescent="0.25">
      <c r="R1033">
        <v>32</v>
      </c>
      <c r="S1033">
        <v>406</v>
      </c>
      <c r="T1033">
        <v>3</v>
      </c>
    </row>
    <row r="1034" spans="18:20" x14ac:dyDescent="0.25">
      <c r="R1034">
        <v>32</v>
      </c>
      <c r="S1034">
        <v>417</v>
      </c>
      <c r="T1034">
        <v>2</v>
      </c>
    </row>
    <row r="1035" spans="18:20" x14ac:dyDescent="0.25">
      <c r="R1035">
        <v>32</v>
      </c>
      <c r="S1035">
        <v>432</v>
      </c>
      <c r="T1035">
        <v>3</v>
      </c>
    </row>
    <row r="1036" spans="18:20" x14ac:dyDescent="0.25">
      <c r="R1036">
        <v>33</v>
      </c>
      <c r="S1036">
        <v>8</v>
      </c>
      <c r="T1036">
        <v>4</v>
      </c>
    </row>
    <row r="1037" spans="18:20" x14ac:dyDescent="0.25">
      <c r="R1037">
        <v>33</v>
      </c>
      <c r="S1037">
        <v>23</v>
      </c>
      <c r="T1037">
        <v>3</v>
      </c>
    </row>
    <row r="1038" spans="18:20" x14ac:dyDescent="0.25">
      <c r="R1038">
        <v>33</v>
      </c>
      <c r="S1038">
        <v>34</v>
      </c>
      <c r="T1038">
        <v>3</v>
      </c>
    </row>
    <row r="1039" spans="18:20" x14ac:dyDescent="0.25">
      <c r="R1039">
        <v>33</v>
      </c>
      <c r="S1039">
        <v>36</v>
      </c>
      <c r="T1039">
        <v>2</v>
      </c>
    </row>
    <row r="1040" spans="18:20" x14ac:dyDescent="0.25">
      <c r="R1040">
        <v>33</v>
      </c>
      <c r="S1040">
        <v>38</v>
      </c>
      <c r="T1040">
        <v>2</v>
      </c>
    </row>
    <row r="1041" spans="18:20" x14ac:dyDescent="0.25">
      <c r="R1041">
        <v>33</v>
      </c>
      <c r="S1041">
        <v>39</v>
      </c>
      <c r="T1041">
        <v>5</v>
      </c>
    </row>
    <row r="1042" spans="18:20" x14ac:dyDescent="0.25">
      <c r="R1042">
        <v>33</v>
      </c>
      <c r="S1042">
        <v>61</v>
      </c>
      <c r="T1042">
        <v>4</v>
      </c>
    </row>
    <row r="1043" spans="18:20" x14ac:dyDescent="0.25">
      <c r="R1043">
        <v>33</v>
      </c>
      <c r="S1043">
        <v>74</v>
      </c>
      <c r="T1043">
        <v>5</v>
      </c>
    </row>
    <row r="1044" spans="18:20" x14ac:dyDescent="0.25">
      <c r="R1044">
        <v>33</v>
      </c>
      <c r="S1044">
        <v>75</v>
      </c>
      <c r="T1044">
        <v>2</v>
      </c>
    </row>
    <row r="1045" spans="18:20" x14ac:dyDescent="0.25">
      <c r="R1045">
        <v>33</v>
      </c>
      <c r="S1045">
        <v>78</v>
      </c>
      <c r="T1045">
        <v>4</v>
      </c>
    </row>
    <row r="1046" spans="18:20" x14ac:dyDescent="0.25">
      <c r="R1046">
        <v>33</v>
      </c>
      <c r="S1046">
        <v>84</v>
      </c>
      <c r="T1046">
        <v>2</v>
      </c>
    </row>
    <row r="1047" spans="18:20" x14ac:dyDescent="0.25">
      <c r="R1047">
        <v>33</v>
      </c>
      <c r="S1047">
        <v>113</v>
      </c>
      <c r="T1047">
        <v>3</v>
      </c>
    </row>
    <row r="1048" spans="18:20" x14ac:dyDescent="0.25">
      <c r="R1048">
        <v>33</v>
      </c>
      <c r="S1048">
        <v>122</v>
      </c>
      <c r="T1048">
        <v>2</v>
      </c>
    </row>
    <row r="1049" spans="18:20" x14ac:dyDescent="0.25">
      <c r="R1049">
        <v>33</v>
      </c>
      <c r="S1049">
        <v>129</v>
      </c>
      <c r="T1049">
        <v>2</v>
      </c>
    </row>
    <row r="1050" spans="18:20" x14ac:dyDescent="0.25">
      <c r="R1050">
        <v>33</v>
      </c>
      <c r="S1050">
        <v>134</v>
      </c>
      <c r="T1050">
        <v>4</v>
      </c>
    </row>
    <row r="1051" spans="18:20" x14ac:dyDescent="0.25">
      <c r="R1051">
        <v>33</v>
      </c>
      <c r="S1051">
        <v>134</v>
      </c>
      <c r="T1051">
        <v>5</v>
      </c>
    </row>
    <row r="1052" spans="18:20" x14ac:dyDescent="0.25">
      <c r="R1052">
        <v>33</v>
      </c>
      <c r="S1052">
        <v>136</v>
      </c>
      <c r="T1052">
        <v>5</v>
      </c>
    </row>
    <row r="1053" spans="18:20" x14ac:dyDescent="0.25">
      <c r="R1053">
        <v>33</v>
      </c>
      <c r="S1053">
        <v>145</v>
      </c>
      <c r="T1053">
        <v>3</v>
      </c>
    </row>
    <row r="1054" spans="18:20" x14ac:dyDescent="0.25">
      <c r="R1054">
        <v>33</v>
      </c>
      <c r="S1054">
        <v>150</v>
      </c>
      <c r="T1054">
        <v>5</v>
      </c>
    </row>
    <row r="1055" spans="18:20" x14ac:dyDescent="0.25">
      <c r="R1055">
        <v>33</v>
      </c>
      <c r="S1055">
        <v>213</v>
      </c>
      <c r="T1055">
        <v>2</v>
      </c>
    </row>
    <row r="1056" spans="18:20" x14ac:dyDescent="0.25">
      <c r="R1056">
        <v>33</v>
      </c>
      <c r="S1056">
        <v>224</v>
      </c>
      <c r="T1056">
        <v>2</v>
      </c>
    </row>
    <row r="1057" spans="18:20" x14ac:dyDescent="0.25">
      <c r="R1057">
        <v>33</v>
      </c>
      <c r="S1057">
        <v>236</v>
      </c>
      <c r="T1057">
        <v>5</v>
      </c>
    </row>
    <row r="1058" spans="18:20" x14ac:dyDescent="0.25">
      <c r="R1058">
        <v>33</v>
      </c>
      <c r="S1058">
        <v>264</v>
      </c>
      <c r="T1058">
        <v>2</v>
      </c>
    </row>
    <row r="1059" spans="18:20" x14ac:dyDescent="0.25">
      <c r="R1059">
        <v>33</v>
      </c>
      <c r="S1059">
        <v>265</v>
      </c>
      <c r="T1059">
        <v>4</v>
      </c>
    </row>
    <row r="1060" spans="18:20" x14ac:dyDescent="0.25">
      <c r="R1060">
        <v>33</v>
      </c>
      <c r="S1060">
        <v>268</v>
      </c>
      <c r="T1060">
        <v>3</v>
      </c>
    </row>
    <row r="1061" spans="18:20" x14ac:dyDescent="0.25">
      <c r="R1061">
        <v>33</v>
      </c>
      <c r="S1061">
        <v>275</v>
      </c>
      <c r="T1061">
        <v>4</v>
      </c>
    </row>
    <row r="1062" spans="18:20" x14ac:dyDescent="0.25">
      <c r="R1062">
        <v>33</v>
      </c>
      <c r="S1062">
        <v>296</v>
      </c>
      <c r="T1062">
        <v>2</v>
      </c>
    </row>
    <row r="1063" spans="18:20" x14ac:dyDescent="0.25">
      <c r="R1063">
        <v>33</v>
      </c>
      <c r="S1063">
        <v>303</v>
      </c>
      <c r="T1063">
        <v>3</v>
      </c>
    </row>
    <row r="1064" spans="18:20" x14ac:dyDescent="0.25">
      <c r="R1064">
        <v>33</v>
      </c>
      <c r="S1064">
        <v>304</v>
      </c>
      <c r="T1064">
        <v>3</v>
      </c>
    </row>
    <row r="1065" spans="18:20" x14ac:dyDescent="0.25">
      <c r="R1065">
        <v>33</v>
      </c>
      <c r="S1065">
        <v>323</v>
      </c>
      <c r="T1065">
        <v>3</v>
      </c>
    </row>
    <row r="1066" spans="18:20" x14ac:dyDescent="0.25">
      <c r="R1066">
        <v>33</v>
      </c>
      <c r="S1066">
        <v>336</v>
      </c>
      <c r="T1066">
        <v>4</v>
      </c>
    </row>
    <row r="1067" spans="18:20" x14ac:dyDescent="0.25">
      <c r="R1067">
        <v>33</v>
      </c>
      <c r="S1067">
        <v>368</v>
      </c>
      <c r="T1067">
        <v>3</v>
      </c>
    </row>
    <row r="1068" spans="18:20" x14ac:dyDescent="0.25">
      <c r="R1068">
        <v>33</v>
      </c>
      <c r="S1068">
        <v>383</v>
      </c>
      <c r="T1068">
        <v>2</v>
      </c>
    </row>
    <row r="1069" spans="18:20" x14ac:dyDescent="0.25">
      <c r="R1069">
        <v>33</v>
      </c>
      <c r="S1069">
        <v>387</v>
      </c>
      <c r="T1069">
        <v>2</v>
      </c>
    </row>
    <row r="1070" spans="18:20" x14ac:dyDescent="0.25">
      <c r="R1070">
        <v>33</v>
      </c>
      <c r="S1070">
        <v>415</v>
      </c>
      <c r="T1070">
        <v>3</v>
      </c>
    </row>
    <row r="1071" spans="18:20" x14ac:dyDescent="0.25">
      <c r="R1071">
        <v>33</v>
      </c>
      <c r="S1071">
        <v>415</v>
      </c>
      <c r="T1071">
        <v>5</v>
      </c>
    </row>
    <row r="1072" spans="18:20" x14ac:dyDescent="0.25">
      <c r="R1072">
        <v>33</v>
      </c>
      <c r="S1072">
        <v>415</v>
      </c>
      <c r="T1072">
        <v>5</v>
      </c>
    </row>
    <row r="1073" spans="18:20" x14ac:dyDescent="0.25">
      <c r="R1073">
        <v>33</v>
      </c>
      <c r="S1073">
        <v>428</v>
      </c>
      <c r="T1073">
        <v>2</v>
      </c>
    </row>
    <row r="1074" spans="18:20" x14ac:dyDescent="0.25">
      <c r="R1074">
        <v>33</v>
      </c>
      <c r="S1074">
        <v>434</v>
      </c>
      <c r="T1074">
        <v>4</v>
      </c>
    </row>
    <row r="1075" spans="18:20" x14ac:dyDescent="0.25">
      <c r="R1075">
        <v>34</v>
      </c>
      <c r="S1075">
        <v>16</v>
      </c>
      <c r="T1075">
        <v>5</v>
      </c>
    </row>
    <row r="1076" spans="18:20" x14ac:dyDescent="0.25">
      <c r="R1076">
        <v>34</v>
      </c>
      <c r="S1076">
        <v>16</v>
      </c>
      <c r="T1076">
        <v>5</v>
      </c>
    </row>
    <row r="1077" spans="18:20" x14ac:dyDescent="0.25">
      <c r="R1077">
        <v>34</v>
      </c>
      <c r="S1077">
        <v>24</v>
      </c>
      <c r="T1077">
        <v>4</v>
      </c>
    </row>
    <row r="1078" spans="18:20" x14ac:dyDescent="0.25">
      <c r="R1078">
        <v>34</v>
      </c>
      <c r="S1078">
        <v>46</v>
      </c>
      <c r="T1078">
        <v>5</v>
      </c>
    </row>
    <row r="1079" spans="18:20" x14ac:dyDescent="0.25">
      <c r="R1079">
        <v>34</v>
      </c>
      <c r="S1079">
        <v>103</v>
      </c>
      <c r="T1079">
        <v>3</v>
      </c>
    </row>
    <row r="1080" spans="18:20" x14ac:dyDescent="0.25">
      <c r="R1080">
        <v>34</v>
      </c>
      <c r="S1080">
        <v>120</v>
      </c>
      <c r="T1080">
        <v>2</v>
      </c>
    </row>
    <row r="1081" spans="18:20" x14ac:dyDescent="0.25">
      <c r="R1081">
        <v>34</v>
      </c>
      <c r="S1081">
        <v>174</v>
      </c>
      <c r="T1081">
        <v>2</v>
      </c>
    </row>
    <row r="1082" spans="18:20" x14ac:dyDescent="0.25">
      <c r="R1082">
        <v>34</v>
      </c>
      <c r="S1082">
        <v>176</v>
      </c>
      <c r="T1082">
        <v>4</v>
      </c>
    </row>
    <row r="1083" spans="18:20" x14ac:dyDescent="0.25">
      <c r="R1083">
        <v>34</v>
      </c>
      <c r="S1083">
        <v>183</v>
      </c>
      <c r="T1083">
        <v>3</v>
      </c>
    </row>
    <row r="1084" spans="18:20" x14ac:dyDescent="0.25">
      <c r="R1084">
        <v>34</v>
      </c>
      <c r="S1084">
        <v>190</v>
      </c>
      <c r="T1084">
        <v>4</v>
      </c>
    </row>
    <row r="1085" spans="18:20" x14ac:dyDescent="0.25">
      <c r="R1085">
        <v>34</v>
      </c>
      <c r="S1085">
        <v>190</v>
      </c>
      <c r="T1085">
        <v>3</v>
      </c>
    </row>
    <row r="1086" spans="18:20" x14ac:dyDescent="0.25">
      <c r="R1086">
        <v>34</v>
      </c>
      <c r="S1086">
        <v>197</v>
      </c>
      <c r="T1086">
        <v>3</v>
      </c>
    </row>
    <row r="1087" spans="18:20" x14ac:dyDescent="0.25">
      <c r="R1087">
        <v>34</v>
      </c>
      <c r="S1087">
        <v>204</v>
      </c>
      <c r="T1087">
        <v>4</v>
      </c>
    </row>
    <row r="1088" spans="18:20" x14ac:dyDescent="0.25">
      <c r="R1088">
        <v>34</v>
      </c>
      <c r="S1088">
        <v>230</v>
      </c>
      <c r="T1088">
        <v>4</v>
      </c>
    </row>
    <row r="1089" spans="18:20" x14ac:dyDescent="0.25">
      <c r="R1089">
        <v>34</v>
      </c>
      <c r="S1089">
        <v>230</v>
      </c>
      <c r="T1089">
        <v>4</v>
      </c>
    </row>
    <row r="1090" spans="18:20" x14ac:dyDescent="0.25">
      <c r="R1090">
        <v>34</v>
      </c>
      <c r="S1090">
        <v>247</v>
      </c>
      <c r="T1090">
        <v>4</v>
      </c>
    </row>
    <row r="1091" spans="18:20" x14ac:dyDescent="0.25">
      <c r="R1091">
        <v>34</v>
      </c>
      <c r="S1091">
        <v>261</v>
      </c>
      <c r="T1091">
        <v>3</v>
      </c>
    </row>
    <row r="1092" spans="18:20" x14ac:dyDescent="0.25">
      <c r="R1092">
        <v>34</v>
      </c>
      <c r="S1092">
        <v>266</v>
      </c>
      <c r="T1092">
        <v>3</v>
      </c>
    </row>
    <row r="1093" spans="18:20" x14ac:dyDescent="0.25">
      <c r="R1093">
        <v>34</v>
      </c>
      <c r="S1093">
        <v>281</v>
      </c>
      <c r="T1093">
        <v>3</v>
      </c>
    </row>
    <row r="1094" spans="18:20" x14ac:dyDescent="0.25">
      <c r="R1094">
        <v>34</v>
      </c>
      <c r="S1094">
        <v>303</v>
      </c>
      <c r="T1094">
        <v>3</v>
      </c>
    </row>
    <row r="1095" spans="18:20" x14ac:dyDescent="0.25">
      <c r="R1095">
        <v>34</v>
      </c>
      <c r="S1095">
        <v>340</v>
      </c>
      <c r="T1095">
        <v>3</v>
      </c>
    </row>
    <row r="1096" spans="18:20" x14ac:dyDescent="0.25">
      <c r="R1096">
        <v>34</v>
      </c>
      <c r="S1096">
        <v>340</v>
      </c>
      <c r="T1096">
        <v>3</v>
      </c>
    </row>
    <row r="1097" spans="18:20" x14ac:dyDescent="0.25">
      <c r="R1097">
        <v>34</v>
      </c>
      <c r="S1097">
        <v>341</v>
      </c>
      <c r="T1097">
        <v>4</v>
      </c>
    </row>
    <row r="1098" spans="18:20" x14ac:dyDescent="0.25">
      <c r="R1098">
        <v>34</v>
      </c>
      <c r="S1098">
        <v>422</v>
      </c>
      <c r="T1098">
        <v>3</v>
      </c>
    </row>
    <row r="1099" spans="18:20" x14ac:dyDescent="0.25">
      <c r="R1099">
        <v>34</v>
      </c>
      <c r="S1099">
        <v>432</v>
      </c>
      <c r="T1099">
        <v>4</v>
      </c>
    </row>
    <row r="1100" spans="18:20" x14ac:dyDescent="0.25">
      <c r="R1100">
        <v>35</v>
      </c>
      <c r="S1100">
        <v>5</v>
      </c>
      <c r="T1100">
        <v>4</v>
      </c>
    </row>
    <row r="1101" spans="18:20" x14ac:dyDescent="0.25">
      <c r="R1101">
        <v>35</v>
      </c>
      <c r="S1101">
        <v>39</v>
      </c>
      <c r="T1101">
        <v>2</v>
      </c>
    </row>
    <row r="1102" spans="18:20" x14ac:dyDescent="0.25">
      <c r="R1102">
        <v>35</v>
      </c>
      <c r="S1102">
        <v>60</v>
      </c>
      <c r="T1102">
        <v>3</v>
      </c>
    </row>
    <row r="1103" spans="18:20" x14ac:dyDescent="0.25">
      <c r="R1103">
        <v>35</v>
      </c>
      <c r="S1103">
        <v>82</v>
      </c>
      <c r="T1103">
        <v>5</v>
      </c>
    </row>
    <row r="1104" spans="18:20" x14ac:dyDescent="0.25">
      <c r="R1104">
        <v>35</v>
      </c>
      <c r="S1104">
        <v>113</v>
      </c>
      <c r="T1104">
        <v>3</v>
      </c>
    </row>
    <row r="1105" spans="18:20" x14ac:dyDescent="0.25">
      <c r="R1105">
        <v>35</v>
      </c>
      <c r="S1105">
        <v>126</v>
      </c>
      <c r="T1105">
        <v>3</v>
      </c>
    </row>
    <row r="1106" spans="18:20" x14ac:dyDescent="0.25">
      <c r="R1106">
        <v>35</v>
      </c>
      <c r="S1106">
        <v>136</v>
      </c>
      <c r="T1106">
        <v>3</v>
      </c>
    </row>
    <row r="1107" spans="18:20" x14ac:dyDescent="0.25">
      <c r="R1107">
        <v>35</v>
      </c>
      <c r="S1107">
        <v>158</v>
      </c>
      <c r="T1107">
        <v>2</v>
      </c>
    </row>
    <row r="1108" spans="18:20" x14ac:dyDescent="0.25">
      <c r="R1108">
        <v>35</v>
      </c>
      <c r="S1108">
        <v>185</v>
      </c>
      <c r="T1108">
        <v>2</v>
      </c>
    </row>
    <row r="1109" spans="18:20" x14ac:dyDescent="0.25">
      <c r="R1109">
        <v>35</v>
      </c>
      <c r="S1109">
        <v>188</v>
      </c>
      <c r="T1109">
        <v>3</v>
      </c>
    </row>
    <row r="1110" spans="18:20" x14ac:dyDescent="0.25">
      <c r="R1110">
        <v>35</v>
      </c>
      <c r="S1110">
        <v>188</v>
      </c>
      <c r="T1110">
        <v>2</v>
      </c>
    </row>
    <row r="1111" spans="18:20" x14ac:dyDescent="0.25">
      <c r="R1111">
        <v>35</v>
      </c>
      <c r="S1111">
        <v>241</v>
      </c>
      <c r="T1111">
        <v>2</v>
      </c>
    </row>
    <row r="1112" spans="18:20" x14ac:dyDescent="0.25">
      <c r="R1112">
        <v>35</v>
      </c>
      <c r="S1112">
        <v>254</v>
      </c>
      <c r="T1112">
        <v>5</v>
      </c>
    </row>
    <row r="1113" spans="18:20" x14ac:dyDescent="0.25">
      <c r="R1113">
        <v>35</v>
      </c>
      <c r="S1113">
        <v>279</v>
      </c>
      <c r="T1113">
        <v>5</v>
      </c>
    </row>
    <row r="1114" spans="18:20" x14ac:dyDescent="0.25">
      <c r="R1114">
        <v>35</v>
      </c>
      <c r="S1114">
        <v>301</v>
      </c>
      <c r="T1114">
        <v>4</v>
      </c>
    </row>
    <row r="1115" spans="18:20" x14ac:dyDescent="0.25">
      <c r="R1115">
        <v>35</v>
      </c>
      <c r="S1115">
        <v>304</v>
      </c>
      <c r="T1115">
        <v>2</v>
      </c>
    </row>
    <row r="1116" spans="18:20" x14ac:dyDescent="0.25">
      <c r="R1116">
        <v>35</v>
      </c>
      <c r="S1116">
        <v>308</v>
      </c>
      <c r="T1116">
        <v>4</v>
      </c>
    </row>
    <row r="1117" spans="18:20" x14ac:dyDescent="0.25">
      <c r="R1117">
        <v>35</v>
      </c>
      <c r="S1117">
        <v>315</v>
      </c>
      <c r="T1117">
        <v>2</v>
      </c>
    </row>
    <row r="1118" spans="18:20" x14ac:dyDescent="0.25">
      <c r="R1118">
        <v>35</v>
      </c>
      <c r="S1118">
        <v>317</v>
      </c>
      <c r="T1118">
        <v>2</v>
      </c>
    </row>
    <row r="1119" spans="18:20" x14ac:dyDescent="0.25">
      <c r="R1119">
        <v>35</v>
      </c>
      <c r="S1119">
        <v>318</v>
      </c>
      <c r="T1119">
        <v>4</v>
      </c>
    </row>
    <row r="1120" spans="18:20" x14ac:dyDescent="0.25">
      <c r="R1120">
        <v>35</v>
      </c>
      <c r="S1120">
        <v>327</v>
      </c>
      <c r="T1120">
        <v>4</v>
      </c>
    </row>
    <row r="1121" spans="18:20" x14ac:dyDescent="0.25">
      <c r="R1121">
        <v>35</v>
      </c>
      <c r="S1121">
        <v>329</v>
      </c>
      <c r="T1121">
        <v>3</v>
      </c>
    </row>
    <row r="1122" spans="18:20" x14ac:dyDescent="0.25">
      <c r="R1122">
        <v>35</v>
      </c>
      <c r="S1122">
        <v>329</v>
      </c>
      <c r="T1122">
        <v>4</v>
      </c>
    </row>
    <row r="1123" spans="18:20" x14ac:dyDescent="0.25">
      <c r="R1123">
        <v>35</v>
      </c>
      <c r="S1123">
        <v>335</v>
      </c>
      <c r="T1123">
        <v>2</v>
      </c>
    </row>
    <row r="1124" spans="18:20" x14ac:dyDescent="0.25">
      <c r="R1124">
        <v>35</v>
      </c>
      <c r="S1124">
        <v>342</v>
      </c>
      <c r="T1124">
        <v>2</v>
      </c>
    </row>
    <row r="1125" spans="18:20" x14ac:dyDescent="0.25">
      <c r="R1125">
        <v>35</v>
      </c>
      <c r="S1125">
        <v>343</v>
      </c>
      <c r="T1125">
        <v>4</v>
      </c>
    </row>
    <row r="1126" spans="18:20" x14ac:dyDescent="0.25">
      <c r="R1126">
        <v>35</v>
      </c>
      <c r="S1126">
        <v>371</v>
      </c>
      <c r="T1126">
        <v>4</v>
      </c>
    </row>
    <row r="1127" spans="18:20" x14ac:dyDescent="0.25">
      <c r="R1127">
        <v>35</v>
      </c>
      <c r="S1127">
        <v>379</v>
      </c>
      <c r="T1127">
        <v>5</v>
      </c>
    </row>
    <row r="1128" spans="18:20" x14ac:dyDescent="0.25">
      <c r="R1128">
        <v>35</v>
      </c>
      <c r="S1128">
        <v>394</v>
      </c>
      <c r="T1128">
        <v>2</v>
      </c>
    </row>
    <row r="1129" spans="18:20" x14ac:dyDescent="0.25">
      <c r="R1129">
        <v>35</v>
      </c>
      <c r="S1129">
        <v>401</v>
      </c>
      <c r="T1129">
        <v>5</v>
      </c>
    </row>
    <row r="1130" spans="18:20" x14ac:dyDescent="0.25">
      <c r="R1130">
        <v>35</v>
      </c>
      <c r="S1130">
        <v>425</v>
      </c>
      <c r="T1130">
        <v>2</v>
      </c>
    </row>
    <row r="1131" spans="18:20" x14ac:dyDescent="0.25">
      <c r="R1131">
        <v>36</v>
      </c>
      <c r="S1131">
        <v>1</v>
      </c>
      <c r="T1131">
        <v>4</v>
      </c>
    </row>
    <row r="1132" spans="18:20" x14ac:dyDescent="0.25">
      <c r="R1132">
        <v>36</v>
      </c>
      <c r="S1132">
        <v>4</v>
      </c>
      <c r="T1132">
        <v>2</v>
      </c>
    </row>
    <row r="1133" spans="18:20" x14ac:dyDescent="0.25">
      <c r="R1133">
        <v>36</v>
      </c>
      <c r="S1133">
        <v>23</v>
      </c>
      <c r="T1133">
        <v>5</v>
      </c>
    </row>
    <row r="1134" spans="18:20" x14ac:dyDescent="0.25">
      <c r="R1134">
        <v>36</v>
      </c>
      <c r="S1134">
        <v>24</v>
      </c>
      <c r="T1134">
        <v>3</v>
      </c>
    </row>
    <row r="1135" spans="18:20" x14ac:dyDescent="0.25">
      <c r="R1135">
        <v>36</v>
      </c>
      <c r="S1135">
        <v>32</v>
      </c>
      <c r="T1135">
        <v>5</v>
      </c>
    </row>
    <row r="1136" spans="18:20" x14ac:dyDescent="0.25">
      <c r="R1136">
        <v>36</v>
      </c>
      <c r="S1136">
        <v>39</v>
      </c>
      <c r="T1136">
        <v>2</v>
      </c>
    </row>
    <row r="1137" spans="18:20" x14ac:dyDescent="0.25">
      <c r="R1137">
        <v>36</v>
      </c>
      <c r="S1137">
        <v>43</v>
      </c>
      <c r="T1137">
        <v>4</v>
      </c>
    </row>
    <row r="1138" spans="18:20" x14ac:dyDescent="0.25">
      <c r="R1138">
        <v>36</v>
      </c>
      <c r="S1138">
        <v>68</v>
      </c>
      <c r="T1138">
        <v>2</v>
      </c>
    </row>
    <row r="1139" spans="18:20" x14ac:dyDescent="0.25">
      <c r="R1139">
        <v>36</v>
      </c>
      <c r="S1139">
        <v>95</v>
      </c>
      <c r="T1139">
        <v>2</v>
      </c>
    </row>
    <row r="1140" spans="18:20" x14ac:dyDescent="0.25">
      <c r="R1140">
        <v>36</v>
      </c>
      <c r="S1140">
        <v>117</v>
      </c>
      <c r="T1140">
        <v>5</v>
      </c>
    </row>
    <row r="1141" spans="18:20" x14ac:dyDescent="0.25">
      <c r="R1141">
        <v>36</v>
      </c>
      <c r="S1141">
        <v>128</v>
      </c>
      <c r="T1141">
        <v>4</v>
      </c>
    </row>
    <row r="1142" spans="18:20" x14ac:dyDescent="0.25">
      <c r="R1142">
        <v>36</v>
      </c>
      <c r="S1142">
        <v>133</v>
      </c>
      <c r="T1142">
        <v>3</v>
      </c>
    </row>
    <row r="1143" spans="18:20" x14ac:dyDescent="0.25">
      <c r="R1143">
        <v>36</v>
      </c>
      <c r="S1143">
        <v>136</v>
      </c>
      <c r="T1143">
        <v>3</v>
      </c>
    </row>
    <row r="1144" spans="18:20" x14ac:dyDescent="0.25">
      <c r="R1144">
        <v>36</v>
      </c>
      <c r="S1144">
        <v>138</v>
      </c>
      <c r="T1144">
        <v>4</v>
      </c>
    </row>
    <row r="1145" spans="18:20" x14ac:dyDescent="0.25">
      <c r="R1145">
        <v>36</v>
      </c>
      <c r="S1145">
        <v>139</v>
      </c>
      <c r="T1145">
        <v>4</v>
      </c>
    </row>
    <row r="1146" spans="18:20" x14ac:dyDescent="0.25">
      <c r="R1146">
        <v>36</v>
      </c>
      <c r="S1146">
        <v>162</v>
      </c>
      <c r="T1146">
        <v>3</v>
      </c>
    </row>
    <row r="1147" spans="18:20" x14ac:dyDescent="0.25">
      <c r="R1147">
        <v>36</v>
      </c>
      <c r="S1147">
        <v>172</v>
      </c>
      <c r="T1147">
        <v>5</v>
      </c>
    </row>
    <row r="1148" spans="18:20" x14ac:dyDescent="0.25">
      <c r="R1148">
        <v>36</v>
      </c>
      <c r="S1148">
        <v>181</v>
      </c>
      <c r="T1148">
        <v>3</v>
      </c>
    </row>
    <row r="1149" spans="18:20" x14ac:dyDescent="0.25">
      <c r="R1149">
        <v>36</v>
      </c>
      <c r="S1149">
        <v>209</v>
      </c>
      <c r="T1149">
        <v>2</v>
      </c>
    </row>
    <row r="1150" spans="18:20" x14ac:dyDescent="0.25">
      <c r="R1150">
        <v>36</v>
      </c>
      <c r="S1150">
        <v>214</v>
      </c>
      <c r="T1150">
        <v>5</v>
      </c>
    </row>
    <row r="1151" spans="18:20" x14ac:dyDescent="0.25">
      <c r="R1151">
        <v>36</v>
      </c>
      <c r="S1151">
        <v>216</v>
      </c>
      <c r="T1151">
        <v>2</v>
      </c>
    </row>
    <row r="1152" spans="18:20" x14ac:dyDescent="0.25">
      <c r="R1152">
        <v>36</v>
      </c>
      <c r="S1152">
        <v>216</v>
      </c>
      <c r="T1152">
        <v>3</v>
      </c>
    </row>
    <row r="1153" spans="18:20" x14ac:dyDescent="0.25">
      <c r="R1153">
        <v>36</v>
      </c>
      <c r="S1153">
        <v>230</v>
      </c>
      <c r="T1153">
        <v>5</v>
      </c>
    </row>
    <row r="1154" spans="18:20" x14ac:dyDescent="0.25">
      <c r="R1154">
        <v>36</v>
      </c>
      <c r="S1154">
        <v>242</v>
      </c>
      <c r="T1154">
        <v>3</v>
      </c>
    </row>
    <row r="1155" spans="18:20" x14ac:dyDescent="0.25">
      <c r="R1155">
        <v>36</v>
      </c>
      <c r="S1155">
        <v>250</v>
      </c>
      <c r="T1155">
        <v>2</v>
      </c>
    </row>
    <row r="1156" spans="18:20" x14ac:dyDescent="0.25">
      <c r="R1156">
        <v>36</v>
      </c>
      <c r="S1156">
        <v>274</v>
      </c>
      <c r="T1156">
        <v>4</v>
      </c>
    </row>
    <row r="1157" spans="18:20" x14ac:dyDescent="0.25">
      <c r="R1157">
        <v>36</v>
      </c>
      <c r="S1157">
        <v>278</v>
      </c>
      <c r="T1157">
        <v>3</v>
      </c>
    </row>
    <row r="1158" spans="18:20" x14ac:dyDescent="0.25">
      <c r="R1158">
        <v>36</v>
      </c>
      <c r="S1158">
        <v>314</v>
      </c>
      <c r="T1158">
        <v>3</v>
      </c>
    </row>
    <row r="1159" spans="18:20" x14ac:dyDescent="0.25">
      <c r="R1159">
        <v>36</v>
      </c>
      <c r="S1159">
        <v>317</v>
      </c>
      <c r="T1159">
        <v>3</v>
      </c>
    </row>
    <row r="1160" spans="18:20" x14ac:dyDescent="0.25">
      <c r="R1160">
        <v>36</v>
      </c>
      <c r="S1160">
        <v>353</v>
      </c>
      <c r="T1160">
        <v>3</v>
      </c>
    </row>
    <row r="1161" spans="18:20" x14ac:dyDescent="0.25">
      <c r="R1161">
        <v>36</v>
      </c>
      <c r="S1161">
        <v>378</v>
      </c>
      <c r="T1161">
        <v>4</v>
      </c>
    </row>
    <row r="1162" spans="18:20" x14ac:dyDescent="0.25">
      <c r="R1162">
        <v>36</v>
      </c>
      <c r="S1162">
        <v>384</v>
      </c>
      <c r="T1162">
        <v>2</v>
      </c>
    </row>
    <row r="1163" spans="18:20" x14ac:dyDescent="0.25">
      <c r="R1163">
        <v>36</v>
      </c>
      <c r="S1163">
        <v>413</v>
      </c>
      <c r="T1163">
        <v>4</v>
      </c>
    </row>
    <row r="1164" spans="18:20" x14ac:dyDescent="0.25">
      <c r="R1164">
        <v>37</v>
      </c>
      <c r="S1164">
        <v>34</v>
      </c>
      <c r="T1164">
        <v>4</v>
      </c>
    </row>
    <row r="1165" spans="18:20" x14ac:dyDescent="0.25">
      <c r="R1165">
        <v>37</v>
      </c>
      <c r="S1165">
        <v>43</v>
      </c>
      <c r="T1165">
        <v>5</v>
      </c>
    </row>
    <row r="1166" spans="18:20" x14ac:dyDescent="0.25">
      <c r="R1166">
        <v>37</v>
      </c>
      <c r="S1166">
        <v>52</v>
      </c>
      <c r="T1166">
        <v>2</v>
      </c>
    </row>
    <row r="1167" spans="18:20" x14ac:dyDescent="0.25">
      <c r="R1167">
        <v>37</v>
      </c>
      <c r="S1167">
        <v>60</v>
      </c>
      <c r="T1167">
        <v>5</v>
      </c>
    </row>
    <row r="1168" spans="18:20" x14ac:dyDescent="0.25">
      <c r="R1168">
        <v>37</v>
      </c>
      <c r="S1168">
        <v>63</v>
      </c>
      <c r="T1168">
        <v>5</v>
      </c>
    </row>
    <row r="1169" spans="18:20" x14ac:dyDescent="0.25">
      <c r="R1169">
        <v>37</v>
      </c>
      <c r="S1169">
        <v>93</v>
      </c>
      <c r="T1169">
        <v>5</v>
      </c>
    </row>
    <row r="1170" spans="18:20" x14ac:dyDescent="0.25">
      <c r="R1170">
        <v>37</v>
      </c>
      <c r="S1170">
        <v>103</v>
      </c>
      <c r="T1170">
        <v>3</v>
      </c>
    </row>
    <row r="1171" spans="18:20" x14ac:dyDescent="0.25">
      <c r="R1171">
        <v>37</v>
      </c>
      <c r="S1171">
        <v>132</v>
      </c>
      <c r="T1171">
        <v>3</v>
      </c>
    </row>
    <row r="1172" spans="18:20" x14ac:dyDescent="0.25">
      <c r="R1172">
        <v>37</v>
      </c>
      <c r="S1172">
        <v>167</v>
      </c>
      <c r="T1172">
        <v>5</v>
      </c>
    </row>
    <row r="1173" spans="18:20" x14ac:dyDescent="0.25">
      <c r="R1173">
        <v>37</v>
      </c>
      <c r="S1173">
        <v>213</v>
      </c>
      <c r="T1173">
        <v>4</v>
      </c>
    </row>
    <row r="1174" spans="18:20" x14ac:dyDescent="0.25">
      <c r="R1174">
        <v>37</v>
      </c>
      <c r="S1174">
        <v>215</v>
      </c>
      <c r="T1174">
        <v>2</v>
      </c>
    </row>
    <row r="1175" spans="18:20" x14ac:dyDescent="0.25">
      <c r="R1175">
        <v>37</v>
      </c>
      <c r="S1175">
        <v>256</v>
      </c>
      <c r="T1175">
        <v>2</v>
      </c>
    </row>
    <row r="1176" spans="18:20" x14ac:dyDescent="0.25">
      <c r="R1176">
        <v>37</v>
      </c>
      <c r="S1176">
        <v>260</v>
      </c>
      <c r="T1176">
        <v>3</v>
      </c>
    </row>
    <row r="1177" spans="18:20" x14ac:dyDescent="0.25">
      <c r="R1177">
        <v>37</v>
      </c>
      <c r="S1177">
        <v>267</v>
      </c>
      <c r="T1177">
        <v>4</v>
      </c>
    </row>
    <row r="1178" spans="18:20" x14ac:dyDescent="0.25">
      <c r="R1178">
        <v>37</v>
      </c>
      <c r="S1178">
        <v>287</v>
      </c>
      <c r="T1178">
        <v>5</v>
      </c>
    </row>
    <row r="1179" spans="18:20" x14ac:dyDescent="0.25">
      <c r="R1179">
        <v>37</v>
      </c>
      <c r="S1179">
        <v>300</v>
      </c>
      <c r="T1179">
        <v>5</v>
      </c>
    </row>
    <row r="1180" spans="18:20" x14ac:dyDescent="0.25">
      <c r="R1180">
        <v>37</v>
      </c>
      <c r="S1180">
        <v>311</v>
      </c>
      <c r="T1180">
        <v>2</v>
      </c>
    </row>
    <row r="1181" spans="18:20" x14ac:dyDescent="0.25">
      <c r="R1181">
        <v>37</v>
      </c>
      <c r="S1181">
        <v>315</v>
      </c>
      <c r="T1181">
        <v>2</v>
      </c>
    </row>
    <row r="1182" spans="18:20" x14ac:dyDescent="0.25">
      <c r="R1182">
        <v>37</v>
      </c>
      <c r="S1182">
        <v>323</v>
      </c>
      <c r="T1182">
        <v>4</v>
      </c>
    </row>
    <row r="1183" spans="18:20" x14ac:dyDescent="0.25">
      <c r="R1183">
        <v>37</v>
      </c>
      <c r="S1183">
        <v>325</v>
      </c>
      <c r="T1183">
        <v>3</v>
      </c>
    </row>
    <row r="1184" spans="18:20" x14ac:dyDescent="0.25">
      <c r="R1184">
        <v>37</v>
      </c>
      <c r="S1184">
        <v>329</v>
      </c>
      <c r="T1184">
        <v>3</v>
      </c>
    </row>
    <row r="1185" spans="18:20" x14ac:dyDescent="0.25">
      <c r="R1185">
        <v>37</v>
      </c>
      <c r="S1185">
        <v>343</v>
      </c>
      <c r="T1185">
        <v>5</v>
      </c>
    </row>
    <row r="1186" spans="18:20" x14ac:dyDescent="0.25">
      <c r="R1186">
        <v>37</v>
      </c>
      <c r="S1186">
        <v>365</v>
      </c>
      <c r="T1186">
        <v>2</v>
      </c>
    </row>
    <row r="1187" spans="18:20" x14ac:dyDescent="0.25">
      <c r="R1187">
        <v>37</v>
      </c>
      <c r="S1187">
        <v>366</v>
      </c>
      <c r="T1187">
        <v>3</v>
      </c>
    </row>
    <row r="1188" spans="18:20" x14ac:dyDescent="0.25">
      <c r="R1188">
        <v>37</v>
      </c>
      <c r="S1188">
        <v>370</v>
      </c>
      <c r="T1188">
        <v>2</v>
      </c>
    </row>
    <row r="1189" spans="18:20" x14ac:dyDescent="0.25">
      <c r="R1189">
        <v>37</v>
      </c>
      <c r="S1189">
        <v>377</v>
      </c>
      <c r="T1189">
        <v>2</v>
      </c>
    </row>
    <row r="1190" spans="18:20" x14ac:dyDescent="0.25">
      <c r="R1190">
        <v>37</v>
      </c>
      <c r="S1190">
        <v>384</v>
      </c>
      <c r="T1190">
        <v>4</v>
      </c>
    </row>
    <row r="1191" spans="18:20" x14ac:dyDescent="0.25">
      <c r="R1191">
        <v>37</v>
      </c>
      <c r="S1191">
        <v>395</v>
      </c>
      <c r="T1191">
        <v>3</v>
      </c>
    </row>
    <row r="1192" spans="18:20" x14ac:dyDescent="0.25">
      <c r="R1192">
        <v>37</v>
      </c>
      <c r="S1192">
        <v>403</v>
      </c>
      <c r="T1192">
        <v>3</v>
      </c>
    </row>
    <row r="1193" spans="18:20" x14ac:dyDescent="0.25">
      <c r="R1193">
        <v>37</v>
      </c>
      <c r="S1193">
        <v>412</v>
      </c>
      <c r="T1193">
        <v>3</v>
      </c>
    </row>
    <row r="1194" spans="18:20" x14ac:dyDescent="0.25">
      <c r="R1194">
        <v>37</v>
      </c>
      <c r="S1194">
        <v>432</v>
      </c>
      <c r="T1194">
        <v>4</v>
      </c>
    </row>
    <row r="1195" spans="18:20" x14ac:dyDescent="0.25">
      <c r="R1195">
        <v>38</v>
      </c>
      <c r="S1195">
        <v>1</v>
      </c>
      <c r="T1195">
        <v>2</v>
      </c>
    </row>
    <row r="1196" spans="18:20" x14ac:dyDescent="0.25">
      <c r="R1196">
        <v>38</v>
      </c>
      <c r="S1196">
        <v>4</v>
      </c>
      <c r="T1196">
        <v>4</v>
      </c>
    </row>
    <row r="1197" spans="18:20" x14ac:dyDescent="0.25">
      <c r="R1197">
        <v>38</v>
      </c>
      <c r="S1197">
        <v>17</v>
      </c>
      <c r="T1197">
        <v>3</v>
      </c>
    </row>
    <row r="1198" spans="18:20" x14ac:dyDescent="0.25">
      <c r="R1198">
        <v>38</v>
      </c>
      <c r="S1198">
        <v>40</v>
      </c>
      <c r="T1198">
        <v>2</v>
      </c>
    </row>
    <row r="1199" spans="18:20" x14ac:dyDescent="0.25">
      <c r="R1199">
        <v>38</v>
      </c>
      <c r="S1199">
        <v>40</v>
      </c>
      <c r="T1199">
        <v>5</v>
      </c>
    </row>
    <row r="1200" spans="18:20" x14ac:dyDescent="0.25">
      <c r="R1200">
        <v>38</v>
      </c>
      <c r="S1200">
        <v>41</v>
      </c>
      <c r="T1200">
        <v>2</v>
      </c>
    </row>
    <row r="1201" spans="18:20" x14ac:dyDescent="0.25">
      <c r="R1201">
        <v>38</v>
      </c>
      <c r="S1201">
        <v>53</v>
      </c>
      <c r="T1201">
        <v>5</v>
      </c>
    </row>
    <row r="1202" spans="18:20" x14ac:dyDescent="0.25">
      <c r="R1202">
        <v>38</v>
      </c>
      <c r="S1202">
        <v>58</v>
      </c>
      <c r="T1202">
        <v>2</v>
      </c>
    </row>
    <row r="1203" spans="18:20" x14ac:dyDescent="0.25">
      <c r="R1203">
        <v>38</v>
      </c>
      <c r="S1203">
        <v>69</v>
      </c>
      <c r="T1203">
        <v>5</v>
      </c>
    </row>
    <row r="1204" spans="18:20" x14ac:dyDescent="0.25">
      <c r="R1204">
        <v>38</v>
      </c>
      <c r="S1204">
        <v>86</v>
      </c>
      <c r="T1204">
        <v>4</v>
      </c>
    </row>
    <row r="1205" spans="18:20" x14ac:dyDescent="0.25">
      <c r="R1205">
        <v>38</v>
      </c>
      <c r="S1205">
        <v>117</v>
      </c>
      <c r="T1205">
        <v>5</v>
      </c>
    </row>
    <row r="1206" spans="18:20" x14ac:dyDescent="0.25">
      <c r="R1206">
        <v>38</v>
      </c>
      <c r="S1206">
        <v>118</v>
      </c>
      <c r="T1206">
        <v>4</v>
      </c>
    </row>
    <row r="1207" spans="18:20" x14ac:dyDescent="0.25">
      <c r="R1207">
        <v>38</v>
      </c>
      <c r="S1207">
        <v>132</v>
      </c>
      <c r="T1207">
        <v>5</v>
      </c>
    </row>
    <row r="1208" spans="18:20" x14ac:dyDescent="0.25">
      <c r="R1208">
        <v>38</v>
      </c>
      <c r="S1208">
        <v>155</v>
      </c>
      <c r="T1208">
        <v>3</v>
      </c>
    </row>
    <row r="1209" spans="18:20" x14ac:dyDescent="0.25">
      <c r="R1209">
        <v>38</v>
      </c>
      <c r="S1209">
        <v>173</v>
      </c>
      <c r="T1209">
        <v>2</v>
      </c>
    </row>
    <row r="1210" spans="18:20" x14ac:dyDescent="0.25">
      <c r="R1210">
        <v>38</v>
      </c>
      <c r="S1210">
        <v>195</v>
      </c>
      <c r="T1210">
        <v>4</v>
      </c>
    </row>
    <row r="1211" spans="18:20" x14ac:dyDescent="0.25">
      <c r="R1211">
        <v>38</v>
      </c>
      <c r="S1211">
        <v>202</v>
      </c>
      <c r="T1211">
        <v>3</v>
      </c>
    </row>
    <row r="1212" spans="18:20" x14ac:dyDescent="0.25">
      <c r="R1212">
        <v>38</v>
      </c>
      <c r="S1212">
        <v>208</v>
      </c>
      <c r="T1212">
        <v>5</v>
      </c>
    </row>
    <row r="1213" spans="18:20" x14ac:dyDescent="0.25">
      <c r="R1213">
        <v>38</v>
      </c>
      <c r="S1213">
        <v>215</v>
      </c>
      <c r="T1213">
        <v>5</v>
      </c>
    </row>
    <row r="1214" spans="18:20" x14ac:dyDescent="0.25">
      <c r="R1214">
        <v>38</v>
      </c>
      <c r="S1214">
        <v>215</v>
      </c>
      <c r="T1214">
        <v>4</v>
      </c>
    </row>
    <row r="1215" spans="18:20" x14ac:dyDescent="0.25">
      <c r="R1215">
        <v>38</v>
      </c>
      <c r="S1215">
        <v>224</v>
      </c>
      <c r="T1215">
        <v>5</v>
      </c>
    </row>
    <row r="1216" spans="18:20" x14ac:dyDescent="0.25">
      <c r="R1216">
        <v>38</v>
      </c>
      <c r="S1216">
        <v>225</v>
      </c>
      <c r="T1216">
        <v>3</v>
      </c>
    </row>
    <row r="1217" spans="18:20" x14ac:dyDescent="0.25">
      <c r="R1217">
        <v>38</v>
      </c>
      <c r="S1217">
        <v>227</v>
      </c>
      <c r="T1217">
        <v>3</v>
      </c>
    </row>
    <row r="1218" spans="18:20" x14ac:dyDescent="0.25">
      <c r="R1218">
        <v>38</v>
      </c>
      <c r="S1218">
        <v>236</v>
      </c>
      <c r="T1218">
        <v>2</v>
      </c>
    </row>
    <row r="1219" spans="18:20" x14ac:dyDescent="0.25">
      <c r="R1219">
        <v>38</v>
      </c>
      <c r="S1219">
        <v>237</v>
      </c>
      <c r="T1219">
        <v>4</v>
      </c>
    </row>
    <row r="1220" spans="18:20" x14ac:dyDescent="0.25">
      <c r="R1220">
        <v>38</v>
      </c>
      <c r="S1220">
        <v>264</v>
      </c>
      <c r="T1220">
        <v>3</v>
      </c>
    </row>
    <row r="1221" spans="18:20" x14ac:dyDescent="0.25">
      <c r="R1221">
        <v>38</v>
      </c>
      <c r="S1221">
        <v>265</v>
      </c>
      <c r="T1221">
        <v>4</v>
      </c>
    </row>
    <row r="1222" spans="18:20" x14ac:dyDescent="0.25">
      <c r="R1222">
        <v>38</v>
      </c>
      <c r="S1222">
        <v>269</v>
      </c>
      <c r="T1222">
        <v>3</v>
      </c>
    </row>
    <row r="1223" spans="18:20" x14ac:dyDescent="0.25">
      <c r="R1223">
        <v>38</v>
      </c>
      <c r="S1223">
        <v>274</v>
      </c>
      <c r="T1223">
        <v>2</v>
      </c>
    </row>
    <row r="1224" spans="18:20" x14ac:dyDescent="0.25">
      <c r="R1224">
        <v>38</v>
      </c>
      <c r="S1224">
        <v>285</v>
      </c>
      <c r="T1224">
        <v>2</v>
      </c>
    </row>
    <row r="1225" spans="18:20" x14ac:dyDescent="0.25">
      <c r="R1225">
        <v>38</v>
      </c>
      <c r="S1225">
        <v>290</v>
      </c>
      <c r="T1225">
        <v>2</v>
      </c>
    </row>
    <row r="1226" spans="18:20" x14ac:dyDescent="0.25">
      <c r="R1226">
        <v>38</v>
      </c>
      <c r="S1226">
        <v>298</v>
      </c>
      <c r="T1226">
        <v>3</v>
      </c>
    </row>
    <row r="1227" spans="18:20" x14ac:dyDescent="0.25">
      <c r="R1227">
        <v>38</v>
      </c>
      <c r="S1227">
        <v>325</v>
      </c>
      <c r="T1227">
        <v>5</v>
      </c>
    </row>
    <row r="1228" spans="18:20" x14ac:dyDescent="0.25">
      <c r="R1228">
        <v>38</v>
      </c>
      <c r="S1228">
        <v>348</v>
      </c>
      <c r="T1228">
        <v>4</v>
      </c>
    </row>
    <row r="1229" spans="18:20" x14ac:dyDescent="0.25">
      <c r="R1229">
        <v>38</v>
      </c>
      <c r="S1229">
        <v>353</v>
      </c>
      <c r="T1229">
        <v>5</v>
      </c>
    </row>
    <row r="1230" spans="18:20" x14ac:dyDescent="0.25">
      <c r="R1230">
        <v>38</v>
      </c>
      <c r="S1230">
        <v>363</v>
      </c>
      <c r="T1230">
        <v>3</v>
      </c>
    </row>
    <row r="1231" spans="18:20" x14ac:dyDescent="0.25">
      <c r="R1231">
        <v>38</v>
      </c>
      <c r="S1231">
        <v>364</v>
      </c>
      <c r="T1231">
        <v>5</v>
      </c>
    </row>
    <row r="1232" spans="18:20" x14ac:dyDescent="0.25">
      <c r="R1232">
        <v>38</v>
      </c>
      <c r="S1232">
        <v>384</v>
      </c>
      <c r="T1232">
        <v>2</v>
      </c>
    </row>
    <row r="1233" spans="18:20" x14ac:dyDescent="0.25">
      <c r="R1233">
        <v>38</v>
      </c>
      <c r="S1233">
        <v>400</v>
      </c>
      <c r="T1233">
        <v>5</v>
      </c>
    </row>
    <row r="1234" spans="18:20" x14ac:dyDescent="0.25">
      <c r="R1234">
        <v>38</v>
      </c>
      <c r="S1234">
        <v>410</v>
      </c>
      <c r="T1234">
        <v>5</v>
      </c>
    </row>
    <row r="1235" spans="18:20" x14ac:dyDescent="0.25">
      <c r="R1235">
        <v>39</v>
      </c>
      <c r="S1235">
        <v>36</v>
      </c>
      <c r="T1235">
        <v>5</v>
      </c>
    </row>
    <row r="1236" spans="18:20" x14ac:dyDescent="0.25">
      <c r="R1236">
        <v>39</v>
      </c>
      <c r="S1236">
        <v>55</v>
      </c>
      <c r="T1236">
        <v>4</v>
      </c>
    </row>
    <row r="1237" spans="18:20" x14ac:dyDescent="0.25">
      <c r="R1237">
        <v>39</v>
      </c>
      <c r="S1237">
        <v>85</v>
      </c>
      <c r="T1237">
        <v>5</v>
      </c>
    </row>
    <row r="1238" spans="18:20" x14ac:dyDescent="0.25">
      <c r="R1238">
        <v>39</v>
      </c>
      <c r="S1238">
        <v>93</v>
      </c>
      <c r="T1238">
        <v>4</v>
      </c>
    </row>
    <row r="1239" spans="18:20" x14ac:dyDescent="0.25">
      <c r="R1239">
        <v>39</v>
      </c>
      <c r="S1239">
        <v>98</v>
      </c>
      <c r="T1239">
        <v>4</v>
      </c>
    </row>
    <row r="1240" spans="18:20" x14ac:dyDescent="0.25">
      <c r="R1240">
        <v>39</v>
      </c>
      <c r="S1240">
        <v>110</v>
      </c>
      <c r="T1240">
        <v>4</v>
      </c>
    </row>
    <row r="1241" spans="18:20" x14ac:dyDescent="0.25">
      <c r="R1241">
        <v>39</v>
      </c>
      <c r="S1241">
        <v>167</v>
      </c>
      <c r="T1241">
        <v>3</v>
      </c>
    </row>
    <row r="1242" spans="18:20" x14ac:dyDescent="0.25">
      <c r="R1242">
        <v>39</v>
      </c>
      <c r="S1242">
        <v>208</v>
      </c>
      <c r="T1242">
        <v>3</v>
      </c>
    </row>
    <row r="1243" spans="18:20" x14ac:dyDescent="0.25">
      <c r="R1243">
        <v>39</v>
      </c>
      <c r="S1243">
        <v>218</v>
      </c>
      <c r="T1243">
        <v>5</v>
      </c>
    </row>
    <row r="1244" spans="18:20" x14ac:dyDescent="0.25">
      <c r="R1244">
        <v>39</v>
      </c>
      <c r="S1244">
        <v>220</v>
      </c>
      <c r="T1244">
        <v>4</v>
      </c>
    </row>
    <row r="1245" spans="18:20" x14ac:dyDescent="0.25">
      <c r="R1245">
        <v>39</v>
      </c>
      <c r="S1245">
        <v>241</v>
      </c>
      <c r="T1245">
        <v>4</v>
      </c>
    </row>
    <row r="1246" spans="18:20" x14ac:dyDescent="0.25">
      <c r="R1246">
        <v>39</v>
      </c>
      <c r="S1246">
        <v>254</v>
      </c>
      <c r="T1246">
        <v>4</v>
      </c>
    </row>
    <row r="1247" spans="18:20" x14ac:dyDescent="0.25">
      <c r="R1247">
        <v>39</v>
      </c>
      <c r="S1247">
        <v>260</v>
      </c>
      <c r="T1247">
        <v>3</v>
      </c>
    </row>
    <row r="1248" spans="18:20" x14ac:dyDescent="0.25">
      <c r="R1248">
        <v>39</v>
      </c>
      <c r="S1248">
        <v>269</v>
      </c>
      <c r="T1248">
        <v>3</v>
      </c>
    </row>
    <row r="1249" spans="18:20" x14ac:dyDescent="0.25">
      <c r="R1249">
        <v>39</v>
      </c>
      <c r="S1249">
        <v>305</v>
      </c>
      <c r="T1249">
        <v>5</v>
      </c>
    </row>
    <row r="1250" spans="18:20" x14ac:dyDescent="0.25">
      <c r="R1250">
        <v>39</v>
      </c>
      <c r="S1250">
        <v>318</v>
      </c>
      <c r="T1250">
        <v>2</v>
      </c>
    </row>
    <row r="1251" spans="18:20" x14ac:dyDescent="0.25">
      <c r="R1251">
        <v>39</v>
      </c>
      <c r="S1251">
        <v>321</v>
      </c>
      <c r="T1251">
        <v>4</v>
      </c>
    </row>
    <row r="1252" spans="18:20" x14ac:dyDescent="0.25">
      <c r="R1252">
        <v>39</v>
      </c>
      <c r="S1252">
        <v>339</v>
      </c>
      <c r="T1252">
        <v>3</v>
      </c>
    </row>
    <row r="1253" spans="18:20" x14ac:dyDescent="0.25">
      <c r="R1253">
        <v>39</v>
      </c>
      <c r="S1253">
        <v>355</v>
      </c>
      <c r="T1253">
        <v>4</v>
      </c>
    </row>
    <row r="1254" spans="18:20" x14ac:dyDescent="0.25">
      <c r="R1254">
        <v>39</v>
      </c>
      <c r="S1254">
        <v>359</v>
      </c>
      <c r="T1254">
        <v>4</v>
      </c>
    </row>
    <row r="1255" spans="18:20" x14ac:dyDescent="0.25">
      <c r="R1255">
        <v>39</v>
      </c>
      <c r="S1255">
        <v>359</v>
      </c>
      <c r="T1255">
        <v>3</v>
      </c>
    </row>
    <row r="1256" spans="18:20" x14ac:dyDescent="0.25">
      <c r="R1256">
        <v>39</v>
      </c>
      <c r="S1256">
        <v>361</v>
      </c>
      <c r="T1256">
        <v>3</v>
      </c>
    </row>
    <row r="1257" spans="18:20" x14ac:dyDescent="0.25">
      <c r="R1257">
        <v>39</v>
      </c>
      <c r="S1257">
        <v>365</v>
      </c>
      <c r="T1257">
        <v>4</v>
      </c>
    </row>
    <row r="1258" spans="18:20" x14ac:dyDescent="0.25">
      <c r="R1258">
        <v>39</v>
      </c>
      <c r="S1258">
        <v>370</v>
      </c>
      <c r="T1258">
        <v>4</v>
      </c>
    </row>
    <row r="1259" spans="18:20" x14ac:dyDescent="0.25">
      <c r="R1259">
        <v>39</v>
      </c>
      <c r="S1259">
        <v>385</v>
      </c>
      <c r="T1259">
        <v>2</v>
      </c>
    </row>
    <row r="1260" spans="18:20" x14ac:dyDescent="0.25">
      <c r="R1260">
        <v>39</v>
      </c>
      <c r="S1260">
        <v>407</v>
      </c>
      <c r="T1260">
        <v>4</v>
      </c>
    </row>
    <row r="1261" spans="18:20" x14ac:dyDescent="0.25">
      <c r="R1261">
        <v>40</v>
      </c>
      <c r="S1261">
        <v>21</v>
      </c>
      <c r="T1261">
        <v>4</v>
      </c>
    </row>
    <row r="1262" spans="18:20" x14ac:dyDescent="0.25">
      <c r="R1262">
        <v>40</v>
      </c>
      <c r="S1262">
        <v>24</v>
      </c>
      <c r="T1262">
        <v>5</v>
      </c>
    </row>
    <row r="1263" spans="18:20" x14ac:dyDescent="0.25">
      <c r="R1263">
        <v>40</v>
      </c>
      <c r="S1263">
        <v>37</v>
      </c>
      <c r="T1263">
        <v>4</v>
      </c>
    </row>
    <row r="1264" spans="18:20" x14ac:dyDescent="0.25">
      <c r="R1264">
        <v>40</v>
      </c>
      <c r="S1264">
        <v>37</v>
      </c>
      <c r="T1264">
        <v>4</v>
      </c>
    </row>
    <row r="1265" spans="18:20" x14ac:dyDescent="0.25">
      <c r="R1265">
        <v>40</v>
      </c>
      <c r="S1265">
        <v>49</v>
      </c>
      <c r="T1265">
        <v>5</v>
      </c>
    </row>
    <row r="1266" spans="18:20" x14ac:dyDescent="0.25">
      <c r="R1266">
        <v>40</v>
      </c>
      <c r="S1266">
        <v>59</v>
      </c>
      <c r="T1266">
        <v>5</v>
      </c>
    </row>
    <row r="1267" spans="18:20" x14ac:dyDescent="0.25">
      <c r="R1267">
        <v>40</v>
      </c>
      <c r="S1267">
        <v>62</v>
      </c>
      <c r="T1267">
        <v>5</v>
      </c>
    </row>
    <row r="1268" spans="18:20" x14ac:dyDescent="0.25">
      <c r="R1268">
        <v>40</v>
      </c>
      <c r="S1268">
        <v>63</v>
      </c>
      <c r="T1268">
        <v>4</v>
      </c>
    </row>
    <row r="1269" spans="18:20" x14ac:dyDescent="0.25">
      <c r="R1269">
        <v>40</v>
      </c>
      <c r="S1269">
        <v>82</v>
      </c>
      <c r="T1269">
        <v>3</v>
      </c>
    </row>
    <row r="1270" spans="18:20" x14ac:dyDescent="0.25">
      <c r="R1270">
        <v>40</v>
      </c>
      <c r="S1270">
        <v>86</v>
      </c>
      <c r="T1270">
        <v>2</v>
      </c>
    </row>
    <row r="1271" spans="18:20" x14ac:dyDescent="0.25">
      <c r="R1271">
        <v>40</v>
      </c>
      <c r="S1271">
        <v>87</v>
      </c>
      <c r="T1271">
        <v>2</v>
      </c>
    </row>
    <row r="1272" spans="18:20" x14ac:dyDescent="0.25">
      <c r="R1272">
        <v>40</v>
      </c>
      <c r="S1272">
        <v>91</v>
      </c>
      <c r="T1272">
        <v>3</v>
      </c>
    </row>
    <row r="1273" spans="18:20" x14ac:dyDescent="0.25">
      <c r="R1273">
        <v>40</v>
      </c>
      <c r="S1273">
        <v>99</v>
      </c>
      <c r="T1273">
        <v>3</v>
      </c>
    </row>
    <row r="1274" spans="18:20" x14ac:dyDescent="0.25">
      <c r="R1274">
        <v>40</v>
      </c>
      <c r="S1274">
        <v>103</v>
      </c>
      <c r="T1274">
        <v>3</v>
      </c>
    </row>
    <row r="1275" spans="18:20" x14ac:dyDescent="0.25">
      <c r="R1275">
        <v>40</v>
      </c>
      <c r="S1275">
        <v>106</v>
      </c>
      <c r="T1275">
        <v>4</v>
      </c>
    </row>
    <row r="1276" spans="18:20" x14ac:dyDescent="0.25">
      <c r="R1276">
        <v>40</v>
      </c>
      <c r="S1276">
        <v>159</v>
      </c>
      <c r="T1276">
        <v>4</v>
      </c>
    </row>
    <row r="1277" spans="18:20" x14ac:dyDescent="0.25">
      <c r="R1277">
        <v>40</v>
      </c>
      <c r="S1277">
        <v>174</v>
      </c>
      <c r="T1277">
        <v>4</v>
      </c>
    </row>
    <row r="1278" spans="18:20" x14ac:dyDescent="0.25">
      <c r="R1278">
        <v>40</v>
      </c>
      <c r="S1278">
        <v>178</v>
      </c>
      <c r="T1278">
        <v>2</v>
      </c>
    </row>
    <row r="1279" spans="18:20" x14ac:dyDescent="0.25">
      <c r="R1279">
        <v>40</v>
      </c>
      <c r="S1279">
        <v>179</v>
      </c>
      <c r="T1279">
        <v>3</v>
      </c>
    </row>
    <row r="1280" spans="18:20" x14ac:dyDescent="0.25">
      <c r="R1280">
        <v>40</v>
      </c>
      <c r="S1280">
        <v>184</v>
      </c>
      <c r="T1280">
        <v>3</v>
      </c>
    </row>
    <row r="1281" spans="18:20" x14ac:dyDescent="0.25">
      <c r="R1281">
        <v>40</v>
      </c>
      <c r="S1281">
        <v>185</v>
      </c>
      <c r="T1281">
        <v>4</v>
      </c>
    </row>
    <row r="1282" spans="18:20" x14ac:dyDescent="0.25">
      <c r="R1282">
        <v>40</v>
      </c>
      <c r="S1282">
        <v>189</v>
      </c>
      <c r="T1282">
        <v>5</v>
      </c>
    </row>
    <row r="1283" spans="18:20" x14ac:dyDescent="0.25">
      <c r="R1283">
        <v>40</v>
      </c>
      <c r="S1283">
        <v>192</v>
      </c>
      <c r="T1283">
        <v>2</v>
      </c>
    </row>
    <row r="1284" spans="18:20" x14ac:dyDescent="0.25">
      <c r="R1284">
        <v>40</v>
      </c>
      <c r="S1284">
        <v>196</v>
      </c>
      <c r="T1284">
        <v>2</v>
      </c>
    </row>
    <row r="1285" spans="18:20" x14ac:dyDescent="0.25">
      <c r="R1285">
        <v>40</v>
      </c>
      <c r="S1285">
        <v>196</v>
      </c>
      <c r="T1285">
        <v>4</v>
      </c>
    </row>
    <row r="1286" spans="18:20" x14ac:dyDescent="0.25">
      <c r="R1286">
        <v>40</v>
      </c>
      <c r="S1286">
        <v>197</v>
      </c>
      <c r="T1286">
        <v>5</v>
      </c>
    </row>
    <row r="1287" spans="18:20" x14ac:dyDescent="0.25">
      <c r="R1287">
        <v>40</v>
      </c>
      <c r="S1287">
        <v>203</v>
      </c>
      <c r="T1287">
        <v>4</v>
      </c>
    </row>
    <row r="1288" spans="18:20" x14ac:dyDescent="0.25">
      <c r="R1288">
        <v>40</v>
      </c>
      <c r="S1288">
        <v>211</v>
      </c>
      <c r="T1288">
        <v>3</v>
      </c>
    </row>
    <row r="1289" spans="18:20" x14ac:dyDescent="0.25">
      <c r="R1289">
        <v>40</v>
      </c>
      <c r="S1289">
        <v>211</v>
      </c>
      <c r="T1289">
        <v>2</v>
      </c>
    </row>
    <row r="1290" spans="18:20" x14ac:dyDescent="0.25">
      <c r="R1290">
        <v>40</v>
      </c>
      <c r="S1290">
        <v>214</v>
      </c>
      <c r="T1290">
        <v>3</v>
      </c>
    </row>
    <row r="1291" spans="18:20" x14ac:dyDescent="0.25">
      <c r="R1291">
        <v>40</v>
      </c>
      <c r="S1291">
        <v>215</v>
      </c>
      <c r="T1291">
        <v>5</v>
      </c>
    </row>
    <row r="1292" spans="18:20" x14ac:dyDescent="0.25">
      <c r="R1292">
        <v>40</v>
      </c>
      <c r="S1292">
        <v>216</v>
      </c>
      <c r="T1292">
        <v>2</v>
      </c>
    </row>
    <row r="1293" spans="18:20" x14ac:dyDescent="0.25">
      <c r="R1293">
        <v>40</v>
      </c>
      <c r="S1293">
        <v>247</v>
      </c>
      <c r="T1293">
        <v>3</v>
      </c>
    </row>
    <row r="1294" spans="18:20" x14ac:dyDescent="0.25">
      <c r="R1294">
        <v>40</v>
      </c>
      <c r="S1294">
        <v>252</v>
      </c>
      <c r="T1294">
        <v>3</v>
      </c>
    </row>
    <row r="1295" spans="18:20" x14ac:dyDescent="0.25">
      <c r="R1295">
        <v>40</v>
      </c>
      <c r="S1295">
        <v>255</v>
      </c>
      <c r="T1295">
        <v>2</v>
      </c>
    </row>
    <row r="1296" spans="18:20" x14ac:dyDescent="0.25">
      <c r="R1296">
        <v>40</v>
      </c>
      <c r="S1296">
        <v>257</v>
      </c>
      <c r="T1296">
        <v>2</v>
      </c>
    </row>
    <row r="1297" spans="18:20" x14ac:dyDescent="0.25">
      <c r="R1297">
        <v>40</v>
      </c>
      <c r="S1297">
        <v>284</v>
      </c>
      <c r="T1297">
        <v>3</v>
      </c>
    </row>
    <row r="1298" spans="18:20" x14ac:dyDescent="0.25">
      <c r="R1298">
        <v>40</v>
      </c>
      <c r="S1298">
        <v>298</v>
      </c>
      <c r="T1298">
        <v>5</v>
      </c>
    </row>
    <row r="1299" spans="18:20" x14ac:dyDescent="0.25">
      <c r="R1299">
        <v>40</v>
      </c>
      <c r="S1299">
        <v>331</v>
      </c>
      <c r="T1299">
        <v>5</v>
      </c>
    </row>
    <row r="1300" spans="18:20" x14ac:dyDescent="0.25">
      <c r="R1300">
        <v>40</v>
      </c>
      <c r="S1300">
        <v>332</v>
      </c>
      <c r="T1300">
        <v>2</v>
      </c>
    </row>
    <row r="1301" spans="18:20" x14ac:dyDescent="0.25">
      <c r="R1301">
        <v>40</v>
      </c>
      <c r="S1301">
        <v>348</v>
      </c>
      <c r="T1301">
        <v>2</v>
      </c>
    </row>
    <row r="1302" spans="18:20" x14ac:dyDescent="0.25">
      <c r="R1302">
        <v>40</v>
      </c>
      <c r="S1302">
        <v>357</v>
      </c>
      <c r="T1302">
        <v>2</v>
      </c>
    </row>
    <row r="1303" spans="18:20" x14ac:dyDescent="0.25">
      <c r="R1303">
        <v>40</v>
      </c>
      <c r="S1303">
        <v>370</v>
      </c>
      <c r="T1303">
        <v>3</v>
      </c>
    </row>
    <row r="1304" spans="18:20" x14ac:dyDescent="0.25">
      <c r="R1304">
        <v>40</v>
      </c>
      <c r="S1304">
        <v>396</v>
      </c>
      <c r="T1304">
        <v>3</v>
      </c>
    </row>
    <row r="1305" spans="18:20" x14ac:dyDescent="0.25">
      <c r="R1305">
        <v>40</v>
      </c>
      <c r="S1305">
        <v>401</v>
      </c>
      <c r="T1305">
        <v>4</v>
      </c>
    </row>
    <row r="1306" spans="18:20" x14ac:dyDescent="0.25">
      <c r="R1306">
        <v>40</v>
      </c>
      <c r="S1306">
        <v>409</v>
      </c>
      <c r="T1306">
        <v>5</v>
      </c>
    </row>
    <row r="1307" spans="18:20" x14ac:dyDescent="0.25">
      <c r="R1307">
        <v>40</v>
      </c>
      <c r="S1307">
        <v>433</v>
      </c>
      <c r="T1307">
        <v>4</v>
      </c>
    </row>
    <row r="1308" spans="18:20" x14ac:dyDescent="0.25">
      <c r="R1308">
        <v>41</v>
      </c>
      <c r="S1308">
        <v>45</v>
      </c>
      <c r="T1308">
        <v>4</v>
      </c>
    </row>
    <row r="1309" spans="18:20" x14ac:dyDescent="0.25">
      <c r="R1309">
        <v>41</v>
      </c>
      <c r="S1309">
        <v>63</v>
      </c>
      <c r="T1309">
        <v>2</v>
      </c>
    </row>
    <row r="1310" spans="18:20" x14ac:dyDescent="0.25">
      <c r="R1310">
        <v>41</v>
      </c>
      <c r="S1310">
        <v>67</v>
      </c>
      <c r="T1310">
        <v>4</v>
      </c>
    </row>
    <row r="1311" spans="18:20" x14ac:dyDescent="0.25">
      <c r="R1311">
        <v>41</v>
      </c>
      <c r="S1311">
        <v>88</v>
      </c>
      <c r="T1311">
        <v>4</v>
      </c>
    </row>
    <row r="1312" spans="18:20" x14ac:dyDescent="0.25">
      <c r="R1312">
        <v>41</v>
      </c>
      <c r="S1312">
        <v>99</v>
      </c>
      <c r="T1312">
        <v>2</v>
      </c>
    </row>
    <row r="1313" spans="18:20" x14ac:dyDescent="0.25">
      <c r="R1313">
        <v>41</v>
      </c>
      <c r="S1313">
        <v>148</v>
      </c>
      <c r="T1313">
        <v>4</v>
      </c>
    </row>
    <row r="1314" spans="18:20" x14ac:dyDescent="0.25">
      <c r="R1314">
        <v>41</v>
      </c>
      <c r="S1314">
        <v>162</v>
      </c>
      <c r="T1314">
        <v>4</v>
      </c>
    </row>
    <row r="1315" spans="18:20" x14ac:dyDescent="0.25">
      <c r="R1315">
        <v>41</v>
      </c>
      <c r="S1315">
        <v>175</v>
      </c>
      <c r="T1315">
        <v>3</v>
      </c>
    </row>
    <row r="1316" spans="18:20" x14ac:dyDescent="0.25">
      <c r="R1316">
        <v>41</v>
      </c>
      <c r="S1316">
        <v>187</v>
      </c>
      <c r="T1316">
        <v>2</v>
      </c>
    </row>
    <row r="1317" spans="18:20" x14ac:dyDescent="0.25">
      <c r="R1317">
        <v>41</v>
      </c>
      <c r="S1317">
        <v>193</v>
      </c>
      <c r="T1317">
        <v>3</v>
      </c>
    </row>
    <row r="1318" spans="18:20" x14ac:dyDescent="0.25">
      <c r="R1318">
        <v>41</v>
      </c>
      <c r="S1318">
        <v>203</v>
      </c>
      <c r="T1318">
        <v>2</v>
      </c>
    </row>
    <row r="1319" spans="18:20" x14ac:dyDescent="0.25">
      <c r="R1319">
        <v>41</v>
      </c>
      <c r="S1319">
        <v>308</v>
      </c>
      <c r="T1319">
        <v>4</v>
      </c>
    </row>
    <row r="1320" spans="18:20" x14ac:dyDescent="0.25">
      <c r="R1320">
        <v>41</v>
      </c>
      <c r="S1320">
        <v>323</v>
      </c>
      <c r="T1320">
        <v>2</v>
      </c>
    </row>
    <row r="1321" spans="18:20" x14ac:dyDescent="0.25">
      <c r="R1321">
        <v>41</v>
      </c>
      <c r="S1321">
        <v>334</v>
      </c>
      <c r="T1321">
        <v>5</v>
      </c>
    </row>
    <row r="1322" spans="18:20" x14ac:dyDescent="0.25">
      <c r="R1322">
        <v>41</v>
      </c>
      <c r="S1322">
        <v>335</v>
      </c>
      <c r="T1322">
        <v>2</v>
      </c>
    </row>
    <row r="1323" spans="18:20" x14ac:dyDescent="0.25">
      <c r="R1323">
        <v>41</v>
      </c>
      <c r="S1323">
        <v>350</v>
      </c>
      <c r="T1323">
        <v>2</v>
      </c>
    </row>
    <row r="1324" spans="18:20" x14ac:dyDescent="0.25">
      <c r="R1324">
        <v>41</v>
      </c>
      <c r="S1324">
        <v>362</v>
      </c>
      <c r="T1324">
        <v>2</v>
      </c>
    </row>
    <row r="1325" spans="18:20" x14ac:dyDescent="0.25">
      <c r="R1325">
        <v>41</v>
      </c>
      <c r="S1325">
        <v>373</v>
      </c>
      <c r="T1325">
        <v>4</v>
      </c>
    </row>
    <row r="1326" spans="18:20" x14ac:dyDescent="0.25">
      <c r="R1326">
        <v>41</v>
      </c>
      <c r="S1326">
        <v>378</v>
      </c>
      <c r="T1326">
        <v>4</v>
      </c>
    </row>
    <row r="1327" spans="18:20" x14ac:dyDescent="0.25">
      <c r="R1327">
        <v>41</v>
      </c>
      <c r="S1327">
        <v>383</v>
      </c>
      <c r="T1327">
        <v>2</v>
      </c>
    </row>
    <row r="1328" spans="18:20" x14ac:dyDescent="0.25">
      <c r="R1328">
        <v>41</v>
      </c>
      <c r="S1328">
        <v>390</v>
      </c>
      <c r="T1328">
        <v>5</v>
      </c>
    </row>
    <row r="1329" spans="18:20" x14ac:dyDescent="0.25">
      <c r="R1329">
        <v>41</v>
      </c>
      <c r="S1329">
        <v>395</v>
      </c>
      <c r="T1329">
        <v>3</v>
      </c>
    </row>
    <row r="1330" spans="18:20" x14ac:dyDescent="0.25">
      <c r="R1330">
        <v>41</v>
      </c>
      <c r="S1330">
        <v>426</v>
      </c>
      <c r="T1330">
        <v>4</v>
      </c>
    </row>
    <row r="1331" spans="18:20" x14ac:dyDescent="0.25">
      <c r="R1331">
        <v>41</v>
      </c>
      <c r="S1331">
        <v>431</v>
      </c>
      <c r="T1331">
        <v>5</v>
      </c>
    </row>
    <row r="1332" spans="18:20" x14ac:dyDescent="0.25">
      <c r="R1332">
        <v>42</v>
      </c>
      <c r="S1332">
        <v>27</v>
      </c>
      <c r="T1332">
        <v>3</v>
      </c>
    </row>
    <row r="1333" spans="18:20" x14ac:dyDescent="0.25">
      <c r="R1333">
        <v>42</v>
      </c>
      <c r="S1333">
        <v>44</v>
      </c>
      <c r="T1333">
        <v>4</v>
      </c>
    </row>
    <row r="1334" spans="18:20" x14ac:dyDescent="0.25">
      <c r="R1334">
        <v>42</v>
      </c>
      <c r="S1334">
        <v>48</v>
      </c>
      <c r="T1334">
        <v>3</v>
      </c>
    </row>
    <row r="1335" spans="18:20" x14ac:dyDescent="0.25">
      <c r="R1335">
        <v>42</v>
      </c>
      <c r="S1335">
        <v>84</v>
      </c>
      <c r="T1335">
        <v>2</v>
      </c>
    </row>
    <row r="1336" spans="18:20" x14ac:dyDescent="0.25">
      <c r="R1336">
        <v>42</v>
      </c>
      <c r="S1336">
        <v>102</v>
      </c>
      <c r="T1336">
        <v>5</v>
      </c>
    </row>
    <row r="1337" spans="18:20" x14ac:dyDescent="0.25">
      <c r="R1337">
        <v>42</v>
      </c>
      <c r="S1337">
        <v>103</v>
      </c>
      <c r="T1337">
        <v>4</v>
      </c>
    </row>
    <row r="1338" spans="18:20" x14ac:dyDescent="0.25">
      <c r="R1338">
        <v>42</v>
      </c>
      <c r="S1338">
        <v>107</v>
      </c>
      <c r="T1338">
        <v>5</v>
      </c>
    </row>
    <row r="1339" spans="18:20" x14ac:dyDescent="0.25">
      <c r="R1339">
        <v>42</v>
      </c>
      <c r="S1339">
        <v>180</v>
      </c>
      <c r="T1339">
        <v>5</v>
      </c>
    </row>
    <row r="1340" spans="18:20" x14ac:dyDescent="0.25">
      <c r="R1340">
        <v>42</v>
      </c>
      <c r="S1340">
        <v>185</v>
      </c>
      <c r="T1340">
        <v>5</v>
      </c>
    </row>
    <row r="1341" spans="18:20" x14ac:dyDescent="0.25">
      <c r="R1341">
        <v>42</v>
      </c>
      <c r="S1341">
        <v>202</v>
      </c>
      <c r="T1341">
        <v>3</v>
      </c>
    </row>
    <row r="1342" spans="18:20" x14ac:dyDescent="0.25">
      <c r="R1342">
        <v>42</v>
      </c>
      <c r="S1342">
        <v>215</v>
      </c>
      <c r="T1342">
        <v>5</v>
      </c>
    </row>
    <row r="1343" spans="18:20" x14ac:dyDescent="0.25">
      <c r="R1343">
        <v>42</v>
      </c>
      <c r="S1343">
        <v>239</v>
      </c>
      <c r="T1343">
        <v>2</v>
      </c>
    </row>
    <row r="1344" spans="18:20" x14ac:dyDescent="0.25">
      <c r="R1344">
        <v>42</v>
      </c>
      <c r="S1344">
        <v>265</v>
      </c>
      <c r="T1344">
        <v>2</v>
      </c>
    </row>
    <row r="1345" spans="18:20" x14ac:dyDescent="0.25">
      <c r="R1345">
        <v>42</v>
      </c>
      <c r="S1345">
        <v>267</v>
      </c>
      <c r="T1345">
        <v>3</v>
      </c>
    </row>
    <row r="1346" spans="18:20" x14ac:dyDescent="0.25">
      <c r="R1346">
        <v>42</v>
      </c>
      <c r="S1346">
        <v>274</v>
      </c>
      <c r="T1346">
        <v>5</v>
      </c>
    </row>
    <row r="1347" spans="18:20" x14ac:dyDescent="0.25">
      <c r="R1347">
        <v>42</v>
      </c>
      <c r="S1347">
        <v>281</v>
      </c>
      <c r="T1347">
        <v>4</v>
      </c>
    </row>
    <row r="1348" spans="18:20" x14ac:dyDescent="0.25">
      <c r="R1348">
        <v>42</v>
      </c>
      <c r="S1348">
        <v>298</v>
      </c>
      <c r="T1348">
        <v>2</v>
      </c>
    </row>
    <row r="1349" spans="18:20" x14ac:dyDescent="0.25">
      <c r="R1349">
        <v>42</v>
      </c>
      <c r="S1349">
        <v>300</v>
      </c>
      <c r="T1349">
        <v>2</v>
      </c>
    </row>
    <row r="1350" spans="18:20" x14ac:dyDescent="0.25">
      <c r="R1350">
        <v>42</v>
      </c>
      <c r="S1350">
        <v>306</v>
      </c>
      <c r="T1350">
        <v>5</v>
      </c>
    </row>
    <row r="1351" spans="18:20" x14ac:dyDescent="0.25">
      <c r="R1351">
        <v>42</v>
      </c>
      <c r="S1351">
        <v>310</v>
      </c>
      <c r="T1351">
        <v>2</v>
      </c>
    </row>
    <row r="1352" spans="18:20" x14ac:dyDescent="0.25">
      <c r="R1352">
        <v>42</v>
      </c>
      <c r="S1352">
        <v>310</v>
      </c>
      <c r="T1352">
        <v>3</v>
      </c>
    </row>
    <row r="1353" spans="18:20" x14ac:dyDescent="0.25">
      <c r="R1353">
        <v>42</v>
      </c>
      <c r="S1353">
        <v>323</v>
      </c>
      <c r="T1353">
        <v>2</v>
      </c>
    </row>
    <row r="1354" spans="18:20" x14ac:dyDescent="0.25">
      <c r="R1354">
        <v>42</v>
      </c>
      <c r="S1354">
        <v>340</v>
      </c>
      <c r="T1354">
        <v>2</v>
      </c>
    </row>
    <row r="1355" spans="18:20" x14ac:dyDescent="0.25">
      <c r="R1355">
        <v>42</v>
      </c>
      <c r="S1355">
        <v>342</v>
      </c>
      <c r="T1355">
        <v>4</v>
      </c>
    </row>
    <row r="1356" spans="18:20" x14ac:dyDescent="0.25">
      <c r="R1356">
        <v>42</v>
      </c>
      <c r="S1356">
        <v>372</v>
      </c>
      <c r="T1356">
        <v>3</v>
      </c>
    </row>
    <row r="1357" spans="18:20" x14ac:dyDescent="0.25">
      <c r="R1357">
        <v>42</v>
      </c>
      <c r="S1357">
        <v>376</v>
      </c>
      <c r="T1357">
        <v>2</v>
      </c>
    </row>
    <row r="1358" spans="18:20" x14ac:dyDescent="0.25">
      <c r="R1358">
        <v>42</v>
      </c>
      <c r="S1358">
        <v>385</v>
      </c>
      <c r="T1358">
        <v>2</v>
      </c>
    </row>
    <row r="1359" spans="18:20" x14ac:dyDescent="0.25">
      <c r="R1359">
        <v>42</v>
      </c>
      <c r="S1359">
        <v>390</v>
      </c>
      <c r="T1359">
        <v>5</v>
      </c>
    </row>
    <row r="1360" spans="18:20" x14ac:dyDescent="0.25">
      <c r="R1360">
        <v>42</v>
      </c>
      <c r="S1360">
        <v>420</v>
      </c>
      <c r="T1360">
        <v>3</v>
      </c>
    </row>
    <row r="1361" spans="18:20" x14ac:dyDescent="0.25">
      <c r="R1361">
        <v>42</v>
      </c>
      <c r="S1361">
        <v>422</v>
      </c>
      <c r="T1361">
        <v>3</v>
      </c>
    </row>
    <row r="1362" spans="18:20" x14ac:dyDescent="0.25">
      <c r="R1362">
        <v>43</v>
      </c>
      <c r="S1362">
        <v>2</v>
      </c>
      <c r="T1362">
        <v>3</v>
      </c>
    </row>
    <row r="1363" spans="18:20" x14ac:dyDescent="0.25">
      <c r="R1363">
        <v>43</v>
      </c>
      <c r="S1363">
        <v>6</v>
      </c>
      <c r="T1363">
        <v>3</v>
      </c>
    </row>
    <row r="1364" spans="18:20" x14ac:dyDescent="0.25">
      <c r="R1364">
        <v>43</v>
      </c>
      <c r="S1364">
        <v>26</v>
      </c>
      <c r="T1364">
        <v>2</v>
      </c>
    </row>
    <row r="1365" spans="18:20" x14ac:dyDescent="0.25">
      <c r="R1365">
        <v>43</v>
      </c>
      <c r="S1365">
        <v>52</v>
      </c>
      <c r="T1365">
        <v>5</v>
      </c>
    </row>
    <row r="1366" spans="18:20" x14ac:dyDescent="0.25">
      <c r="R1366">
        <v>43</v>
      </c>
      <c r="S1366">
        <v>53</v>
      </c>
      <c r="T1366">
        <v>5</v>
      </c>
    </row>
    <row r="1367" spans="18:20" x14ac:dyDescent="0.25">
      <c r="R1367">
        <v>43</v>
      </c>
      <c r="S1367">
        <v>58</v>
      </c>
      <c r="T1367">
        <v>5</v>
      </c>
    </row>
    <row r="1368" spans="18:20" x14ac:dyDescent="0.25">
      <c r="R1368">
        <v>43</v>
      </c>
      <c r="S1368">
        <v>82</v>
      </c>
      <c r="T1368">
        <v>3</v>
      </c>
    </row>
    <row r="1369" spans="18:20" x14ac:dyDescent="0.25">
      <c r="R1369">
        <v>43</v>
      </c>
      <c r="S1369">
        <v>85</v>
      </c>
      <c r="T1369">
        <v>4</v>
      </c>
    </row>
    <row r="1370" spans="18:20" x14ac:dyDescent="0.25">
      <c r="R1370">
        <v>43</v>
      </c>
      <c r="S1370">
        <v>86</v>
      </c>
      <c r="T1370">
        <v>5</v>
      </c>
    </row>
    <row r="1371" spans="18:20" x14ac:dyDescent="0.25">
      <c r="R1371">
        <v>43</v>
      </c>
      <c r="S1371">
        <v>89</v>
      </c>
      <c r="T1371">
        <v>5</v>
      </c>
    </row>
    <row r="1372" spans="18:20" x14ac:dyDescent="0.25">
      <c r="R1372">
        <v>43</v>
      </c>
      <c r="S1372">
        <v>91</v>
      </c>
      <c r="T1372">
        <v>5</v>
      </c>
    </row>
    <row r="1373" spans="18:20" x14ac:dyDescent="0.25">
      <c r="R1373">
        <v>43</v>
      </c>
      <c r="S1373">
        <v>99</v>
      </c>
      <c r="T1373">
        <v>4</v>
      </c>
    </row>
    <row r="1374" spans="18:20" x14ac:dyDescent="0.25">
      <c r="R1374">
        <v>43</v>
      </c>
      <c r="S1374">
        <v>167</v>
      </c>
      <c r="T1374">
        <v>4</v>
      </c>
    </row>
    <row r="1375" spans="18:20" x14ac:dyDescent="0.25">
      <c r="R1375">
        <v>43</v>
      </c>
      <c r="S1375">
        <v>201</v>
      </c>
      <c r="T1375">
        <v>3</v>
      </c>
    </row>
    <row r="1376" spans="18:20" x14ac:dyDescent="0.25">
      <c r="R1376">
        <v>43</v>
      </c>
      <c r="S1376">
        <v>204</v>
      </c>
      <c r="T1376">
        <v>2</v>
      </c>
    </row>
    <row r="1377" spans="18:20" x14ac:dyDescent="0.25">
      <c r="R1377">
        <v>43</v>
      </c>
      <c r="S1377">
        <v>205</v>
      </c>
      <c r="T1377">
        <v>3</v>
      </c>
    </row>
    <row r="1378" spans="18:20" x14ac:dyDescent="0.25">
      <c r="R1378">
        <v>43</v>
      </c>
      <c r="S1378">
        <v>234</v>
      </c>
      <c r="T1378">
        <v>4</v>
      </c>
    </row>
    <row r="1379" spans="18:20" x14ac:dyDescent="0.25">
      <c r="R1379">
        <v>43</v>
      </c>
      <c r="S1379">
        <v>279</v>
      </c>
      <c r="T1379">
        <v>5</v>
      </c>
    </row>
    <row r="1380" spans="18:20" x14ac:dyDescent="0.25">
      <c r="R1380">
        <v>43</v>
      </c>
      <c r="S1380">
        <v>282</v>
      </c>
      <c r="T1380">
        <v>2</v>
      </c>
    </row>
    <row r="1381" spans="18:20" x14ac:dyDescent="0.25">
      <c r="R1381">
        <v>43</v>
      </c>
      <c r="S1381">
        <v>315</v>
      </c>
      <c r="T1381">
        <v>2</v>
      </c>
    </row>
    <row r="1382" spans="18:20" x14ac:dyDescent="0.25">
      <c r="R1382">
        <v>43</v>
      </c>
      <c r="S1382">
        <v>321</v>
      </c>
      <c r="T1382">
        <v>2</v>
      </c>
    </row>
    <row r="1383" spans="18:20" x14ac:dyDescent="0.25">
      <c r="R1383">
        <v>43</v>
      </c>
      <c r="S1383">
        <v>329</v>
      </c>
      <c r="T1383">
        <v>2</v>
      </c>
    </row>
    <row r="1384" spans="18:20" x14ac:dyDescent="0.25">
      <c r="R1384">
        <v>43</v>
      </c>
      <c r="S1384">
        <v>365</v>
      </c>
      <c r="T1384">
        <v>2</v>
      </c>
    </row>
    <row r="1385" spans="18:20" x14ac:dyDescent="0.25">
      <c r="R1385">
        <v>43</v>
      </c>
      <c r="S1385">
        <v>374</v>
      </c>
      <c r="T1385">
        <v>5</v>
      </c>
    </row>
    <row r="1386" spans="18:20" x14ac:dyDescent="0.25">
      <c r="R1386">
        <v>43</v>
      </c>
      <c r="S1386">
        <v>386</v>
      </c>
      <c r="T1386">
        <v>5</v>
      </c>
    </row>
    <row r="1387" spans="18:20" x14ac:dyDescent="0.25">
      <c r="R1387">
        <v>43</v>
      </c>
      <c r="S1387">
        <v>393</v>
      </c>
      <c r="T1387">
        <v>2</v>
      </c>
    </row>
    <row r="1388" spans="18:20" x14ac:dyDescent="0.25">
      <c r="R1388">
        <v>43</v>
      </c>
      <c r="S1388">
        <v>395</v>
      </c>
      <c r="T1388">
        <v>4</v>
      </c>
    </row>
    <row r="1389" spans="18:20" x14ac:dyDescent="0.25">
      <c r="R1389">
        <v>43</v>
      </c>
      <c r="S1389">
        <v>405</v>
      </c>
      <c r="T1389">
        <v>3</v>
      </c>
    </row>
    <row r="1390" spans="18:20" x14ac:dyDescent="0.25">
      <c r="R1390">
        <v>43</v>
      </c>
      <c r="S1390">
        <v>409</v>
      </c>
      <c r="T1390">
        <v>3</v>
      </c>
    </row>
    <row r="1391" spans="18:20" x14ac:dyDescent="0.25">
      <c r="R1391">
        <v>43</v>
      </c>
      <c r="S1391">
        <v>414</v>
      </c>
      <c r="T1391">
        <v>2</v>
      </c>
    </row>
    <row r="1392" spans="18:20" x14ac:dyDescent="0.25">
      <c r="R1392">
        <v>43</v>
      </c>
      <c r="S1392">
        <v>428</v>
      </c>
      <c r="T1392">
        <v>3</v>
      </c>
    </row>
    <row r="1393" spans="18:20" x14ac:dyDescent="0.25">
      <c r="R1393">
        <v>44</v>
      </c>
      <c r="S1393">
        <v>14</v>
      </c>
      <c r="T1393">
        <v>4</v>
      </c>
    </row>
    <row r="1394" spans="18:20" x14ac:dyDescent="0.25">
      <c r="R1394">
        <v>44</v>
      </c>
      <c r="S1394">
        <v>21</v>
      </c>
      <c r="T1394">
        <v>4</v>
      </c>
    </row>
    <row r="1395" spans="18:20" x14ac:dyDescent="0.25">
      <c r="R1395">
        <v>44</v>
      </c>
      <c r="S1395">
        <v>22</v>
      </c>
      <c r="T1395">
        <v>4</v>
      </c>
    </row>
    <row r="1396" spans="18:20" x14ac:dyDescent="0.25">
      <c r="R1396">
        <v>44</v>
      </c>
      <c r="S1396">
        <v>79</v>
      </c>
      <c r="T1396">
        <v>3</v>
      </c>
    </row>
    <row r="1397" spans="18:20" x14ac:dyDescent="0.25">
      <c r="R1397">
        <v>44</v>
      </c>
      <c r="S1397">
        <v>80</v>
      </c>
      <c r="T1397">
        <v>4</v>
      </c>
    </row>
    <row r="1398" spans="18:20" x14ac:dyDescent="0.25">
      <c r="R1398">
        <v>44</v>
      </c>
      <c r="S1398">
        <v>88</v>
      </c>
      <c r="T1398">
        <v>4</v>
      </c>
    </row>
    <row r="1399" spans="18:20" x14ac:dyDescent="0.25">
      <c r="R1399">
        <v>44</v>
      </c>
      <c r="S1399">
        <v>89</v>
      </c>
      <c r="T1399">
        <v>2</v>
      </c>
    </row>
    <row r="1400" spans="18:20" x14ac:dyDescent="0.25">
      <c r="R1400">
        <v>44</v>
      </c>
      <c r="S1400">
        <v>96</v>
      </c>
      <c r="T1400">
        <v>2</v>
      </c>
    </row>
    <row r="1401" spans="18:20" x14ac:dyDescent="0.25">
      <c r="R1401">
        <v>44</v>
      </c>
      <c r="S1401">
        <v>109</v>
      </c>
      <c r="T1401">
        <v>3</v>
      </c>
    </row>
    <row r="1402" spans="18:20" x14ac:dyDescent="0.25">
      <c r="R1402">
        <v>44</v>
      </c>
      <c r="S1402">
        <v>112</v>
      </c>
      <c r="T1402">
        <v>5</v>
      </c>
    </row>
    <row r="1403" spans="18:20" x14ac:dyDescent="0.25">
      <c r="R1403">
        <v>44</v>
      </c>
      <c r="S1403">
        <v>127</v>
      </c>
      <c r="T1403">
        <v>5</v>
      </c>
    </row>
    <row r="1404" spans="18:20" x14ac:dyDescent="0.25">
      <c r="R1404">
        <v>44</v>
      </c>
      <c r="S1404">
        <v>135</v>
      </c>
      <c r="T1404">
        <v>3</v>
      </c>
    </row>
    <row r="1405" spans="18:20" x14ac:dyDescent="0.25">
      <c r="R1405">
        <v>44</v>
      </c>
      <c r="S1405">
        <v>141</v>
      </c>
      <c r="T1405">
        <v>3</v>
      </c>
    </row>
    <row r="1406" spans="18:20" x14ac:dyDescent="0.25">
      <c r="R1406">
        <v>44</v>
      </c>
      <c r="S1406">
        <v>178</v>
      </c>
      <c r="T1406">
        <v>5</v>
      </c>
    </row>
    <row r="1407" spans="18:20" x14ac:dyDescent="0.25">
      <c r="R1407">
        <v>44</v>
      </c>
      <c r="S1407">
        <v>199</v>
      </c>
      <c r="T1407">
        <v>5</v>
      </c>
    </row>
    <row r="1408" spans="18:20" x14ac:dyDescent="0.25">
      <c r="R1408">
        <v>44</v>
      </c>
      <c r="S1408">
        <v>202</v>
      </c>
      <c r="T1408">
        <v>5</v>
      </c>
    </row>
    <row r="1409" spans="18:20" x14ac:dyDescent="0.25">
      <c r="R1409">
        <v>44</v>
      </c>
      <c r="S1409">
        <v>210</v>
      </c>
      <c r="T1409">
        <v>3</v>
      </c>
    </row>
    <row r="1410" spans="18:20" x14ac:dyDescent="0.25">
      <c r="R1410">
        <v>44</v>
      </c>
      <c r="S1410">
        <v>213</v>
      </c>
      <c r="T1410">
        <v>3</v>
      </c>
    </row>
    <row r="1411" spans="18:20" x14ac:dyDescent="0.25">
      <c r="R1411">
        <v>44</v>
      </c>
      <c r="S1411">
        <v>241</v>
      </c>
      <c r="T1411">
        <v>4</v>
      </c>
    </row>
    <row r="1412" spans="18:20" x14ac:dyDescent="0.25">
      <c r="R1412">
        <v>44</v>
      </c>
      <c r="S1412">
        <v>249</v>
      </c>
      <c r="T1412">
        <v>4</v>
      </c>
    </row>
    <row r="1413" spans="18:20" x14ac:dyDescent="0.25">
      <c r="R1413">
        <v>44</v>
      </c>
      <c r="S1413">
        <v>251</v>
      </c>
      <c r="T1413">
        <v>3</v>
      </c>
    </row>
    <row r="1414" spans="18:20" x14ac:dyDescent="0.25">
      <c r="R1414">
        <v>44</v>
      </c>
      <c r="S1414">
        <v>284</v>
      </c>
      <c r="T1414">
        <v>3</v>
      </c>
    </row>
    <row r="1415" spans="18:20" x14ac:dyDescent="0.25">
      <c r="R1415">
        <v>44</v>
      </c>
      <c r="S1415">
        <v>308</v>
      </c>
      <c r="T1415">
        <v>5</v>
      </c>
    </row>
    <row r="1416" spans="18:20" x14ac:dyDescent="0.25">
      <c r="R1416">
        <v>44</v>
      </c>
      <c r="S1416">
        <v>309</v>
      </c>
      <c r="T1416">
        <v>3</v>
      </c>
    </row>
    <row r="1417" spans="18:20" x14ac:dyDescent="0.25">
      <c r="R1417">
        <v>44</v>
      </c>
      <c r="S1417">
        <v>312</v>
      </c>
      <c r="T1417">
        <v>3</v>
      </c>
    </row>
    <row r="1418" spans="18:20" x14ac:dyDescent="0.25">
      <c r="R1418">
        <v>44</v>
      </c>
      <c r="S1418">
        <v>314</v>
      </c>
      <c r="T1418">
        <v>4</v>
      </c>
    </row>
    <row r="1419" spans="18:20" x14ac:dyDescent="0.25">
      <c r="R1419">
        <v>44</v>
      </c>
      <c r="S1419">
        <v>316</v>
      </c>
      <c r="T1419">
        <v>4</v>
      </c>
    </row>
    <row r="1420" spans="18:20" x14ac:dyDescent="0.25">
      <c r="R1420">
        <v>44</v>
      </c>
      <c r="S1420">
        <v>318</v>
      </c>
      <c r="T1420">
        <v>2</v>
      </c>
    </row>
    <row r="1421" spans="18:20" x14ac:dyDescent="0.25">
      <c r="R1421">
        <v>44</v>
      </c>
      <c r="S1421">
        <v>321</v>
      </c>
      <c r="T1421">
        <v>2</v>
      </c>
    </row>
    <row r="1422" spans="18:20" x14ac:dyDescent="0.25">
      <c r="R1422">
        <v>44</v>
      </c>
      <c r="S1422">
        <v>330</v>
      </c>
      <c r="T1422">
        <v>3</v>
      </c>
    </row>
    <row r="1423" spans="18:20" x14ac:dyDescent="0.25">
      <c r="R1423">
        <v>44</v>
      </c>
      <c r="S1423">
        <v>344</v>
      </c>
      <c r="T1423">
        <v>2</v>
      </c>
    </row>
    <row r="1424" spans="18:20" x14ac:dyDescent="0.25">
      <c r="R1424">
        <v>44</v>
      </c>
      <c r="S1424">
        <v>354</v>
      </c>
      <c r="T1424">
        <v>3</v>
      </c>
    </row>
    <row r="1425" spans="18:20" x14ac:dyDescent="0.25">
      <c r="R1425">
        <v>44</v>
      </c>
      <c r="S1425">
        <v>367</v>
      </c>
      <c r="T1425">
        <v>4</v>
      </c>
    </row>
    <row r="1426" spans="18:20" x14ac:dyDescent="0.25">
      <c r="R1426">
        <v>44</v>
      </c>
      <c r="S1426">
        <v>381</v>
      </c>
      <c r="T1426">
        <v>4</v>
      </c>
    </row>
    <row r="1427" spans="18:20" x14ac:dyDescent="0.25">
      <c r="R1427">
        <v>44</v>
      </c>
      <c r="S1427">
        <v>382</v>
      </c>
      <c r="T1427">
        <v>3</v>
      </c>
    </row>
    <row r="1428" spans="18:20" x14ac:dyDescent="0.25">
      <c r="R1428">
        <v>44</v>
      </c>
      <c r="S1428">
        <v>391</v>
      </c>
      <c r="T1428">
        <v>3</v>
      </c>
    </row>
    <row r="1429" spans="18:20" x14ac:dyDescent="0.25">
      <c r="R1429">
        <v>44</v>
      </c>
      <c r="S1429">
        <v>400</v>
      </c>
      <c r="T1429">
        <v>2</v>
      </c>
    </row>
    <row r="1430" spans="18:20" x14ac:dyDescent="0.25">
      <c r="R1430">
        <v>44</v>
      </c>
      <c r="S1430">
        <v>404</v>
      </c>
      <c r="T1430">
        <v>3</v>
      </c>
    </row>
    <row r="1431" spans="18:20" x14ac:dyDescent="0.25">
      <c r="R1431">
        <v>44</v>
      </c>
      <c r="S1431">
        <v>423</v>
      </c>
      <c r="T1431">
        <v>5</v>
      </c>
    </row>
    <row r="1432" spans="18:20" x14ac:dyDescent="0.25">
      <c r="R1432">
        <v>45</v>
      </c>
      <c r="S1432">
        <v>20</v>
      </c>
      <c r="T1432">
        <v>5</v>
      </c>
    </row>
    <row r="1433" spans="18:20" x14ac:dyDescent="0.25">
      <c r="R1433">
        <v>45</v>
      </c>
      <c r="S1433">
        <v>23</v>
      </c>
      <c r="T1433">
        <v>4</v>
      </c>
    </row>
    <row r="1434" spans="18:20" x14ac:dyDescent="0.25">
      <c r="R1434">
        <v>45</v>
      </c>
      <c r="S1434">
        <v>38</v>
      </c>
      <c r="T1434">
        <v>3</v>
      </c>
    </row>
    <row r="1435" spans="18:20" x14ac:dyDescent="0.25">
      <c r="R1435">
        <v>45</v>
      </c>
      <c r="S1435">
        <v>45</v>
      </c>
      <c r="T1435">
        <v>2</v>
      </c>
    </row>
    <row r="1436" spans="18:20" x14ac:dyDescent="0.25">
      <c r="R1436">
        <v>45</v>
      </c>
      <c r="S1436">
        <v>50</v>
      </c>
      <c r="T1436">
        <v>2</v>
      </c>
    </row>
    <row r="1437" spans="18:20" x14ac:dyDescent="0.25">
      <c r="R1437">
        <v>45</v>
      </c>
      <c r="S1437">
        <v>75</v>
      </c>
      <c r="T1437">
        <v>3</v>
      </c>
    </row>
    <row r="1438" spans="18:20" x14ac:dyDescent="0.25">
      <c r="R1438">
        <v>45</v>
      </c>
      <c r="S1438">
        <v>77</v>
      </c>
      <c r="T1438">
        <v>2</v>
      </c>
    </row>
    <row r="1439" spans="18:20" x14ac:dyDescent="0.25">
      <c r="R1439">
        <v>45</v>
      </c>
      <c r="S1439">
        <v>78</v>
      </c>
      <c r="T1439">
        <v>5</v>
      </c>
    </row>
    <row r="1440" spans="18:20" x14ac:dyDescent="0.25">
      <c r="R1440">
        <v>45</v>
      </c>
      <c r="S1440">
        <v>80</v>
      </c>
      <c r="T1440">
        <v>3</v>
      </c>
    </row>
    <row r="1441" spans="18:20" x14ac:dyDescent="0.25">
      <c r="R1441">
        <v>45</v>
      </c>
      <c r="S1441">
        <v>84</v>
      </c>
      <c r="T1441">
        <v>3</v>
      </c>
    </row>
    <row r="1442" spans="18:20" x14ac:dyDescent="0.25">
      <c r="R1442">
        <v>45</v>
      </c>
      <c r="S1442">
        <v>94</v>
      </c>
      <c r="T1442">
        <v>4</v>
      </c>
    </row>
    <row r="1443" spans="18:20" x14ac:dyDescent="0.25">
      <c r="R1443">
        <v>45</v>
      </c>
      <c r="S1443">
        <v>109</v>
      </c>
      <c r="T1443">
        <v>2</v>
      </c>
    </row>
    <row r="1444" spans="18:20" x14ac:dyDescent="0.25">
      <c r="R1444">
        <v>45</v>
      </c>
      <c r="S1444">
        <v>123</v>
      </c>
      <c r="T1444">
        <v>4</v>
      </c>
    </row>
    <row r="1445" spans="18:20" x14ac:dyDescent="0.25">
      <c r="R1445">
        <v>45</v>
      </c>
      <c r="S1445">
        <v>133</v>
      </c>
      <c r="T1445">
        <v>5</v>
      </c>
    </row>
    <row r="1446" spans="18:20" x14ac:dyDescent="0.25">
      <c r="R1446">
        <v>45</v>
      </c>
      <c r="S1446">
        <v>146</v>
      </c>
      <c r="T1446">
        <v>4</v>
      </c>
    </row>
    <row r="1447" spans="18:20" x14ac:dyDescent="0.25">
      <c r="R1447">
        <v>45</v>
      </c>
      <c r="S1447">
        <v>147</v>
      </c>
      <c r="T1447">
        <v>5</v>
      </c>
    </row>
    <row r="1448" spans="18:20" x14ac:dyDescent="0.25">
      <c r="R1448">
        <v>45</v>
      </c>
      <c r="S1448">
        <v>148</v>
      </c>
      <c r="T1448">
        <v>3</v>
      </c>
    </row>
    <row r="1449" spans="18:20" x14ac:dyDescent="0.25">
      <c r="R1449">
        <v>45</v>
      </c>
      <c r="S1449">
        <v>157</v>
      </c>
      <c r="T1449">
        <v>4</v>
      </c>
    </row>
    <row r="1450" spans="18:20" x14ac:dyDescent="0.25">
      <c r="R1450">
        <v>45</v>
      </c>
      <c r="S1450">
        <v>180</v>
      </c>
      <c r="T1450">
        <v>5</v>
      </c>
    </row>
    <row r="1451" spans="18:20" x14ac:dyDescent="0.25">
      <c r="R1451">
        <v>45</v>
      </c>
      <c r="S1451">
        <v>197</v>
      </c>
      <c r="T1451">
        <v>3</v>
      </c>
    </row>
    <row r="1452" spans="18:20" x14ac:dyDescent="0.25">
      <c r="R1452">
        <v>45</v>
      </c>
      <c r="S1452">
        <v>199</v>
      </c>
      <c r="T1452">
        <v>3</v>
      </c>
    </row>
    <row r="1453" spans="18:20" x14ac:dyDescent="0.25">
      <c r="R1453">
        <v>45</v>
      </c>
      <c r="S1453">
        <v>227</v>
      </c>
      <c r="T1453">
        <v>5</v>
      </c>
    </row>
    <row r="1454" spans="18:20" x14ac:dyDescent="0.25">
      <c r="R1454">
        <v>45</v>
      </c>
      <c r="S1454">
        <v>232</v>
      </c>
      <c r="T1454">
        <v>3</v>
      </c>
    </row>
    <row r="1455" spans="18:20" x14ac:dyDescent="0.25">
      <c r="R1455">
        <v>45</v>
      </c>
      <c r="S1455">
        <v>239</v>
      </c>
      <c r="T1455">
        <v>3</v>
      </c>
    </row>
    <row r="1456" spans="18:20" x14ac:dyDescent="0.25">
      <c r="R1456">
        <v>45</v>
      </c>
      <c r="S1456">
        <v>242</v>
      </c>
      <c r="T1456">
        <v>5</v>
      </c>
    </row>
    <row r="1457" spans="18:20" x14ac:dyDescent="0.25">
      <c r="R1457">
        <v>45</v>
      </c>
      <c r="S1457">
        <v>269</v>
      </c>
      <c r="T1457">
        <v>2</v>
      </c>
    </row>
    <row r="1458" spans="18:20" x14ac:dyDescent="0.25">
      <c r="R1458">
        <v>45</v>
      </c>
      <c r="S1458">
        <v>281</v>
      </c>
      <c r="T1458">
        <v>4</v>
      </c>
    </row>
    <row r="1459" spans="18:20" x14ac:dyDescent="0.25">
      <c r="R1459">
        <v>45</v>
      </c>
      <c r="S1459">
        <v>289</v>
      </c>
      <c r="T1459">
        <v>3</v>
      </c>
    </row>
    <row r="1460" spans="18:20" x14ac:dyDescent="0.25">
      <c r="R1460">
        <v>45</v>
      </c>
      <c r="S1460">
        <v>293</v>
      </c>
      <c r="T1460">
        <v>4</v>
      </c>
    </row>
    <row r="1461" spans="18:20" x14ac:dyDescent="0.25">
      <c r="R1461">
        <v>45</v>
      </c>
      <c r="S1461">
        <v>293</v>
      </c>
      <c r="T1461">
        <v>5</v>
      </c>
    </row>
    <row r="1462" spans="18:20" x14ac:dyDescent="0.25">
      <c r="R1462">
        <v>45</v>
      </c>
      <c r="S1462">
        <v>294</v>
      </c>
      <c r="T1462">
        <v>5</v>
      </c>
    </row>
    <row r="1463" spans="18:20" x14ac:dyDescent="0.25">
      <c r="R1463">
        <v>45</v>
      </c>
      <c r="S1463">
        <v>296</v>
      </c>
      <c r="T1463">
        <v>3</v>
      </c>
    </row>
    <row r="1464" spans="18:20" x14ac:dyDescent="0.25">
      <c r="R1464">
        <v>45</v>
      </c>
      <c r="S1464">
        <v>304</v>
      </c>
      <c r="T1464">
        <v>3</v>
      </c>
    </row>
    <row r="1465" spans="18:20" x14ac:dyDescent="0.25">
      <c r="R1465">
        <v>45</v>
      </c>
      <c r="S1465">
        <v>330</v>
      </c>
      <c r="T1465">
        <v>5</v>
      </c>
    </row>
    <row r="1466" spans="18:20" x14ac:dyDescent="0.25">
      <c r="R1466">
        <v>45</v>
      </c>
      <c r="S1466">
        <v>332</v>
      </c>
      <c r="T1466">
        <v>5</v>
      </c>
    </row>
    <row r="1467" spans="18:20" x14ac:dyDescent="0.25">
      <c r="R1467">
        <v>45</v>
      </c>
      <c r="S1467">
        <v>336</v>
      </c>
      <c r="T1467">
        <v>5</v>
      </c>
    </row>
    <row r="1468" spans="18:20" x14ac:dyDescent="0.25">
      <c r="R1468">
        <v>45</v>
      </c>
      <c r="S1468">
        <v>358</v>
      </c>
      <c r="T1468">
        <v>2</v>
      </c>
    </row>
    <row r="1469" spans="18:20" x14ac:dyDescent="0.25">
      <c r="R1469">
        <v>45</v>
      </c>
      <c r="S1469">
        <v>364</v>
      </c>
      <c r="T1469">
        <v>2</v>
      </c>
    </row>
    <row r="1470" spans="18:20" x14ac:dyDescent="0.25">
      <c r="R1470">
        <v>45</v>
      </c>
      <c r="S1470">
        <v>415</v>
      </c>
      <c r="T1470">
        <v>4</v>
      </c>
    </row>
    <row r="1471" spans="18:20" x14ac:dyDescent="0.25">
      <c r="R1471">
        <v>46</v>
      </c>
      <c r="S1471">
        <v>2</v>
      </c>
      <c r="T1471">
        <v>5</v>
      </c>
    </row>
    <row r="1472" spans="18:20" x14ac:dyDescent="0.25">
      <c r="R1472">
        <v>46</v>
      </c>
      <c r="S1472">
        <v>31</v>
      </c>
      <c r="T1472">
        <v>2</v>
      </c>
    </row>
    <row r="1473" spans="18:20" x14ac:dyDescent="0.25">
      <c r="R1473">
        <v>46</v>
      </c>
      <c r="S1473">
        <v>34</v>
      </c>
      <c r="T1473">
        <v>5</v>
      </c>
    </row>
    <row r="1474" spans="18:20" x14ac:dyDescent="0.25">
      <c r="R1474">
        <v>46</v>
      </c>
      <c r="S1474">
        <v>39</v>
      </c>
      <c r="T1474">
        <v>4</v>
      </c>
    </row>
    <row r="1475" spans="18:20" x14ac:dyDescent="0.25">
      <c r="R1475">
        <v>46</v>
      </c>
      <c r="S1475">
        <v>43</v>
      </c>
      <c r="T1475">
        <v>3</v>
      </c>
    </row>
    <row r="1476" spans="18:20" x14ac:dyDescent="0.25">
      <c r="R1476">
        <v>46</v>
      </c>
      <c r="S1476">
        <v>55</v>
      </c>
      <c r="T1476">
        <v>2</v>
      </c>
    </row>
    <row r="1477" spans="18:20" x14ac:dyDescent="0.25">
      <c r="R1477">
        <v>46</v>
      </c>
      <c r="S1477">
        <v>56</v>
      </c>
      <c r="T1477">
        <v>4</v>
      </c>
    </row>
    <row r="1478" spans="18:20" x14ac:dyDescent="0.25">
      <c r="R1478">
        <v>46</v>
      </c>
      <c r="S1478">
        <v>89</v>
      </c>
      <c r="T1478">
        <v>4</v>
      </c>
    </row>
    <row r="1479" spans="18:20" x14ac:dyDescent="0.25">
      <c r="R1479">
        <v>46</v>
      </c>
      <c r="S1479">
        <v>102</v>
      </c>
      <c r="T1479">
        <v>2</v>
      </c>
    </row>
    <row r="1480" spans="18:20" x14ac:dyDescent="0.25">
      <c r="R1480">
        <v>46</v>
      </c>
      <c r="S1480">
        <v>103</v>
      </c>
      <c r="T1480">
        <v>2</v>
      </c>
    </row>
    <row r="1481" spans="18:20" x14ac:dyDescent="0.25">
      <c r="R1481">
        <v>46</v>
      </c>
      <c r="S1481">
        <v>107</v>
      </c>
      <c r="T1481">
        <v>4</v>
      </c>
    </row>
    <row r="1482" spans="18:20" x14ac:dyDescent="0.25">
      <c r="R1482">
        <v>46</v>
      </c>
      <c r="S1482">
        <v>114</v>
      </c>
      <c r="T1482">
        <v>4</v>
      </c>
    </row>
    <row r="1483" spans="18:20" x14ac:dyDescent="0.25">
      <c r="R1483">
        <v>46</v>
      </c>
      <c r="S1483">
        <v>145</v>
      </c>
      <c r="T1483">
        <v>2</v>
      </c>
    </row>
    <row r="1484" spans="18:20" x14ac:dyDescent="0.25">
      <c r="R1484">
        <v>46</v>
      </c>
      <c r="S1484">
        <v>154</v>
      </c>
      <c r="T1484">
        <v>5</v>
      </c>
    </row>
    <row r="1485" spans="18:20" x14ac:dyDescent="0.25">
      <c r="R1485">
        <v>46</v>
      </c>
      <c r="S1485">
        <v>156</v>
      </c>
      <c r="T1485">
        <v>3</v>
      </c>
    </row>
    <row r="1486" spans="18:20" x14ac:dyDescent="0.25">
      <c r="R1486">
        <v>46</v>
      </c>
      <c r="S1486">
        <v>169</v>
      </c>
      <c r="T1486">
        <v>5</v>
      </c>
    </row>
    <row r="1487" spans="18:20" x14ac:dyDescent="0.25">
      <c r="R1487">
        <v>46</v>
      </c>
      <c r="S1487">
        <v>174</v>
      </c>
      <c r="T1487">
        <v>5</v>
      </c>
    </row>
    <row r="1488" spans="18:20" x14ac:dyDescent="0.25">
      <c r="R1488">
        <v>46</v>
      </c>
      <c r="S1488">
        <v>174</v>
      </c>
      <c r="T1488">
        <v>3</v>
      </c>
    </row>
    <row r="1489" spans="18:20" x14ac:dyDescent="0.25">
      <c r="R1489">
        <v>46</v>
      </c>
      <c r="S1489">
        <v>193</v>
      </c>
      <c r="T1489">
        <v>4</v>
      </c>
    </row>
    <row r="1490" spans="18:20" x14ac:dyDescent="0.25">
      <c r="R1490">
        <v>46</v>
      </c>
      <c r="S1490">
        <v>238</v>
      </c>
      <c r="T1490">
        <v>5</v>
      </c>
    </row>
    <row r="1491" spans="18:20" x14ac:dyDescent="0.25">
      <c r="R1491">
        <v>46</v>
      </c>
      <c r="S1491">
        <v>272</v>
      </c>
      <c r="T1491">
        <v>5</v>
      </c>
    </row>
    <row r="1492" spans="18:20" x14ac:dyDescent="0.25">
      <c r="R1492">
        <v>46</v>
      </c>
      <c r="S1492">
        <v>309</v>
      </c>
      <c r="T1492">
        <v>3</v>
      </c>
    </row>
    <row r="1493" spans="18:20" x14ac:dyDescent="0.25">
      <c r="R1493">
        <v>46</v>
      </c>
      <c r="S1493">
        <v>314</v>
      </c>
      <c r="T1493">
        <v>3</v>
      </c>
    </row>
    <row r="1494" spans="18:20" x14ac:dyDescent="0.25">
      <c r="R1494">
        <v>46</v>
      </c>
      <c r="S1494">
        <v>318</v>
      </c>
      <c r="T1494">
        <v>5</v>
      </c>
    </row>
    <row r="1495" spans="18:20" x14ac:dyDescent="0.25">
      <c r="R1495">
        <v>46</v>
      </c>
      <c r="S1495">
        <v>320</v>
      </c>
      <c r="T1495">
        <v>5</v>
      </c>
    </row>
    <row r="1496" spans="18:20" x14ac:dyDescent="0.25">
      <c r="R1496">
        <v>46</v>
      </c>
      <c r="S1496">
        <v>330</v>
      </c>
      <c r="T1496">
        <v>4</v>
      </c>
    </row>
    <row r="1497" spans="18:20" x14ac:dyDescent="0.25">
      <c r="R1497">
        <v>46</v>
      </c>
      <c r="S1497">
        <v>359</v>
      </c>
      <c r="T1497">
        <v>4</v>
      </c>
    </row>
    <row r="1498" spans="18:20" x14ac:dyDescent="0.25">
      <c r="R1498">
        <v>46</v>
      </c>
      <c r="S1498">
        <v>394</v>
      </c>
      <c r="T1498">
        <v>2</v>
      </c>
    </row>
    <row r="1499" spans="18:20" x14ac:dyDescent="0.25">
      <c r="R1499">
        <v>46</v>
      </c>
      <c r="S1499">
        <v>396</v>
      </c>
      <c r="T1499">
        <v>3</v>
      </c>
    </row>
    <row r="1500" spans="18:20" x14ac:dyDescent="0.25">
      <c r="R1500">
        <v>46</v>
      </c>
      <c r="S1500">
        <v>413</v>
      </c>
      <c r="T1500">
        <v>5</v>
      </c>
    </row>
    <row r="1501" spans="18:20" x14ac:dyDescent="0.25">
      <c r="R1501">
        <v>47</v>
      </c>
      <c r="S1501">
        <v>8</v>
      </c>
      <c r="T1501">
        <v>5</v>
      </c>
    </row>
    <row r="1502" spans="18:20" x14ac:dyDescent="0.25">
      <c r="R1502">
        <v>47</v>
      </c>
      <c r="S1502">
        <v>15</v>
      </c>
      <c r="T1502">
        <v>2</v>
      </c>
    </row>
    <row r="1503" spans="18:20" x14ac:dyDescent="0.25">
      <c r="R1503">
        <v>47</v>
      </c>
      <c r="S1503">
        <v>20</v>
      </c>
      <c r="T1503">
        <v>1</v>
      </c>
    </row>
    <row r="1504" spans="18:20" x14ac:dyDescent="0.25">
      <c r="R1504">
        <v>47</v>
      </c>
      <c r="S1504">
        <v>24</v>
      </c>
      <c r="T1504">
        <v>2</v>
      </c>
    </row>
    <row r="1505" spans="18:20" x14ac:dyDescent="0.25">
      <c r="R1505">
        <v>47</v>
      </c>
      <c r="S1505">
        <v>29</v>
      </c>
      <c r="T1505">
        <v>1</v>
      </c>
    </row>
    <row r="1506" spans="18:20" x14ac:dyDescent="0.25">
      <c r="R1506">
        <v>47</v>
      </c>
      <c r="S1506">
        <v>62</v>
      </c>
      <c r="T1506">
        <v>3</v>
      </c>
    </row>
    <row r="1507" spans="18:20" x14ac:dyDescent="0.25">
      <c r="R1507">
        <v>47</v>
      </c>
      <c r="S1507">
        <v>117</v>
      </c>
      <c r="T1507">
        <v>1</v>
      </c>
    </row>
    <row r="1508" spans="18:20" x14ac:dyDescent="0.25">
      <c r="R1508">
        <v>47</v>
      </c>
      <c r="S1508">
        <v>118</v>
      </c>
      <c r="T1508">
        <v>2</v>
      </c>
    </row>
    <row r="1509" spans="18:20" x14ac:dyDescent="0.25">
      <c r="R1509">
        <v>47</v>
      </c>
      <c r="S1509">
        <v>123</v>
      </c>
      <c r="T1509">
        <v>2</v>
      </c>
    </row>
    <row r="1510" spans="18:20" x14ac:dyDescent="0.25">
      <c r="R1510">
        <v>47</v>
      </c>
      <c r="S1510">
        <v>133</v>
      </c>
      <c r="T1510">
        <v>2</v>
      </c>
    </row>
    <row r="1511" spans="18:20" x14ac:dyDescent="0.25">
      <c r="R1511">
        <v>47</v>
      </c>
      <c r="S1511">
        <v>136</v>
      </c>
      <c r="T1511">
        <v>1</v>
      </c>
    </row>
    <row r="1512" spans="18:20" x14ac:dyDescent="0.25">
      <c r="R1512">
        <v>47</v>
      </c>
      <c r="S1512">
        <v>163</v>
      </c>
      <c r="T1512">
        <v>2</v>
      </c>
    </row>
    <row r="1513" spans="18:20" x14ac:dyDescent="0.25">
      <c r="R1513">
        <v>47</v>
      </c>
      <c r="S1513">
        <v>183</v>
      </c>
      <c r="T1513">
        <v>4</v>
      </c>
    </row>
    <row r="1514" spans="18:20" x14ac:dyDescent="0.25">
      <c r="R1514">
        <v>47</v>
      </c>
      <c r="S1514">
        <v>197</v>
      </c>
      <c r="T1514">
        <v>1</v>
      </c>
    </row>
    <row r="1515" spans="18:20" x14ac:dyDescent="0.25">
      <c r="R1515">
        <v>47</v>
      </c>
      <c r="S1515">
        <v>200</v>
      </c>
      <c r="T1515">
        <v>5</v>
      </c>
    </row>
    <row r="1516" spans="18:20" x14ac:dyDescent="0.25">
      <c r="R1516">
        <v>47</v>
      </c>
      <c r="S1516">
        <v>212</v>
      </c>
      <c r="T1516">
        <v>3</v>
      </c>
    </row>
    <row r="1517" spans="18:20" x14ac:dyDescent="0.25">
      <c r="R1517">
        <v>47</v>
      </c>
      <c r="S1517">
        <v>218</v>
      </c>
      <c r="T1517">
        <v>1</v>
      </c>
    </row>
    <row r="1518" spans="18:20" x14ac:dyDescent="0.25">
      <c r="R1518">
        <v>47</v>
      </c>
      <c r="S1518">
        <v>220</v>
      </c>
      <c r="T1518">
        <v>2</v>
      </c>
    </row>
    <row r="1519" spans="18:20" x14ac:dyDescent="0.25">
      <c r="R1519">
        <v>47</v>
      </c>
      <c r="S1519">
        <v>228</v>
      </c>
      <c r="T1519">
        <v>2</v>
      </c>
    </row>
    <row r="1520" spans="18:20" x14ac:dyDescent="0.25">
      <c r="R1520">
        <v>47</v>
      </c>
      <c r="S1520">
        <v>250</v>
      </c>
      <c r="T1520">
        <v>3</v>
      </c>
    </row>
    <row r="1521" spans="18:20" x14ac:dyDescent="0.25">
      <c r="R1521">
        <v>47</v>
      </c>
      <c r="S1521">
        <v>313</v>
      </c>
      <c r="T1521">
        <v>3</v>
      </c>
    </row>
    <row r="1522" spans="18:20" x14ac:dyDescent="0.25">
      <c r="R1522">
        <v>47</v>
      </c>
      <c r="S1522">
        <v>344</v>
      </c>
      <c r="T1522">
        <v>3</v>
      </c>
    </row>
    <row r="1523" spans="18:20" x14ac:dyDescent="0.25">
      <c r="R1523">
        <v>47</v>
      </c>
      <c r="S1523">
        <v>376</v>
      </c>
      <c r="T1523">
        <v>1</v>
      </c>
    </row>
    <row r="1524" spans="18:20" x14ac:dyDescent="0.25">
      <c r="R1524">
        <v>47</v>
      </c>
      <c r="S1524">
        <v>390</v>
      </c>
      <c r="T1524">
        <v>5</v>
      </c>
    </row>
    <row r="1525" spans="18:20" x14ac:dyDescent="0.25">
      <c r="R1525">
        <v>47</v>
      </c>
      <c r="S1525">
        <v>402</v>
      </c>
      <c r="T1525">
        <v>3</v>
      </c>
    </row>
    <row r="1526" spans="18:20" x14ac:dyDescent="0.25">
      <c r="R1526">
        <v>47</v>
      </c>
      <c r="S1526">
        <v>432</v>
      </c>
      <c r="T1526">
        <v>5</v>
      </c>
    </row>
    <row r="1527" spans="18:20" x14ac:dyDescent="0.25">
      <c r="R1527">
        <v>48</v>
      </c>
      <c r="S1527">
        <v>38</v>
      </c>
      <c r="T1527">
        <v>1</v>
      </c>
    </row>
    <row r="1528" spans="18:20" x14ac:dyDescent="0.25">
      <c r="R1528">
        <v>48</v>
      </c>
      <c r="S1528">
        <v>50</v>
      </c>
      <c r="T1528">
        <v>3</v>
      </c>
    </row>
    <row r="1529" spans="18:20" x14ac:dyDescent="0.25">
      <c r="R1529">
        <v>48</v>
      </c>
      <c r="S1529">
        <v>69</v>
      </c>
      <c r="T1529">
        <v>1</v>
      </c>
    </row>
    <row r="1530" spans="18:20" x14ac:dyDescent="0.25">
      <c r="R1530">
        <v>48</v>
      </c>
      <c r="S1530">
        <v>73</v>
      </c>
      <c r="T1530">
        <v>1</v>
      </c>
    </row>
    <row r="1531" spans="18:20" x14ac:dyDescent="0.25">
      <c r="R1531">
        <v>48</v>
      </c>
      <c r="S1531">
        <v>82</v>
      </c>
      <c r="T1531">
        <v>2</v>
      </c>
    </row>
    <row r="1532" spans="18:20" x14ac:dyDescent="0.25">
      <c r="R1532">
        <v>48</v>
      </c>
      <c r="S1532">
        <v>94</v>
      </c>
      <c r="T1532">
        <v>1</v>
      </c>
    </row>
    <row r="1533" spans="18:20" x14ac:dyDescent="0.25">
      <c r="R1533">
        <v>48</v>
      </c>
      <c r="S1533">
        <v>141</v>
      </c>
      <c r="T1533">
        <v>5</v>
      </c>
    </row>
    <row r="1534" spans="18:20" x14ac:dyDescent="0.25">
      <c r="R1534">
        <v>48</v>
      </c>
      <c r="S1534">
        <v>196</v>
      </c>
      <c r="T1534">
        <v>5</v>
      </c>
    </row>
    <row r="1535" spans="18:20" x14ac:dyDescent="0.25">
      <c r="R1535">
        <v>48</v>
      </c>
      <c r="S1535">
        <v>219</v>
      </c>
      <c r="T1535">
        <v>1</v>
      </c>
    </row>
    <row r="1536" spans="18:20" x14ac:dyDescent="0.25">
      <c r="R1536">
        <v>48</v>
      </c>
      <c r="S1536">
        <v>221</v>
      </c>
      <c r="T1536">
        <v>4</v>
      </c>
    </row>
    <row r="1537" spans="18:20" x14ac:dyDescent="0.25">
      <c r="R1537">
        <v>48</v>
      </c>
      <c r="S1537">
        <v>224</v>
      </c>
      <c r="T1537">
        <v>1</v>
      </c>
    </row>
    <row r="1538" spans="18:20" x14ac:dyDescent="0.25">
      <c r="R1538">
        <v>48</v>
      </c>
      <c r="S1538">
        <v>241</v>
      </c>
      <c r="T1538">
        <v>5</v>
      </c>
    </row>
    <row r="1539" spans="18:20" x14ac:dyDescent="0.25">
      <c r="R1539">
        <v>48</v>
      </c>
      <c r="S1539">
        <v>264</v>
      </c>
      <c r="T1539">
        <v>4</v>
      </c>
    </row>
    <row r="1540" spans="18:20" x14ac:dyDescent="0.25">
      <c r="R1540">
        <v>48</v>
      </c>
      <c r="S1540">
        <v>270</v>
      </c>
      <c r="T1540">
        <v>4</v>
      </c>
    </row>
    <row r="1541" spans="18:20" x14ac:dyDescent="0.25">
      <c r="R1541">
        <v>48</v>
      </c>
      <c r="S1541">
        <v>313</v>
      </c>
      <c r="T1541">
        <v>5</v>
      </c>
    </row>
    <row r="1542" spans="18:20" x14ac:dyDescent="0.25">
      <c r="R1542">
        <v>48</v>
      </c>
      <c r="S1542">
        <v>319</v>
      </c>
      <c r="T1542">
        <v>4</v>
      </c>
    </row>
    <row r="1543" spans="18:20" x14ac:dyDescent="0.25">
      <c r="R1543">
        <v>48</v>
      </c>
      <c r="S1543">
        <v>324</v>
      </c>
      <c r="T1543">
        <v>1</v>
      </c>
    </row>
    <row r="1544" spans="18:20" x14ac:dyDescent="0.25">
      <c r="R1544">
        <v>48</v>
      </c>
      <c r="S1544">
        <v>356</v>
      </c>
      <c r="T1544">
        <v>2</v>
      </c>
    </row>
    <row r="1545" spans="18:20" x14ac:dyDescent="0.25">
      <c r="R1545">
        <v>48</v>
      </c>
      <c r="S1545">
        <v>379</v>
      </c>
      <c r="T1545">
        <v>5</v>
      </c>
    </row>
    <row r="1546" spans="18:20" x14ac:dyDescent="0.25">
      <c r="R1546">
        <v>48</v>
      </c>
      <c r="S1546">
        <v>405</v>
      </c>
      <c r="T1546">
        <v>3</v>
      </c>
    </row>
    <row r="1547" spans="18:20" x14ac:dyDescent="0.25">
      <c r="R1547">
        <v>48</v>
      </c>
      <c r="S1547">
        <v>417</v>
      </c>
      <c r="T1547">
        <v>2</v>
      </c>
    </row>
    <row r="1548" spans="18:20" x14ac:dyDescent="0.25">
      <c r="R1548">
        <v>48</v>
      </c>
      <c r="S1548">
        <v>425</v>
      </c>
      <c r="T1548">
        <v>4</v>
      </c>
    </row>
    <row r="1549" spans="18:20" x14ac:dyDescent="0.25">
      <c r="R1549">
        <v>49</v>
      </c>
      <c r="S1549">
        <v>24</v>
      </c>
      <c r="T1549">
        <v>3</v>
      </c>
    </row>
    <row r="1550" spans="18:20" x14ac:dyDescent="0.25">
      <c r="R1550">
        <v>49</v>
      </c>
      <c r="S1550">
        <v>30</v>
      </c>
      <c r="T1550">
        <v>5</v>
      </c>
    </row>
    <row r="1551" spans="18:20" x14ac:dyDescent="0.25">
      <c r="R1551">
        <v>49</v>
      </c>
      <c r="S1551">
        <v>31</v>
      </c>
      <c r="T1551">
        <v>2</v>
      </c>
    </row>
    <row r="1552" spans="18:20" x14ac:dyDescent="0.25">
      <c r="R1552">
        <v>49</v>
      </c>
      <c r="S1552">
        <v>32</v>
      </c>
      <c r="T1552">
        <v>4</v>
      </c>
    </row>
    <row r="1553" spans="18:20" x14ac:dyDescent="0.25">
      <c r="R1553">
        <v>49</v>
      </c>
      <c r="S1553">
        <v>41</v>
      </c>
      <c r="T1553">
        <v>4</v>
      </c>
    </row>
    <row r="1554" spans="18:20" x14ac:dyDescent="0.25">
      <c r="R1554">
        <v>49</v>
      </c>
      <c r="S1554">
        <v>53</v>
      </c>
      <c r="T1554">
        <v>1</v>
      </c>
    </row>
    <row r="1555" spans="18:20" x14ac:dyDescent="0.25">
      <c r="R1555">
        <v>49</v>
      </c>
      <c r="S1555">
        <v>68</v>
      </c>
      <c r="T1555">
        <v>3</v>
      </c>
    </row>
    <row r="1556" spans="18:20" x14ac:dyDescent="0.25">
      <c r="R1556">
        <v>49</v>
      </c>
      <c r="S1556">
        <v>74</v>
      </c>
      <c r="T1556">
        <v>4</v>
      </c>
    </row>
    <row r="1557" spans="18:20" x14ac:dyDescent="0.25">
      <c r="R1557">
        <v>49</v>
      </c>
      <c r="S1557">
        <v>80</v>
      </c>
      <c r="T1557">
        <v>5</v>
      </c>
    </row>
    <row r="1558" spans="18:20" x14ac:dyDescent="0.25">
      <c r="R1558">
        <v>49</v>
      </c>
      <c r="S1558">
        <v>90</v>
      </c>
      <c r="T1558">
        <v>1</v>
      </c>
    </row>
    <row r="1559" spans="18:20" x14ac:dyDescent="0.25">
      <c r="R1559">
        <v>49</v>
      </c>
      <c r="S1559">
        <v>90</v>
      </c>
      <c r="T1559">
        <v>1</v>
      </c>
    </row>
    <row r="1560" spans="18:20" x14ac:dyDescent="0.25">
      <c r="R1560">
        <v>49</v>
      </c>
      <c r="S1560">
        <v>114</v>
      </c>
      <c r="T1560">
        <v>4</v>
      </c>
    </row>
    <row r="1561" spans="18:20" x14ac:dyDescent="0.25">
      <c r="R1561">
        <v>49</v>
      </c>
      <c r="S1561">
        <v>118</v>
      </c>
      <c r="T1561">
        <v>2</v>
      </c>
    </row>
    <row r="1562" spans="18:20" x14ac:dyDescent="0.25">
      <c r="R1562">
        <v>49</v>
      </c>
      <c r="S1562">
        <v>122</v>
      </c>
      <c r="T1562">
        <v>4</v>
      </c>
    </row>
    <row r="1563" spans="18:20" x14ac:dyDescent="0.25">
      <c r="R1563">
        <v>49</v>
      </c>
      <c r="S1563">
        <v>127</v>
      </c>
      <c r="T1563">
        <v>1</v>
      </c>
    </row>
    <row r="1564" spans="18:20" x14ac:dyDescent="0.25">
      <c r="R1564">
        <v>49</v>
      </c>
      <c r="S1564">
        <v>134</v>
      </c>
      <c r="T1564">
        <v>5</v>
      </c>
    </row>
    <row r="1565" spans="18:20" x14ac:dyDescent="0.25">
      <c r="R1565">
        <v>49</v>
      </c>
      <c r="S1565">
        <v>152</v>
      </c>
      <c r="T1565">
        <v>3</v>
      </c>
    </row>
    <row r="1566" spans="18:20" x14ac:dyDescent="0.25">
      <c r="R1566">
        <v>49</v>
      </c>
      <c r="S1566">
        <v>158</v>
      </c>
      <c r="T1566">
        <v>3</v>
      </c>
    </row>
    <row r="1567" spans="18:20" x14ac:dyDescent="0.25">
      <c r="R1567">
        <v>49</v>
      </c>
      <c r="S1567">
        <v>178</v>
      </c>
      <c r="T1567">
        <v>5</v>
      </c>
    </row>
    <row r="1568" spans="18:20" x14ac:dyDescent="0.25">
      <c r="R1568">
        <v>49</v>
      </c>
      <c r="S1568">
        <v>179</v>
      </c>
      <c r="T1568">
        <v>5</v>
      </c>
    </row>
    <row r="1569" spans="18:20" x14ac:dyDescent="0.25">
      <c r="R1569">
        <v>49</v>
      </c>
      <c r="S1569">
        <v>227</v>
      </c>
      <c r="T1569">
        <v>3</v>
      </c>
    </row>
    <row r="1570" spans="18:20" x14ac:dyDescent="0.25">
      <c r="R1570">
        <v>49</v>
      </c>
      <c r="S1570">
        <v>233</v>
      </c>
      <c r="T1570">
        <v>2</v>
      </c>
    </row>
    <row r="1571" spans="18:20" x14ac:dyDescent="0.25">
      <c r="R1571">
        <v>49</v>
      </c>
      <c r="S1571">
        <v>236</v>
      </c>
      <c r="T1571">
        <v>5</v>
      </c>
    </row>
    <row r="1572" spans="18:20" x14ac:dyDescent="0.25">
      <c r="R1572">
        <v>49</v>
      </c>
      <c r="S1572">
        <v>248</v>
      </c>
      <c r="T1572">
        <v>4</v>
      </c>
    </row>
    <row r="1573" spans="18:20" x14ac:dyDescent="0.25">
      <c r="R1573">
        <v>49</v>
      </c>
      <c r="S1573">
        <v>251</v>
      </c>
      <c r="T1573">
        <v>2</v>
      </c>
    </row>
    <row r="1574" spans="18:20" x14ac:dyDescent="0.25">
      <c r="R1574">
        <v>49</v>
      </c>
      <c r="S1574">
        <v>273</v>
      </c>
      <c r="T1574">
        <v>1</v>
      </c>
    </row>
    <row r="1575" spans="18:20" x14ac:dyDescent="0.25">
      <c r="R1575">
        <v>49</v>
      </c>
      <c r="S1575">
        <v>274</v>
      </c>
      <c r="T1575">
        <v>1</v>
      </c>
    </row>
    <row r="1576" spans="18:20" x14ac:dyDescent="0.25">
      <c r="R1576">
        <v>49</v>
      </c>
      <c r="S1576">
        <v>283</v>
      </c>
      <c r="T1576">
        <v>1</v>
      </c>
    </row>
    <row r="1577" spans="18:20" x14ac:dyDescent="0.25">
      <c r="R1577">
        <v>49</v>
      </c>
      <c r="S1577">
        <v>291</v>
      </c>
      <c r="T1577">
        <v>4</v>
      </c>
    </row>
    <row r="1578" spans="18:20" x14ac:dyDescent="0.25">
      <c r="R1578">
        <v>49</v>
      </c>
      <c r="S1578">
        <v>305</v>
      </c>
      <c r="T1578">
        <v>5</v>
      </c>
    </row>
    <row r="1579" spans="18:20" x14ac:dyDescent="0.25">
      <c r="R1579">
        <v>49</v>
      </c>
      <c r="S1579">
        <v>307</v>
      </c>
      <c r="T1579">
        <v>1</v>
      </c>
    </row>
    <row r="1580" spans="18:20" x14ac:dyDescent="0.25">
      <c r="R1580">
        <v>49</v>
      </c>
      <c r="S1580">
        <v>309</v>
      </c>
      <c r="T1580">
        <v>4</v>
      </c>
    </row>
    <row r="1581" spans="18:20" x14ac:dyDescent="0.25">
      <c r="R1581">
        <v>49</v>
      </c>
      <c r="S1581">
        <v>317</v>
      </c>
      <c r="T1581">
        <v>1</v>
      </c>
    </row>
    <row r="1582" spans="18:20" x14ac:dyDescent="0.25">
      <c r="R1582">
        <v>49</v>
      </c>
      <c r="S1582">
        <v>337</v>
      </c>
      <c r="T1582">
        <v>3</v>
      </c>
    </row>
    <row r="1583" spans="18:20" x14ac:dyDescent="0.25">
      <c r="R1583">
        <v>49</v>
      </c>
      <c r="S1583">
        <v>338</v>
      </c>
      <c r="T1583">
        <v>5</v>
      </c>
    </row>
    <row r="1584" spans="18:20" x14ac:dyDescent="0.25">
      <c r="R1584">
        <v>49</v>
      </c>
      <c r="S1584">
        <v>344</v>
      </c>
      <c r="T1584">
        <v>1</v>
      </c>
    </row>
    <row r="1585" spans="18:20" x14ac:dyDescent="0.25">
      <c r="R1585">
        <v>49</v>
      </c>
      <c r="S1585">
        <v>348</v>
      </c>
      <c r="T1585">
        <v>5</v>
      </c>
    </row>
    <row r="1586" spans="18:20" x14ac:dyDescent="0.25">
      <c r="R1586">
        <v>49</v>
      </c>
      <c r="S1586">
        <v>367</v>
      </c>
      <c r="T1586">
        <v>1</v>
      </c>
    </row>
    <row r="1587" spans="18:20" x14ac:dyDescent="0.25">
      <c r="R1587">
        <v>49</v>
      </c>
      <c r="S1587">
        <v>384</v>
      </c>
      <c r="T1587">
        <v>3</v>
      </c>
    </row>
    <row r="1588" spans="18:20" x14ac:dyDescent="0.25">
      <c r="R1588">
        <v>49</v>
      </c>
      <c r="S1588">
        <v>394</v>
      </c>
      <c r="T1588">
        <v>2</v>
      </c>
    </row>
    <row r="1589" spans="18:20" x14ac:dyDescent="0.25">
      <c r="R1589">
        <v>49</v>
      </c>
      <c r="S1589">
        <v>400</v>
      </c>
      <c r="T1589">
        <v>1</v>
      </c>
    </row>
    <row r="1590" spans="18:20" x14ac:dyDescent="0.25">
      <c r="R1590">
        <v>49</v>
      </c>
      <c r="S1590">
        <v>403</v>
      </c>
      <c r="T1590">
        <v>4</v>
      </c>
    </row>
    <row r="1591" spans="18:20" x14ac:dyDescent="0.25">
      <c r="R1591">
        <v>49</v>
      </c>
      <c r="S1591">
        <v>419</v>
      </c>
      <c r="T1591">
        <v>2</v>
      </c>
    </row>
    <row r="1592" spans="18:20" x14ac:dyDescent="0.25">
      <c r="R1592">
        <v>49</v>
      </c>
      <c r="S1592">
        <v>423</v>
      </c>
      <c r="T1592">
        <v>4</v>
      </c>
    </row>
    <row r="1593" spans="18:20" x14ac:dyDescent="0.25">
      <c r="R1593">
        <v>49</v>
      </c>
      <c r="S1593">
        <v>424</v>
      </c>
      <c r="T1593">
        <v>4</v>
      </c>
    </row>
    <row r="1594" spans="18:20" x14ac:dyDescent="0.25">
      <c r="R1594">
        <v>50</v>
      </c>
      <c r="S1594">
        <v>8</v>
      </c>
      <c r="T1594">
        <v>3</v>
      </c>
    </row>
    <row r="1595" spans="18:20" x14ac:dyDescent="0.25">
      <c r="R1595">
        <v>50</v>
      </c>
      <c r="S1595">
        <v>27</v>
      </c>
      <c r="T1595">
        <v>3</v>
      </c>
    </row>
    <row r="1596" spans="18:20" x14ac:dyDescent="0.25">
      <c r="R1596">
        <v>50</v>
      </c>
      <c r="S1596">
        <v>28</v>
      </c>
      <c r="T1596">
        <v>3</v>
      </c>
    </row>
    <row r="1597" spans="18:20" x14ac:dyDescent="0.25">
      <c r="R1597">
        <v>50</v>
      </c>
      <c r="S1597">
        <v>34</v>
      </c>
      <c r="T1597">
        <v>4</v>
      </c>
    </row>
    <row r="1598" spans="18:20" x14ac:dyDescent="0.25">
      <c r="R1598">
        <v>50</v>
      </c>
      <c r="S1598">
        <v>35</v>
      </c>
      <c r="T1598">
        <v>2</v>
      </c>
    </row>
    <row r="1599" spans="18:20" x14ac:dyDescent="0.25">
      <c r="R1599">
        <v>50</v>
      </c>
      <c r="S1599">
        <v>41</v>
      </c>
      <c r="T1599">
        <v>4</v>
      </c>
    </row>
    <row r="1600" spans="18:20" x14ac:dyDescent="0.25">
      <c r="R1600">
        <v>50</v>
      </c>
      <c r="S1600">
        <v>46</v>
      </c>
      <c r="T1600">
        <v>2</v>
      </c>
    </row>
    <row r="1601" spans="18:20" x14ac:dyDescent="0.25">
      <c r="R1601">
        <v>50</v>
      </c>
      <c r="S1601">
        <v>81</v>
      </c>
      <c r="T1601">
        <v>4</v>
      </c>
    </row>
    <row r="1602" spans="18:20" x14ac:dyDescent="0.25">
      <c r="R1602">
        <v>50</v>
      </c>
      <c r="S1602">
        <v>89</v>
      </c>
      <c r="T1602">
        <v>5</v>
      </c>
    </row>
    <row r="1603" spans="18:20" x14ac:dyDescent="0.25">
      <c r="R1603">
        <v>50</v>
      </c>
      <c r="S1603">
        <v>109</v>
      </c>
      <c r="T1603">
        <v>5</v>
      </c>
    </row>
    <row r="1604" spans="18:20" x14ac:dyDescent="0.25">
      <c r="R1604">
        <v>50</v>
      </c>
      <c r="S1604">
        <v>110</v>
      </c>
      <c r="T1604">
        <v>1</v>
      </c>
    </row>
    <row r="1605" spans="18:20" x14ac:dyDescent="0.25">
      <c r="R1605">
        <v>50</v>
      </c>
      <c r="S1605">
        <v>151</v>
      </c>
      <c r="T1605">
        <v>2</v>
      </c>
    </row>
    <row r="1606" spans="18:20" x14ac:dyDescent="0.25">
      <c r="R1606">
        <v>50</v>
      </c>
      <c r="S1606">
        <v>168</v>
      </c>
      <c r="T1606">
        <v>2</v>
      </c>
    </row>
    <row r="1607" spans="18:20" x14ac:dyDescent="0.25">
      <c r="R1607">
        <v>50</v>
      </c>
      <c r="S1607">
        <v>170</v>
      </c>
      <c r="T1607">
        <v>2</v>
      </c>
    </row>
    <row r="1608" spans="18:20" x14ac:dyDescent="0.25">
      <c r="R1608">
        <v>50</v>
      </c>
      <c r="S1608">
        <v>180</v>
      </c>
      <c r="T1608">
        <v>5</v>
      </c>
    </row>
    <row r="1609" spans="18:20" x14ac:dyDescent="0.25">
      <c r="R1609">
        <v>50</v>
      </c>
      <c r="S1609">
        <v>181</v>
      </c>
      <c r="T1609">
        <v>3</v>
      </c>
    </row>
    <row r="1610" spans="18:20" x14ac:dyDescent="0.25">
      <c r="R1610">
        <v>50</v>
      </c>
      <c r="S1610">
        <v>191</v>
      </c>
      <c r="T1610">
        <v>1</v>
      </c>
    </row>
    <row r="1611" spans="18:20" x14ac:dyDescent="0.25">
      <c r="R1611">
        <v>50</v>
      </c>
      <c r="S1611">
        <v>207</v>
      </c>
      <c r="T1611">
        <v>1</v>
      </c>
    </row>
    <row r="1612" spans="18:20" x14ac:dyDescent="0.25">
      <c r="R1612">
        <v>50</v>
      </c>
      <c r="S1612">
        <v>216</v>
      </c>
      <c r="T1612">
        <v>1</v>
      </c>
    </row>
    <row r="1613" spans="18:20" x14ac:dyDescent="0.25">
      <c r="R1613">
        <v>50</v>
      </c>
      <c r="S1613">
        <v>218</v>
      </c>
      <c r="T1613">
        <v>2</v>
      </c>
    </row>
    <row r="1614" spans="18:20" x14ac:dyDescent="0.25">
      <c r="R1614">
        <v>50</v>
      </c>
      <c r="S1614">
        <v>257</v>
      </c>
      <c r="T1614">
        <v>2</v>
      </c>
    </row>
    <row r="1615" spans="18:20" x14ac:dyDescent="0.25">
      <c r="R1615">
        <v>50</v>
      </c>
      <c r="S1615">
        <v>289</v>
      </c>
      <c r="T1615">
        <v>3</v>
      </c>
    </row>
    <row r="1616" spans="18:20" x14ac:dyDescent="0.25">
      <c r="R1616">
        <v>50</v>
      </c>
      <c r="S1616">
        <v>314</v>
      </c>
      <c r="T1616">
        <v>2</v>
      </c>
    </row>
    <row r="1617" spans="18:20" x14ac:dyDescent="0.25">
      <c r="R1617">
        <v>50</v>
      </c>
      <c r="S1617">
        <v>323</v>
      </c>
      <c r="T1617">
        <v>2</v>
      </c>
    </row>
    <row r="1618" spans="18:20" x14ac:dyDescent="0.25">
      <c r="R1618">
        <v>50</v>
      </c>
      <c r="S1618">
        <v>357</v>
      </c>
      <c r="T1618">
        <v>4</v>
      </c>
    </row>
    <row r="1619" spans="18:20" x14ac:dyDescent="0.25">
      <c r="R1619">
        <v>50</v>
      </c>
      <c r="S1619">
        <v>374</v>
      </c>
      <c r="T1619">
        <v>2</v>
      </c>
    </row>
    <row r="1620" spans="18:20" x14ac:dyDescent="0.25">
      <c r="R1620">
        <v>50</v>
      </c>
      <c r="S1620">
        <v>400</v>
      </c>
      <c r="T1620">
        <v>5</v>
      </c>
    </row>
    <row r="1621" spans="18:20" x14ac:dyDescent="0.25">
      <c r="R1621">
        <v>50</v>
      </c>
      <c r="S1621">
        <v>424</v>
      </c>
      <c r="T1621">
        <v>2</v>
      </c>
    </row>
    <row r="1622" spans="18:20" x14ac:dyDescent="0.25">
      <c r="R1622">
        <v>50</v>
      </c>
      <c r="S1622">
        <v>436</v>
      </c>
      <c r="T1622">
        <v>5</v>
      </c>
    </row>
    <row r="1623" spans="18:20" x14ac:dyDescent="0.25">
      <c r="R1623">
        <v>51</v>
      </c>
      <c r="S1623">
        <v>16</v>
      </c>
      <c r="T1623">
        <v>1</v>
      </c>
    </row>
    <row r="1624" spans="18:20" x14ac:dyDescent="0.25">
      <c r="R1624">
        <v>51</v>
      </c>
      <c r="S1624">
        <v>19</v>
      </c>
      <c r="T1624">
        <v>1</v>
      </c>
    </row>
    <row r="1625" spans="18:20" x14ac:dyDescent="0.25">
      <c r="R1625">
        <v>51</v>
      </c>
      <c r="S1625">
        <v>33</v>
      </c>
      <c r="T1625">
        <v>3</v>
      </c>
    </row>
    <row r="1626" spans="18:20" x14ac:dyDescent="0.25">
      <c r="R1626">
        <v>51</v>
      </c>
      <c r="S1626">
        <v>45</v>
      </c>
      <c r="T1626">
        <v>2</v>
      </c>
    </row>
    <row r="1627" spans="18:20" x14ac:dyDescent="0.25">
      <c r="R1627">
        <v>51</v>
      </c>
      <c r="S1627">
        <v>46</v>
      </c>
      <c r="T1627">
        <v>2</v>
      </c>
    </row>
    <row r="1628" spans="18:20" x14ac:dyDescent="0.25">
      <c r="R1628">
        <v>51</v>
      </c>
      <c r="S1628">
        <v>73</v>
      </c>
      <c r="T1628">
        <v>5</v>
      </c>
    </row>
    <row r="1629" spans="18:20" x14ac:dyDescent="0.25">
      <c r="R1629">
        <v>51</v>
      </c>
      <c r="S1629">
        <v>74</v>
      </c>
      <c r="T1629">
        <v>2</v>
      </c>
    </row>
    <row r="1630" spans="18:20" x14ac:dyDescent="0.25">
      <c r="R1630">
        <v>51</v>
      </c>
      <c r="S1630">
        <v>93</v>
      </c>
      <c r="T1630">
        <v>1</v>
      </c>
    </row>
    <row r="1631" spans="18:20" x14ac:dyDescent="0.25">
      <c r="R1631">
        <v>51</v>
      </c>
      <c r="S1631">
        <v>107</v>
      </c>
      <c r="T1631">
        <v>2</v>
      </c>
    </row>
    <row r="1632" spans="18:20" x14ac:dyDescent="0.25">
      <c r="R1632">
        <v>51</v>
      </c>
      <c r="S1632">
        <v>141</v>
      </c>
      <c r="T1632">
        <v>4</v>
      </c>
    </row>
    <row r="1633" spans="18:20" x14ac:dyDescent="0.25">
      <c r="R1633">
        <v>51</v>
      </c>
      <c r="S1633">
        <v>144</v>
      </c>
      <c r="T1633">
        <v>1</v>
      </c>
    </row>
    <row r="1634" spans="18:20" x14ac:dyDescent="0.25">
      <c r="R1634">
        <v>51</v>
      </c>
      <c r="S1634">
        <v>149</v>
      </c>
      <c r="T1634">
        <v>4</v>
      </c>
    </row>
    <row r="1635" spans="18:20" x14ac:dyDescent="0.25">
      <c r="R1635">
        <v>51</v>
      </c>
      <c r="S1635">
        <v>160</v>
      </c>
      <c r="T1635">
        <v>3</v>
      </c>
    </row>
    <row r="1636" spans="18:20" x14ac:dyDescent="0.25">
      <c r="R1636">
        <v>51</v>
      </c>
      <c r="S1636">
        <v>176</v>
      </c>
      <c r="T1636">
        <v>2</v>
      </c>
    </row>
    <row r="1637" spans="18:20" x14ac:dyDescent="0.25">
      <c r="R1637">
        <v>51</v>
      </c>
      <c r="S1637">
        <v>220</v>
      </c>
      <c r="T1637">
        <v>3</v>
      </c>
    </row>
    <row r="1638" spans="18:20" x14ac:dyDescent="0.25">
      <c r="R1638">
        <v>51</v>
      </c>
      <c r="S1638">
        <v>268</v>
      </c>
      <c r="T1638">
        <v>5</v>
      </c>
    </row>
    <row r="1639" spans="18:20" x14ac:dyDescent="0.25">
      <c r="R1639">
        <v>51</v>
      </c>
      <c r="S1639">
        <v>276</v>
      </c>
      <c r="T1639">
        <v>4</v>
      </c>
    </row>
    <row r="1640" spans="18:20" x14ac:dyDescent="0.25">
      <c r="R1640">
        <v>51</v>
      </c>
      <c r="S1640">
        <v>277</v>
      </c>
      <c r="T1640">
        <v>3</v>
      </c>
    </row>
    <row r="1641" spans="18:20" x14ac:dyDescent="0.25">
      <c r="R1641">
        <v>51</v>
      </c>
      <c r="S1641">
        <v>289</v>
      </c>
      <c r="T1641">
        <v>2</v>
      </c>
    </row>
    <row r="1642" spans="18:20" x14ac:dyDescent="0.25">
      <c r="R1642">
        <v>51</v>
      </c>
      <c r="S1642">
        <v>312</v>
      </c>
      <c r="T1642">
        <v>2</v>
      </c>
    </row>
    <row r="1643" spans="18:20" x14ac:dyDescent="0.25">
      <c r="R1643">
        <v>51</v>
      </c>
      <c r="S1643">
        <v>314</v>
      </c>
      <c r="T1643">
        <v>3</v>
      </c>
    </row>
    <row r="1644" spans="18:20" x14ac:dyDescent="0.25">
      <c r="R1644">
        <v>51</v>
      </c>
      <c r="S1644">
        <v>322</v>
      </c>
      <c r="T1644">
        <v>2</v>
      </c>
    </row>
    <row r="1645" spans="18:20" x14ac:dyDescent="0.25">
      <c r="R1645">
        <v>51</v>
      </c>
      <c r="S1645">
        <v>329</v>
      </c>
      <c r="T1645">
        <v>1</v>
      </c>
    </row>
    <row r="1646" spans="18:20" x14ac:dyDescent="0.25">
      <c r="R1646">
        <v>51</v>
      </c>
      <c r="S1646">
        <v>341</v>
      </c>
      <c r="T1646">
        <v>5</v>
      </c>
    </row>
    <row r="1647" spans="18:20" x14ac:dyDescent="0.25">
      <c r="R1647">
        <v>51</v>
      </c>
      <c r="S1647">
        <v>343</v>
      </c>
      <c r="T1647">
        <v>5</v>
      </c>
    </row>
    <row r="1648" spans="18:20" x14ac:dyDescent="0.25">
      <c r="R1648">
        <v>51</v>
      </c>
      <c r="S1648">
        <v>354</v>
      </c>
      <c r="T1648">
        <v>4</v>
      </c>
    </row>
    <row r="1649" spans="18:20" x14ac:dyDescent="0.25">
      <c r="R1649">
        <v>51</v>
      </c>
      <c r="S1649">
        <v>356</v>
      </c>
      <c r="T1649">
        <v>5</v>
      </c>
    </row>
    <row r="1650" spans="18:20" x14ac:dyDescent="0.25">
      <c r="R1650">
        <v>51</v>
      </c>
      <c r="S1650">
        <v>387</v>
      </c>
      <c r="T1650">
        <v>2</v>
      </c>
    </row>
    <row r="1651" spans="18:20" x14ac:dyDescent="0.25">
      <c r="R1651">
        <v>51</v>
      </c>
      <c r="S1651">
        <v>387</v>
      </c>
      <c r="T1651">
        <v>3</v>
      </c>
    </row>
    <row r="1652" spans="18:20" x14ac:dyDescent="0.25">
      <c r="R1652">
        <v>51</v>
      </c>
      <c r="S1652">
        <v>416</v>
      </c>
      <c r="T1652">
        <v>4</v>
      </c>
    </row>
    <row r="1653" spans="18:20" x14ac:dyDescent="0.25">
      <c r="R1653">
        <v>51</v>
      </c>
      <c r="S1653">
        <v>420</v>
      </c>
      <c r="T1653">
        <v>5</v>
      </c>
    </row>
    <row r="1654" spans="18:20" x14ac:dyDescent="0.25">
      <c r="R1654">
        <v>51</v>
      </c>
      <c r="S1654">
        <v>432</v>
      </c>
      <c r="T1654">
        <v>5</v>
      </c>
    </row>
    <row r="1655" spans="18:20" x14ac:dyDescent="0.25">
      <c r="R1655">
        <v>52</v>
      </c>
      <c r="S1655">
        <v>13</v>
      </c>
      <c r="T1655">
        <v>1</v>
      </c>
    </row>
    <row r="1656" spans="18:20" x14ac:dyDescent="0.25">
      <c r="R1656">
        <v>52</v>
      </c>
      <c r="S1656">
        <v>35</v>
      </c>
      <c r="T1656">
        <v>5</v>
      </c>
    </row>
    <row r="1657" spans="18:20" x14ac:dyDescent="0.25">
      <c r="R1657">
        <v>52</v>
      </c>
      <c r="S1657">
        <v>47</v>
      </c>
      <c r="T1657">
        <v>5</v>
      </c>
    </row>
    <row r="1658" spans="18:20" x14ac:dyDescent="0.25">
      <c r="R1658">
        <v>52</v>
      </c>
      <c r="S1658">
        <v>52</v>
      </c>
      <c r="T1658">
        <v>2</v>
      </c>
    </row>
    <row r="1659" spans="18:20" x14ac:dyDescent="0.25">
      <c r="R1659">
        <v>52</v>
      </c>
      <c r="S1659">
        <v>53</v>
      </c>
      <c r="T1659">
        <v>5</v>
      </c>
    </row>
    <row r="1660" spans="18:20" x14ac:dyDescent="0.25">
      <c r="R1660">
        <v>52</v>
      </c>
      <c r="S1660">
        <v>55</v>
      </c>
      <c r="T1660">
        <v>2</v>
      </c>
    </row>
    <row r="1661" spans="18:20" x14ac:dyDescent="0.25">
      <c r="R1661">
        <v>52</v>
      </c>
      <c r="S1661">
        <v>70</v>
      </c>
      <c r="T1661">
        <v>5</v>
      </c>
    </row>
    <row r="1662" spans="18:20" x14ac:dyDescent="0.25">
      <c r="R1662">
        <v>52</v>
      </c>
      <c r="S1662">
        <v>85</v>
      </c>
      <c r="T1662">
        <v>1</v>
      </c>
    </row>
    <row r="1663" spans="18:20" x14ac:dyDescent="0.25">
      <c r="R1663">
        <v>52</v>
      </c>
      <c r="S1663">
        <v>112</v>
      </c>
      <c r="T1663">
        <v>5</v>
      </c>
    </row>
    <row r="1664" spans="18:20" x14ac:dyDescent="0.25">
      <c r="R1664">
        <v>52</v>
      </c>
      <c r="S1664">
        <v>202</v>
      </c>
      <c r="T1664">
        <v>4</v>
      </c>
    </row>
    <row r="1665" spans="18:20" x14ac:dyDescent="0.25">
      <c r="R1665">
        <v>52</v>
      </c>
      <c r="S1665">
        <v>203</v>
      </c>
      <c r="T1665">
        <v>5</v>
      </c>
    </row>
    <row r="1666" spans="18:20" x14ac:dyDescent="0.25">
      <c r="R1666">
        <v>52</v>
      </c>
      <c r="S1666">
        <v>216</v>
      </c>
      <c r="T1666">
        <v>2</v>
      </c>
    </row>
    <row r="1667" spans="18:20" x14ac:dyDescent="0.25">
      <c r="R1667">
        <v>52</v>
      </c>
      <c r="S1667">
        <v>217</v>
      </c>
      <c r="T1667">
        <v>4</v>
      </c>
    </row>
    <row r="1668" spans="18:20" x14ac:dyDescent="0.25">
      <c r="R1668">
        <v>52</v>
      </c>
      <c r="S1668">
        <v>261</v>
      </c>
      <c r="T1668">
        <v>5</v>
      </c>
    </row>
    <row r="1669" spans="18:20" x14ac:dyDescent="0.25">
      <c r="R1669">
        <v>52</v>
      </c>
      <c r="S1669">
        <v>275</v>
      </c>
      <c r="T1669">
        <v>2</v>
      </c>
    </row>
    <row r="1670" spans="18:20" x14ac:dyDescent="0.25">
      <c r="R1670">
        <v>52</v>
      </c>
      <c r="S1670">
        <v>277</v>
      </c>
      <c r="T1670">
        <v>4</v>
      </c>
    </row>
    <row r="1671" spans="18:20" x14ac:dyDescent="0.25">
      <c r="R1671">
        <v>52</v>
      </c>
      <c r="S1671">
        <v>280</v>
      </c>
      <c r="T1671">
        <v>1</v>
      </c>
    </row>
    <row r="1672" spans="18:20" x14ac:dyDescent="0.25">
      <c r="R1672">
        <v>52</v>
      </c>
      <c r="S1672">
        <v>320</v>
      </c>
      <c r="T1672">
        <v>4</v>
      </c>
    </row>
    <row r="1673" spans="18:20" x14ac:dyDescent="0.25">
      <c r="R1673">
        <v>52</v>
      </c>
      <c r="S1673">
        <v>324</v>
      </c>
      <c r="T1673">
        <v>1</v>
      </c>
    </row>
    <row r="1674" spans="18:20" x14ac:dyDescent="0.25">
      <c r="R1674">
        <v>52</v>
      </c>
      <c r="S1674">
        <v>328</v>
      </c>
      <c r="T1674">
        <v>2</v>
      </c>
    </row>
    <row r="1675" spans="18:20" x14ac:dyDescent="0.25">
      <c r="R1675">
        <v>52</v>
      </c>
      <c r="S1675">
        <v>329</v>
      </c>
      <c r="T1675">
        <v>4</v>
      </c>
    </row>
    <row r="1676" spans="18:20" x14ac:dyDescent="0.25">
      <c r="R1676">
        <v>52</v>
      </c>
      <c r="S1676">
        <v>330</v>
      </c>
      <c r="T1676">
        <v>4</v>
      </c>
    </row>
    <row r="1677" spans="18:20" x14ac:dyDescent="0.25">
      <c r="R1677">
        <v>52</v>
      </c>
      <c r="S1677">
        <v>343</v>
      </c>
      <c r="T1677">
        <v>2</v>
      </c>
    </row>
    <row r="1678" spans="18:20" x14ac:dyDescent="0.25">
      <c r="R1678">
        <v>52</v>
      </c>
      <c r="S1678">
        <v>351</v>
      </c>
      <c r="T1678">
        <v>1</v>
      </c>
    </row>
    <row r="1679" spans="18:20" x14ac:dyDescent="0.25">
      <c r="R1679">
        <v>52</v>
      </c>
      <c r="S1679">
        <v>365</v>
      </c>
      <c r="T1679">
        <v>4</v>
      </c>
    </row>
    <row r="1680" spans="18:20" x14ac:dyDescent="0.25">
      <c r="R1680">
        <v>52</v>
      </c>
      <c r="S1680">
        <v>387</v>
      </c>
      <c r="T1680">
        <v>5</v>
      </c>
    </row>
    <row r="1681" spans="18:20" x14ac:dyDescent="0.25">
      <c r="R1681">
        <v>52</v>
      </c>
      <c r="S1681">
        <v>388</v>
      </c>
      <c r="T1681">
        <v>2</v>
      </c>
    </row>
    <row r="1682" spans="18:20" x14ac:dyDescent="0.25">
      <c r="R1682">
        <v>52</v>
      </c>
      <c r="S1682">
        <v>416</v>
      </c>
      <c r="T1682">
        <v>1</v>
      </c>
    </row>
    <row r="1683" spans="18:20" x14ac:dyDescent="0.25">
      <c r="R1683">
        <v>52</v>
      </c>
      <c r="S1683">
        <v>435</v>
      </c>
      <c r="T1683">
        <v>2</v>
      </c>
    </row>
    <row r="1684" spans="18:20" x14ac:dyDescent="0.25">
      <c r="R1684">
        <v>53</v>
      </c>
      <c r="S1684">
        <v>4</v>
      </c>
      <c r="T1684">
        <v>2</v>
      </c>
    </row>
    <row r="1685" spans="18:20" x14ac:dyDescent="0.25">
      <c r="R1685">
        <v>53</v>
      </c>
      <c r="S1685">
        <v>5</v>
      </c>
      <c r="T1685">
        <v>4</v>
      </c>
    </row>
    <row r="1686" spans="18:20" x14ac:dyDescent="0.25">
      <c r="R1686">
        <v>53</v>
      </c>
      <c r="S1686">
        <v>23</v>
      </c>
      <c r="T1686">
        <v>1</v>
      </c>
    </row>
    <row r="1687" spans="18:20" x14ac:dyDescent="0.25">
      <c r="R1687">
        <v>53</v>
      </c>
      <c r="S1687">
        <v>28</v>
      </c>
      <c r="T1687">
        <v>5</v>
      </c>
    </row>
    <row r="1688" spans="18:20" x14ac:dyDescent="0.25">
      <c r="R1688">
        <v>53</v>
      </c>
      <c r="S1688">
        <v>43</v>
      </c>
      <c r="T1688">
        <v>2</v>
      </c>
    </row>
    <row r="1689" spans="18:20" x14ac:dyDescent="0.25">
      <c r="R1689">
        <v>53</v>
      </c>
      <c r="S1689">
        <v>45</v>
      </c>
      <c r="T1689">
        <v>5</v>
      </c>
    </row>
    <row r="1690" spans="18:20" x14ac:dyDescent="0.25">
      <c r="R1690">
        <v>53</v>
      </c>
      <c r="S1690">
        <v>48</v>
      </c>
      <c r="T1690">
        <v>4</v>
      </c>
    </row>
    <row r="1691" spans="18:20" x14ac:dyDescent="0.25">
      <c r="R1691">
        <v>53</v>
      </c>
      <c r="S1691">
        <v>48</v>
      </c>
      <c r="T1691">
        <v>5</v>
      </c>
    </row>
    <row r="1692" spans="18:20" x14ac:dyDescent="0.25">
      <c r="R1692">
        <v>53</v>
      </c>
      <c r="S1692">
        <v>57</v>
      </c>
      <c r="T1692">
        <v>1</v>
      </c>
    </row>
    <row r="1693" spans="18:20" x14ac:dyDescent="0.25">
      <c r="R1693">
        <v>53</v>
      </c>
      <c r="S1693">
        <v>65</v>
      </c>
      <c r="T1693">
        <v>4</v>
      </c>
    </row>
    <row r="1694" spans="18:20" x14ac:dyDescent="0.25">
      <c r="R1694">
        <v>53</v>
      </c>
      <c r="S1694">
        <v>102</v>
      </c>
      <c r="T1694">
        <v>1</v>
      </c>
    </row>
    <row r="1695" spans="18:20" x14ac:dyDescent="0.25">
      <c r="R1695">
        <v>53</v>
      </c>
      <c r="S1695">
        <v>103</v>
      </c>
      <c r="T1695">
        <v>2</v>
      </c>
    </row>
    <row r="1696" spans="18:20" x14ac:dyDescent="0.25">
      <c r="R1696">
        <v>53</v>
      </c>
      <c r="S1696">
        <v>109</v>
      </c>
      <c r="T1696">
        <v>2</v>
      </c>
    </row>
    <row r="1697" spans="18:20" x14ac:dyDescent="0.25">
      <c r="R1697">
        <v>53</v>
      </c>
      <c r="S1697">
        <v>123</v>
      </c>
      <c r="T1697">
        <v>2</v>
      </c>
    </row>
    <row r="1698" spans="18:20" x14ac:dyDescent="0.25">
      <c r="R1698">
        <v>53</v>
      </c>
      <c r="S1698">
        <v>135</v>
      </c>
      <c r="T1698">
        <v>5</v>
      </c>
    </row>
    <row r="1699" spans="18:20" x14ac:dyDescent="0.25">
      <c r="R1699">
        <v>53</v>
      </c>
      <c r="S1699">
        <v>163</v>
      </c>
      <c r="T1699">
        <v>1</v>
      </c>
    </row>
    <row r="1700" spans="18:20" x14ac:dyDescent="0.25">
      <c r="R1700">
        <v>53</v>
      </c>
      <c r="S1700">
        <v>173</v>
      </c>
      <c r="T1700">
        <v>2</v>
      </c>
    </row>
    <row r="1701" spans="18:20" x14ac:dyDescent="0.25">
      <c r="R1701">
        <v>53</v>
      </c>
      <c r="S1701">
        <v>174</v>
      </c>
      <c r="T1701">
        <v>2</v>
      </c>
    </row>
    <row r="1702" spans="18:20" x14ac:dyDescent="0.25">
      <c r="R1702">
        <v>53</v>
      </c>
      <c r="S1702">
        <v>177</v>
      </c>
      <c r="T1702">
        <v>5</v>
      </c>
    </row>
    <row r="1703" spans="18:20" x14ac:dyDescent="0.25">
      <c r="R1703">
        <v>53</v>
      </c>
      <c r="S1703">
        <v>190</v>
      </c>
      <c r="T1703">
        <v>4</v>
      </c>
    </row>
    <row r="1704" spans="18:20" x14ac:dyDescent="0.25">
      <c r="R1704">
        <v>53</v>
      </c>
      <c r="S1704">
        <v>193</v>
      </c>
      <c r="T1704">
        <v>1</v>
      </c>
    </row>
    <row r="1705" spans="18:20" x14ac:dyDescent="0.25">
      <c r="R1705">
        <v>53</v>
      </c>
      <c r="S1705">
        <v>207</v>
      </c>
      <c r="T1705">
        <v>3</v>
      </c>
    </row>
    <row r="1706" spans="18:20" x14ac:dyDescent="0.25">
      <c r="R1706">
        <v>53</v>
      </c>
      <c r="S1706">
        <v>207</v>
      </c>
      <c r="T1706">
        <v>1</v>
      </c>
    </row>
    <row r="1707" spans="18:20" x14ac:dyDescent="0.25">
      <c r="R1707">
        <v>53</v>
      </c>
      <c r="S1707">
        <v>216</v>
      </c>
      <c r="T1707">
        <v>3</v>
      </c>
    </row>
    <row r="1708" spans="18:20" x14ac:dyDescent="0.25">
      <c r="R1708">
        <v>53</v>
      </c>
      <c r="S1708">
        <v>219</v>
      </c>
      <c r="T1708">
        <v>5</v>
      </c>
    </row>
    <row r="1709" spans="18:20" x14ac:dyDescent="0.25">
      <c r="R1709">
        <v>53</v>
      </c>
      <c r="S1709">
        <v>240</v>
      </c>
      <c r="T1709">
        <v>2</v>
      </c>
    </row>
    <row r="1710" spans="18:20" x14ac:dyDescent="0.25">
      <c r="R1710">
        <v>53</v>
      </c>
      <c r="S1710">
        <v>242</v>
      </c>
      <c r="T1710">
        <v>5</v>
      </c>
    </row>
    <row r="1711" spans="18:20" x14ac:dyDescent="0.25">
      <c r="R1711">
        <v>53</v>
      </c>
      <c r="S1711">
        <v>279</v>
      </c>
      <c r="T1711">
        <v>3</v>
      </c>
    </row>
    <row r="1712" spans="18:20" x14ac:dyDescent="0.25">
      <c r="R1712">
        <v>53</v>
      </c>
      <c r="S1712">
        <v>283</v>
      </c>
      <c r="T1712">
        <v>5</v>
      </c>
    </row>
    <row r="1713" spans="18:20" x14ac:dyDescent="0.25">
      <c r="R1713">
        <v>53</v>
      </c>
      <c r="S1713">
        <v>285</v>
      </c>
      <c r="T1713">
        <v>4</v>
      </c>
    </row>
    <row r="1714" spans="18:20" x14ac:dyDescent="0.25">
      <c r="R1714">
        <v>53</v>
      </c>
      <c r="S1714">
        <v>286</v>
      </c>
      <c r="T1714">
        <v>2</v>
      </c>
    </row>
    <row r="1715" spans="18:20" x14ac:dyDescent="0.25">
      <c r="R1715">
        <v>53</v>
      </c>
      <c r="S1715">
        <v>288</v>
      </c>
      <c r="T1715">
        <v>2</v>
      </c>
    </row>
    <row r="1716" spans="18:20" x14ac:dyDescent="0.25">
      <c r="R1716">
        <v>53</v>
      </c>
      <c r="S1716">
        <v>295</v>
      </c>
      <c r="T1716">
        <v>2</v>
      </c>
    </row>
    <row r="1717" spans="18:20" x14ac:dyDescent="0.25">
      <c r="R1717">
        <v>53</v>
      </c>
      <c r="S1717">
        <v>295</v>
      </c>
      <c r="T1717">
        <v>1</v>
      </c>
    </row>
    <row r="1718" spans="18:20" x14ac:dyDescent="0.25">
      <c r="R1718">
        <v>53</v>
      </c>
      <c r="S1718">
        <v>312</v>
      </c>
      <c r="T1718">
        <v>2</v>
      </c>
    </row>
    <row r="1719" spans="18:20" x14ac:dyDescent="0.25">
      <c r="R1719">
        <v>53</v>
      </c>
      <c r="S1719">
        <v>330</v>
      </c>
      <c r="T1719">
        <v>5</v>
      </c>
    </row>
    <row r="1720" spans="18:20" x14ac:dyDescent="0.25">
      <c r="R1720">
        <v>53</v>
      </c>
      <c r="S1720">
        <v>345</v>
      </c>
      <c r="T1720">
        <v>5</v>
      </c>
    </row>
    <row r="1721" spans="18:20" x14ac:dyDescent="0.25">
      <c r="R1721">
        <v>53</v>
      </c>
      <c r="S1721">
        <v>347</v>
      </c>
      <c r="T1721">
        <v>2</v>
      </c>
    </row>
    <row r="1722" spans="18:20" x14ac:dyDescent="0.25">
      <c r="R1722">
        <v>53</v>
      </c>
      <c r="S1722">
        <v>375</v>
      </c>
      <c r="T1722">
        <v>1</v>
      </c>
    </row>
    <row r="1723" spans="18:20" x14ac:dyDescent="0.25">
      <c r="R1723">
        <v>53</v>
      </c>
      <c r="S1723">
        <v>397</v>
      </c>
      <c r="T1723">
        <v>3</v>
      </c>
    </row>
    <row r="1724" spans="18:20" x14ac:dyDescent="0.25">
      <c r="R1724">
        <v>53</v>
      </c>
      <c r="S1724">
        <v>415</v>
      </c>
      <c r="T1724">
        <v>5</v>
      </c>
    </row>
    <row r="1725" spans="18:20" x14ac:dyDescent="0.25">
      <c r="R1725">
        <v>54</v>
      </c>
      <c r="S1725">
        <v>16</v>
      </c>
      <c r="T1725">
        <v>3</v>
      </c>
    </row>
    <row r="1726" spans="18:20" x14ac:dyDescent="0.25">
      <c r="R1726">
        <v>54</v>
      </c>
      <c r="S1726">
        <v>16</v>
      </c>
      <c r="T1726">
        <v>1</v>
      </c>
    </row>
    <row r="1727" spans="18:20" x14ac:dyDescent="0.25">
      <c r="R1727">
        <v>54</v>
      </c>
      <c r="S1727">
        <v>24</v>
      </c>
      <c r="T1727">
        <v>4</v>
      </c>
    </row>
    <row r="1728" spans="18:20" x14ac:dyDescent="0.25">
      <c r="R1728">
        <v>54</v>
      </c>
      <c r="S1728">
        <v>24</v>
      </c>
      <c r="T1728">
        <v>2</v>
      </c>
    </row>
    <row r="1729" spans="18:20" x14ac:dyDescent="0.25">
      <c r="R1729">
        <v>54</v>
      </c>
      <c r="S1729">
        <v>51</v>
      </c>
      <c r="T1729">
        <v>3</v>
      </c>
    </row>
    <row r="1730" spans="18:20" x14ac:dyDescent="0.25">
      <c r="R1730">
        <v>54</v>
      </c>
      <c r="S1730">
        <v>74</v>
      </c>
      <c r="T1730">
        <v>1</v>
      </c>
    </row>
    <row r="1731" spans="18:20" x14ac:dyDescent="0.25">
      <c r="R1731">
        <v>54</v>
      </c>
      <c r="S1731">
        <v>103</v>
      </c>
      <c r="T1731">
        <v>3</v>
      </c>
    </row>
    <row r="1732" spans="18:20" x14ac:dyDescent="0.25">
      <c r="R1732">
        <v>54</v>
      </c>
      <c r="S1732">
        <v>103</v>
      </c>
      <c r="T1732">
        <v>4</v>
      </c>
    </row>
    <row r="1733" spans="18:20" x14ac:dyDescent="0.25">
      <c r="R1733">
        <v>54</v>
      </c>
      <c r="S1733">
        <v>114</v>
      </c>
      <c r="T1733">
        <v>2</v>
      </c>
    </row>
    <row r="1734" spans="18:20" x14ac:dyDescent="0.25">
      <c r="R1734">
        <v>54</v>
      </c>
      <c r="S1734">
        <v>121</v>
      </c>
      <c r="T1734">
        <v>1</v>
      </c>
    </row>
    <row r="1735" spans="18:20" x14ac:dyDescent="0.25">
      <c r="R1735">
        <v>54</v>
      </c>
      <c r="S1735">
        <v>127</v>
      </c>
      <c r="T1735">
        <v>1</v>
      </c>
    </row>
    <row r="1736" spans="18:20" x14ac:dyDescent="0.25">
      <c r="R1736">
        <v>54</v>
      </c>
      <c r="S1736">
        <v>135</v>
      </c>
      <c r="T1736">
        <v>2</v>
      </c>
    </row>
    <row r="1737" spans="18:20" x14ac:dyDescent="0.25">
      <c r="R1737">
        <v>54</v>
      </c>
      <c r="S1737">
        <v>138</v>
      </c>
      <c r="T1737">
        <v>5</v>
      </c>
    </row>
    <row r="1738" spans="18:20" x14ac:dyDescent="0.25">
      <c r="R1738">
        <v>54</v>
      </c>
      <c r="S1738">
        <v>148</v>
      </c>
      <c r="T1738">
        <v>4</v>
      </c>
    </row>
    <row r="1739" spans="18:20" x14ac:dyDescent="0.25">
      <c r="R1739">
        <v>54</v>
      </c>
      <c r="S1739">
        <v>150</v>
      </c>
      <c r="T1739">
        <v>1</v>
      </c>
    </row>
    <row r="1740" spans="18:20" x14ac:dyDescent="0.25">
      <c r="R1740">
        <v>54</v>
      </c>
      <c r="S1740">
        <v>159</v>
      </c>
      <c r="T1740">
        <v>3</v>
      </c>
    </row>
    <row r="1741" spans="18:20" x14ac:dyDescent="0.25">
      <c r="R1741">
        <v>54</v>
      </c>
      <c r="S1741">
        <v>185</v>
      </c>
      <c r="T1741">
        <v>3</v>
      </c>
    </row>
    <row r="1742" spans="18:20" x14ac:dyDescent="0.25">
      <c r="R1742">
        <v>54</v>
      </c>
      <c r="S1742">
        <v>189</v>
      </c>
      <c r="T1742">
        <v>4</v>
      </c>
    </row>
    <row r="1743" spans="18:20" x14ac:dyDescent="0.25">
      <c r="R1743">
        <v>54</v>
      </c>
      <c r="S1743">
        <v>190</v>
      </c>
      <c r="T1743">
        <v>5</v>
      </c>
    </row>
    <row r="1744" spans="18:20" x14ac:dyDescent="0.25">
      <c r="R1744">
        <v>54</v>
      </c>
      <c r="S1744">
        <v>215</v>
      </c>
      <c r="T1744">
        <v>3</v>
      </c>
    </row>
    <row r="1745" spans="18:20" x14ac:dyDescent="0.25">
      <c r="R1745">
        <v>54</v>
      </c>
      <c r="S1745">
        <v>220</v>
      </c>
      <c r="T1745">
        <v>3</v>
      </c>
    </row>
    <row r="1746" spans="18:20" x14ac:dyDescent="0.25">
      <c r="R1746">
        <v>54</v>
      </c>
      <c r="S1746">
        <v>228</v>
      </c>
      <c r="T1746">
        <v>2</v>
      </c>
    </row>
    <row r="1747" spans="18:20" x14ac:dyDescent="0.25">
      <c r="R1747">
        <v>54</v>
      </c>
      <c r="S1747">
        <v>232</v>
      </c>
      <c r="T1747">
        <v>4</v>
      </c>
    </row>
    <row r="1748" spans="18:20" x14ac:dyDescent="0.25">
      <c r="R1748">
        <v>54</v>
      </c>
      <c r="S1748">
        <v>244</v>
      </c>
      <c r="T1748">
        <v>2</v>
      </c>
    </row>
    <row r="1749" spans="18:20" x14ac:dyDescent="0.25">
      <c r="R1749">
        <v>54</v>
      </c>
      <c r="S1749">
        <v>244</v>
      </c>
      <c r="T1749">
        <v>4</v>
      </c>
    </row>
    <row r="1750" spans="18:20" x14ac:dyDescent="0.25">
      <c r="R1750">
        <v>54</v>
      </c>
      <c r="S1750">
        <v>263</v>
      </c>
      <c r="T1750">
        <v>5</v>
      </c>
    </row>
    <row r="1751" spans="18:20" x14ac:dyDescent="0.25">
      <c r="R1751">
        <v>54</v>
      </c>
      <c r="S1751">
        <v>268</v>
      </c>
      <c r="T1751">
        <v>2</v>
      </c>
    </row>
    <row r="1752" spans="18:20" x14ac:dyDescent="0.25">
      <c r="R1752">
        <v>54</v>
      </c>
      <c r="S1752">
        <v>278</v>
      </c>
      <c r="T1752">
        <v>3</v>
      </c>
    </row>
    <row r="1753" spans="18:20" x14ac:dyDescent="0.25">
      <c r="R1753">
        <v>54</v>
      </c>
      <c r="S1753">
        <v>291</v>
      </c>
      <c r="T1753">
        <v>4</v>
      </c>
    </row>
    <row r="1754" spans="18:20" x14ac:dyDescent="0.25">
      <c r="R1754">
        <v>54</v>
      </c>
      <c r="S1754">
        <v>296</v>
      </c>
      <c r="T1754">
        <v>4</v>
      </c>
    </row>
    <row r="1755" spans="18:20" x14ac:dyDescent="0.25">
      <c r="R1755">
        <v>54</v>
      </c>
      <c r="S1755">
        <v>300</v>
      </c>
      <c r="T1755">
        <v>4</v>
      </c>
    </row>
    <row r="1756" spans="18:20" x14ac:dyDescent="0.25">
      <c r="R1756">
        <v>54</v>
      </c>
      <c r="S1756">
        <v>302</v>
      </c>
      <c r="T1756">
        <v>1</v>
      </c>
    </row>
    <row r="1757" spans="18:20" x14ac:dyDescent="0.25">
      <c r="R1757">
        <v>54</v>
      </c>
      <c r="S1757">
        <v>302</v>
      </c>
      <c r="T1757">
        <v>2</v>
      </c>
    </row>
    <row r="1758" spans="18:20" x14ac:dyDescent="0.25">
      <c r="R1758">
        <v>54</v>
      </c>
      <c r="S1758">
        <v>315</v>
      </c>
      <c r="T1758">
        <v>5</v>
      </c>
    </row>
    <row r="1759" spans="18:20" x14ac:dyDescent="0.25">
      <c r="R1759">
        <v>54</v>
      </c>
      <c r="S1759">
        <v>360</v>
      </c>
      <c r="T1759">
        <v>1</v>
      </c>
    </row>
    <row r="1760" spans="18:20" x14ac:dyDescent="0.25">
      <c r="R1760">
        <v>54</v>
      </c>
      <c r="S1760">
        <v>362</v>
      </c>
      <c r="T1760">
        <v>1</v>
      </c>
    </row>
    <row r="1761" spans="18:20" x14ac:dyDescent="0.25">
      <c r="R1761">
        <v>54</v>
      </c>
      <c r="S1761">
        <v>368</v>
      </c>
      <c r="T1761">
        <v>2</v>
      </c>
    </row>
    <row r="1762" spans="18:20" x14ac:dyDescent="0.25">
      <c r="R1762">
        <v>54</v>
      </c>
      <c r="S1762">
        <v>376</v>
      </c>
      <c r="T1762">
        <v>4</v>
      </c>
    </row>
    <row r="1763" spans="18:20" x14ac:dyDescent="0.25">
      <c r="R1763">
        <v>54</v>
      </c>
      <c r="S1763">
        <v>377</v>
      </c>
      <c r="T1763">
        <v>5</v>
      </c>
    </row>
    <row r="1764" spans="18:20" x14ac:dyDescent="0.25">
      <c r="R1764">
        <v>54</v>
      </c>
      <c r="S1764">
        <v>408</v>
      </c>
      <c r="T1764">
        <v>5</v>
      </c>
    </row>
    <row r="1765" spans="18:20" x14ac:dyDescent="0.25">
      <c r="R1765">
        <v>54</v>
      </c>
      <c r="S1765">
        <v>408</v>
      </c>
      <c r="T1765">
        <v>2</v>
      </c>
    </row>
    <row r="1766" spans="18:20" x14ac:dyDescent="0.25">
      <c r="R1766">
        <v>54</v>
      </c>
      <c r="S1766">
        <v>414</v>
      </c>
      <c r="T1766">
        <v>3</v>
      </c>
    </row>
    <row r="1767" spans="18:20" x14ac:dyDescent="0.25">
      <c r="R1767">
        <v>54</v>
      </c>
      <c r="S1767">
        <v>415</v>
      </c>
      <c r="T1767">
        <v>5</v>
      </c>
    </row>
    <row r="1768" spans="18:20" x14ac:dyDescent="0.25">
      <c r="R1768">
        <v>54</v>
      </c>
      <c r="S1768">
        <v>417</v>
      </c>
      <c r="T1768">
        <v>1</v>
      </c>
    </row>
    <row r="1769" spans="18:20" x14ac:dyDescent="0.25">
      <c r="R1769">
        <v>54</v>
      </c>
      <c r="S1769">
        <v>421</v>
      </c>
      <c r="T1769">
        <v>3</v>
      </c>
    </row>
    <row r="1770" spans="18:20" x14ac:dyDescent="0.25">
      <c r="R1770">
        <v>55</v>
      </c>
      <c r="S1770">
        <v>3</v>
      </c>
      <c r="T1770">
        <v>4</v>
      </c>
    </row>
    <row r="1771" spans="18:20" x14ac:dyDescent="0.25">
      <c r="R1771">
        <v>55</v>
      </c>
      <c r="S1771">
        <v>43</v>
      </c>
      <c r="T1771">
        <v>3</v>
      </c>
    </row>
    <row r="1772" spans="18:20" x14ac:dyDescent="0.25">
      <c r="R1772">
        <v>55</v>
      </c>
      <c r="S1772">
        <v>67</v>
      </c>
      <c r="T1772">
        <v>3</v>
      </c>
    </row>
    <row r="1773" spans="18:20" x14ac:dyDescent="0.25">
      <c r="R1773">
        <v>55</v>
      </c>
      <c r="S1773">
        <v>70</v>
      </c>
      <c r="T1773">
        <v>4</v>
      </c>
    </row>
    <row r="1774" spans="18:20" x14ac:dyDescent="0.25">
      <c r="R1774">
        <v>55</v>
      </c>
      <c r="S1774">
        <v>75</v>
      </c>
      <c r="T1774">
        <v>4</v>
      </c>
    </row>
    <row r="1775" spans="18:20" x14ac:dyDescent="0.25">
      <c r="R1775">
        <v>55</v>
      </c>
      <c r="S1775">
        <v>89</v>
      </c>
      <c r="T1775">
        <v>4</v>
      </c>
    </row>
    <row r="1776" spans="18:20" x14ac:dyDescent="0.25">
      <c r="R1776">
        <v>55</v>
      </c>
      <c r="S1776">
        <v>90</v>
      </c>
      <c r="T1776">
        <v>5</v>
      </c>
    </row>
    <row r="1777" spans="18:20" x14ac:dyDescent="0.25">
      <c r="R1777">
        <v>55</v>
      </c>
      <c r="S1777">
        <v>95</v>
      </c>
      <c r="T1777">
        <v>3</v>
      </c>
    </row>
    <row r="1778" spans="18:20" x14ac:dyDescent="0.25">
      <c r="R1778">
        <v>55</v>
      </c>
      <c r="S1778">
        <v>97</v>
      </c>
      <c r="T1778">
        <v>3</v>
      </c>
    </row>
    <row r="1779" spans="18:20" x14ac:dyDescent="0.25">
      <c r="R1779">
        <v>55</v>
      </c>
      <c r="S1779">
        <v>106</v>
      </c>
      <c r="T1779">
        <v>4</v>
      </c>
    </row>
    <row r="1780" spans="18:20" x14ac:dyDescent="0.25">
      <c r="R1780">
        <v>55</v>
      </c>
      <c r="S1780">
        <v>113</v>
      </c>
      <c r="T1780">
        <v>3</v>
      </c>
    </row>
    <row r="1781" spans="18:20" x14ac:dyDescent="0.25">
      <c r="R1781">
        <v>55</v>
      </c>
      <c r="S1781">
        <v>145</v>
      </c>
      <c r="T1781">
        <v>5</v>
      </c>
    </row>
    <row r="1782" spans="18:20" x14ac:dyDescent="0.25">
      <c r="R1782">
        <v>55</v>
      </c>
      <c r="S1782">
        <v>157</v>
      </c>
      <c r="T1782">
        <v>3</v>
      </c>
    </row>
    <row r="1783" spans="18:20" x14ac:dyDescent="0.25">
      <c r="R1783">
        <v>55</v>
      </c>
      <c r="S1783">
        <v>184</v>
      </c>
      <c r="T1783">
        <v>3</v>
      </c>
    </row>
    <row r="1784" spans="18:20" x14ac:dyDescent="0.25">
      <c r="R1784">
        <v>55</v>
      </c>
      <c r="S1784">
        <v>186</v>
      </c>
      <c r="T1784">
        <v>2</v>
      </c>
    </row>
    <row r="1785" spans="18:20" x14ac:dyDescent="0.25">
      <c r="R1785">
        <v>55</v>
      </c>
      <c r="S1785">
        <v>198</v>
      </c>
      <c r="T1785">
        <v>1</v>
      </c>
    </row>
    <row r="1786" spans="18:20" x14ac:dyDescent="0.25">
      <c r="R1786">
        <v>55</v>
      </c>
      <c r="S1786">
        <v>205</v>
      </c>
      <c r="T1786">
        <v>2</v>
      </c>
    </row>
    <row r="1787" spans="18:20" x14ac:dyDescent="0.25">
      <c r="R1787">
        <v>55</v>
      </c>
      <c r="S1787">
        <v>215</v>
      </c>
      <c r="T1787">
        <v>4</v>
      </c>
    </row>
    <row r="1788" spans="18:20" x14ac:dyDescent="0.25">
      <c r="R1788">
        <v>55</v>
      </c>
      <c r="S1788">
        <v>221</v>
      </c>
      <c r="T1788">
        <v>2</v>
      </c>
    </row>
    <row r="1789" spans="18:20" x14ac:dyDescent="0.25">
      <c r="R1789">
        <v>55</v>
      </c>
      <c r="S1789">
        <v>222</v>
      </c>
      <c r="T1789">
        <v>1</v>
      </c>
    </row>
    <row r="1790" spans="18:20" x14ac:dyDescent="0.25">
      <c r="R1790">
        <v>55</v>
      </c>
      <c r="S1790">
        <v>226</v>
      </c>
      <c r="T1790">
        <v>5</v>
      </c>
    </row>
    <row r="1791" spans="18:20" x14ac:dyDescent="0.25">
      <c r="R1791">
        <v>55</v>
      </c>
      <c r="S1791">
        <v>241</v>
      </c>
      <c r="T1791">
        <v>3</v>
      </c>
    </row>
    <row r="1792" spans="18:20" x14ac:dyDescent="0.25">
      <c r="R1792">
        <v>55</v>
      </c>
      <c r="S1792">
        <v>244</v>
      </c>
      <c r="T1792">
        <v>1</v>
      </c>
    </row>
    <row r="1793" spans="18:20" x14ac:dyDescent="0.25">
      <c r="R1793">
        <v>55</v>
      </c>
      <c r="S1793">
        <v>272</v>
      </c>
      <c r="T1793">
        <v>1</v>
      </c>
    </row>
    <row r="1794" spans="18:20" x14ac:dyDescent="0.25">
      <c r="R1794">
        <v>55</v>
      </c>
      <c r="S1794">
        <v>273</v>
      </c>
      <c r="T1794">
        <v>2</v>
      </c>
    </row>
    <row r="1795" spans="18:20" x14ac:dyDescent="0.25">
      <c r="R1795">
        <v>55</v>
      </c>
      <c r="S1795">
        <v>279</v>
      </c>
      <c r="T1795">
        <v>5</v>
      </c>
    </row>
    <row r="1796" spans="18:20" x14ac:dyDescent="0.25">
      <c r="R1796">
        <v>55</v>
      </c>
      <c r="S1796">
        <v>295</v>
      </c>
      <c r="T1796">
        <v>4</v>
      </c>
    </row>
    <row r="1797" spans="18:20" x14ac:dyDescent="0.25">
      <c r="R1797">
        <v>55</v>
      </c>
      <c r="S1797">
        <v>310</v>
      </c>
      <c r="T1797">
        <v>2</v>
      </c>
    </row>
    <row r="1798" spans="18:20" x14ac:dyDescent="0.25">
      <c r="R1798">
        <v>55</v>
      </c>
      <c r="S1798">
        <v>334</v>
      </c>
      <c r="T1798">
        <v>2</v>
      </c>
    </row>
    <row r="1799" spans="18:20" x14ac:dyDescent="0.25">
      <c r="R1799">
        <v>55</v>
      </c>
      <c r="S1799">
        <v>381</v>
      </c>
      <c r="T1799">
        <v>3</v>
      </c>
    </row>
    <row r="1800" spans="18:20" x14ac:dyDescent="0.25">
      <c r="R1800">
        <v>55</v>
      </c>
      <c r="S1800">
        <v>386</v>
      </c>
      <c r="T1800">
        <v>2</v>
      </c>
    </row>
    <row r="1801" spans="18:20" x14ac:dyDescent="0.25">
      <c r="R1801">
        <v>55</v>
      </c>
      <c r="S1801">
        <v>390</v>
      </c>
      <c r="T1801">
        <v>2</v>
      </c>
    </row>
    <row r="1802" spans="18:20" x14ac:dyDescent="0.25">
      <c r="R1802">
        <v>55</v>
      </c>
      <c r="S1802">
        <v>405</v>
      </c>
      <c r="T1802">
        <v>3</v>
      </c>
    </row>
    <row r="1803" spans="18:20" x14ac:dyDescent="0.25">
      <c r="R1803">
        <v>55</v>
      </c>
      <c r="S1803">
        <v>418</v>
      </c>
      <c r="T1803">
        <v>2</v>
      </c>
    </row>
    <row r="1804" spans="18:20" x14ac:dyDescent="0.25">
      <c r="R1804">
        <v>55</v>
      </c>
      <c r="S1804">
        <v>421</v>
      </c>
      <c r="T1804">
        <v>5</v>
      </c>
    </row>
    <row r="1805" spans="18:20" x14ac:dyDescent="0.25">
      <c r="R1805">
        <v>55</v>
      </c>
      <c r="S1805">
        <v>433</v>
      </c>
      <c r="T1805">
        <v>2</v>
      </c>
    </row>
    <row r="1806" spans="18:20" x14ac:dyDescent="0.25">
      <c r="R1806">
        <v>56</v>
      </c>
      <c r="S1806">
        <v>2</v>
      </c>
      <c r="T1806">
        <v>2</v>
      </c>
    </row>
    <row r="1807" spans="18:20" x14ac:dyDescent="0.25">
      <c r="R1807">
        <v>56</v>
      </c>
      <c r="S1807">
        <v>11</v>
      </c>
      <c r="T1807">
        <v>2</v>
      </c>
    </row>
    <row r="1808" spans="18:20" x14ac:dyDescent="0.25">
      <c r="R1808">
        <v>56</v>
      </c>
      <c r="S1808">
        <v>19</v>
      </c>
      <c r="T1808">
        <v>5</v>
      </c>
    </row>
    <row r="1809" spans="18:20" x14ac:dyDescent="0.25">
      <c r="R1809">
        <v>56</v>
      </c>
      <c r="S1809">
        <v>53</v>
      </c>
      <c r="T1809">
        <v>2</v>
      </c>
    </row>
    <row r="1810" spans="18:20" x14ac:dyDescent="0.25">
      <c r="R1810">
        <v>56</v>
      </c>
      <c r="S1810">
        <v>67</v>
      </c>
      <c r="T1810">
        <v>2</v>
      </c>
    </row>
    <row r="1811" spans="18:20" x14ac:dyDescent="0.25">
      <c r="R1811">
        <v>56</v>
      </c>
      <c r="S1811">
        <v>99</v>
      </c>
      <c r="T1811">
        <v>1</v>
      </c>
    </row>
    <row r="1812" spans="18:20" x14ac:dyDescent="0.25">
      <c r="R1812">
        <v>56</v>
      </c>
      <c r="S1812">
        <v>103</v>
      </c>
      <c r="T1812">
        <v>4</v>
      </c>
    </row>
    <row r="1813" spans="18:20" x14ac:dyDescent="0.25">
      <c r="R1813">
        <v>56</v>
      </c>
      <c r="S1813">
        <v>112</v>
      </c>
      <c r="T1813">
        <v>1</v>
      </c>
    </row>
    <row r="1814" spans="18:20" x14ac:dyDescent="0.25">
      <c r="R1814">
        <v>56</v>
      </c>
      <c r="S1814">
        <v>134</v>
      </c>
      <c r="T1814">
        <v>1</v>
      </c>
    </row>
    <row r="1815" spans="18:20" x14ac:dyDescent="0.25">
      <c r="R1815">
        <v>56</v>
      </c>
      <c r="S1815">
        <v>136</v>
      </c>
      <c r="T1815">
        <v>4</v>
      </c>
    </row>
    <row r="1816" spans="18:20" x14ac:dyDescent="0.25">
      <c r="R1816">
        <v>56</v>
      </c>
      <c r="S1816">
        <v>149</v>
      </c>
      <c r="T1816">
        <v>5</v>
      </c>
    </row>
    <row r="1817" spans="18:20" x14ac:dyDescent="0.25">
      <c r="R1817">
        <v>56</v>
      </c>
      <c r="S1817">
        <v>153</v>
      </c>
      <c r="T1817">
        <v>1</v>
      </c>
    </row>
    <row r="1818" spans="18:20" x14ac:dyDescent="0.25">
      <c r="R1818">
        <v>56</v>
      </c>
      <c r="S1818">
        <v>170</v>
      </c>
      <c r="T1818">
        <v>5</v>
      </c>
    </row>
    <row r="1819" spans="18:20" x14ac:dyDescent="0.25">
      <c r="R1819">
        <v>56</v>
      </c>
      <c r="S1819">
        <v>186</v>
      </c>
      <c r="T1819">
        <v>5</v>
      </c>
    </row>
    <row r="1820" spans="18:20" x14ac:dyDescent="0.25">
      <c r="R1820">
        <v>56</v>
      </c>
      <c r="S1820">
        <v>190</v>
      </c>
      <c r="T1820">
        <v>2</v>
      </c>
    </row>
    <row r="1821" spans="18:20" x14ac:dyDescent="0.25">
      <c r="R1821">
        <v>56</v>
      </c>
      <c r="S1821">
        <v>200</v>
      </c>
      <c r="T1821">
        <v>3</v>
      </c>
    </row>
    <row r="1822" spans="18:20" x14ac:dyDescent="0.25">
      <c r="R1822">
        <v>56</v>
      </c>
      <c r="S1822">
        <v>217</v>
      </c>
      <c r="T1822">
        <v>3</v>
      </c>
    </row>
    <row r="1823" spans="18:20" x14ac:dyDescent="0.25">
      <c r="R1823">
        <v>56</v>
      </c>
      <c r="S1823">
        <v>221</v>
      </c>
      <c r="T1823">
        <v>4</v>
      </c>
    </row>
    <row r="1824" spans="18:20" x14ac:dyDescent="0.25">
      <c r="R1824">
        <v>56</v>
      </c>
      <c r="S1824">
        <v>225</v>
      </c>
      <c r="T1824">
        <v>3</v>
      </c>
    </row>
    <row r="1825" spans="18:20" x14ac:dyDescent="0.25">
      <c r="R1825">
        <v>56</v>
      </c>
      <c r="S1825">
        <v>225</v>
      </c>
      <c r="T1825">
        <v>2</v>
      </c>
    </row>
    <row r="1826" spans="18:20" x14ac:dyDescent="0.25">
      <c r="R1826">
        <v>56</v>
      </c>
      <c r="S1826">
        <v>249</v>
      </c>
      <c r="T1826">
        <v>5</v>
      </c>
    </row>
    <row r="1827" spans="18:20" x14ac:dyDescent="0.25">
      <c r="R1827">
        <v>56</v>
      </c>
      <c r="S1827">
        <v>250</v>
      </c>
      <c r="T1827">
        <v>1</v>
      </c>
    </row>
    <row r="1828" spans="18:20" x14ac:dyDescent="0.25">
      <c r="R1828">
        <v>56</v>
      </c>
      <c r="S1828">
        <v>258</v>
      </c>
      <c r="T1828">
        <v>2</v>
      </c>
    </row>
    <row r="1829" spans="18:20" x14ac:dyDescent="0.25">
      <c r="R1829">
        <v>56</v>
      </c>
      <c r="S1829">
        <v>264</v>
      </c>
      <c r="T1829">
        <v>2</v>
      </c>
    </row>
    <row r="1830" spans="18:20" x14ac:dyDescent="0.25">
      <c r="R1830">
        <v>56</v>
      </c>
      <c r="S1830">
        <v>267</v>
      </c>
      <c r="T1830">
        <v>4</v>
      </c>
    </row>
    <row r="1831" spans="18:20" x14ac:dyDescent="0.25">
      <c r="R1831">
        <v>56</v>
      </c>
      <c r="S1831">
        <v>273</v>
      </c>
      <c r="T1831">
        <v>2</v>
      </c>
    </row>
    <row r="1832" spans="18:20" x14ac:dyDescent="0.25">
      <c r="R1832">
        <v>56</v>
      </c>
      <c r="S1832">
        <v>291</v>
      </c>
      <c r="T1832">
        <v>4</v>
      </c>
    </row>
    <row r="1833" spans="18:20" x14ac:dyDescent="0.25">
      <c r="R1833">
        <v>56</v>
      </c>
      <c r="S1833">
        <v>322</v>
      </c>
      <c r="T1833">
        <v>4</v>
      </c>
    </row>
    <row r="1834" spans="18:20" x14ac:dyDescent="0.25">
      <c r="R1834">
        <v>56</v>
      </c>
      <c r="S1834">
        <v>361</v>
      </c>
      <c r="T1834">
        <v>2</v>
      </c>
    </row>
    <row r="1835" spans="18:20" x14ac:dyDescent="0.25">
      <c r="R1835">
        <v>56</v>
      </c>
      <c r="S1835">
        <v>368</v>
      </c>
      <c r="T1835">
        <v>2</v>
      </c>
    </row>
    <row r="1836" spans="18:20" x14ac:dyDescent="0.25">
      <c r="R1836">
        <v>56</v>
      </c>
      <c r="S1836">
        <v>409</v>
      </c>
      <c r="T1836">
        <v>2</v>
      </c>
    </row>
    <row r="1837" spans="18:20" x14ac:dyDescent="0.25">
      <c r="R1837">
        <v>57</v>
      </c>
      <c r="S1837">
        <v>2</v>
      </c>
      <c r="T1837">
        <v>4</v>
      </c>
    </row>
    <row r="1838" spans="18:20" x14ac:dyDescent="0.25">
      <c r="R1838">
        <v>57</v>
      </c>
      <c r="S1838">
        <v>17</v>
      </c>
      <c r="T1838">
        <v>1</v>
      </c>
    </row>
    <row r="1839" spans="18:20" x14ac:dyDescent="0.25">
      <c r="R1839">
        <v>57</v>
      </c>
      <c r="S1839">
        <v>23</v>
      </c>
      <c r="T1839">
        <v>3</v>
      </c>
    </row>
    <row r="1840" spans="18:20" x14ac:dyDescent="0.25">
      <c r="R1840">
        <v>57</v>
      </c>
      <c r="S1840">
        <v>33</v>
      </c>
      <c r="T1840">
        <v>3</v>
      </c>
    </row>
    <row r="1841" spans="18:20" x14ac:dyDescent="0.25">
      <c r="R1841">
        <v>57</v>
      </c>
      <c r="S1841">
        <v>40</v>
      </c>
      <c r="T1841">
        <v>4</v>
      </c>
    </row>
    <row r="1842" spans="18:20" x14ac:dyDescent="0.25">
      <c r="R1842">
        <v>57</v>
      </c>
      <c r="S1842">
        <v>41</v>
      </c>
      <c r="T1842">
        <v>4</v>
      </c>
    </row>
    <row r="1843" spans="18:20" x14ac:dyDescent="0.25">
      <c r="R1843">
        <v>57</v>
      </c>
      <c r="S1843">
        <v>45</v>
      </c>
      <c r="T1843">
        <v>3</v>
      </c>
    </row>
    <row r="1844" spans="18:20" x14ac:dyDescent="0.25">
      <c r="R1844">
        <v>57</v>
      </c>
      <c r="S1844">
        <v>50</v>
      </c>
      <c r="T1844">
        <v>2</v>
      </c>
    </row>
    <row r="1845" spans="18:20" x14ac:dyDescent="0.25">
      <c r="R1845">
        <v>57</v>
      </c>
      <c r="S1845">
        <v>56</v>
      </c>
      <c r="T1845">
        <v>3</v>
      </c>
    </row>
    <row r="1846" spans="18:20" x14ac:dyDescent="0.25">
      <c r="R1846">
        <v>57</v>
      </c>
      <c r="S1846">
        <v>79</v>
      </c>
      <c r="T1846">
        <v>3</v>
      </c>
    </row>
    <row r="1847" spans="18:20" x14ac:dyDescent="0.25">
      <c r="R1847">
        <v>57</v>
      </c>
      <c r="S1847">
        <v>95</v>
      </c>
      <c r="T1847">
        <v>4</v>
      </c>
    </row>
    <row r="1848" spans="18:20" x14ac:dyDescent="0.25">
      <c r="R1848">
        <v>57</v>
      </c>
      <c r="S1848">
        <v>99</v>
      </c>
      <c r="T1848">
        <v>1</v>
      </c>
    </row>
    <row r="1849" spans="18:20" x14ac:dyDescent="0.25">
      <c r="R1849">
        <v>57</v>
      </c>
      <c r="S1849">
        <v>111</v>
      </c>
      <c r="T1849">
        <v>2</v>
      </c>
    </row>
    <row r="1850" spans="18:20" x14ac:dyDescent="0.25">
      <c r="R1850">
        <v>57</v>
      </c>
      <c r="S1850">
        <v>114</v>
      </c>
      <c r="T1850">
        <v>1</v>
      </c>
    </row>
    <row r="1851" spans="18:20" x14ac:dyDescent="0.25">
      <c r="R1851">
        <v>57</v>
      </c>
      <c r="S1851">
        <v>126</v>
      </c>
      <c r="T1851">
        <v>1</v>
      </c>
    </row>
    <row r="1852" spans="18:20" x14ac:dyDescent="0.25">
      <c r="R1852">
        <v>57</v>
      </c>
      <c r="S1852">
        <v>129</v>
      </c>
      <c r="T1852">
        <v>4</v>
      </c>
    </row>
    <row r="1853" spans="18:20" x14ac:dyDescent="0.25">
      <c r="R1853">
        <v>57</v>
      </c>
      <c r="S1853">
        <v>135</v>
      </c>
      <c r="T1853">
        <v>4</v>
      </c>
    </row>
    <row r="1854" spans="18:20" x14ac:dyDescent="0.25">
      <c r="R1854">
        <v>57</v>
      </c>
      <c r="S1854">
        <v>144</v>
      </c>
      <c r="T1854">
        <v>4</v>
      </c>
    </row>
    <row r="1855" spans="18:20" x14ac:dyDescent="0.25">
      <c r="R1855">
        <v>57</v>
      </c>
      <c r="S1855">
        <v>157</v>
      </c>
      <c r="T1855">
        <v>2</v>
      </c>
    </row>
    <row r="1856" spans="18:20" x14ac:dyDescent="0.25">
      <c r="R1856">
        <v>57</v>
      </c>
      <c r="S1856">
        <v>162</v>
      </c>
      <c r="T1856">
        <v>2</v>
      </c>
    </row>
    <row r="1857" spans="18:20" x14ac:dyDescent="0.25">
      <c r="R1857">
        <v>57</v>
      </c>
      <c r="S1857">
        <v>180</v>
      </c>
      <c r="T1857">
        <v>2</v>
      </c>
    </row>
    <row r="1858" spans="18:20" x14ac:dyDescent="0.25">
      <c r="R1858">
        <v>57</v>
      </c>
      <c r="S1858">
        <v>180</v>
      </c>
      <c r="T1858">
        <v>1</v>
      </c>
    </row>
    <row r="1859" spans="18:20" x14ac:dyDescent="0.25">
      <c r="R1859">
        <v>57</v>
      </c>
      <c r="S1859">
        <v>225</v>
      </c>
      <c r="T1859">
        <v>3</v>
      </c>
    </row>
    <row r="1860" spans="18:20" x14ac:dyDescent="0.25">
      <c r="R1860">
        <v>57</v>
      </c>
      <c r="S1860">
        <v>248</v>
      </c>
      <c r="T1860">
        <v>5</v>
      </c>
    </row>
    <row r="1861" spans="18:20" x14ac:dyDescent="0.25">
      <c r="R1861">
        <v>57</v>
      </c>
      <c r="S1861">
        <v>254</v>
      </c>
      <c r="T1861">
        <v>3</v>
      </c>
    </row>
    <row r="1862" spans="18:20" x14ac:dyDescent="0.25">
      <c r="R1862">
        <v>57</v>
      </c>
      <c r="S1862">
        <v>266</v>
      </c>
      <c r="T1862">
        <v>3</v>
      </c>
    </row>
    <row r="1863" spans="18:20" x14ac:dyDescent="0.25">
      <c r="R1863">
        <v>57</v>
      </c>
      <c r="S1863">
        <v>269</v>
      </c>
      <c r="T1863">
        <v>1</v>
      </c>
    </row>
    <row r="1864" spans="18:20" x14ac:dyDescent="0.25">
      <c r="R1864">
        <v>57</v>
      </c>
      <c r="S1864">
        <v>278</v>
      </c>
      <c r="T1864">
        <v>5</v>
      </c>
    </row>
    <row r="1865" spans="18:20" x14ac:dyDescent="0.25">
      <c r="R1865">
        <v>57</v>
      </c>
      <c r="S1865">
        <v>313</v>
      </c>
      <c r="T1865">
        <v>1</v>
      </c>
    </row>
    <row r="1866" spans="18:20" x14ac:dyDescent="0.25">
      <c r="R1866">
        <v>57</v>
      </c>
      <c r="S1866">
        <v>335</v>
      </c>
      <c r="T1866">
        <v>3</v>
      </c>
    </row>
    <row r="1867" spans="18:20" x14ac:dyDescent="0.25">
      <c r="R1867">
        <v>57</v>
      </c>
      <c r="S1867">
        <v>338</v>
      </c>
      <c r="T1867">
        <v>1</v>
      </c>
    </row>
    <row r="1868" spans="18:20" x14ac:dyDescent="0.25">
      <c r="R1868">
        <v>57</v>
      </c>
      <c r="S1868">
        <v>371</v>
      </c>
      <c r="T1868">
        <v>3</v>
      </c>
    </row>
    <row r="1869" spans="18:20" x14ac:dyDescent="0.25">
      <c r="R1869">
        <v>57</v>
      </c>
      <c r="S1869">
        <v>372</v>
      </c>
      <c r="T1869">
        <v>1</v>
      </c>
    </row>
    <row r="1870" spans="18:20" x14ac:dyDescent="0.25">
      <c r="R1870">
        <v>57</v>
      </c>
      <c r="S1870">
        <v>388</v>
      </c>
      <c r="T1870">
        <v>1</v>
      </c>
    </row>
    <row r="1871" spans="18:20" x14ac:dyDescent="0.25">
      <c r="R1871">
        <v>57</v>
      </c>
      <c r="S1871">
        <v>412</v>
      </c>
      <c r="T1871">
        <v>3</v>
      </c>
    </row>
    <row r="1872" spans="18:20" x14ac:dyDescent="0.25">
      <c r="R1872">
        <v>57</v>
      </c>
      <c r="S1872">
        <v>412</v>
      </c>
      <c r="T1872">
        <v>3</v>
      </c>
    </row>
    <row r="1873" spans="18:20" x14ac:dyDescent="0.25">
      <c r="R1873">
        <v>58</v>
      </c>
      <c r="S1873">
        <v>13</v>
      </c>
      <c r="T1873">
        <v>1</v>
      </c>
    </row>
    <row r="1874" spans="18:20" x14ac:dyDescent="0.25">
      <c r="R1874">
        <v>58</v>
      </c>
      <c r="S1874">
        <v>16</v>
      </c>
      <c r="T1874">
        <v>4</v>
      </c>
    </row>
    <row r="1875" spans="18:20" x14ac:dyDescent="0.25">
      <c r="R1875">
        <v>58</v>
      </c>
      <c r="S1875">
        <v>18</v>
      </c>
      <c r="T1875">
        <v>1</v>
      </c>
    </row>
    <row r="1876" spans="18:20" x14ac:dyDescent="0.25">
      <c r="R1876">
        <v>58</v>
      </c>
      <c r="S1876">
        <v>38</v>
      </c>
      <c r="T1876">
        <v>5</v>
      </c>
    </row>
    <row r="1877" spans="18:20" x14ac:dyDescent="0.25">
      <c r="R1877">
        <v>58</v>
      </c>
      <c r="S1877">
        <v>42</v>
      </c>
      <c r="T1877">
        <v>2</v>
      </c>
    </row>
    <row r="1878" spans="18:20" x14ac:dyDescent="0.25">
      <c r="R1878">
        <v>58</v>
      </c>
      <c r="S1878">
        <v>47</v>
      </c>
      <c r="T1878">
        <v>2</v>
      </c>
    </row>
    <row r="1879" spans="18:20" x14ac:dyDescent="0.25">
      <c r="R1879">
        <v>58</v>
      </c>
      <c r="S1879">
        <v>50</v>
      </c>
      <c r="T1879">
        <v>2</v>
      </c>
    </row>
    <row r="1880" spans="18:20" x14ac:dyDescent="0.25">
      <c r="R1880">
        <v>58</v>
      </c>
      <c r="S1880">
        <v>52</v>
      </c>
      <c r="T1880">
        <v>5</v>
      </c>
    </row>
    <row r="1881" spans="18:20" x14ac:dyDescent="0.25">
      <c r="R1881">
        <v>58</v>
      </c>
      <c r="S1881">
        <v>64</v>
      </c>
      <c r="T1881">
        <v>2</v>
      </c>
    </row>
    <row r="1882" spans="18:20" x14ac:dyDescent="0.25">
      <c r="R1882">
        <v>58</v>
      </c>
      <c r="S1882">
        <v>64</v>
      </c>
      <c r="T1882">
        <v>1</v>
      </c>
    </row>
    <row r="1883" spans="18:20" x14ac:dyDescent="0.25">
      <c r="R1883">
        <v>58</v>
      </c>
      <c r="S1883">
        <v>89</v>
      </c>
      <c r="T1883">
        <v>2</v>
      </c>
    </row>
    <row r="1884" spans="18:20" x14ac:dyDescent="0.25">
      <c r="R1884">
        <v>58</v>
      </c>
      <c r="S1884">
        <v>111</v>
      </c>
      <c r="T1884">
        <v>3</v>
      </c>
    </row>
    <row r="1885" spans="18:20" x14ac:dyDescent="0.25">
      <c r="R1885">
        <v>58</v>
      </c>
      <c r="S1885">
        <v>114</v>
      </c>
      <c r="T1885">
        <v>2</v>
      </c>
    </row>
    <row r="1886" spans="18:20" x14ac:dyDescent="0.25">
      <c r="R1886">
        <v>58</v>
      </c>
      <c r="S1886">
        <v>135</v>
      </c>
      <c r="T1886">
        <v>4</v>
      </c>
    </row>
    <row r="1887" spans="18:20" x14ac:dyDescent="0.25">
      <c r="R1887">
        <v>58</v>
      </c>
      <c r="S1887">
        <v>144</v>
      </c>
      <c r="T1887">
        <v>1</v>
      </c>
    </row>
    <row r="1888" spans="18:20" x14ac:dyDescent="0.25">
      <c r="R1888">
        <v>58</v>
      </c>
      <c r="S1888">
        <v>154</v>
      </c>
      <c r="T1888">
        <v>4</v>
      </c>
    </row>
    <row r="1889" spans="18:20" x14ac:dyDescent="0.25">
      <c r="R1889">
        <v>58</v>
      </c>
      <c r="S1889">
        <v>188</v>
      </c>
      <c r="T1889">
        <v>2</v>
      </c>
    </row>
    <row r="1890" spans="18:20" x14ac:dyDescent="0.25">
      <c r="R1890">
        <v>58</v>
      </c>
      <c r="S1890">
        <v>231</v>
      </c>
      <c r="T1890">
        <v>4</v>
      </c>
    </row>
    <row r="1891" spans="18:20" x14ac:dyDescent="0.25">
      <c r="R1891">
        <v>58</v>
      </c>
      <c r="S1891">
        <v>252</v>
      </c>
      <c r="T1891">
        <v>2</v>
      </c>
    </row>
    <row r="1892" spans="18:20" x14ac:dyDescent="0.25">
      <c r="R1892">
        <v>58</v>
      </c>
      <c r="S1892">
        <v>275</v>
      </c>
      <c r="T1892">
        <v>1</v>
      </c>
    </row>
    <row r="1893" spans="18:20" x14ac:dyDescent="0.25">
      <c r="R1893">
        <v>58</v>
      </c>
      <c r="S1893">
        <v>285</v>
      </c>
      <c r="T1893">
        <v>1</v>
      </c>
    </row>
    <row r="1894" spans="18:20" x14ac:dyDescent="0.25">
      <c r="R1894">
        <v>58</v>
      </c>
      <c r="S1894">
        <v>288</v>
      </c>
      <c r="T1894">
        <v>3</v>
      </c>
    </row>
    <row r="1895" spans="18:20" x14ac:dyDescent="0.25">
      <c r="R1895">
        <v>58</v>
      </c>
      <c r="S1895">
        <v>300</v>
      </c>
      <c r="T1895">
        <v>4</v>
      </c>
    </row>
    <row r="1896" spans="18:20" x14ac:dyDescent="0.25">
      <c r="R1896">
        <v>58</v>
      </c>
      <c r="S1896">
        <v>323</v>
      </c>
      <c r="T1896">
        <v>4</v>
      </c>
    </row>
    <row r="1897" spans="18:20" x14ac:dyDescent="0.25">
      <c r="R1897">
        <v>58</v>
      </c>
      <c r="S1897">
        <v>326</v>
      </c>
      <c r="T1897">
        <v>3</v>
      </c>
    </row>
    <row r="1898" spans="18:20" x14ac:dyDescent="0.25">
      <c r="R1898">
        <v>58</v>
      </c>
      <c r="S1898">
        <v>347</v>
      </c>
      <c r="T1898">
        <v>3</v>
      </c>
    </row>
    <row r="1899" spans="18:20" x14ac:dyDescent="0.25">
      <c r="R1899">
        <v>58</v>
      </c>
      <c r="S1899">
        <v>351</v>
      </c>
      <c r="T1899">
        <v>5</v>
      </c>
    </row>
    <row r="1900" spans="18:20" x14ac:dyDescent="0.25">
      <c r="R1900">
        <v>58</v>
      </c>
      <c r="S1900">
        <v>371</v>
      </c>
      <c r="T1900">
        <v>4</v>
      </c>
    </row>
    <row r="1901" spans="18:20" x14ac:dyDescent="0.25">
      <c r="R1901">
        <v>58</v>
      </c>
      <c r="S1901">
        <v>372</v>
      </c>
      <c r="T1901">
        <v>2</v>
      </c>
    </row>
    <row r="1902" spans="18:20" x14ac:dyDescent="0.25">
      <c r="R1902">
        <v>58</v>
      </c>
      <c r="S1902">
        <v>373</v>
      </c>
      <c r="T1902">
        <v>2</v>
      </c>
    </row>
    <row r="1903" spans="18:20" x14ac:dyDescent="0.25">
      <c r="R1903">
        <v>58</v>
      </c>
      <c r="S1903">
        <v>375</v>
      </c>
      <c r="T1903">
        <v>5</v>
      </c>
    </row>
    <row r="1904" spans="18:20" x14ac:dyDescent="0.25">
      <c r="R1904">
        <v>58</v>
      </c>
      <c r="S1904">
        <v>387</v>
      </c>
      <c r="T1904">
        <v>2</v>
      </c>
    </row>
    <row r="1905" spans="18:20" x14ac:dyDescent="0.25">
      <c r="R1905">
        <v>58</v>
      </c>
      <c r="S1905">
        <v>397</v>
      </c>
      <c r="T1905">
        <v>3</v>
      </c>
    </row>
    <row r="1906" spans="18:20" x14ac:dyDescent="0.25">
      <c r="R1906">
        <v>58</v>
      </c>
      <c r="S1906">
        <v>402</v>
      </c>
      <c r="T1906">
        <v>1</v>
      </c>
    </row>
    <row r="1907" spans="18:20" x14ac:dyDescent="0.25">
      <c r="R1907">
        <v>58</v>
      </c>
      <c r="S1907">
        <v>404</v>
      </c>
      <c r="T1907">
        <v>2</v>
      </c>
    </row>
    <row r="1908" spans="18:20" x14ac:dyDescent="0.25">
      <c r="R1908">
        <v>58</v>
      </c>
      <c r="S1908">
        <v>407</v>
      </c>
      <c r="T1908">
        <v>5</v>
      </c>
    </row>
    <row r="1909" spans="18:20" x14ac:dyDescent="0.25">
      <c r="R1909">
        <v>58</v>
      </c>
      <c r="S1909">
        <v>421</v>
      </c>
      <c r="T1909">
        <v>5</v>
      </c>
    </row>
    <row r="1910" spans="18:20" x14ac:dyDescent="0.25">
      <c r="R1910">
        <v>58</v>
      </c>
      <c r="S1910">
        <v>429</v>
      </c>
      <c r="T1910">
        <v>5</v>
      </c>
    </row>
    <row r="1911" spans="18:20" x14ac:dyDescent="0.25">
      <c r="R1911">
        <v>59</v>
      </c>
      <c r="S1911">
        <v>2</v>
      </c>
      <c r="T1911">
        <v>1</v>
      </c>
    </row>
    <row r="1912" spans="18:20" x14ac:dyDescent="0.25">
      <c r="R1912">
        <v>59</v>
      </c>
      <c r="S1912">
        <v>19</v>
      </c>
      <c r="T1912">
        <v>4</v>
      </c>
    </row>
    <row r="1913" spans="18:20" x14ac:dyDescent="0.25">
      <c r="R1913">
        <v>59</v>
      </c>
      <c r="S1913">
        <v>35</v>
      </c>
      <c r="T1913">
        <v>3</v>
      </c>
    </row>
    <row r="1914" spans="18:20" x14ac:dyDescent="0.25">
      <c r="R1914">
        <v>59</v>
      </c>
      <c r="S1914">
        <v>68</v>
      </c>
      <c r="T1914">
        <v>5</v>
      </c>
    </row>
    <row r="1915" spans="18:20" x14ac:dyDescent="0.25">
      <c r="R1915">
        <v>59</v>
      </c>
      <c r="S1915">
        <v>79</v>
      </c>
      <c r="T1915">
        <v>5</v>
      </c>
    </row>
    <row r="1916" spans="18:20" x14ac:dyDescent="0.25">
      <c r="R1916">
        <v>59</v>
      </c>
      <c r="S1916">
        <v>81</v>
      </c>
      <c r="T1916">
        <v>5</v>
      </c>
    </row>
    <row r="1917" spans="18:20" x14ac:dyDescent="0.25">
      <c r="R1917">
        <v>59</v>
      </c>
      <c r="S1917">
        <v>95</v>
      </c>
      <c r="T1917">
        <v>1</v>
      </c>
    </row>
    <row r="1918" spans="18:20" x14ac:dyDescent="0.25">
      <c r="R1918">
        <v>59</v>
      </c>
      <c r="S1918">
        <v>143</v>
      </c>
      <c r="T1918">
        <v>1</v>
      </c>
    </row>
    <row r="1919" spans="18:20" x14ac:dyDescent="0.25">
      <c r="R1919">
        <v>59</v>
      </c>
      <c r="S1919">
        <v>147</v>
      </c>
      <c r="T1919">
        <v>5</v>
      </c>
    </row>
    <row r="1920" spans="18:20" x14ac:dyDescent="0.25">
      <c r="R1920">
        <v>59</v>
      </c>
      <c r="S1920">
        <v>157</v>
      </c>
      <c r="T1920">
        <v>1</v>
      </c>
    </row>
    <row r="1921" spans="18:20" x14ac:dyDescent="0.25">
      <c r="R1921">
        <v>59</v>
      </c>
      <c r="S1921">
        <v>171</v>
      </c>
      <c r="T1921">
        <v>1</v>
      </c>
    </row>
    <row r="1922" spans="18:20" x14ac:dyDescent="0.25">
      <c r="R1922">
        <v>59</v>
      </c>
      <c r="S1922">
        <v>215</v>
      </c>
      <c r="T1922">
        <v>5</v>
      </c>
    </row>
    <row r="1923" spans="18:20" x14ac:dyDescent="0.25">
      <c r="R1923">
        <v>59</v>
      </c>
      <c r="S1923">
        <v>236</v>
      </c>
      <c r="T1923">
        <v>2</v>
      </c>
    </row>
    <row r="1924" spans="18:20" x14ac:dyDescent="0.25">
      <c r="R1924">
        <v>59</v>
      </c>
      <c r="S1924">
        <v>243</v>
      </c>
      <c r="T1924">
        <v>3</v>
      </c>
    </row>
    <row r="1925" spans="18:20" x14ac:dyDescent="0.25">
      <c r="R1925">
        <v>59</v>
      </c>
      <c r="S1925">
        <v>247</v>
      </c>
      <c r="T1925">
        <v>5</v>
      </c>
    </row>
    <row r="1926" spans="18:20" x14ac:dyDescent="0.25">
      <c r="R1926">
        <v>59</v>
      </c>
      <c r="S1926">
        <v>247</v>
      </c>
      <c r="T1926">
        <v>1</v>
      </c>
    </row>
    <row r="1927" spans="18:20" x14ac:dyDescent="0.25">
      <c r="R1927">
        <v>59</v>
      </c>
      <c r="S1927">
        <v>252</v>
      </c>
      <c r="T1927">
        <v>2</v>
      </c>
    </row>
    <row r="1928" spans="18:20" x14ac:dyDescent="0.25">
      <c r="R1928">
        <v>59</v>
      </c>
      <c r="S1928">
        <v>255</v>
      </c>
      <c r="T1928">
        <v>4</v>
      </c>
    </row>
    <row r="1929" spans="18:20" x14ac:dyDescent="0.25">
      <c r="R1929">
        <v>59</v>
      </c>
      <c r="S1929">
        <v>286</v>
      </c>
      <c r="T1929">
        <v>2</v>
      </c>
    </row>
    <row r="1930" spans="18:20" x14ac:dyDescent="0.25">
      <c r="R1930">
        <v>59</v>
      </c>
      <c r="S1930">
        <v>292</v>
      </c>
      <c r="T1930">
        <v>5</v>
      </c>
    </row>
    <row r="1931" spans="18:20" x14ac:dyDescent="0.25">
      <c r="R1931">
        <v>59</v>
      </c>
      <c r="S1931">
        <v>296</v>
      </c>
      <c r="T1931">
        <v>5</v>
      </c>
    </row>
    <row r="1932" spans="18:20" x14ac:dyDescent="0.25">
      <c r="R1932">
        <v>59</v>
      </c>
      <c r="S1932">
        <v>298</v>
      </c>
      <c r="T1932">
        <v>5</v>
      </c>
    </row>
    <row r="1933" spans="18:20" x14ac:dyDescent="0.25">
      <c r="R1933">
        <v>59</v>
      </c>
      <c r="S1933">
        <v>303</v>
      </c>
      <c r="T1933">
        <v>2</v>
      </c>
    </row>
    <row r="1934" spans="18:20" x14ac:dyDescent="0.25">
      <c r="R1934">
        <v>59</v>
      </c>
      <c r="S1934">
        <v>304</v>
      </c>
      <c r="T1934">
        <v>1</v>
      </c>
    </row>
    <row r="1935" spans="18:20" x14ac:dyDescent="0.25">
      <c r="R1935">
        <v>59</v>
      </c>
      <c r="S1935">
        <v>307</v>
      </c>
      <c r="T1935">
        <v>2</v>
      </c>
    </row>
    <row r="1936" spans="18:20" x14ac:dyDescent="0.25">
      <c r="R1936">
        <v>59</v>
      </c>
      <c r="S1936">
        <v>318</v>
      </c>
      <c r="T1936">
        <v>4</v>
      </c>
    </row>
    <row r="1937" spans="18:20" x14ac:dyDescent="0.25">
      <c r="R1937">
        <v>59</v>
      </c>
      <c r="S1937">
        <v>323</v>
      </c>
      <c r="T1937">
        <v>1</v>
      </c>
    </row>
    <row r="1938" spans="18:20" x14ac:dyDescent="0.25">
      <c r="R1938">
        <v>59</v>
      </c>
      <c r="S1938">
        <v>337</v>
      </c>
      <c r="T1938">
        <v>5</v>
      </c>
    </row>
    <row r="1939" spans="18:20" x14ac:dyDescent="0.25">
      <c r="R1939">
        <v>59</v>
      </c>
      <c r="S1939">
        <v>352</v>
      </c>
      <c r="T1939">
        <v>4</v>
      </c>
    </row>
    <row r="1940" spans="18:20" x14ac:dyDescent="0.25">
      <c r="R1940">
        <v>59</v>
      </c>
      <c r="S1940">
        <v>368</v>
      </c>
      <c r="T1940">
        <v>1</v>
      </c>
    </row>
    <row r="1941" spans="18:20" x14ac:dyDescent="0.25">
      <c r="R1941">
        <v>59</v>
      </c>
      <c r="S1941">
        <v>384</v>
      </c>
      <c r="T1941">
        <v>3</v>
      </c>
    </row>
    <row r="1942" spans="18:20" x14ac:dyDescent="0.25">
      <c r="R1942">
        <v>59</v>
      </c>
      <c r="S1942">
        <v>392</v>
      </c>
      <c r="T1942">
        <v>3</v>
      </c>
    </row>
    <row r="1943" spans="18:20" x14ac:dyDescent="0.25">
      <c r="R1943">
        <v>60</v>
      </c>
      <c r="S1943">
        <v>23</v>
      </c>
      <c r="T1943">
        <v>1</v>
      </c>
    </row>
    <row r="1944" spans="18:20" x14ac:dyDescent="0.25">
      <c r="R1944">
        <v>60</v>
      </c>
      <c r="S1944">
        <v>50</v>
      </c>
      <c r="T1944">
        <v>4</v>
      </c>
    </row>
    <row r="1945" spans="18:20" x14ac:dyDescent="0.25">
      <c r="R1945">
        <v>60</v>
      </c>
      <c r="S1945">
        <v>85</v>
      </c>
      <c r="T1945">
        <v>2</v>
      </c>
    </row>
    <row r="1946" spans="18:20" x14ac:dyDescent="0.25">
      <c r="R1946">
        <v>60</v>
      </c>
      <c r="S1946">
        <v>92</v>
      </c>
      <c r="T1946">
        <v>4</v>
      </c>
    </row>
    <row r="1947" spans="18:20" x14ac:dyDescent="0.25">
      <c r="R1947">
        <v>60</v>
      </c>
      <c r="S1947">
        <v>107</v>
      </c>
      <c r="T1947">
        <v>3</v>
      </c>
    </row>
    <row r="1948" spans="18:20" x14ac:dyDescent="0.25">
      <c r="R1948">
        <v>60</v>
      </c>
      <c r="S1948">
        <v>119</v>
      </c>
      <c r="T1948">
        <v>4</v>
      </c>
    </row>
    <row r="1949" spans="18:20" x14ac:dyDescent="0.25">
      <c r="R1949">
        <v>60</v>
      </c>
      <c r="S1949">
        <v>129</v>
      </c>
      <c r="T1949">
        <v>2</v>
      </c>
    </row>
    <row r="1950" spans="18:20" x14ac:dyDescent="0.25">
      <c r="R1950">
        <v>60</v>
      </c>
      <c r="S1950">
        <v>131</v>
      </c>
      <c r="T1950">
        <v>4</v>
      </c>
    </row>
    <row r="1951" spans="18:20" x14ac:dyDescent="0.25">
      <c r="R1951">
        <v>60</v>
      </c>
      <c r="S1951">
        <v>150</v>
      </c>
      <c r="T1951">
        <v>1</v>
      </c>
    </row>
    <row r="1952" spans="18:20" x14ac:dyDescent="0.25">
      <c r="R1952">
        <v>60</v>
      </c>
      <c r="S1952">
        <v>181</v>
      </c>
      <c r="T1952">
        <v>3</v>
      </c>
    </row>
    <row r="1953" spans="18:20" x14ac:dyDescent="0.25">
      <c r="R1953">
        <v>60</v>
      </c>
      <c r="S1953">
        <v>188</v>
      </c>
      <c r="T1953">
        <v>3</v>
      </c>
    </row>
    <row r="1954" spans="18:20" x14ac:dyDescent="0.25">
      <c r="R1954">
        <v>60</v>
      </c>
      <c r="S1954">
        <v>234</v>
      </c>
      <c r="T1954">
        <v>3</v>
      </c>
    </row>
    <row r="1955" spans="18:20" x14ac:dyDescent="0.25">
      <c r="R1955">
        <v>60</v>
      </c>
      <c r="S1955">
        <v>236</v>
      </c>
      <c r="T1955">
        <v>4</v>
      </c>
    </row>
    <row r="1956" spans="18:20" x14ac:dyDescent="0.25">
      <c r="R1956">
        <v>60</v>
      </c>
      <c r="S1956">
        <v>240</v>
      </c>
      <c r="T1956">
        <v>3</v>
      </c>
    </row>
    <row r="1957" spans="18:20" x14ac:dyDescent="0.25">
      <c r="R1957">
        <v>60</v>
      </c>
      <c r="S1957">
        <v>271</v>
      </c>
      <c r="T1957">
        <v>4</v>
      </c>
    </row>
    <row r="1958" spans="18:20" x14ac:dyDescent="0.25">
      <c r="R1958">
        <v>60</v>
      </c>
      <c r="S1958">
        <v>296</v>
      </c>
      <c r="T1958">
        <v>2</v>
      </c>
    </row>
    <row r="1959" spans="18:20" x14ac:dyDescent="0.25">
      <c r="R1959">
        <v>60</v>
      </c>
      <c r="S1959">
        <v>336</v>
      </c>
      <c r="T1959">
        <v>1</v>
      </c>
    </row>
    <row r="1960" spans="18:20" x14ac:dyDescent="0.25">
      <c r="R1960">
        <v>60</v>
      </c>
      <c r="S1960">
        <v>382</v>
      </c>
      <c r="T1960">
        <v>2</v>
      </c>
    </row>
    <row r="1961" spans="18:20" x14ac:dyDescent="0.25">
      <c r="R1961">
        <v>60</v>
      </c>
      <c r="S1961">
        <v>421</v>
      </c>
      <c r="T1961">
        <v>5</v>
      </c>
    </row>
    <row r="1962" spans="18:20" x14ac:dyDescent="0.25">
      <c r="R1962">
        <v>60</v>
      </c>
      <c r="S1962">
        <v>422</v>
      </c>
      <c r="T1962">
        <v>2</v>
      </c>
    </row>
    <row r="1963" spans="18:20" x14ac:dyDescent="0.25">
      <c r="R1963">
        <v>60</v>
      </c>
      <c r="S1963">
        <v>426</v>
      </c>
      <c r="T1963">
        <v>5</v>
      </c>
    </row>
    <row r="1964" spans="18:20" x14ac:dyDescent="0.25">
      <c r="R1964">
        <v>61</v>
      </c>
      <c r="S1964">
        <v>9</v>
      </c>
      <c r="T1964">
        <v>3</v>
      </c>
    </row>
    <row r="1965" spans="18:20" x14ac:dyDescent="0.25">
      <c r="R1965">
        <v>61</v>
      </c>
      <c r="S1965">
        <v>12</v>
      </c>
      <c r="T1965">
        <v>4</v>
      </c>
    </row>
    <row r="1966" spans="18:20" x14ac:dyDescent="0.25">
      <c r="R1966">
        <v>61</v>
      </c>
      <c r="S1966">
        <v>20</v>
      </c>
      <c r="T1966">
        <v>4</v>
      </c>
    </row>
    <row r="1967" spans="18:20" x14ac:dyDescent="0.25">
      <c r="R1967">
        <v>61</v>
      </c>
      <c r="S1967">
        <v>25</v>
      </c>
      <c r="T1967">
        <v>2</v>
      </c>
    </row>
    <row r="1968" spans="18:20" x14ac:dyDescent="0.25">
      <c r="R1968">
        <v>61</v>
      </c>
      <c r="S1968">
        <v>26</v>
      </c>
      <c r="T1968">
        <v>2</v>
      </c>
    </row>
    <row r="1969" spans="18:20" x14ac:dyDescent="0.25">
      <c r="R1969">
        <v>61</v>
      </c>
      <c r="S1969">
        <v>43</v>
      </c>
      <c r="T1969">
        <v>3</v>
      </c>
    </row>
    <row r="1970" spans="18:20" x14ac:dyDescent="0.25">
      <c r="R1970">
        <v>61</v>
      </c>
      <c r="S1970">
        <v>79</v>
      </c>
      <c r="T1970">
        <v>2</v>
      </c>
    </row>
    <row r="1971" spans="18:20" x14ac:dyDescent="0.25">
      <c r="R1971">
        <v>61</v>
      </c>
      <c r="S1971">
        <v>96</v>
      </c>
      <c r="T1971">
        <v>3</v>
      </c>
    </row>
    <row r="1972" spans="18:20" x14ac:dyDescent="0.25">
      <c r="R1972">
        <v>61</v>
      </c>
      <c r="S1972">
        <v>100</v>
      </c>
      <c r="T1972">
        <v>4</v>
      </c>
    </row>
    <row r="1973" spans="18:20" x14ac:dyDescent="0.25">
      <c r="R1973">
        <v>61</v>
      </c>
      <c r="S1973">
        <v>109</v>
      </c>
      <c r="T1973">
        <v>4</v>
      </c>
    </row>
    <row r="1974" spans="18:20" x14ac:dyDescent="0.25">
      <c r="R1974">
        <v>61</v>
      </c>
      <c r="S1974">
        <v>119</v>
      </c>
      <c r="T1974">
        <v>2</v>
      </c>
    </row>
    <row r="1975" spans="18:20" x14ac:dyDescent="0.25">
      <c r="R1975">
        <v>61</v>
      </c>
      <c r="S1975">
        <v>120</v>
      </c>
      <c r="T1975">
        <v>3</v>
      </c>
    </row>
    <row r="1976" spans="18:20" x14ac:dyDescent="0.25">
      <c r="R1976">
        <v>61</v>
      </c>
      <c r="S1976">
        <v>132</v>
      </c>
      <c r="T1976">
        <v>2</v>
      </c>
    </row>
    <row r="1977" spans="18:20" x14ac:dyDescent="0.25">
      <c r="R1977">
        <v>61</v>
      </c>
      <c r="S1977">
        <v>139</v>
      </c>
      <c r="T1977">
        <v>5</v>
      </c>
    </row>
    <row r="1978" spans="18:20" x14ac:dyDescent="0.25">
      <c r="R1978">
        <v>61</v>
      </c>
      <c r="S1978">
        <v>142</v>
      </c>
      <c r="T1978">
        <v>5</v>
      </c>
    </row>
    <row r="1979" spans="18:20" x14ac:dyDescent="0.25">
      <c r="R1979">
        <v>61</v>
      </c>
      <c r="S1979">
        <v>144</v>
      </c>
      <c r="T1979">
        <v>1</v>
      </c>
    </row>
    <row r="1980" spans="18:20" x14ac:dyDescent="0.25">
      <c r="R1980">
        <v>61</v>
      </c>
      <c r="S1980">
        <v>146</v>
      </c>
      <c r="T1980">
        <v>3</v>
      </c>
    </row>
    <row r="1981" spans="18:20" x14ac:dyDescent="0.25">
      <c r="R1981">
        <v>61</v>
      </c>
      <c r="S1981">
        <v>154</v>
      </c>
      <c r="T1981">
        <v>5</v>
      </c>
    </row>
    <row r="1982" spans="18:20" x14ac:dyDescent="0.25">
      <c r="R1982">
        <v>61</v>
      </c>
      <c r="S1982">
        <v>164</v>
      </c>
      <c r="T1982">
        <v>5</v>
      </c>
    </row>
    <row r="1983" spans="18:20" x14ac:dyDescent="0.25">
      <c r="R1983">
        <v>61</v>
      </c>
      <c r="S1983">
        <v>167</v>
      </c>
      <c r="T1983">
        <v>5</v>
      </c>
    </row>
    <row r="1984" spans="18:20" x14ac:dyDescent="0.25">
      <c r="R1984">
        <v>61</v>
      </c>
      <c r="S1984">
        <v>197</v>
      </c>
      <c r="T1984">
        <v>1</v>
      </c>
    </row>
    <row r="1985" spans="18:20" x14ac:dyDescent="0.25">
      <c r="R1985">
        <v>61</v>
      </c>
      <c r="S1985">
        <v>243</v>
      </c>
      <c r="T1985">
        <v>4</v>
      </c>
    </row>
    <row r="1986" spans="18:20" x14ac:dyDescent="0.25">
      <c r="R1986">
        <v>61</v>
      </c>
      <c r="S1986">
        <v>249</v>
      </c>
      <c r="T1986">
        <v>5</v>
      </c>
    </row>
    <row r="1987" spans="18:20" x14ac:dyDescent="0.25">
      <c r="R1987">
        <v>61</v>
      </c>
      <c r="S1987">
        <v>255</v>
      </c>
      <c r="T1987">
        <v>5</v>
      </c>
    </row>
    <row r="1988" spans="18:20" x14ac:dyDescent="0.25">
      <c r="R1988">
        <v>61</v>
      </c>
      <c r="S1988">
        <v>301</v>
      </c>
      <c r="T1988">
        <v>3</v>
      </c>
    </row>
    <row r="1989" spans="18:20" x14ac:dyDescent="0.25">
      <c r="R1989">
        <v>61</v>
      </c>
      <c r="S1989">
        <v>327</v>
      </c>
      <c r="T1989">
        <v>1</v>
      </c>
    </row>
    <row r="1990" spans="18:20" x14ac:dyDescent="0.25">
      <c r="R1990">
        <v>61</v>
      </c>
      <c r="S1990">
        <v>328</v>
      </c>
      <c r="T1990">
        <v>1</v>
      </c>
    </row>
    <row r="1991" spans="18:20" x14ac:dyDescent="0.25">
      <c r="R1991">
        <v>61</v>
      </c>
      <c r="S1991">
        <v>359</v>
      </c>
      <c r="T1991">
        <v>4</v>
      </c>
    </row>
    <row r="1992" spans="18:20" x14ac:dyDescent="0.25">
      <c r="R1992">
        <v>61</v>
      </c>
      <c r="S1992">
        <v>359</v>
      </c>
      <c r="T1992">
        <v>3</v>
      </c>
    </row>
    <row r="1993" spans="18:20" x14ac:dyDescent="0.25">
      <c r="R1993">
        <v>61</v>
      </c>
      <c r="S1993">
        <v>360</v>
      </c>
      <c r="T1993">
        <v>5</v>
      </c>
    </row>
    <row r="1994" spans="18:20" x14ac:dyDescent="0.25">
      <c r="R1994">
        <v>61</v>
      </c>
      <c r="S1994">
        <v>365</v>
      </c>
      <c r="T1994">
        <v>5</v>
      </c>
    </row>
    <row r="1995" spans="18:20" x14ac:dyDescent="0.25">
      <c r="R1995">
        <v>61</v>
      </c>
      <c r="S1995">
        <v>384</v>
      </c>
      <c r="T1995">
        <v>4</v>
      </c>
    </row>
    <row r="1996" spans="18:20" x14ac:dyDescent="0.25">
      <c r="R1996">
        <v>61</v>
      </c>
      <c r="S1996">
        <v>398</v>
      </c>
      <c r="T1996">
        <v>5</v>
      </c>
    </row>
    <row r="1997" spans="18:20" x14ac:dyDescent="0.25">
      <c r="R1997">
        <v>61</v>
      </c>
      <c r="S1997">
        <v>409</v>
      </c>
      <c r="T1997">
        <v>3</v>
      </c>
    </row>
    <row r="1998" spans="18:20" x14ac:dyDescent="0.25">
      <c r="R1998">
        <v>61</v>
      </c>
      <c r="S1998">
        <v>436</v>
      </c>
      <c r="T1998">
        <v>5</v>
      </c>
    </row>
    <row r="1999" spans="18:20" x14ac:dyDescent="0.25">
      <c r="R1999">
        <v>62</v>
      </c>
      <c r="S1999">
        <v>26</v>
      </c>
      <c r="T1999">
        <v>5</v>
      </c>
    </row>
    <row r="2000" spans="18:20" x14ac:dyDescent="0.25">
      <c r="R2000">
        <v>62</v>
      </c>
      <c r="S2000">
        <v>43</v>
      </c>
      <c r="T2000">
        <v>2</v>
      </c>
    </row>
    <row r="2001" spans="18:20" x14ac:dyDescent="0.25">
      <c r="R2001">
        <v>62</v>
      </c>
      <c r="S2001">
        <v>47</v>
      </c>
      <c r="T2001">
        <v>5</v>
      </c>
    </row>
    <row r="2002" spans="18:20" x14ac:dyDescent="0.25">
      <c r="R2002">
        <v>62</v>
      </c>
      <c r="S2002">
        <v>59</v>
      </c>
      <c r="T2002">
        <v>2</v>
      </c>
    </row>
    <row r="2003" spans="18:20" x14ac:dyDescent="0.25">
      <c r="R2003">
        <v>62</v>
      </c>
      <c r="S2003">
        <v>65</v>
      </c>
      <c r="T2003">
        <v>1</v>
      </c>
    </row>
    <row r="2004" spans="18:20" x14ac:dyDescent="0.25">
      <c r="R2004">
        <v>62</v>
      </c>
      <c r="S2004">
        <v>71</v>
      </c>
      <c r="T2004">
        <v>5</v>
      </c>
    </row>
    <row r="2005" spans="18:20" x14ac:dyDescent="0.25">
      <c r="R2005">
        <v>62</v>
      </c>
      <c r="S2005">
        <v>119</v>
      </c>
      <c r="T2005">
        <v>4</v>
      </c>
    </row>
    <row r="2006" spans="18:20" x14ac:dyDescent="0.25">
      <c r="R2006">
        <v>62</v>
      </c>
      <c r="S2006">
        <v>120</v>
      </c>
      <c r="T2006">
        <v>5</v>
      </c>
    </row>
    <row r="2007" spans="18:20" x14ac:dyDescent="0.25">
      <c r="R2007">
        <v>62</v>
      </c>
      <c r="S2007">
        <v>126</v>
      </c>
      <c r="T2007">
        <v>4</v>
      </c>
    </row>
    <row r="2008" spans="18:20" x14ac:dyDescent="0.25">
      <c r="R2008">
        <v>62</v>
      </c>
      <c r="S2008">
        <v>130</v>
      </c>
      <c r="T2008">
        <v>5</v>
      </c>
    </row>
    <row r="2009" spans="18:20" x14ac:dyDescent="0.25">
      <c r="R2009">
        <v>62</v>
      </c>
      <c r="S2009">
        <v>131</v>
      </c>
      <c r="T2009">
        <v>4</v>
      </c>
    </row>
    <row r="2010" spans="18:20" x14ac:dyDescent="0.25">
      <c r="R2010">
        <v>62</v>
      </c>
      <c r="S2010">
        <v>131</v>
      </c>
      <c r="T2010">
        <v>1</v>
      </c>
    </row>
    <row r="2011" spans="18:20" x14ac:dyDescent="0.25">
      <c r="R2011">
        <v>62</v>
      </c>
      <c r="S2011">
        <v>170</v>
      </c>
      <c r="T2011">
        <v>2</v>
      </c>
    </row>
    <row r="2012" spans="18:20" x14ac:dyDescent="0.25">
      <c r="R2012">
        <v>62</v>
      </c>
      <c r="S2012">
        <v>191</v>
      </c>
      <c r="T2012">
        <v>5</v>
      </c>
    </row>
    <row r="2013" spans="18:20" x14ac:dyDescent="0.25">
      <c r="R2013">
        <v>62</v>
      </c>
      <c r="S2013">
        <v>212</v>
      </c>
      <c r="T2013">
        <v>1</v>
      </c>
    </row>
    <row r="2014" spans="18:20" x14ac:dyDescent="0.25">
      <c r="R2014">
        <v>62</v>
      </c>
      <c r="S2014">
        <v>218</v>
      </c>
      <c r="T2014">
        <v>4</v>
      </c>
    </row>
    <row r="2015" spans="18:20" x14ac:dyDescent="0.25">
      <c r="R2015">
        <v>62</v>
      </c>
      <c r="S2015">
        <v>224</v>
      </c>
      <c r="T2015">
        <v>3</v>
      </c>
    </row>
    <row r="2016" spans="18:20" x14ac:dyDescent="0.25">
      <c r="R2016">
        <v>62</v>
      </c>
      <c r="S2016">
        <v>240</v>
      </c>
      <c r="T2016">
        <v>3</v>
      </c>
    </row>
    <row r="2017" spans="18:20" x14ac:dyDescent="0.25">
      <c r="R2017">
        <v>62</v>
      </c>
      <c r="S2017">
        <v>249</v>
      </c>
      <c r="T2017">
        <v>2</v>
      </c>
    </row>
    <row r="2018" spans="18:20" x14ac:dyDescent="0.25">
      <c r="R2018">
        <v>62</v>
      </c>
      <c r="S2018">
        <v>259</v>
      </c>
      <c r="T2018">
        <v>5</v>
      </c>
    </row>
    <row r="2019" spans="18:20" x14ac:dyDescent="0.25">
      <c r="R2019">
        <v>62</v>
      </c>
      <c r="S2019">
        <v>263</v>
      </c>
      <c r="T2019">
        <v>2</v>
      </c>
    </row>
    <row r="2020" spans="18:20" x14ac:dyDescent="0.25">
      <c r="R2020">
        <v>62</v>
      </c>
      <c r="S2020">
        <v>283</v>
      </c>
      <c r="T2020">
        <v>1</v>
      </c>
    </row>
    <row r="2021" spans="18:20" x14ac:dyDescent="0.25">
      <c r="R2021">
        <v>62</v>
      </c>
      <c r="S2021">
        <v>284</v>
      </c>
      <c r="T2021">
        <v>2</v>
      </c>
    </row>
    <row r="2022" spans="18:20" x14ac:dyDescent="0.25">
      <c r="R2022">
        <v>62</v>
      </c>
      <c r="S2022">
        <v>344</v>
      </c>
      <c r="T2022">
        <v>4</v>
      </c>
    </row>
    <row r="2023" spans="18:20" x14ac:dyDescent="0.25">
      <c r="R2023">
        <v>62</v>
      </c>
      <c r="S2023">
        <v>358</v>
      </c>
      <c r="T2023">
        <v>5</v>
      </c>
    </row>
    <row r="2024" spans="18:20" x14ac:dyDescent="0.25">
      <c r="R2024">
        <v>62</v>
      </c>
      <c r="S2024">
        <v>369</v>
      </c>
      <c r="T2024">
        <v>1</v>
      </c>
    </row>
    <row r="2025" spans="18:20" x14ac:dyDescent="0.25">
      <c r="R2025">
        <v>62</v>
      </c>
      <c r="S2025">
        <v>373</v>
      </c>
      <c r="T2025">
        <v>2</v>
      </c>
    </row>
    <row r="2026" spans="18:20" x14ac:dyDescent="0.25">
      <c r="R2026">
        <v>62</v>
      </c>
      <c r="S2026">
        <v>386</v>
      </c>
      <c r="T2026">
        <v>3</v>
      </c>
    </row>
    <row r="2027" spans="18:20" x14ac:dyDescent="0.25">
      <c r="R2027">
        <v>62</v>
      </c>
      <c r="S2027">
        <v>400</v>
      </c>
      <c r="T2027">
        <v>5</v>
      </c>
    </row>
    <row r="2028" spans="18:20" x14ac:dyDescent="0.25">
      <c r="R2028">
        <v>63</v>
      </c>
      <c r="S2028">
        <v>15</v>
      </c>
      <c r="T2028">
        <v>1</v>
      </c>
    </row>
    <row r="2029" spans="18:20" x14ac:dyDescent="0.25">
      <c r="R2029">
        <v>63</v>
      </c>
      <c r="S2029">
        <v>21</v>
      </c>
      <c r="T2029">
        <v>4</v>
      </c>
    </row>
    <row r="2030" spans="18:20" x14ac:dyDescent="0.25">
      <c r="R2030">
        <v>63</v>
      </c>
      <c r="S2030">
        <v>22</v>
      </c>
      <c r="T2030">
        <v>3</v>
      </c>
    </row>
    <row r="2031" spans="18:20" x14ac:dyDescent="0.25">
      <c r="R2031">
        <v>63</v>
      </c>
      <c r="S2031">
        <v>27</v>
      </c>
      <c r="T2031">
        <v>3</v>
      </c>
    </row>
    <row r="2032" spans="18:20" x14ac:dyDescent="0.25">
      <c r="R2032">
        <v>63</v>
      </c>
      <c r="S2032">
        <v>61</v>
      </c>
      <c r="T2032">
        <v>3</v>
      </c>
    </row>
    <row r="2033" spans="18:20" x14ac:dyDescent="0.25">
      <c r="R2033">
        <v>63</v>
      </c>
      <c r="S2033">
        <v>63</v>
      </c>
      <c r="T2033">
        <v>4</v>
      </c>
    </row>
    <row r="2034" spans="18:20" x14ac:dyDescent="0.25">
      <c r="R2034">
        <v>63</v>
      </c>
      <c r="S2034">
        <v>71</v>
      </c>
      <c r="T2034">
        <v>2</v>
      </c>
    </row>
    <row r="2035" spans="18:20" x14ac:dyDescent="0.25">
      <c r="R2035">
        <v>63</v>
      </c>
      <c r="S2035">
        <v>110</v>
      </c>
      <c r="T2035">
        <v>1</v>
      </c>
    </row>
    <row r="2036" spans="18:20" x14ac:dyDescent="0.25">
      <c r="R2036">
        <v>63</v>
      </c>
      <c r="S2036">
        <v>116</v>
      </c>
      <c r="T2036">
        <v>2</v>
      </c>
    </row>
    <row r="2037" spans="18:20" x14ac:dyDescent="0.25">
      <c r="R2037">
        <v>63</v>
      </c>
      <c r="S2037">
        <v>125</v>
      </c>
      <c r="T2037">
        <v>1</v>
      </c>
    </row>
    <row r="2038" spans="18:20" x14ac:dyDescent="0.25">
      <c r="R2038">
        <v>63</v>
      </c>
      <c r="S2038">
        <v>159</v>
      </c>
      <c r="T2038">
        <v>3</v>
      </c>
    </row>
    <row r="2039" spans="18:20" x14ac:dyDescent="0.25">
      <c r="R2039">
        <v>63</v>
      </c>
      <c r="S2039">
        <v>163</v>
      </c>
      <c r="T2039">
        <v>1</v>
      </c>
    </row>
    <row r="2040" spans="18:20" x14ac:dyDescent="0.25">
      <c r="R2040">
        <v>63</v>
      </c>
      <c r="S2040">
        <v>183</v>
      </c>
      <c r="T2040">
        <v>4</v>
      </c>
    </row>
    <row r="2041" spans="18:20" x14ac:dyDescent="0.25">
      <c r="R2041">
        <v>63</v>
      </c>
      <c r="S2041">
        <v>187</v>
      </c>
      <c r="T2041">
        <v>2</v>
      </c>
    </row>
    <row r="2042" spans="18:20" x14ac:dyDescent="0.25">
      <c r="R2042">
        <v>63</v>
      </c>
      <c r="S2042">
        <v>206</v>
      </c>
      <c r="T2042">
        <v>5</v>
      </c>
    </row>
    <row r="2043" spans="18:20" x14ac:dyDescent="0.25">
      <c r="R2043">
        <v>63</v>
      </c>
      <c r="S2043">
        <v>225</v>
      </c>
      <c r="T2043">
        <v>1</v>
      </c>
    </row>
    <row r="2044" spans="18:20" x14ac:dyDescent="0.25">
      <c r="R2044">
        <v>63</v>
      </c>
      <c r="S2044">
        <v>236</v>
      </c>
      <c r="T2044">
        <v>1</v>
      </c>
    </row>
    <row r="2045" spans="18:20" x14ac:dyDescent="0.25">
      <c r="R2045">
        <v>63</v>
      </c>
      <c r="S2045">
        <v>250</v>
      </c>
      <c r="T2045">
        <v>1</v>
      </c>
    </row>
    <row r="2046" spans="18:20" x14ac:dyDescent="0.25">
      <c r="R2046">
        <v>63</v>
      </c>
      <c r="S2046">
        <v>251</v>
      </c>
      <c r="T2046">
        <v>5</v>
      </c>
    </row>
    <row r="2047" spans="18:20" x14ac:dyDescent="0.25">
      <c r="R2047">
        <v>63</v>
      </c>
      <c r="S2047">
        <v>258</v>
      </c>
      <c r="T2047">
        <v>4</v>
      </c>
    </row>
    <row r="2048" spans="18:20" x14ac:dyDescent="0.25">
      <c r="R2048">
        <v>63</v>
      </c>
      <c r="S2048">
        <v>265</v>
      </c>
      <c r="T2048">
        <v>3</v>
      </c>
    </row>
    <row r="2049" spans="18:20" x14ac:dyDescent="0.25">
      <c r="R2049">
        <v>63</v>
      </c>
      <c r="S2049">
        <v>269</v>
      </c>
      <c r="T2049">
        <v>3</v>
      </c>
    </row>
    <row r="2050" spans="18:20" x14ac:dyDescent="0.25">
      <c r="R2050">
        <v>63</v>
      </c>
      <c r="S2050">
        <v>278</v>
      </c>
      <c r="T2050">
        <v>3</v>
      </c>
    </row>
    <row r="2051" spans="18:20" x14ac:dyDescent="0.25">
      <c r="R2051">
        <v>63</v>
      </c>
      <c r="S2051">
        <v>280</v>
      </c>
      <c r="T2051">
        <v>1</v>
      </c>
    </row>
    <row r="2052" spans="18:20" x14ac:dyDescent="0.25">
      <c r="R2052">
        <v>63</v>
      </c>
      <c r="S2052">
        <v>312</v>
      </c>
      <c r="T2052">
        <v>4</v>
      </c>
    </row>
    <row r="2053" spans="18:20" x14ac:dyDescent="0.25">
      <c r="R2053">
        <v>63</v>
      </c>
      <c r="S2053">
        <v>335</v>
      </c>
      <c r="T2053">
        <v>5</v>
      </c>
    </row>
    <row r="2054" spans="18:20" x14ac:dyDescent="0.25">
      <c r="R2054">
        <v>63</v>
      </c>
      <c r="S2054">
        <v>338</v>
      </c>
      <c r="T2054">
        <v>4</v>
      </c>
    </row>
    <row r="2055" spans="18:20" x14ac:dyDescent="0.25">
      <c r="R2055">
        <v>63</v>
      </c>
      <c r="S2055">
        <v>358</v>
      </c>
      <c r="T2055">
        <v>1</v>
      </c>
    </row>
    <row r="2056" spans="18:20" x14ac:dyDescent="0.25">
      <c r="R2056">
        <v>63</v>
      </c>
      <c r="S2056">
        <v>365</v>
      </c>
      <c r="T2056">
        <v>2</v>
      </c>
    </row>
    <row r="2057" spans="18:20" x14ac:dyDescent="0.25">
      <c r="R2057">
        <v>63</v>
      </c>
      <c r="S2057">
        <v>366</v>
      </c>
      <c r="T2057">
        <v>2</v>
      </c>
    </row>
    <row r="2058" spans="18:20" x14ac:dyDescent="0.25">
      <c r="R2058">
        <v>63</v>
      </c>
      <c r="S2058">
        <v>401</v>
      </c>
      <c r="T2058">
        <v>4</v>
      </c>
    </row>
    <row r="2059" spans="18:20" x14ac:dyDescent="0.25">
      <c r="R2059">
        <v>63</v>
      </c>
      <c r="S2059">
        <v>427</v>
      </c>
      <c r="T2059">
        <v>5</v>
      </c>
    </row>
    <row r="2060" spans="18:20" x14ac:dyDescent="0.25">
      <c r="R2060">
        <v>63</v>
      </c>
      <c r="S2060">
        <v>428</v>
      </c>
      <c r="T2060">
        <v>1</v>
      </c>
    </row>
    <row r="2061" spans="18:20" x14ac:dyDescent="0.25">
      <c r="R2061">
        <v>63</v>
      </c>
      <c r="S2061">
        <v>436</v>
      </c>
      <c r="T2061">
        <v>4</v>
      </c>
    </row>
    <row r="2062" spans="18:20" x14ac:dyDescent="0.25">
      <c r="R2062">
        <v>64</v>
      </c>
      <c r="S2062">
        <v>1</v>
      </c>
      <c r="T2062">
        <v>2</v>
      </c>
    </row>
    <row r="2063" spans="18:20" x14ac:dyDescent="0.25">
      <c r="R2063">
        <v>64</v>
      </c>
      <c r="S2063">
        <v>9</v>
      </c>
      <c r="T2063">
        <v>1</v>
      </c>
    </row>
    <row r="2064" spans="18:20" x14ac:dyDescent="0.25">
      <c r="R2064">
        <v>64</v>
      </c>
      <c r="S2064">
        <v>15</v>
      </c>
      <c r="T2064">
        <v>5</v>
      </c>
    </row>
    <row r="2065" spans="18:20" x14ac:dyDescent="0.25">
      <c r="R2065">
        <v>64</v>
      </c>
      <c r="S2065">
        <v>26</v>
      </c>
      <c r="T2065">
        <v>1</v>
      </c>
    </row>
    <row r="2066" spans="18:20" x14ac:dyDescent="0.25">
      <c r="R2066">
        <v>64</v>
      </c>
      <c r="S2066">
        <v>50</v>
      </c>
      <c r="T2066">
        <v>5</v>
      </c>
    </row>
    <row r="2067" spans="18:20" x14ac:dyDescent="0.25">
      <c r="R2067">
        <v>64</v>
      </c>
      <c r="S2067">
        <v>53</v>
      </c>
      <c r="T2067">
        <v>3</v>
      </c>
    </row>
    <row r="2068" spans="18:20" x14ac:dyDescent="0.25">
      <c r="R2068">
        <v>64</v>
      </c>
      <c r="S2068">
        <v>71</v>
      </c>
      <c r="T2068">
        <v>4</v>
      </c>
    </row>
    <row r="2069" spans="18:20" x14ac:dyDescent="0.25">
      <c r="R2069">
        <v>64</v>
      </c>
      <c r="S2069">
        <v>88</v>
      </c>
      <c r="T2069">
        <v>3</v>
      </c>
    </row>
    <row r="2070" spans="18:20" x14ac:dyDescent="0.25">
      <c r="R2070">
        <v>64</v>
      </c>
      <c r="S2070">
        <v>91</v>
      </c>
      <c r="T2070">
        <v>3</v>
      </c>
    </row>
    <row r="2071" spans="18:20" x14ac:dyDescent="0.25">
      <c r="R2071">
        <v>64</v>
      </c>
      <c r="S2071">
        <v>97</v>
      </c>
      <c r="T2071">
        <v>4</v>
      </c>
    </row>
    <row r="2072" spans="18:20" x14ac:dyDescent="0.25">
      <c r="R2072">
        <v>64</v>
      </c>
      <c r="S2072">
        <v>112</v>
      </c>
      <c r="T2072">
        <v>4</v>
      </c>
    </row>
    <row r="2073" spans="18:20" x14ac:dyDescent="0.25">
      <c r="R2073">
        <v>64</v>
      </c>
      <c r="S2073">
        <v>121</v>
      </c>
      <c r="T2073">
        <v>4</v>
      </c>
    </row>
    <row r="2074" spans="18:20" x14ac:dyDescent="0.25">
      <c r="R2074">
        <v>64</v>
      </c>
      <c r="S2074">
        <v>126</v>
      </c>
      <c r="T2074">
        <v>4</v>
      </c>
    </row>
    <row r="2075" spans="18:20" x14ac:dyDescent="0.25">
      <c r="R2075">
        <v>64</v>
      </c>
      <c r="S2075">
        <v>128</v>
      </c>
      <c r="T2075">
        <v>2</v>
      </c>
    </row>
    <row r="2076" spans="18:20" x14ac:dyDescent="0.25">
      <c r="R2076">
        <v>64</v>
      </c>
      <c r="S2076">
        <v>135</v>
      </c>
      <c r="T2076">
        <v>3</v>
      </c>
    </row>
    <row r="2077" spans="18:20" x14ac:dyDescent="0.25">
      <c r="R2077">
        <v>64</v>
      </c>
      <c r="S2077">
        <v>142</v>
      </c>
      <c r="T2077">
        <v>5</v>
      </c>
    </row>
    <row r="2078" spans="18:20" x14ac:dyDescent="0.25">
      <c r="R2078">
        <v>64</v>
      </c>
      <c r="S2078">
        <v>169</v>
      </c>
      <c r="T2078">
        <v>1</v>
      </c>
    </row>
    <row r="2079" spans="18:20" x14ac:dyDescent="0.25">
      <c r="R2079">
        <v>64</v>
      </c>
      <c r="S2079">
        <v>181</v>
      </c>
      <c r="T2079">
        <v>1</v>
      </c>
    </row>
    <row r="2080" spans="18:20" x14ac:dyDescent="0.25">
      <c r="R2080">
        <v>64</v>
      </c>
      <c r="S2080">
        <v>207</v>
      </c>
      <c r="T2080">
        <v>3</v>
      </c>
    </row>
    <row r="2081" spans="18:20" x14ac:dyDescent="0.25">
      <c r="R2081">
        <v>64</v>
      </c>
      <c r="S2081">
        <v>234</v>
      </c>
      <c r="T2081">
        <v>1</v>
      </c>
    </row>
    <row r="2082" spans="18:20" x14ac:dyDescent="0.25">
      <c r="R2082">
        <v>64</v>
      </c>
      <c r="S2082">
        <v>243</v>
      </c>
      <c r="T2082">
        <v>3</v>
      </c>
    </row>
    <row r="2083" spans="18:20" x14ac:dyDescent="0.25">
      <c r="R2083">
        <v>64</v>
      </c>
      <c r="S2083">
        <v>257</v>
      </c>
      <c r="T2083">
        <v>4</v>
      </c>
    </row>
    <row r="2084" spans="18:20" x14ac:dyDescent="0.25">
      <c r="R2084">
        <v>64</v>
      </c>
      <c r="S2084">
        <v>291</v>
      </c>
      <c r="T2084">
        <v>3</v>
      </c>
    </row>
    <row r="2085" spans="18:20" x14ac:dyDescent="0.25">
      <c r="R2085">
        <v>64</v>
      </c>
      <c r="S2085">
        <v>305</v>
      </c>
      <c r="T2085">
        <v>2</v>
      </c>
    </row>
    <row r="2086" spans="18:20" x14ac:dyDescent="0.25">
      <c r="R2086">
        <v>64</v>
      </c>
      <c r="S2086">
        <v>315</v>
      </c>
      <c r="T2086">
        <v>4</v>
      </c>
    </row>
    <row r="2087" spans="18:20" x14ac:dyDescent="0.25">
      <c r="R2087">
        <v>64</v>
      </c>
      <c r="S2087">
        <v>339</v>
      </c>
      <c r="T2087">
        <v>5</v>
      </c>
    </row>
    <row r="2088" spans="18:20" x14ac:dyDescent="0.25">
      <c r="R2088">
        <v>64</v>
      </c>
      <c r="S2088">
        <v>352</v>
      </c>
      <c r="T2088">
        <v>1</v>
      </c>
    </row>
    <row r="2089" spans="18:20" x14ac:dyDescent="0.25">
      <c r="R2089">
        <v>64</v>
      </c>
      <c r="S2089">
        <v>353</v>
      </c>
      <c r="T2089">
        <v>5</v>
      </c>
    </row>
    <row r="2090" spans="18:20" x14ac:dyDescent="0.25">
      <c r="R2090">
        <v>64</v>
      </c>
      <c r="S2090">
        <v>358</v>
      </c>
      <c r="T2090">
        <v>4</v>
      </c>
    </row>
    <row r="2091" spans="18:20" x14ac:dyDescent="0.25">
      <c r="R2091">
        <v>64</v>
      </c>
      <c r="S2091">
        <v>359</v>
      </c>
      <c r="T2091">
        <v>1</v>
      </c>
    </row>
    <row r="2092" spans="18:20" x14ac:dyDescent="0.25">
      <c r="R2092">
        <v>64</v>
      </c>
      <c r="S2092">
        <v>362</v>
      </c>
      <c r="T2092">
        <v>3</v>
      </c>
    </row>
    <row r="2093" spans="18:20" x14ac:dyDescent="0.25">
      <c r="R2093">
        <v>64</v>
      </c>
      <c r="S2093">
        <v>366</v>
      </c>
      <c r="T2093">
        <v>2</v>
      </c>
    </row>
    <row r="2094" spans="18:20" x14ac:dyDescent="0.25">
      <c r="R2094">
        <v>64</v>
      </c>
      <c r="S2094">
        <v>401</v>
      </c>
      <c r="T2094">
        <v>4</v>
      </c>
    </row>
    <row r="2095" spans="18:20" x14ac:dyDescent="0.25">
      <c r="R2095">
        <v>64</v>
      </c>
      <c r="S2095">
        <v>427</v>
      </c>
      <c r="T2095">
        <v>4</v>
      </c>
    </row>
    <row r="2096" spans="18:20" x14ac:dyDescent="0.25">
      <c r="R2096">
        <v>64</v>
      </c>
      <c r="S2096">
        <v>429</v>
      </c>
      <c r="T2096">
        <v>1</v>
      </c>
    </row>
    <row r="2097" spans="18:20" x14ac:dyDescent="0.25">
      <c r="R2097">
        <v>65</v>
      </c>
      <c r="S2097">
        <v>6</v>
      </c>
      <c r="T2097">
        <v>5</v>
      </c>
    </row>
    <row r="2098" spans="18:20" x14ac:dyDescent="0.25">
      <c r="R2098">
        <v>65</v>
      </c>
      <c r="S2098">
        <v>8</v>
      </c>
      <c r="T2098">
        <v>1</v>
      </c>
    </row>
    <row r="2099" spans="18:20" x14ac:dyDescent="0.25">
      <c r="R2099">
        <v>65</v>
      </c>
      <c r="S2099">
        <v>18</v>
      </c>
      <c r="T2099">
        <v>4</v>
      </c>
    </row>
    <row r="2100" spans="18:20" x14ac:dyDescent="0.25">
      <c r="R2100">
        <v>65</v>
      </c>
      <c r="S2100">
        <v>25</v>
      </c>
      <c r="T2100">
        <v>1</v>
      </c>
    </row>
    <row r="2101" spans="18:20" x14ac:dyDescent="0.25">
      <c r="R2101">
        <v>65</v>
      </c>
      <c r="S2101">
        <v>25</v>
      </c>
      <c r="T2101">
        <v>5</v>
      </c>
    </row>
    <row r="2102" spans="18:20" x14ac:dyDescent="0.25">
      <c r="R2102">
        <v>65</v>
      </c>
      <c r="S2102">
        <v>32</v>
      </c>
      <c r="T2102">
        <v>5</v>
      </c>
    </row>
    <row r="2103" spans="18:20" x14ac:dyDescent="0.25">
      <c r="R2103">
        <v>65</v>
      </c>
      <c r="S2103">
        <v>44</v>
      </c>
      <c r="T2103">
        <v>5</v>
      </c>
    </row>
    <row r="2104" spans="18:20" x14ac:dyDescent="0.25">
      <c r="R2104">
        <v>65</v>
      </c>
      <c r="S2104">
        <v>49</v>
      </c>
      <c r="T2104">
        <v>2</v>
      </c>
    </row>
    <row r="2105" spans="18:20" x14ac:dyDescent="0.25">
      <c r="R2105">
        <v>65</v>
      </c>
      <c r="S2105">
        <v>59</v>
      </c>
      <c r="T2105">
        <v>2</v>
      </c>
    </row>
    <row r="2106" spans="18:20" x14ac:dyDescent="0.25">
      <c r="R2106">
        <v>65</v>
      </c>
      <c r="S2106">
        <v>66</v>
      </c>
      <c r="T2106">
        <v>3</v>
      </c>
    </row>
    <row r="2107" spans="18:20" x14ac:dyDescent="0.25">
      <c r="R2107">
        <v>65</v>
      </c>
      <c r="S2107">
        <v>74</v>
      </c>
      <c r="T2107">
        <v>4</v>
      </c>
    </row>
    <row r="2108" spans="18:20" x14ac:dyDescent="0.25">
      <c r="R2108">
        <v>65</v>
      </c>
      <c r="S2108">
        <v>75</v>
      </c>
      <c r="T2108">
        <v>1</v>
      </c>
    </row>
    <row r="2109" spans="18:20" x14ac:dyDescent="0.25">
      <c r="R2109">
        <v>65</v>
      </c>
      <c r="S2109">
        <v>84</v>
      </c>
      <c r="T2109">
        <v>2</v>
      </c>
    </row>
    <row r="2110" spans="18:20" x14ac:dyDescent="0.25">
      <c r="R2110">
        <v>65</v>
      </c>
      <c r="S2110">
        <v>117</v>
      </c>
      <c r="T2110">
        <v>4</v>
      </c>
    </row>
    <row r="2111" spans="18:20" x14ac:dyDescent="0.25">
      <c r="R2111">
        <v>65</v>
      </c>
      <c r="S2111">
        <v>159</v>
      </c>
      <c r="T2111">
        <v>1</v>
      </c>
    </row>
    <row r="2112" spans="18:20" x14ac:dyDescent="0.25">
      <c r="R2112">
        <v>65</v>
      </c>
      <c r="S2112">
        <v>161</v>
      </c>
      <c r="T2112">
        <v>1</v>
      </c>
    </row>
    <row r="2113" spans="18:20" x14ac:dyDescent="0.25">
      <c r="R2113">
        <v>65</v>
      </c>
      <c r="S2113">
        <v>164</v>
      </c>
      <c r="T2113">
        <v>5</v>
      </c>
    </row>
    <row r="2114" spans="18:20" x14ac:dyDescent="0.25">
      <c r="R2114">
        <v>65</v>
      </c>
      <c r="S2114">
        <v>169</v>
      </c>
      <c r="T2114">
        <v>1</v>
      </c>
    </row>
    <row r="2115" spans="18:20" x14ac:dyDescent="0.25">
      <c r="R2115">
        <v>65</v>
      </c>
      <c r="S2115">
        <v>213</v>
      </c>
      <c r="T2115">
        <v>3</v>
      </c>
    </row>
    <row r="2116" spans="18:20" x14ac:dyDescent="0.25">
      <c r="R2116">
        <v>65</v>
      </c>
      <c r="S2116">
        <v>215</v>
      </c>
      <c r="T2116">
        <v>4</v>
      </c>
    </row>
    <row r="2117" spans="18:20" x14ac:dyDescent="0.25">
      <c r="R2117">
        <v>65</v>
      </c>
      <c r="S2117">
        <v>221</v>
      </c>
      <c r="T2117">
        <v>4</v>
      </c>
    </row>
    <row r="2118" spans="18:20" x14ac:dyDescent="0.25">
      <c r="R2118">
        <v>65</v>
      </c>
      <c r="S2118">
        <v>229</v>
      </c>
      <c r="T2118">
        <v>2</v>
      </c>
    </row>
    <row r="2119" spans="18:20" x14ac:dyDescent="0.25">
      <c r="R2119">
        <v>65</v>
      </c>
      <c r="S2119">
        <v>243</v>
      </c>
      <c r="T2119">
        <v>1</v>
      </c>
    </row>
    <row r="2120" spans="18:20" x14ac:dyDescent="0.25">
      <c r="R2120">
        <v>65</v>
      </c>
      <c r="S2120">
        <v>246</v>
      </c>
      <c r="T2120">
        <v>3</v>
      </c>
    </row>
    <row r="2121" spans="18:20" x14ac:dyDescent="0.25">
      <c r="R2121">
        <v>65</v>
      </c>
      <c r="S2121">
        <v>246</v>
      </c>
      <c r="T2121">
        <v>4</v>
      </c>
    </row>
    <row r="2122" spans="18:20" x14ac:dyDescent="0.25">
      <c r="R2122">
        <v>65</v>
      </c>
      <c r="S2122">
        <v>252</v>
      </c>
      <c r="T2122">
        <v>5</v>
      </c>
    </row>
    <row r="2123" spans="18:20" x14ac:dyDescent="0.25">
      <c r="R2123">
        <v>65</v>
      </c>
      <c r="S2123">
        <v>263</v>
      </c>
      <c r="T2123">
        <v>5</v>
      </c>
    </row>
    <row r="2124" spans="18:20" x14ac:dyDescent="0.25">
      <c r="R2124">
        <v>65</v>
      </c>
      <c r="S2124">
        <v>273</v>
      </c>
      <c r="T2124">
        <v>5</v>
      </c>
    </row>
    <row r="2125" spans="18:20" x14ac:dyDescent="0.25">
      <c r="R2125">
        <v>65</v>
      </c>
      <c r="S2125">
        <v>290</v>
      </c>
      <c r="T2125">
        <v>3</v>
      </c>
    </row>
    <row r="2126" spans="18:20" x14ac:dyDescent="0.25">
      <c r="R2126">
        <v>65</v>
      </c>
      <c r="S2126">
        <v>303</v>
      </c>
      <c r="T2126">
        <v>5</v>
      </c>
    </row>
    <row r="2127" spans="18:20" x14ac:dyDescent="0.25">
      <c r="R2127">
        <v>65</v>
      </c>
      <c r="S2127">
        <v>313</v>
      </c>
      <c r="T2127">
        <v>4</v>
      </c>
    </row>
    <row r="2128" spans="18:20" x14ac:dyDescent="0.25">
      <c r="R2128">
        <v>65</v>
      </c>
      <c r="S2128">
        <v>328</v>
      </c>
      <c r="T2128">
        <v>3</v>
      </c>
    </row>
    <row r="2129" spans="18:20" x14ac:dyDescent="0.25">
      <c r="R2129">
        <v>65</v>
      </c>
      <c r="S2129">
        <v>337</v>
      </c>
      <c r="T2129">
        <v>1</v>
      </c>
    </row>
    <row r="2130" spans="18:20" x14ac:dyDescent="0.25">
      <c r="R2130">
        <v>65</v>
      </c>
      <c r="S2130">
        <v>364</v>
      </c>
      <c r="T2130">
        <v>3</v>
      </c>
    </row>
    <row r="2131" spans="18:20" x14ac:dyDescent="0.25">
      <c r="R2131">
        <v>65</v>
      </c>
      <c r="S2131">
        <v>367</v>
      </c>
      <c r="T2131">
        <v>4</v>
      </c>
    </row>
    <row r="2132" spans="18:20" x14ac:dyDescent="0.25">
      <c r="R2132">
        <v>65</v>
      </c>
      <c r="S2132">
        <v>369</v>
      </c>
      <c r="T2132">
        <v>1</v>
      </c>
    </row>
    <row r="2133" spans="18:20" x14ac:dyDescent="0.25">
      <c r="R2133">
        <v>65</v>
      </c>
      <c r="S2133">
        <v>393</v>
      </c>
      <c r="T2133">
        <v>4</v>
      </c>
    </row>
    <row r="2134" spans="18:20" x14ac:dyDescent="0.25">
      <c r="R2134">
        <v>65</v>
      </c>
      <c r="S2134">
        <v>399</v>
      </c>
      <c r="T2134">
        <v>1</v>
      </c>
    </row>
    <row r="2135" spans="18:20" x14ac:dyDescent="0.25">
      <c r="R2135">
        <v>65</v>
      </c>
      <c r="S2135">
        <v>416</v>
      </c>
      <c r="T2135">
        <v>2</v>
      </c>
    </row>
    <row r="2136" spans="18:20" x14ac:dyDescent="0.25">
      <c r="R2136">
        <v>65</v>
      </c>
      <c r="S2136">
        <v>422</v>
      </c>
      <c r="T2136">
        <v>2</v>
      </c>
    </row>
    <row r="2137" spans="18:20" x14ac:dyDescent="0.25">
      <c r="R2137">
        <v>66</v>
      </c>
      <c r="S2137">
        <v>19</v>
      </c>
      <c r="T2137">
        <v>1</v>
      </c>
    </row>
    <row r="2138" spans="18:20" x14ac:dyDescent="0.25">
      <c r="R2138">
        <v>66</v>
      </c>
      <c r="S2138">
        <v>21</v>
      </c>
      <c r="T2138">
        <v>1</v>
      </c>
    </row>
    <row r="2139" spans="18:20" x14ac:dyDescent="0.25">
      <c r="R2139">
        <v>66</v>
      </c>
      <c r="S2139">
        <v>23</v>
      </c>
      <c r="T2139">
        <v>2</v>
      </c>
    </row>
    <row r="2140" spans="18:20" x14ac:dyDescent="0.25">
      <c r="R2140">
        <v>66</v>
      </c>
      <c r="S2140">
        <v>24</v>
      </c>
      <c r="T2140">
        <v>4</v>
      </c>
    </row>
    <row r="2141" spans="18:20" x14ac:dyDescent="0.25">
      <c r="R2141">
        <v>66</v>
      </c>
      <c r="S2141">
        <v>33</v>
      </c>
      <c r="T2141">
        <v>4</v>
      </c>
    </row>
    <row r="2142" spans="18:20" x14ac:dyDescent="0.25">
      <c r="R2142">
        <v>66</v>
      </c>
      <c r="S2142">
        <v>43</v>
      </c>
      <c r="T2142">
        <v>1</v>
      </c>
    </row>
    <row r="2143" spans="18:20" x14ac:dyDescent="0.25">
      <c r="R2143">
        <v>66</v>
      </c>
      <c r="S2143">
        <v>67</v>
      </c>
      <c r="T2143">
        <v>5</v>
      </c>
    </row>
    <row r="2144" spans="18:20" x14ac:dyDescent="0.25">
      <c r="R2144">
        <v>66</v>
      </c>
      <c r="S2144">
        <v>95</v>
      </c>
      <c r="T2144">
        <v>1</v>
      </c>
    </row>
    <row r="2145" spans="18:20" x14ac:dyDescent="0.25">
      <c r="R2145">
        <v>66</v>
      </c>
      <c r="S2145">
        <v>96</v>
      </c>
      <c r="T2145">
        <v>4</v>
      </c>
    </row>
    <row r="2146" spans="18:20" x14ac:dyDescent="0.25">
      <c r="R2146">
        <v>66</v>
      </c>
      <c r="S2146">
        <v>117</v>
      </c>
      <c r="T2146">
        <v>2</v>
      </c>
    </row>
    <row r="2147" spans="18:20" x14ac:dyDescent="0.25">
      <c r="R2147">
        <v>66</v>
      </c>
      <c r="S2147">
        <v>166</v>
      </c>
      <c r="T2147">
        <v>4</v>
      </c>
    </row>
    <row r="2148" spans="18:20" x14ac:dyDescent="0.25">
      <c r="R2148">
        <v>66</v>
      </c>
      <c r="S2148">
        <v>192</v>
      </c>
      <c r="T2148">
        <v>3</v>
      </c>
    </row>
    <row r="2149" spans="18:20" x14ac:dyDescent="0.25">
      <c r="R2149">
        <v>66</v>
      </c>
      <c r="S2149">
        <v>194</v>
      </c>
      <c r="T2149">
        <v>3</v>
      </c>
    </row>
    <row r="2150" spans="18:20" x14ac:dyDescent="0.25">
      <c r="R2150">
        <v>66</v>
      </c>
      <c r="S2150">
        <v>198</v>
      </c>
      <c r="T2150">
        <v>1</v>
      </c>
    </row>
    <row r="2151" spans="18:20" x14ac:dyDescent="0.25">
      <c r="R2151">
        <v>66</v>
      </c>
      <c r="S2151">
        <v>208</v>
      </c>
      <c r="T2151">
        <v>3</v>
      </c>
    </row>
    <row r="2152" spans="18:20" x14ac:dyDescent="0.25">
      <c r="R2152">
        <v>66</v>
      </c>
      <c r="S2152">
        <v>213</v>
      </c>
      <c r="T2152">
        <v>3</v>
      </c>
    </row>
    <row r="2153" spans="18:20" x14ac:dyDescent="0.25">
      <c r="R2153">
        <v>66</v>
      </c>
      <c r="S2153">
        <v>215</v>
      </c>
      <c r="T2153">
        <v>2</v>
      </c>
    </row>
    <row r="2154" spans="18:20" x14ac:dyDescent="0.25">
      <c r="R2154">
        <v>66</v>
      </c>
      <c r="S2154">
        <v>244</v>
      </c>
      <c r="T2154">
        <v>3</v>
      </c>
    </row>
    <row r="2155" spans="18:20" x14ac:dyDescent="0.25">
      <c r="R2155">
        <v>66</v>
      </c>
      <c r="S2155">
        <v>272</v>
      </c>
      <c r="T2155">
        <v>4</v>
      </c>
    </row>
    <row r="2156" spans="18:20" x14ac:dyDescent="0.25">
      <c r="R2156">
        <v>66</v>
      </c>
      <c r="S2156">
        <v>276</v>
      </c>
      <c r="T2156">
        <v>1</v>
      </c>
    </row>
    <row r="2157" spans="18:20" x14ac:dyDescent="0.25">
      <c r="R2157">
        <v>66</v>
      </c>
      <c r="S2157">
        <v>280</v>
      </c>
      <c r="T2157">
        <v>1</v>
      </c>
    </row>
    <row r="2158" spans="18:20" x14ac:dyDescent="0.25">
      <c r="R2158">
        <v>66</v>
      </c>
      <c r="S2158">
        <v>296</v>
      </c>
      <c r="T2158">
        <v>1</v>
      </c>
    </row>
    <row r="2159" spans="18:20" x14ac:dyDescent="0.25">
      <c r="R2159">
        <v>66</v>
      </c>
      <c r="S2159">
        <v>308</v>
      </c>
      <c r="T2159">
        <v>5</v>
      </c>
    </row>
    <row r="2160" spans="18:20" x14ac:dyDescent="0.25">
      <c r="R2160">
        <v>66</v>
      </c>
      <c r="S2160">
        <v>319</v>
      </c>
      <c r="T2160">
        <v>4</v>
      </c>
    </row>
    <row r="2161" spans="18:20" x14ac:dyDescent="0.25">
      <c r="R2161">
        <v>66</v>
      </c>
      <c r="S2161">
        <v>328</v>
      </c>
      <c r="T2161">
        <v>1</v>
      </c>
    </row>
    <row r="2162" spans="18:20" x14ac:dyDescent="0.25">
      <c r="R2162">
        <v>66</v>
      </c>
      <c r="S2162">
        <v>363</v>
      </c>
      <c r="T2162">
        <v>5</v>
      </c>
    </row>
    <row r="2163" spans="18:20" x14ac:dyDescent="0.25">
      <c r="R2163">
        <v>66</v>
      </c>
      <c r="S2163">
        <v>365</v>
      </c>
      <c r="T2163">
        <v>1</v>
      </c>
    </row>
    <row r="2164" spans="18:20" x14ac:dyDescent="0.25">
      <c r="R2164">
        <v>66</v>
      </c>
      <c r="S2164">
        <v>386</v>
      </c>
      <c r="T2164">
        <v>1</v>
      </c>
    </row>
    <row r="2165" spans="18:20" x14ac:dyDescent="0.25">
      <c r="R2165">
        <v>66</v>
      </c>
      <c r="S2165">
        <v>406</v>
      </c>
      <c r="T2165">
        <v>5</v>
      </c>
    </row>
    <row r="2166" spans="18:20" x14ac:dyDescent="0.25">
      <c r="R2166">
        <v>66</v>
      </c>
      <c r="S2166">
        <v>408</v>
      </c>
      <c r="T2166">
        <v>1</v>
      </c>
    </row>
    <row r="2167" spans="18:20" x14ac:dyDescent="0.25">
      <c r="R2167">
        <v>66</v>
      </c>
      <c r="S2167">
        <v>436</v>
      </c>
      <c r="T2167">
        <v>2</v>
      </c>
    </row>
    <row r="2168" spans="18:20" x14ac:dyDescent="0.25">
      <c r="R2168">
        <v>67</v>
      </c>
      <c r="S2168">
        <v>23</v>
      </c>
      <c r="T2168">
        <v>2</v>
      </c>
    </row>
    <row r="2169" spans="18:20" x14ac:dyDescent="0.25">
      <c r="R2169">
        <v>67</v>
      </c>
      <c r="S2169">
        <v>28</v>
      </c>
      <c r="T2169">
        <v>2</v>
      </c>
    </row>
    <row r="2170" spans="18:20" x14ac:dyDescent="0.25">
      <c r="R2170">
        <v>67</v>
      </c>
      <c r="S2170">
        <v>33</v>
      </c>
      <c r="T2170">
        <v>2</v>
      </c>
    </row>
    <row r="2171" spans="18:20" x14ac:dyDescent="0.25">
      <c r="R2171">
        <v>67</v>
      </c>
      <c r="S2171">
        <v>55</v>
      </c>
      <c r="T2171">
        <v>4</v>
      </c>
    </row>
    <row r="2172" spans="18:20" x14ac:dyDescent="0.25">
      <c r="R2172">
        <v>67</v>
      </c>
      <c r="S2172">
        <v>56</v>
      </c>
      <c r="T2172">
        <v>3</v>
      </c>
    </row>
    <row r="2173" spans="18:20" x14ac:dyDescent="0.25">
      <c r="R2173">
        <v>67</v>
      </c>
      <c r="S2173">
        <v>67</v>
      </c>
      <c r="T2173">
        <v>4</v>
      </c>
    </row>
    <row r="2174" spans="18:20" x14ac:dyDescent="0.25">
      <c r="R2174">
        <v>67</v>
      </c>
      <c r="S2174">
        <v>75</v>
      </c>
      <c r="T2174">
        <v>1</v>
      </c>
    </row>
    <row r="2175" spans="18:20" x14ac:dyDescent="0.25">
      <c r="R2175">
        <v>67</v>
      </c>
      <c r="S2175">
        <v>89</v>
      </c>
      <c r="T2175">
        <v>5</v>
      </c>
    </row>
    <row r="2176" spans="18:20" x14ac:dyDescent="0.25">
      <c r="R2176">
        <v>67</v>
      </c>
      <c r="S2176">
        <v>95</v>
      </c>
      <c r="T2176">
        <v>2</v>
      </c>
    </row>
    <row r="2177" spans="18:20" x14ac:dyDescent="0.25">
      <c r="R2177">
        <v>67</v>
      </c>
      <c r="S2177">
        <v>96</v>
      </c>
      <c r="T2177">
        <v>3</v>
      </c>
    </row>
    <row r="2178" spans="18:20" x14ac:dyDescent="0.25">
      <c r="R2178">
        <v>67</v>
      </c>
      <c r="S2178">
        <v>111</v>
      </c>
      <c r="T2178">
        <v>1</v>
      </c>
    </row>
    <row r="2179" spans="18:20" x14ac:dyDescent="0.25">
      <c r="R2179">
        <v>67</v>
      </c>
      <c r="S2179">
        <v>116</v>
      </c>
      <c r="T2179">
        <v>3</v>
      </c>
    </row>
    <row r="2180" spans="18:20" x14ac:dyDescent="0.25">
      <c r="R2180">
        <v>67</v>
      </c>
      <c r="S2180">
        <v>144</v>
      </c>
      <c r="T2180">
        <v>3</v>
      </c>
    </row>
    <row r="2181" spans="18:20" x14ac:dyDescent="0.25">
      <c r="R2181">
        <v>67</v>
      </c>
      <c r="S2181">
        <v>146</v>
      </c>
      <c r="T2181">
        <v>5</v>
      </c>
    </row>
    <row r="2182" spans="18:20" x14ac:dyDescent="0.25">
      <c r="R2182">
        <v>67</v>
      </c>
      <c r="S2182">
        <v>150</v>
      </c>
      <c r="T2182">
        <v>2</v>
      </c>
    </row>
    <row r="2183" spans="18:20" x14ac:dyDescent="0.25">
      <c r="R2183">
        <v>67</v>
      </c>
      <c r="S2183">
        <v>160</v>
      </c>
      <c r="T2183">
        <v>5</v>
      </c>
    </row>
    <row r="2184" spans="18:20" x14ac:dyDescent="0.25">
      <c r="R2184">
        <v>67</v>
      </c>
      <c r="S2184">
        <v>195</v>
      </c>
      <c r="T2184">
        <v>1</v>
      </c>
    </row>
    <row r="2185" spans="18:20" x14ac:dyDescent="0.25">
      <c r="R2185">
        <v>67</v>
      </c>
      <c r="S2185">
        <v>199</v>
      </c>
      <c r="T2185">
        <v>1</v>
      </c>
    </row>
    <row r="2186" spans="18:20" x14ac:dyDescent="0.25">
      <c r="R2186">
        <v>67</v>
      </c>
      <c r="S2186">
        <v>204</v>
      </c>
      <c r="T2186">
        <v>2</v>
      </c>
    </row>
    <row r="2187" spans="18:20" x14ac:dyDescent="0.25">
      <c r="R2187">
        <v>67</v>
      </c>
      <c r="S2187">
        <v>207</v>
      </c>
      <c r="T2187">
        <v>3</v>
      </c>
    </row>
    <row r="2188" spans="18:20" x14ac:dyDescent="0.25">
      <c r="R2188">
        <v>67</v>
      </c>
      <c r="S2188">
        <v>227</v>
      </c>
      <c r="T2188">
        <v>1</v>
      </c>
    </row>
    <row r="2189" spans="18:20" x14ac:dyDescent="0.25">
      <c r="R2189">
        <v>67</v>
      </c>
      <c r="S2189">
        <v>227</v>
      </c>
      <c r="T2189">
        <v>4</v>
      </c>
    </row>
    <row r="2190" spans="18:20" x14ac:dyDescent="0.25">
      <c r="R2190">
        <v>67</v>
      </c>
      <c r="S2190">
        <v>236</v>
      </c>
      <c r="T2190">
        <v>5</v>
      </c>
    </row>
    <row r="2191" spans="18:20" x14ac:dyDescent="0.25">
      <c r="R2191">
        <v>67</v>
      </c>
      <c r="S2191">
        <v>276</v>
      </c>
      <c r="T2191">
        <v>1</v>
      </c>
    </row>
    <row r="2192" spans="18:20" x14ac:dyDescent="0.25">
      <c r="R2192">
        <v>67</v>
      </c>
      <c r="S2192">
        <v>286</v>
      </c>
      <c r="T2192">
        <v>1</v>
      </c>
    </row>
    <row r="2193" spans="18:20" x14ac:dyDescent="0.25">
      <c r="R2193">
        <v>67</v>
      </c>
      <c r="S2193">
        <v>294</v>
      </c>
      <c r="T2193">
        <v>3</v>
      </c>
    </row>
    <row r="2194" spans="18:20" x14ac:dyDescent="0.25">
      <c r="R2194">
        <v>67</v>
      </c>
      <c r="S2194">
        <v>300</v>
      </c>
      <c r="T2194">
        <v>5</v>
      </c>
    </row>
    <row r="2195" spans="18:20" x14ac:dyDescent="0.25">
      <c r="R2195">
        <v>67</v>
      </c>
      <c r="S2195">
        <v>307</v>
      </c>
      <c r="T2195">
        <v>5</v>
      </c>
    </row>
    <row r="2196" spans="18:20" x14ac:dyDescent="0.25">
      <c r="R2196">
        <v>67</v>
      </c>
      <c r="S2196">
        <v>313</v>
      </c>
      <c r="T2196">
        <v>4</v>
      </c>
    </row>
    <row r="2197" spans="18:20" x14ac:dyDescent="0.25">
      <c r="R2197">
        <v>67</v>
      </c>
      <c r="S2197">
        <v>329</v>
      </c>
      <c r="T2197">
        <v>2</v>
      </c>
    </row>
    <row r="2198" spans="18:20" x14ac:dyDescent="0.25">
      <c r="R2198">
        <v>67</v>
      </c>
      <c r="S2198">
        <v>330</v>
      </c>
      <c r="T2198">
        <v>3</v>
      </c>
    </row>
    <row r="2199" spans="18:20" x14ac:dyDescent="0.25">
      <c r="R2199">
        <v>67</v>
      </c>
      <c r="S2199">
        <v>340</v>
      </c>
      <c r="T2199">
        <v>4</v>
      </c>
    </row>
    <row r="2200" spans="18:20" x14ac:dyDescent="0.25">
      <c r="R2200">
        <v>67</v>
      </c>
      <c r="S2200">
        <v>353</v>
      </c>
      <c r="T2200">
        <v>1</v>
      </c>
    </row>
    <row r="2201" spans="18:20" x14ac:dyDescent="0.25">
      <c r="R2201">
        <v>67</v>
      </c>
      <c r="S2201">
        <v>385</v>
      </c>
      <c r="T2201">
        <v>5</v>
      </c>
    </row>
    <row r="2202" spans="18:20" x14ac:dyDescent="0.25">
      <c r="R2202">
        <v>67</v>
      </c>
      <c r="S2202">
        <v>407</v>
      </c>
      <c r="T2202">
        <v>1</v>
      </c>
    </row>
    <row r="2203" spans="18:20" x14ac:dyDescent="0.25">
      <c r="R2203">
        <v>67</v>
      </c>
      <c r="S2203">
        <v>415</v>
      </c>
      <c r="T2203">
        <v>5</v>
      </c>
    </row>
    <row r="2204" spans="18:20" x14ac:dyDescent="0.25">
      <c r="R2204">
        <v>67</v>
      </c>
      <c r="S2204">
        <v>424</v>
      </c>
      <c r="T2204">
        <v>2</v>
      </c>
    </row>
    <row r="2205" spans="18:20" x14ac:dyDescent="0.25">
      <c r="R2205">
        <v>67</v>
      </c>
      <c r="S2205">
        <v>429</v>
      </c>
      <c r="T2205">
        <v>3</v>
      </c>
    </row>
    <row r="2206" spans="18:20" x14ac:dyDescent="0.25">
      <c r="R2206">
        <v>68</v>
      </c>
      <c r="S2206">
        <v>6</v>
      </c>
      <c r="T2206">
        <v>1</v>
      </c>
    </row>
    <row r="2207" spans="18:20" x14ac:dyDescent="0.25">
      <c r="R2207">
        <v>68</v>
      </c>
      <c r="S2207">
        <v>30</v>
      </c>
      <c r="T2207">
        <v>4</v>
      </c>
    </row>
    <row r="2208" spans="18:20" x14ac:dyDescent="0.25">
      <c r="R2208">
        <v>68</v>
      </c>
      <c r="S2208">
        <v>36</v>
      </c>
      <c r="T2208">
        <v>4</v>
      </c>
    </row>
    <row r="2209" spans="18:20" x14ac:dyDescent="0.25">
      <c r="R2209">
        <v>68</v>
      </c>
      <c r="S2209">
        <v>80</v>
      </c>
      <c r="T2209">
        <v>4</v>
      </c>
    </row>
    <row r="2210" spans="18:20" x14ac:dyDescent="0.25">
      <c r="R2210">
        <v>68</v>
      </c>
      <c r="S2210">
        <v>85</v>
      </c>
      <c r="T2210">
        <v>4</v>
      </c>
    </row>
    <row r="2211" spans="18:20" x14ac:dyDescent="0.25">
      <c r="R2211">
        <v>68</v>
      </c>
      <c r="S2211">
        <v>114</v>
      </c>
      <c r="T2211">
        <v>1</v>
      </c>
    </row>
    <row r="2212" spans="18:20" x14ac:dyDescent="0.25">
      <c r="R2212">
        <v>68</v>
      </c>
      <c r="S2212">
        <v>123</v>
      </c>
      <c r="T2212">
        <v>1</v>
      </c>
    </row>
    <row r="2213" spans="18:20" x14ac:dyDescent="0.25">
      <c r="R2213">
        <v>68</v>
      </c>
      <c r="S2213">
        <v>127</v>
      </c>
      <c r="T2213">
        <v>3</v>
      </c>
    </row>
    <row r="2214" spans="18:20" x14ac:dyDescent="0.25">
      <c r="R2214">
        <v>68</v>
      </c>
      <c r="S2214">
        <v>138</v>
      </c>
      <c r="T2214">
        <v>1</v>
      </c>
    </row>
    <row r="2215" spans="18:20" x14ac:dyDescent="0.25">
      <c r="R2215">
        <v>68</v>
      </c>
      <c r="S2215">
        <v>138</v>
      </c>
      <c r="T2215">
        <v>1</v>
      </c>
    </row>
    <row r="2216" spans="18:20" x14ac:dyDescent="0.25">
      <c r="R2216">
        <v>68</v>
      </c>
      <c r="S2216">
        <v>157</v>
      </c>
      <c r="T2216">
        <v>4</v>
      </c>
    </row>
    <row r="2217" spans="18:20" x14ac:dyDescent="0.25">
      <c r="R2217">
        <v>68</v>
      </c>
      <c r="S2217">
        <v>167</v>
      </c>
      <c r="T2217">
        <v>1</v>
      </c>
    </row>
    <row r="2218" spans="18:20" x14ac:dyDescent="0.25">
      <c r="R2218">
        <v>68</v>
      </c>
      <c r="S2218">
        <v>186</v>
      </c>
      <c r="T2218">
        <v>2</v>
      </c>
    </row>
    <row r="2219" spans="18:20" x14ac:dyDescent="0.25">
      <c r="R2219">
        <v>68</v>
      </c>
      <c r="S2219">
        <v>208</v>
      </c>
      <c r="T2219">
        <v>2</v>
      </c>
    </row>
    <row r="2220" spans="18:20" x14ac:dyDescent="0.25">
      <c r="R2220">
        <v>68</v>
      </c>
      <c r="S2220">
        <v>214</v>
      </c>
      <c r="T2220">
        <v>2</v>
      </c>
    </row>
    <row r="2221" spans="18:20" x14ac:dyDescent="0.25">
      <c r="R2221">
        <v>68</v>
      </c>
      <c r="S2221">
        <v>217</v>
      </c>
      <c r="T2221">
        <v>3</v>
      </c>
    </row>
    <row r="2222" spans="18:20" x14ac:dyDescent="0.25">
      <c r="R2222">
        <v>68</v>
      </c>
      <c r="S2222">
        <v>231</v>
      </c>
      <c r="T2222">
        <v>5</v>
      </c>
    </row>
    <row r="2223" spans="18:20" x14ac:dyDescent="0.25">
      <c r="R2223">
        <v>68</v>
      </c>
      <c r="S2223">
        <v>241</v>
      </c>
      <c r="T2223">
        <v>4</v>
      </c>
    </row>
    <row r="2224" spans="18:20" x14ac:dyDescent="0.25">
      <c r="R2224">
        <v>68</v>
      </c>
      <c r="S2224">
        <v>241</v>
      </c>
      <c r="T2224">
        <v>5</v>
      </c>
    </row>
    <row r="2225" spans="18:20" x14ac:dyDescent="0.25">
      <c r="R2225">
        <v>68</v>
      </c>
      <c r="S2225">
        <v>244</v>
      </c>
      <c r="T2225">
        <v>5</v>
      </c>
    </row>
    <row r="2226" spans="18:20" x14ac:dyDescent="0.25">
      <c r="R2226">
        <v>68</v>
      </c>
      <c r="S2226">
        <v>256</v>
      </c>
      <c r="T2226">
        <v>3</v>
      </c>
    </row>
    <row r="2227" spans="18:20" x14ac:dyDescent="0.25">
      <c r="R2227">
        <v>68</v>
      </c>
      <c r="S2227">
        <v>276</v>
      </c>
      <c r="T2227">
        <v>4</v>
      </c>
    </row>
    <row r="2228" spans="18:20" x14ac:dyDescent="0.25">
      <c r="R2228">
        <v>68</v>
      </c>
      <c r="S2228">
        <v>284</v>
      </c>
      <c r="T2228">
        <v>4</v>
      </c>
    </row>
    <row r="2229" spans="18:20" x14ac:dyDescent="0.25">
      <c r="R2229">
        <v>68</v>
      </c>
      <c r="S2229">
        <v>285</v>
      </c>
      <c r="T2229">
        <v>5</v>
      </c>
    </row>
    <row r="2230" spans="18:20" x14ac:dyDescent="0.25">
      <c r="R2230">
        <v>68</v>
      </c>
      <c r="S2230">
        <v>310</v>
      </c>
      <c r="T2230">
        <v>2</v>
      </c>
    </row>
    <row r="2231" spans="18:20" x14ac:dyDescent="0.25">
      <c r="R2231">
        <v>68</v>
      </c>
      <c r="S2231">
        <v>313</v>
      </c>
      <c r="T2231">
        <v>5</v>
      </c>
    </row>
    <row r="2232" spans="18:20" x14ac:dyDescent="0.25">
      <c r="R2232">
        <v>68</v>
      </c>
      <c r="S2232">
        <v>318</v>
      </c>
      <c r="T2232">
        <v>2</v>
      </c>
    </row>
    <row r="2233" spans="18:20" x14ac:dyDescent="0.25">
      <c r="R2233">
        <v>68</v>
      </c>
      <c r="S2233">
        <v>344</v>
      </c>
      <c r="T2233">
        <v>5</v>
      </c>
    </row>
    <row r="2234" spans="18:20" x14ac:dyDescent="0.25">
      <c r="R2234">
        <v>68</v>
      </c>
      <c r="S2234">
        <v>356</v>
      </c>
      <c r="T2234">
        <v>2</v>
      </c>
    </row>
    <row r="2235" spans="18:20" x14ac:dyDescent="0.25">
      <c r="R2235">
        <v>68</v>
      </c>
      <c r="S2235">
        <v>374</v>
      </c>
      <c r="T2235">
        <v>3</v>
      </c>
    </row>
    <row r="2236" spans="18:20" x14ac:dyDescent="0.25">
      <c r="R2236">
        <v>68</v>
      </c>
      <c r="S2236">
        <v>395</v>
      </c>
      <c r="T2236">
        <v>5</v>
      </c>
    </row>
    <row r="2237" spans="18:20" x14ac:dyDescent="0.25">
      <c r="R2237">
        <v>68</v>
      </c>
      <c r="S2237">
        <v>400</v>
      </c>
      <c r="T2237">
        <v>5</v>
      </c>
    </row>
    <row r="2238" spans="18:20" x14ac:dyDescent="0.25">
      <c r="R2238">
        <v>68</v>
      </c>
      <c r="S2238">
        <v>419</v>
      </c>
      <c r="T2238">
        <v>4</v>
      </c>
    </row>
    <row r="2239" spans="18:20" x14ac:dyDescent="0.25">
      <c r="R2239">
        <v>68</v>
      </c>
      <c r="S2239">
        <v>424</v>
      </c>
      <c r="T2239">
        <v>5</v>
      </c>
    </row>
    <row r="2240" spans="18:20" x14ac:dyDescent="0.25">
      <c r="R2240">
        <v>68</v>
      </c>
      <c r="S2240">
        <v>426</v>
      </c>
      <c r="T2240">
        <v>3</v>
      </c>
    </row>
    <row r="2241" spans="18:20" x14ac:dyDescent="0.25">
      <c r="R2241">
        <v>69</v>
      </c>
      <c r="S2241">
        <v>18</v>
      </c>
      <c r="T2241">
        <v>1</v>
      </c>
    </row>
    <row r="2242" spans="18:20" x14ac:dyDescent="0.25">
      <c r="R2242">
        <v>69</v>
      </c>
      <c r="S2242">
        <v>44</v>
      </c>
      <c r="T2242">
        <v>2</v>
      </c>
    </row>
    <row r="2243" spans="18:20" x14ac:dyDescent="0.25">
      <c r="R2243">
        <v>69</v>
      </c>
      <c r="S2243">
        <v>53</v>
      </c>
      <c r="T2243">
        <v>5</v>
      </c>
    </row>
    <row r="2244" spans="18:20" x14ac:dyDescent="0.25">
      <c r="R2244">
        <v>69</v>
      </c>
      <c r="S2244">
        <v>113</v>
      </c>
      <c r="T2244">
        <v>1</v>
      </c>
    </row>
    <row r="2245" spans="18:20" x14ac:dyDescent="0.25">
      <c r="R2245">
        <v>69</v>
      </c>
      <c r="S2245">
        <v>120</v>
      </c>
      <c r="T2245">
        <v>1</v>
      </c>
    </row>
    <row r="2246" spans="18:20" x14ac:dyDescent="0.25">
      <c r="R2246">
        <v>69</v>
      </c>
      <c r="S2246">
        <v>127</v>
      </c>
      <c r="T2246">
        <v>3</v>
      </c>
    </row>
    <row r="2247" spans="18:20" x14ac:dyDescent="0.25">
      <c r="R2247">
        <v>69</v>
      </c>
      <c r="S2247">
        <v>155</v>
      </c>
      <c r="T2247">
        <v>3</v>
      </c>
    </row>
    <row r="2248" spans="18:20" x14ac:dyDescent="0.25">
      <c r="R2248">
        <v>69</v>
      </c>
      <c r="S2248">
        <v>219</v>
      </c>
      <c r="T2248">
        <v>2</v>
      </c>
    </row>
    <row r="2249" spans="18:20" x14ac:dyDescent="0.25">
      <c r="R2249">
        <v>69</v>
      </c>
      <c r="S2249">
        <v>246</v>
      </c>
      <c r="T2249">
        <v>5</v>
      </c>
    </row>
    <row r="2250" spans="18:20" x14ac:dyDescent="0.25">
      <c r="R2250">
        <v>69</v>
      </c>
      <c r="S2250">
        <v>255</v>
      </c>
      <c r="T2250">
        <v>4</v>
      </c>
    </row>
    <row r="2251" spans="18:20" x14ac:dyDescent="0.25">
      <c r="R2251">
        <v>69</v>
      </c>
      <c r="S2251">
        <v>258</v>
      </c>
      <c r="T2251">
        <v>2</v>
      </c>
    </row>
    <row r="2252" spans="18:20" x14ac:dyDescent="0.25">
      <c r="R2252">
        <v>69</v>
      </c>
      <c r="S2252">
        <v>262</v>
      </c>
      <c r="T2252">
        <v>1</v>
      </c>
    </row>
    <row r="2253" spans="18:20" x14ac:dyDescent="0.25">
      <c r="R2253">
        <v>69</v>
      </c>
      <c r="S2253">
        <v>267</v>
      </c>
      <c r="T2253">
        <v>2</v>
      </c>
    </row>
    <row r="2254" spans="18:20" x14ac:dyDescent="0.25">
      <c r="R2254">
        <v>69</v>
      </c>
      <c r="S2254">
        <v>276</v>
      </c>
      <c r="T2254">
        <v>3</v>
      </c>
    </row>
    <row r="2255" spans="18:20" x14ac:dyDescent="0.25">
      <c r="R2255">
        <v>69</v>
      </c>
      <c r="S2255">
        <v>292</v>
      </c>
      <c r="T2255">
        <v>1</v>
      </c>
    </row>
    <row r="2256" spans="18:20" x14ac:dyDescent="0.25">
      <c r="R2256">
        <v>69</v>
      </c>
      <c r="S2256">
        <v>326</v>
      </c>
      <c r="T2256">
        <v>3</v>
      </c>
    </row>
    <row r="2257" spans="18:20" x14ac:dyDescent="0.25">
      <c r="R2257">
        <v>69</v>
      </c>
      <c r="S2257">
        <v>327</v>
      </c>
      <c r="T2257">
        <v>5</v>
      </c>
    </row>
    <row r="2258" spans="18:20" x14ac:dyDescent="0.25">
      <c r="R2258">
        <v>69</v>
      </c>
      <c r="S2258">
        <v>351</v>
      </c>
      <c r="T2258">
        <v>3</v>
      </c>
    </row>
    <row r="2259" spans="18:20" x14ac:dyDescent="0.25">
      <c r="R2259">
        <v>69</v>
      </c>
      <c r="S2259">
        <v>351</v>
      </c>
      <c r="T2259">
        <v>1</v>
      </c>
    </row>
    <row r="2260" spans="18:20" x14ac:dyDescent="0.25">
      <c r="R2260">
        <v>69</v>
      </c>
      <c r="S2260">
        <v>351</v>
      </c>
      <c r="T2260">
        <v>4</v>
      </c>
    </row>
    <row r="2261" spans="18:20" x14ac:dyDescent="0.25">
      <c r="R2261">
        <v>69</v>
      </c>
      <c r="S2261">
        <v>370</v>
      </c>
      <c r="T2261">
        <v>2</v>
      </c>
    </row>
    <row r="2262" spans="18:20" x14ac:dyDescent="0.25">
      <c r="R2262">
        <v>69</v>
      </c>
      <c r="S2262">
        <v>377</v>
      </c>
      <c r="T2262">
        <v>4</v>
      </c>
    </row>
    <row r="2263" spans="18:20" x14ac:dyDescent="0.25">
      <c r="R2263">
        <v>69</v>
      </c>
      <c r="S2263">
        <v>377</v>
      </c>
      <c r="T2263">
        <v>2</v>
      </c>
    </row>
    <row r="2264" spans="18:20" x14ac:dyDescent="0.25">
      <c r="R2264">
        <v>69</v>
      </c>
      <c r="S2264">
        <v>392</v>
      </c>
      <c r="T2264">
        <v>1</v>
      </c>
    </row>
    <row r="2265" spans="18:20" x14ac:dyDescent="0.25">
      <c r="R2265">
        <v>70</v>
      </c>
      <c r="S2265">
        <v>31</v>
      </c>
      <c r="T2265">
        <v>5</v>
      </c>
    </row>
    <row r="2266" spans="18:20" x14ac:dyDescent="0.25">
      <c r="R2266">
        <v>70</v>
      </c>
      <c r="S2266">
        <v>55</v>
      </c>
      <c r="T2266">
        <v>2</v>
      </c>
    </row>
    <row r="2267" spans="18:20" x14ac:dyDescent="0.25">
      <c r="R2267">
        <v>70</v>
      </c>
      <c r="S2267">
        <v>80</v>
      </c>
      <c r="T2267">
        <v>3</v>
      </c>
    </row>
    <row r="2268" spans="18:20" x14ac:dyDescent="0.25">
      <c r="R2268">
        <v>70</v>
      </c>
      <c r="S2268">
        <v>87</v>
      </c>
      <c r="T2268">
        <v>5</v>
      </c>
    </row>
    <row r="2269" spans="18:20" x14ac:dyDescent="0.25">
      <c r="R2269">
        <v>70</v>
      </c>
      <c r="S2269">
        <v>89</v>
      </c>
      <c r="T2269">
        <v>1</v>
      </c>
    </row>
    <row r="2270" spans="18:20" x14ac:dyDescent="0.25">
      <c r="R2270">
        <v>70</v>
      </c>
      <c r="S2270">
        <v>122</v>
      </c>
      <c r="T2270">
        <v>2</v>
      </c>
    </row>
    <row r="2271" spans="18:20" x14ac:dyDescent="0.25">
      <c r="R2271">
        <v>70</v>
      </c>
      <c r="S2271">
        <v>131</v>
      </c>
      <c r="T2271">
        <v>5</v>
      </c>
    </row>
    <row r="2272" spans="18:20" x14ac:dyDescent="0.25">
      <c r="R2272">
        <v>70</v>
      </c>
      <c r="S2272">
        <v>161</v>
      </c>
      <c r="T2272">
        <v>5</v>
      </c>
    </row>
    <row r="2273" spans="18:20" x14ac:dyDescent="0.25">
      <c r="R2273">
        <v>70</v>
      </c>
      <c r="S2273">
        <v>167</v>
      </c>
      <c r="T2273">
        <v>2</v>
      </c>
    </row>
    <row r="2274" spans="18:20" x14ac:dyDescent="0.25">
      <c r="R2274">
        <v>70</v>
      </c>
      <c r="S2274">
        <v>172</v>
      </c>
      <c r="T2274">
        <v>4</v>
      </c>
    </row>
    <row r="2275" spans="18:20" x14ac:dyDescent="0.25">
      <c r="R2275">
        <v>70</v>
      </c>
      <c r="S2275">
        <v>196</v>
      </c>
      <c r="T2275">
        <v>5</v>
      </c>
    </row>
    <row r="2276" spans="18:20" x14ac:dyDescent="0.25">
      <c r="R2276">
        <v>70</v>
      </c>
      <c r="S2276">
        <v>211</v>
      </c>
      <c r="T2276">
        <v>5</v>
      </c>
    </row>
    <row r="2277" spans="18:20" x14ac:dyDescent="0.25">
      <c r="R2277">
        <v>70</v>
      </c>
      <c r="S2277">
        <v>227</v>
      </c>
      <c r="T2277">
        <v>5</v>
      </c>
    </row>
    <row r="2278" spans="18:20" x14ac:dyDescent="0.25">
      <c r="R2278">
        <v>70</v>
      </c>
      <c r="S2278">
        <v>231</v>
      </c>
      <c r="T2278">
        <v>1</v>
      </c>
    </row>
    <row r="2279" spans="18:20" x14ac:dyDescent="0.25">
      <c r="R2279">
        <v>70</v>
      </c>
      <c r="S2279">
        <v>245</v>
      </c>
      <c r="T2279">
        <v>1</v>
      </c>
    </row>
    <row r="2280" spans="18:20" x14ac:dyDescent="0.25">
      <c r="R2280">
        <v>70</v>
      </c>
      <c r="S2280">
        <v>248</v>
      </c>
      <c r="T2280">
        <v>5</v>
      </c>
    </row>
    <row r="2281" spans="18:20" x14ac:dyDescent="0.25">
      <c r="R2281">
        <v>70</v>
      </c>
      <c r="S2281">
        <v>285</v>
      </c>
      <c r="T2281">
        <v>3</v>
      </c>
    </row>
    <row r="2282" spans="18:20" x14ac:dyDescent="0.25">
      <c r="R2282">
        <v>70</v>
      </c>
      <c r="S2282">
        <v>287</v>
      </c>
      <c r="T2282">
        <v>3</v>
      </c>
    </row>
    <row r="2283" spans="18:20" x14ac:dyDescent="0.25">
      <c r="R2283">
        <v>70</v>
      </c>
      <c r="S2283">
        <v>292</v>
      </c>
      <c r="T2283">
        <v>5</v>
      </c>
    </row>
    <row r="2284" spans="18:20" x14ac:dyDescent="0.25">
      <c r="R2284">
        <v>70</v>
      </c>
      <c r="S2284">
        <v>318</v>
      </c>
      <c r="T2284">
        <v>3</v>
      </c>
    </row>
    <row r="2285" spans="18:20" x14ac:dyDescent="0.25">
      <c r="R2285">
        <v>70</v>
      </c>
      <c r="S2285">
        <v>322</v>
      </c>
      <c r="T2285">
        <v>4</v>
      </c>
    </row>
    <row r="2286" spans="18:20" x14ac:dyDescent="0.25">
      <c r="R2286">
        <v>70</v>
      </c>
      <c r="S2286">
        <v>329</v>
      </c>
      <c r="T2286">
        <v>4</v>
      </c>
    </row>
    <row r="2287" spans="18:20" x14ac:dyDescent="0.25">
      <c r="R2287">
        <v>70</v>
      </c>
      <c r="S2287">
        <v>334</v>
      </c>
      <c r="T2287">
        <v>3</v>
      </c>
    </row>
    <row r="2288" spans="18:20" x14ac:dyDescent="0.25">
      <c r="R2288">
        <v>70</v>
      </c>
      <c r="S2288">
        <v>335</v>
      </c>
      <c r="T2288">
        <v>4</v>
      </c>
    </row>
    <row r="2289" spans="18:20" x14ac:dyDescent="0.25">
      <c r="R2289">
        <v>70</v>
      </c>
      <c r="S2289">
        <v>378</v>
      </c>
      <c r="T2289">
        <v>2</v>
      </c>
    </row>
    <row r="2290" spans="18:20" x14ac:dyDescent="0.25">
      <c r="R2290">
        <v>70</v>
      </c>
      <c r="S2290">
        <v>412</v>
      </c>
      <c r="T2290">
        <v>5</v>
      </c>
    </row>
    <row r="2291" spans="18:20" x14ac:dyDescent="0.25">
      <c r="R2291">
        <v>70</v>
      </c>
      <c r="S2291">
        <v>427</v>
      </c>
      <c r="T2291">
        <v>1</v>
      </c>
    </row>
    <row r="2292" spans="18:20" x14ac:dyDescent="0.25">
      <c r="R2292">
        <v>70</v>
      </c>
      <c r="S2292">
        <v>430</v>
      </c>
      <c r="T2292">
        <v>2</v>
      </c>
    </row>
    <row r="2293" spans="18:20" x14ac:dyDescent="0.25">
      <c r="R2293">
        <v>70</v>
      </c>
      <c r="S2293">
        <v>432</v>
      </c>
      <c r="T2293">
        <v>1</v>
      </c>
    </row>
    <row r="2294" spans="18:20" x14ac:dyDescent="0.25">
      <c r="R2294">
        <v>70</v>
      </c>
      <c r="S2294">
        <v>436</v>
      </c>
      <c r="T2294">
        <v>4</v>
      </c>
    </row>
    <row r="2295" spans="18:20" x14ac:dyDescent="0.25">
      <c r="R2295">
        <v>71</v>
      </c>
      <c r="S2295">
        <v>15</v>
      </c>
      <c r="T2295">
        <v>2</v>
      </c>
    </row>
    <row r="2296" spans="18:20" x14ac:dyDescent="0.25">
      <c r="R2296">
        <v>71</v>
      </c>
      <c r="S2296">
        <v>29</v>
      </c>
      <c r="T2296">
        <v>2</v>
      </c>
    </row>
    <row r="2297" spans="18:20" x14ac:dyDescent="0.25">
      <c r="R2297">
        <v>71</v>
      </c>
      <c r="S2297">
        <v>40</v>
      </c>
      <c r="T2297">
        <v>3</v>
      </c>
    </row>
    <row r="2298" spans="18:20" x14ac:dyDescent="0.25">
      <c r="R2298">
        <v>71</v>
      </c>
      <c r="S2298">
        <v>78</v>
      </c>
      <c r="T2298">
        <v>5</v>
      </c>
    </row>
    <row r="2299" spans="18:20" x14ac:dyDescent="0.25">
      <c r="R2299">
        <v>71</v>
      </c>
      <c r="S2299">
        <v>83</v>
      </c>
      <c r="T2299">
        <v>5</v>
      </c>
    </row>
    <row r="2300" spans="18:20" x14ac:dyDescent="0.25">
      <c r="R2300">
        <v>71</v>
      </c>
      <c r="S2300">
        <v>91</v>
      </c>
      <c r="T2300">
        <v>1</v>
      </c>
    </row>
    <row r="2301" spans="18:20" x14ac:dyDescent="0.25">
      <c r="R2301">
        <v>71</v>
      </c>
      <c r="S2301">
        <v>96</v>
      </c>
      <c r="T2301">
        <v>4</v>
      </c>
    </row>
    <row r="2302" spans="18:20" x14ac:dyDescent="0.25">
      <c r="R2302">
        <v>71</v>
      </c>
      <c r="S2302">
        <v>101</v>
      </c>
      <c r="T2302">
        <v>1</v>
      </c>
    </row>
    <row r="2303" spans="18:20" x14ac:dyDescent="0.25">
      <c r="R2303">
        <v>71</v>
      </c>
      <c r="S2303">
        <v>125</v>
      </c>
      <c r="T2303">
        <v>3</v>
      </c>
    </row>
    <row r="2304" spans="18:20" x14ac:dyDescent="0.25">
      <c r="R2304">
        <v>71</v>
      </c>
      <c r="S2304">
        <v>134</v>
      </c>
      <c r="T2304">
        <v>2</v>
      </c>
    </row>
    <row r="2305" spans="18:20" x14ac:dyDescent="0.25">
      <c r="R2305">
        <v>71</v>
      </c>
      <c r="S2305">
        <v>136</v>
      </c>
      <c r="T2305">
        <v>5</v>
      </c>
    </row>
    <row r="2306" spans="18:20" x14ac:dyDescent="0.25">
      <c r="R2306">
        <v>71</v>
      </c>
      <c r="S2306">
        <v>152</v>
      </c>
      <c r="T2306">
        <v>2</v>
      </c>
    </row>
    <row r="2307" spans="18:20" x14ac:dyDescent="0.25">
      <c r="R2307">
        <v>71</v>
      </c>
      <c r="S2307">
        <v>162</v>
      </c>
      <c r="T2307">
        <v>4</v>
      </c>
    </row>
    <row r="2308" spans="18:20" x14ac:dyDescent="0.25">
      <c r="R2308">
        <v>71</v>
      </c>
      <c r="S2308">
        <v>163</v>
      </c>
      <c r="T2308">
        <v>5</v>
      </c>
    </row>
    <row r="2309" spans="18:20" x14ac:dyDescent="0.25">
      <c r="R2309">
        <v>71</v>
      </c>
      <c r="S2309">
        <v>168</v>
      </c>
      <c r="T2309">
        <v>1</v>
      </c>
    </row>
    <row r="2310" spans="18:20" x14ac:dyDescent="0.25">
      <c r="R2310">
        <v>71</v>
      </c>
      <c r="S2310">
        <v>197</v>
      </c>
      <c r="T2310">
        <v>5</v>
      </c>
    </row>
    <row r="2311" spans="18:20" x14ac:dyDescent="0.25">
      <c r="R2311">
        <v>71</v>
      </c>
      <c r="S2311">
        <v>198</v>
      </c>
      <c r="T2311">
        <v>5</v>
      </c>
    </row>
    <row r="2312" spans="18:20" x14ac:dyDescent="0.25">
      <c r="R2312">
        <v>71</v>
      </c>
      <c r="S2312">
        <v>200</v>
      </c>
      <c r="T2312">
        <v>3</v>
      </c>
    </row>
    <row r="2313" spans="18:20" x14ac:dyDescent="0.25">
      <c r="R2313">
        <v>71</v>
      </c>
      <c r="S2313">
        <v>214</v>
      </c>
      <c r="T2313">
        <v>2</v>
      </c>
    </row>
    <row r="2314" spans="18:20" x14ac:dyDescent="0.25">
      <c r="R2314">
        <v>71</v>
      </c>
      <c r="S2314">
        <v>218</v>
      </c>
      <c r="T2314">
        <v>4</v>
      </c>
    </row>
    <row r="2315" spans="18:20" x14ac:dyDescent="0.25">
      <c r="R2315">
        <v>71</v>
      </c>
      <c r="S2315">
        <v>227</v>
      </c>
      <c r="T2315">
        <v>1</v>
      </c>
    </row>
    <row r="2316" spans="18:20" x14ac:dyDescent="0.25">
      <c r="R2316">
        <v>71</v>
      </c>
      <c r="S2316">
        <v>245</v>
      </c>
      <c r="T2316">
        <v>1</v>
      </c>
    </row>
    <row r="2317" spans="18:20" x14ac:dyDescent="0.25">
      <c r="R2317">
        <v>71</v>
      </c>
      <c r="S2317">
        <v>276</v>
      </c>
      <c r="T2317">
        <v>3</v>
      </c>
    </row>
    <row r="2318" spans="18:20" x14ac:dyDescent="0.25">
      <c r="R2318">
        <v>71</v>
      </c>
      <c r="S2318">
        <v>281</v>
      </c>
      <c r="T2318">
        <v>4</v>
      </c>
    </row>
    <row r="2319" spans="18:20" x14ac:dyDescent="0.25">
      <c r="R2319">
        <v>71</v>
      </c>
      <c r="S2319">
        <v>284</v>
      </c>
      <c r="T2319">
        <v>5</v>
      </c>
    </row>
    <row r="2320" spans="18:20" x14ac:dyDescent="0.25">
      <c r="R2320">
        <v>71</v>
      </c>
      <c r="S2320">
        <v>284</v>
      </c>
      <c r="T2320">
        <v>3</v>
      </c>
    </row>
    <row r="2321" spans="18:20" x14ac:dyDescent="0.25">
      <c r="R2321">
        <v>71</v>
      </c>
      <c r="S2321">
        <v>295</v>
      </c>
      <c r="T2321">
        <v>3</v>
      </c>
    </row>
    <row r="2322" spans="18:20" x14ac:dyDescent="0.25">
      <c r="R2322">
        <v>71</v>
      </c>
      <c r="S2322">
        <v>318</v>
      </c>
      <c r="T2322">
        <v>2</v>
      </c>
    </row>
    <row r="2323" spans="18:20" x14ac:dyDescent="0.25">
      <c r="R2323">
        <v>71</v>
      </c>
      <c r="S2323">
        <v>319</v>
      </c>
      <c r="T2323">
        <v>1</v>
      </c>
    </row>
    <row r="2324" spans="18:20" x14ac:dyDescent="0.25">
      <c r="R2324">
        <v>71</v>
      </c>
      <c r="S2324">
        <v>342</v>
      </c>
      <c r="T2324">
        <v>2</v>
      </c>
    </row>
    <row r="2325" spans="18:20" x14ac:dyDescent="0.25">
      <c r="R2325">
        <v>71</v>
      </c>
      <c r="S2325">
        <v>362</v>
      </c>
      <c r="T2325">
        <v>4</v>
      </c>
    </row>
    <row r="2326" spans="18:20" x14ac:dyDescent="0.25">
      <c r="R2326">
        <v>71</v>
      </c>
      <c r="S2326">
        <v>363</v>
      </c>
      <c r="T2326">
        <v>3</v>
      </c>
    </row>
    <row r="2327" spans="18:20" x14ac:dyDescent="0.25">
      <c r="R2327">
        <v>71</v>
      </c>
      <c r="S2327">
        <v>364</v>
      </c>
      <c r="T2327">
        <v>2</v>
      </c>
    </row>
    <row r="2328" spans="18:20" x14ac:dyDescent="0.25">
      <c r="R2328">
        <v>71</v>
      </c>
      <c r="S2328">
        <v>364</v>
      </c>
      <c r="T2328">
        <v>4</v>
      </c>
    </row>
    <row r="2329" spans="18:20" x14ac:dyDescent="0.25">
      <c r="R2329">
        <v>71</v>
      </c>
      <c r="S2329">
        <v>401</v>
      </c>
      <c r="T2329">
        <v>4</v>
      </c>
    </row>
    <row r="2330" spans="18:20" x14ac:dyDescent="0.25">
      <c r="R2330">
        <v>71</v>
      </c>
      <c r="S2330">
        <v>403</v>
      </c>
      <c r="T2330">
        <v>2</v>
      </c>
    </row>
    <row r="2331" spans="18:20" x14ac:dyDescent="0.25">
      <c r="R2331">
        <v>72</v>
      </c>
      <c r="S2331">
        <v>22</v>
      </c>
      <c r="T2331">
        <v>3</v>
      </c>
    </row>
    <row r="2332" spans="18:20" x14ac:dyDescent="0.25">
      <c r="R2332">
        <v>72</v>
      </c>
      <c r="S2332">
        <v>34</v>
      </c>
      <c r="T2332">
        <v>2</v>
      </c>
    </row>
    <row r="2333" spans="18:20" x14ac:dyDescent="0.25">
      <c r="R2333">
        <v>72</v>
      </c>
      <c r="S2333">
        <v>39</v>
      </c>
      <c r="T2333">
        <v>2</v>
      </c>
    </row>
    <row r="2334" spans="18:20" x14ac:dyDescent="0.25">
      <c r="R2334">
        <v>72</v>
      </c>
      <c r="S2334">
        <v>40</v>
      </c>
      <c r="T2334">
        <v>2</v>
      </c>
    </row>
    <row r="2335" spans="18:20" x14ac:dyDescent="0.25">
      <c r="R2335">
        <v>72</v>
      </c>
      <c r="S2335">
        <v>78</v>
      </c>
      <c r="T2335">
        <v>5</v>
      </c>
    </row>
    <row r="2336" spans="18:20" x14ac:dyDescent="0.25">
      <c r="R2336">
        <v>72</v>
      </c>
      <c r="S2336">
        <v>85</v>
      </c>
      <c r="T2336">
        <v>4</v>
      </c>
    </row>
    <row r="2337" spans="18:20" x14ac:dyDescent="0.25">
      <c r="R2337">
        <v>72</v>
      </c>
      <c r="S2337">
        <v>109</v>
      </c>
      <c r="T2337">
        <v>3</v>
      </c>
    </row>
    <row r="2338" spans="18:20" x14ac:dyDescent="0.25">
      <c r="R2338">
        <v>72</v>
      </c>
      <c r="S2338">
        <v>117</v>
      </c>
      <c r="T2338">
        <v>3</v>
      </c>
    </row>
    <row r="2339" spans="18:20" x14ac:dyDescent="0.25">
      <c r="R2339">
        <v>72</v>
      </c>
      <c r="S2339">
        <v>142</v>
      </c>
      <c r="T2339">
        <v>4</v>
      </c>
    </row>
    <row r="2340" spans="18:20" x14ac:dyDescent="0.25">
      <c r="R2340">
        <v>72</v>
      </c>
      <c r="S2340">
        <v>144</v>
      </c>
      <c r="T2340">
        <v>4</v>
      </c>
    </row>
    <row r="2341" spans="18:20" x14ac:dyDescent="0.25">
      <c r="R2341">
        <v>72</v>
      </c>
      <c r="S2341">
        <v>173</v>
      </c>
      <c r="T2341">
        <v>4</v>
      </c>
    </row>
    <row r="2342" spans="18:20" x14ac:dyDescent="0.25">
      <c r="R2342">
        <v>72</v>
      </c>
      <c r="S2342">
        <v>195</v>
      </c>
      <c r="T2342">
        <v>1</v>
      </c>
    </row>
    <row r="2343" spans="18:20" x14ac:dyDescent="0.25">
      <c r="R2343">
        <v>72</v>
      </c>
      <c r="S2343">
        <v>215</v>
      </c>
      <c r="T2343">
        <v>1</v>
      </c>
    </row>
    <row r="2344" spans="18:20" x14ac:dyDescent="0.25">
      <c r="R2344">
        <v>72</v>
      </c>
      <c r="S2344">
        <v>218</v>
      </c>
      <c r="T2344">
        <v>1</v>
      </c>
    </row>
    <row r="2345" spans="18:20" x14ac:dyDescent="0.25">
      <c r="R2345">
        <v>72</v>
      </c>
      <c r="S2345">
        <v>221</v>
      </c>
      <c r="T2345">
        <v>4</v>
      </c>
    </row>
    <row r="2346" spans="18:20" x14ac:dyDescent="0.25">
      <c r="R2346">
        <v>72</v>
      </c>
      <c r="S2346">
        <v>233</v>
      </c>
      <c r="T2346">
        <v>3</v>
      </c>
    </row>
    <row r="2347" spans="18:20" x14ac:dyDescent="0.25">
      <c r="R2347">
        <v>72</v>
      </c>
      <c r="S2347">
        <v>257</v>
      </c>
      <c r="T2347">
        <v>2</v>
      </c>
    </row>
    <row r="2348" spans="18:20" x14ac:dyDescent="0.25">
      <c r="R2348">
        <v>72</v>
      </c>
      <c r="S2348">
        <v>266</v>
      </c>
      <c r="T2348">
        <v>5</v>
      </c>
    </row>
    <row r="2349" spans="18:20" x14ac:dyDescent="0.25">
      <c r="R2349">
        <v>72</v>
      </c>
      <c r="S2349">
        <v>272</v>
      </c>
      <c r="T2349">
        <v>4</v>
      </c>
    </row>
    <row r="2350" spans="18:20" x14ac:dyDescent="0.25">
      <c r="R2350">
        <v>72</v>
      </c>
      <c r="S2350">
        <v>322</v>
      </c>
      <c r="T2350">
        <v>4</v>
      </c>
    </row>
    <row r="2351" spans="18:20" x14ac:dyDescent="0.25">
      <c r="R2351">
        <v>72</v>
      </c>
      <c r="S2351">
        <v>338</v>
      </c>
      <c r="T2351">
        <v>3</v>
      </c>
    </row>
    <row r="2352" spans="18:20" x14ac:dyDescent="0.25">
      <c r="R2352">
        <v>72</v>
      </c>
      <c r="S2352">
        <v>339</v>
      </c>
      <c r="T2352">
        <v>5</v>
      </c>
    </row>
    <row r="2353" spans="18:20" x14ac:dyDescent="0.25">
      <c r="R2353">
        <v>72</v>
      </c>
      <c r="S2353">
        <v>363</v>
      </c>
      <c r="T2353">
        <v>2</v>
      </c>
    </row>
    <row r="2354" spans="18:20" x14ac:dyDescent="0.25">
      <c r="R2354">
        <v>72</v>
      </c>
      <c r="S2354">
        <v>369</v>
      </c>
      <c r="T2354">
        <v>1</v>
      </c>
    </row>
    <row r="2355" spans="18:20" x14ac:dyDescent="0.25">
      <c r="R2355">
        <v>72</v>
      </c>
      <c r="S2355">
        <v>399</v>
      </c>
      <c r="T2355">
        <v>1</v>
      </c>
    </row>
    <row r="2356" spans="18:20" x14ac:dyDescent="0.25">
      <c r="R2356">
        <v>72</v>
      </c>
      <c r="S2356">
        <v>400</v>
      </c>
      <c r="T2356">
        <v>2</v>
      </c>
    </row>
    <row r="2357" spans="18:20" x14ac:dyDescent="0.25">
      <c r="R2357">
        <v>72</v>
      </c>
      <c r="S2357">
        <v>403</v>
      </c>
      <c r="T2357">
        <v>4</v>
      </c>
    </row>
    <row r="2358" spans="18:20" x14ac:dyDescent="0.25">
      <c r="R2358">
        <v>72</v>
      </c>
      <c r="S2358">
        <v>405</v>
      </c>
      <c r="T2358">
        <v>1</v>
      </c>
    </row>
    <row r="2359" spans="18:20" x14ac:dyDescent="0.25">
      <c r="R2359">
        <v>73</v>
      </c>
      <c r="S2359">
        <v>20</v>
      </c>
      <c r="T2359">
        <v>2</v>
      </c>
    </row>
    <row r="2360" spans="18:20" x14ac:dyDescent="0.25">
      <c r="R2360">
        <v>73</v>
      </c>
      <c r="S2360">
        <v>22</v>
      </c>
      <c r="T2360">
        <v>2</v>
      </c>
    </row>
    <row r="2361" spans="18:20" x14ac:dyDescent="0.25">
      <c r="R2361">
        <v>73</v>
      </c>
      <c r="S2361">
        <v>47</v>
      </c>
      <c r="T2361">
        <v>1</v>
      </c>
    </row>
    <row r="2362" spans="18:20" x14ac:dyDescent="0.25">
      <c r="R2362">
        <v>73</v>
      </c>
      <c r="S2362">
        <v>63</v>
      </c>
      <c r="T2362">
        <v>1</v>
      </c>
    </row>
    <row r="2363" spans="18:20" x14ac:dyDescent="0.25">
      <c r="R2363">
        <v>73</v>
      </c>
      <c r="S2363">
        <v>65</v>
      </c>
      <c r="T2363">
        <v>3</v>
      </c>
    </row>
    <row r="2364" spans="18:20" x14ac:dyDescent="0.25">
      <c r="R2364">
        <v>73</v>
      </c>
      <c r="S2364">
        <v>125</v>
      </c>
      <c r="T2364">
        <v>5</v>
      </c>
    </row>
    <row r="2365" spans="18:20" x14ac:dyDescent="0.25">
      <c r="R2365">
        <v>73</v>
      </c>
      <c r="S2365">
        <v>133</v>
      </c>
      <c r="T2365">
        <v>3</v>
      </c>
    </row>
    <row r="2366" spans="18:20" x14ac:dyDescent="0.25">
      <c r="R2366">
        <v>73</v>
      </c>
      <c r="S2366">
        <v>184</v>
      </c>
      <c r="T2366">
        <v>1</v>
      </c>
    </row>
    <row r="2367" spans="18:20" x14ac:dyDescent="0.25">
      <c r="R2367">
        <v>73</v>
      </c>
      <c r="S2367">
        <v>228</v>
      </c>
      <c r="T2367">
        <v>5</v>
      </c>
    </row>
    <row r="2368" spans="18:20" x14ac:dyDescent="0.25">
      <c r="R2368">
        <v>73</v>
      </c>
      <c r="S2368">
        <v>292</v>
      </c>
      <c r="T2368">
        <v>3</v>
      </c>
    </row>
    <row r="2369" spans="18:20" x14ac:dyDescent="0.25">
      <c r="R2369">
        <v>73</v>
      </c>
      <c r="S2369">
        <v>298</v>
      </c>
      <c r="T2369">
        <v>1</v>
      </c>
    </row>
    <row r="2370" spans="18:20" x14ac:dyDescent="0.25">
      <c r="R2370">
        <v>73</v>
      </c>
      <c r="S2370">
        <v>322</v>
      </c>
      <c r="T2370">
        <v>5</v>
      </c>
    </row>
    <row r="2371" spans="18:20" x14ac:dyDescent="0.25">
      <c r="R2371">
        <v>73</v>
      </c>
      <c r="S2371">
        <v>328</v>
      </c>
      <c r="T2371">
        <v>5</v>
      </c>
    </row>
    <row r="2372" spans="18:20" x14ac:dyDescent="0.25">
      <c r="R2372">
        <v>73</v>
      </c>
      <c r="S2372">
        <v>330</v>
      </c>
      <c r="T2372">
        <v>1</v>
      </c>
    </row>
    <row r="2373" spans="18:20" x14ac:dyDescent="0.25">
      <c r="R2373">
        <v>73</v>
      </c>
      <c r="S2373">
        <v>340</v>
      </c>
      <c r="T2373">
        <v>3</v>
      </c>
    </row>
    <row r="2374" spans="18:20" x14ac:dyDescent="0.25">
      <c r="R2374">
        <v>73</v>
      </c>
      <c r="S2374">
        <v>352</v>
      </c>
      <c r="T2374">
        <v>2</v>
      </c>
    </row>
    <row r="2375" spans="18:20" x14ac:dyDescent="0.25">
      <c r="R2375">
        <v>73</v>
      </c>
      <c r="S2375">
        <v>358</v>
      </c>
      <c r="T2375">
        <v>2</v>
      </c>
    </row>
    <row r="2376" spans="18:20" x14ac:dyDescent="0.25">
      <c r="R2376">
        <v>73</v>
      </c>
      <c r="S2376">
        <v>358</v>
      </c>
      <c r="T2376">
        <v>2</v>
      </c>
    </row>
    <row r="2377" spans="18:20" x14ac:dyDescent="0.25">
      <c r="R2377">
        <v>73</v>
      </c>
      <c r="S2377">
        <v>362</v>
      </c>
      <c r="T2377">
        <v>1</v>
      </c>
    </row>
    <row r="2378" spans="18:20" x14ac:dyDescent="0.25">
      <c r="R2378">
        <v>73</v>
      </c>
      <c r="S2378">
        <v>366</v>
      </c>
      <c r="T2378">
        <v>3</v>
      </c>
    </row>
    <row r="2379" spans="18:20" x14ac:dyDescent="0.25">
      <c r="R2379">
        <v>73</v>
      </c>
      <c r="S2379">
        <v>383</v>
      </c>
      <c r="T2379">
        <v>4</v>
      </c>
    </row>
    <row r="2380" spans="18:20" x14ac:dyDescent="0.25">
      <c r="R2380">
        <v>73</v>
      </c>
      <c r="S2380">
        <v>392</v>
      </c>
      <c r="T2380">
        <v>4</v>
      </c>
    </row>
    <row r="2381" spans="18:20" x14ac:dyDescent="0.25">
      <c r="R2381">
        <v>73</v>
      </c>
      <c r="S2381">
        <v>398</v>
      </c>
      <c r="T2381">
        <v>1</v>
      </c>
    </row>
    <row r="2382" spans="18:20" x14ac:dyDescent="0.25">
      <c r="R2382">
        <v>74</v>
      </c>
      <c r="S2382">
        <v>1</v>
      </c>
      <c r="T2382">
        <v>2</v>
      </c>
    </row>
    <row r="2383" spans="18:20" x14ac:dyDescent="0.25">
      <c r="R2383">
        <v>74</v>
      </c>
      <c r="S2383">
        <v>3</v>
      </c>
      <c r="T2383">
        <v>3</v>
      </c>
    </row>
    <row r="2384" spans="18:20" x14ac:dyDescent="0.25">
      <c r="R2384">
        <v>74</v>
      </c>
      <c r="S2384">
        <v>11</v>
      </c>
      <c r="T2384">
        <v>1</v>
      </c>
    </row>
    <row r="2385" spans="18:20" x14ac:dyDescent="0.25">
      <c r="R2385">
        <v>74</v>
      </c>
      <c r="S2385">
        <v>17</v>
      </c>
      <c r="T2385">
        <v>1</v>
      </c>
    </row>
    <row r="2386" spans="18:20" x14ac:dyDescent="0.25">
      <c r="R2386">
        <v>74</v>
      </c>
      <c r="S2386">
        <v>20</v>
      </c>
      <c r="T2386">
        <v>1</v>
      </c>
    </row>
    <row r="2387" spans="18:20" x14ac:dyDescent="0.25">
      <c r="R2387">
        <v>74</v>
      </c>
      <c r="S2387">
        <v>44</v>
      </c>
      <c r="T2387">
        <v>5</v>
      </c>
    </row>
    <row r="2388" spans="18:20" x14ac:dyDescent="0.25">
      <c r="R2388">
        <v>74</v>
      </c>
      <c r="S2388">
        <v>54</v>
      </c>
      <c r="T2388">
        <v>2</v>
      </c>
    </row>
    <row r="2389" spans="18:20" x14ac:dyDescent="0.25">
      <c r="R2389">
        <v>74</v>
      </c>
      <c r="S2389">
        <v>56</v>
      </c>
      <c r="T2389">
        <v>2</v>
      </c>
    </row>
    <row r="2390" spans="18:20" x14ac:dyDescent="0.25">
      <c r="R2390">
        <v>74</v>
      </c>
      <c r="S2390">
        <v>60</v>
      </c>
      <c r="T2390">
        <v>5</v>
      </c>
    </row>
    <row r="2391" spans="18:20" x14ac:dyDescent="0.25">
      <c r="R2391">
        <v>74</v>
      </c>
      <c r="S2391">
        <v>81</v>
      </c>
      <c r="T2391">
        <v>1</v>
      </c>
    </row>
    <row r="2392" spans="18:20" x14ac:dyDescent="0.25">
      <c r="R2392">
        <v>74</v>
      </c>
      <c r="S2392">
        <v>84</v>
      </c>
      <c r="T2392">
        <v>3</v>
      </c>
    </row>
    <row r="2393" spans="18:20" x14ac:dyDescent="0.25">
      <c r="R2393">
        <v>74</v>
      </c>
      <c r="S2393">
        <v>85</v>
      </c>
      <c r="T2393">
        <v>2</v>
      </c>
    </row>
    <row r="2394" spans="18:20" x14ac:dyDescent="0.25">
      <c r="R2394">
        <v>74</v>
      </c>
      <c r="S2394">
        <v>92</v>
      </c>
      <c r="T2394">
        <v>5</v>
      </c>
    </row>
    <row r="2395" spans="18:20" x14ac:dyDescent="0.25">
      <c r="R2395">
        <v>74</v>
      </c>
      <c r="S2395">
        <v>98</v>
      </c>
      <c r="T2395">
        <v>5</v>
      </c>
    </row>
    <row r="2396" spans="18:20" x14ac:dyDescent="0.25">
      <c r="R2396">
        <v>74</v>
      </c>
      <c r="S2396">
        <v>105</v>
      </c>
      <c r="T2396">
        <v>4</v>
      </c>
    </row>
    <row r="2397" spans="18:20" x14ac:dyDescent="0.25">
      <c r="R2397">
        <v>74</v>
      </c>
      <c r="S2397">
        <v>115</v>
      </c>
      <c r="T2397">
        <v>5</v>
      </c>
    </row>
    <row r="2398" spans="18:20" x14ac:dyDescent="0.25">
      <c r="R2398">
        <v>74</v>
      </c>
      <c r="S2398">
        <v>138</v>
      </c>
      <c r="T2398">
        <v>5</v>
      </c>
    </row>
    <row r="2399" spans="18:20" x14ac:dyDescent="0.25">
      <c r="R2399">
        <v>74</v>
      </c>
      <c r="S2399">
        <v>144</v>
      </c>
      <c r="T2399">
        <v>3</v>
      </c>
    </row>
    <row r="2400" spans="18:20" x14ac:dyDescent="0.25">
      <c r="R2400">
        <v>74</v>
      </c>
      <c r="S2400">
        <v>164</v>
      </c>
      <c r="T2400">
        <v>3</v>
      </c>
    </row>
    <row r="2401" spans="18:20" x14ac:dyDescent="0.25">
      <c r="R2401">
        <v>74</v>
      </c>
      <c r="S2401">
        <v>179</v>
      </c>
      <c r="T2401">
        <v>3</v>
      </c>
    </row>
    <row r="2402" spans="18:20" x14ac:dyDescent="0.25">
      <c r="R2402">
        <v>74</v>
      </c>
      <c r="S2402">
        <v>188</v>
      </c>
      <c r="T2402">
        <v>2</v>
      </c>
    </row>
    <row r="2403" spans="18:20" x14ac:dyDescent="0.25">
      <c r="R2403">
        <v>74</v>
      </c>
      <c r="S2403">
        <v>193</v>
      </c>
      <c r="T2403">
        <v>3</v>
      </c>
    </row>
    <row r="2404" spans="18:20" x14ac:dyDescent="0.25">
      <c r="R2404">
        <v>74</v>
      </c>
      <c r="S2404">
        <v>219</v>
      </c>
      <c r="T2404">
        <v>3</v>
      </c>
    </row>
    <row r="2405" spans="18:20" x14ac:dyDescent="0.25">
      <c r="R2405">
        <v>74</v>
      </c>
      <c r="S2405">
        <v>230</v>
      </c>
      <c r="T2405">
        <v>1</v>
      </c>
    </row>
    <row r="2406" spans="18:20" x14ac:dyDescent="0.25">
      <c r="R2406">
        <v>74</v>
      </c>
      <c r="S2406">
        <v>260</v>
      </c>
      <c r="T2406">
        <v>4</v>
      </c>
    </row>
    <row r="2407" spans="18:20" x14ac:dyDescent="0.25">
      <c r="R2407">
        <v>74</v>
      </c>
      <c r="S2407">
        <v>292</v>
      </c>
      <c r="T2407">
        <v>4</v>
      </c>
    </row>
    <row r="2408" spans="18:20" x14ac:dyDescent="0.25">
      <c r="R2408">
        <v>74</v>
      </c>
      <c r="S2408">
        <v>294</v>
      </c>
      <c r="T2408">
        <v>4</v>
      </c>
    </row>
    <row r="2409" spans="18:20" x14ac:dyDescent="0.25">
      <c r="R2409">
        <v>74</v>
      </c>
      <c r="S2409">
        <v>312</v>
      </c>
      <c r="T2409">
        <v>1</v>
      </c>
    </row>
    <row r="2410" spans="18:20" x14ac:dyDescent="0.25">
      <c r="R2410">
        <v>74</v>
      </c>
      <c r="S2410">
        <v>324</v>
      </c>
      <c r="T2410">
        <v>3</v>
      </c>
    </row>
    <row r="2411" spans="18:20" x14ac:dyDescent="0.25">
      <c r="R2411">
        <v>74</v>
      </c>
      <c r="S2411">
        <v>330</v>
      </c>
      <c r="T2411">
        <v>4</v>
      </c>
    </row>
    <row r="2412" spans="18:20" x14ac:dyDescent="0.25">
      <c r="R2412">
        <v>74</v>
      </c>
      <c r="S2412">
        <v>343</v>
      </c>
      <c r="T2412">
        <v>1</v>
      </c>
    </row>
    <row r="2413" spans="18:20" x14ac:dyDescent="0.25">
      <c r="R2413">
        <v>74</v>
      </c>
      <c r="S2413">
        <v>349</v>
      </c>
      <c r="T2413">
        <v>4</v>
      </c>
    </row>
    <row r="2414" spans="18:20" x14ac:dyDescent="0.25">
      <c r="R2414">
        <v>74</v>
      </c>
      <c r="S2414">
        <v>371</v>
      </c>
      <c r="T2414">
        <v>2</v>
      </c>
    </row>
    <row r="2415" spans="18:20" x14ac:dyDescent="0.25">
      <c r="R2415">
        <v>74</v>
      </c>
      <c r="S2415">
        <v>376</v>
      </c>
      <c r="T2415">
        <v>1</v>
      </c>
    </row>
    <row r="2416" spans="18:20" x14ac:dyDescent="0.25">
      <c r="R2416">
        <v>74</v>
      </c>
      <c r="S2416">
        <v>388</v>
      </c>
      <c r="T2416">
        <v>2</v>
      </c>
    </row>
    <row r="2417" spans="18:20" x14ac:dyDescent="0.25">
      <c r="R2417">
        <v>74</v>
      </c>
      <c r="S2417">
        <v>396</v>
      </c>
      <c r="T2417">
        <v>2</v>
      </c>
    </row>
    <row r="2418" spans="18:20" x14ac:dyDescent="0.25">
      <c r="R2418">
        <v>74</v>
      </c>
      <c r="S2418">
        <v>397</v>
      </c>
      <c r="T2418">
        <v>3</v>
      </c>
    </row>
    <row r="2419" spans="18:20" x14ac:dyDescent="0.25">
      <c r="R2419">
        <v>74</v>
      </c>
      <c r="S2419">
        <v>407</v>
      </c>
      <c r="T2419">
        <v>2</v>
      </c>
    </row>
    <row r="2420" spans="18:20" x14ac:dyDescent="0.25">
      <c r="R2420">
        <v>74</v>
      </c>
      <c r="S2420">
        <v>413</v>
      </c>
      <c r="T2420">
        <v>4</v>
      </c>
    </row>
    <row r="2421" spans="18:20" x14ac:dyDescent="0.25">
      <c r="R2421">
        <v>74</v>
      </c>
      <c r="S2421">
        <v>418</v>
      </c>
      <c r="T2421">
        <v>3</v>
      </c>
    </row>
    <row r="2422" spans="18:20" x14ac:dyDescent="0.25">
      <c r="R2422">
        <v>74</v>
      </c>
      <c r="S2422">
        <v>421</v>
      </c>
      <c r="T2422">
        <v>1</v>
      </c>
    </row>
    <row r="2423" spans="18:20" x14ac:dyDescent="0.25">
      <c r="R2423">
        <v>74</v>
      </c>
      <c r="S2423">
        <v>433</v>
      </c>
      <c r="T2423">
        <v>4</v>
      </c>
    </row>
    <row r="2424" spans="18:20" x14ac:dyDescent="0.25">
      <c r="R2424">
        <v>75</v>
      </c>
      <c r="S2424">
        <v>2</v>
      </c>
      <c r="T2424">
        <v>5</v>
      </c>
    </row>
    <row r="2425" spans="18:20" x14ac:dyDescent="0.25">
      <c r="R2425">
        <v>75</v>
      </c>
      <c r="S2425">
        <v>10</v>
      </c>
      <c r="T2425">
        <v>2</v>
      </c>
    </row>
    <row r="2426" spans="18:20" x14ac:dyDescent="0.25">
      <c r="R2426">
        <v>75</v>
      </c>
      <c r="S2426">
        <v>13</v>
      </c>
      <c r="T2426">
        <v>5</v>
      </c>
    </row>
    <row r="2427" spans="18:20" x14ac:dyDescent="0.25">
      <c r="R2427">
        <v>75</v>
      </c>
      <c r="S2427">
        <v>54</v>
      </c>
      <c r="T2427">
        <v>3</v>
      </c>
    </row>
    <row r="2428" spans="18:20" x14ac:dyDescent="0.25">
      <c r="R2428">
        <v>75</v>
      </c>
      <c r="S2428">
        <v>64</v>
      </c>
      <c r="T2428">
        <v>2</v>
      </c>
    </row>
    <row r="2429" spans="18:20" x14ac:dyDescent="0.25">
      <c r="R2429">
        <v>75</v>
      </c>
      <c r="S2429">
        <v>76</v>
      </c>
      <c r="T2429">
        <v>2</v>
      </c>
    </row>
    <row r="2430" spans="18:20" x14ac:dyDescent="0.25">
      <c r="R2430">
        <v>75</v>
      </c>
      <c r="S2430">
        <v>80</v>
      </c>
      <c r="T2430">
        <v>3</v>
      </c>
    </row>
    <row r="2431" spans="18:20" x14ac:dyDescent="0.25">
      <c r="R2431">
        <v>75</v>
      </c>
      <c r="S2431">
        <v>127</v>
      </c>
      <c r="T2431">
        <v>3</v>
      </c>
    </row>
    <row r="2432" spans="18:20" x14ac:dyDescent="0.25">
      <c r="R2432">
        <v>75</v>
      </c>
      <c r="S2432">
        <v>134</v>
      </c>
      <c r="T2432">
        <v>3</v>
      </c>
    </row>
    <row r="2433" spans="18:20" x14ac:dyDescent="0.25">
      <c r="R2433">
        <v>75</v>
      </c>
      <c r="S2433">
        <v>135</v>
      </c>
      <c r="T2433">
        <v>5</v>
      </c>
    </row>
    <row r="2434" spans="18:20" x14ac:dyDescent="0.25">
      <c r="R2434">
        <v>75</v>
      </c>
      <c r="S2434">
        <v>149</v>
      </c>
      <c r="T2434">
        <v>5</v>
      </c>
    </row>
    <row r="2435" spans="18:20" x14ac:dyDescent="0.25">
      <c r="R2435">
        <v>75</v>
      </c>
      <c r="S2435">
        <v>164</v>
      </c>
      <c r="T2435">
        <v>4</v>
      </c>
    </row>
    <row r="2436" spans="18:20" x14ac:dyDescent="0.25">
      <c r="R2436">
        <v>75</v>
      </c>
      <c r="S2436">
        <v>173</v>
      </c>
      <c r="T2436">
        <v>4</v>
      </c>
    </row>
    <row r="2437" spans="18:20" x14ac:dyDescent="0.25">
      <c r="R2437">
        <v>75</v>
      </c>
      <c r="S2437">
        <v>180</v>
      </c>
      <c r="T2437">
        <v>4</v>
      </c>
    </row>
    <row r="2438" spans="18:20" x14ac:dyDescent="0.25">
      <c r="R2438">
        <v>75</v>
      </c>
      <c r="S2438">
        <v>187</v>
      </c>
      <c r="T2438">
        <v>1</v>
      </c>
    </row>
    <row r="2439" spans="18:20" x14ac:dyDescent="0.25">
      <c r="R2439">
        <v>75</v>
      </c>
      <c r="S2439">
        <v>190</v>
      </c>
      <c r="T2439">
        <v>2</v>
      </c>
    </row>
    <row r="2440" spans="18:20" x14ac:dyDescent="0.25">
      <c r="R2440">
        <v>75</v>
      </c>
      <c r="S2440">
        <v>242</v>
      </c>
      <c r="T2440">
        <v>5</v>
      </c>
    </row>
    <row r="2441" spans="18:20" x14ac:dyDescent="0.25">
      <c r="R2441">
        <v>75</v>
      </c>
      <c r="S2441">
        <v>251</v>
      </c>
      <c r="T2441">
        <v>4</v>
      </c>
    </row>
    <row r="2442" spans="18:20" x14ac:dyDescent="0.25">
      <c r="R2442">
        <v>75</v>
      </c>
      <c r="S2442">
        <v>279</v>
      </c>
      <c r="T2442">
        <v>1</v>
      </c>
    </row>
    <row r="2443" spans="18:20" x14ac:dyDescent="0.25">
      <c r="R2443">
        <v>75</v>
      </c>
      <c r="S2443">
        <v>293</v>
      </c>
      <c r="T2443">
        <v>2</v>
      </c>
    </row>
    <row r="2444" spans="18:20" x14ac:dyDescent="0.25">
      <c r="R2444">
        <v>75</v>
      </c>
      <c r="S2444">
        <v>309</v>
      </c>
      <c r="T2444">
        <v>5</v>
      </c>
    </row>
    <row r="2445" spans="18:20" x14ac:dyDescent="0.25">
      <c r="R2445">
        <v>75</v>
      </c>
      <c r="S2445">
        <v>326</v>
      </c>
      <c r="T2445">
        <v>4</v>
      </c>
    </row>
    <row r="2446" spans="18:20" x14ac:dyDescent="0.25">
      <c r="R2446">
        <v>75</v>
      </c>
      <c r="S2446">
        <v>343</v>
      </c>
      <c r="T2446">
        <v>3</v>
      </c>
    </row>
    <row r="2447" spans="18:20" x14ac:dyDescent="0.25">
      <c r="R2447">
        <v>75</v>
      </c>
      <c r="S2447">
        <v>354</v>
      </c>
      <c r="T2447">
        <v>3</v>
      </c>
    </row>
    <row r="2448" spans="18:20" x14ac:dyDescent="0.25">
      <c r="R2448">
        <v>75</v>
      </c>
      <c r="S2448">
        <v>358</v>
      </c>
      <c r="T2448">
        <v>4</v>
      </c>
    </row>
    <row r="2449" spans="18:20" x14ac:dyDescent="0.25">
      <c r="R2449">
        <v>75</v>
      </c>
      <c r="S2449">
        <v>372</v>
      </c>
      <c r="T2449">
        <v>3</v>
      </c>
    </row>
    <row r="2450" spans="18:20" x14ac:dyDescent="0.25">
      <c r="R2450">
        <v>75</v>
      </c>
      <c r="S2450">
        <v>422</v>
      </c>
      <c r="T2450">
        <v>1</v>
      </c>
    </row>
    <row r="2451" spans="18:20" x14ac:dyDescent="0.25">
      <c r="R2451">
        <v>75</v>
      </c>
      <c r="S2451">
        <v>424</v>
      </c>
      <c r="T2451">
        <v>5</v>
      </c>
    </row>
    <row r="2452" spans="18:20" x14ac:dyDescent="0.25">
      <c r="R2452">
        <v>76</v>
      </c>
      <c r="S2452">
        <v>38</v>
      </c>
      <c r="T2452">
        <v>3</v>
      </c>
    </row>
    <row r="2453" spans="18:20" x14ac:dyDescent="0.25">
      <c r="R2453">
        <v>76</v>
      </c>
      <c r="S2453">
        <v>42</v>
      </c>
      <c r="T2453">
        <v>1</v>
      </c>
    </row>
    <row r="2454" spans="18:20" x14ac:dyDescent="0.25">
      <c r="R2454">
        <v>76</v>
      </c>
      <c r="S2454">
        <v>47</v>
      </c>
      <c r="T2454">
        <v>2</v>
      </c>
    </row>
    <row r="2455" spans="18:20" x14ac:dyDescent="0.25">
      <c r="R2455">
        <v>76</v>
      </c>
      <c r="S2455">
        <v>50</v>
      </c>
      <c r="T2455">
        <v>3</v>
      </c>
    </row>
    <row r="2456" spans="18:20" x14ac:dyDescent="0.25">
      <c r="R2456">
        <v>76</v>
      </c>
      <c r="S2456">
        <v>52</v>
      </c>
      <c r="T2456">
        <v>2</v>
      </c>
    </row>
    <row r="2457" spans="18:20" x14ac:dyDescent="0.25">
      <c r="R2457">
        <v>76</v>
      </c>
      <c r="S2457">
        <v>70</v>
      </c>
      <c r="T2457">
        <v>1</v>
      </c>
    </row>
    <row r="2458" spans="18:20" x14ac:dyDescent="0.25">
      <c r="R2458">
        <v>76</v>
      </c>
      <c r="S2458">
        <v>105</v>
      </c>
      <c r="T2458">
        <v>2</v>
      </c>
    </row>
    <row r="2459" spans="18:20" x14ac:dyDescent="0.25">
      <c r="R2459">
        <v>76</v>
      </c>
      <c r="S2459">
        <v>118</v>
      </c>
      <c r="T2459">
        <v>4</v>
      </c>
    </row>
    <row r="2460" spans="18:20" x14ac:dyDescent="0.25">
      <c r="R2460">
        <v>76</v>
      </c>
      <c r="S2460">
        <v>169</v>
      </c>
      <c r="T2460">
        <v>3</v>
      </c>
    </row>
    <row r="2461" spans="18:20" x14ac:dyDescent="0.25">
      <c r="R2461">
        <v>76</v>
      </c>
      <c r="S2461">
        <v>170</v>
      </c>
      <c r="T2461">
        <v>4</v>
      </c>
    </row>
    <row r="2462" spans="18:20" x14ac:dyDescent="0.25">
      <c r="R2462">
        <v>76</v>
      </c>
      <c r="S2462">
        <v>175</v>
      </c>
      <c r="T2462">
        <v>5</v>
      </c>
    </row>
    <row r="2463" spans="18:20" x14ac:dyDescent="0.25">
      <c r="R2463">
        <v>76</v>
      </c>
      <c r="S2463">
        <v>176</v>
      </c>
      <c r="T2463">
        <v>5</v>
      </c>
    </row>
    <row r="2464" spans="18:20" x14ac:dyDescent="0.25">
      <c r="R2464">
        <v>76</v>
      </c>
      <c r="S2464">
        <v>179</v>
      </c>
      <c r="T2464">
        <v>1</v>
      </c>
    </row>
    <row r="2465" spans="18:20" x14ac:dyDescent="0.25">
      <c r="R2465">
        <v>76</v>
      </c>
      <c r="S2465">
        <v>192</v>
      </c>
      <c r="T2465">
        <v>3</v>
      </c>
    </row>
    <row r="2466" spans="18:20" x14ac:dyDescent="0.25">
      <c r="R2466">
        <v>76</v>
      </c>
      <c r="S2466">
        <v>195</v>
      </c>
      <c r="T2466">
        <v>5</v>
      </c>
    </row>
    <row r="2467" spans="18:20" x14ac:dyDescent="0.25">
      <c r="R2467">
        <v>76</v>
      </c>
      <c r="S2467">
        <v>244</v>
      </c>
      <c r="T2467">
        <v>3</v>
      </c>
    </row>
    <row r="2468" spans="18:20" x14ac:dyDescent="0.25">
      <c r="R2468">
        <v>76</v>
      </c>
      <c r="S2468">
        <v>266</v>
      </c>
      <c r="T2468">
        <v>1</v>
      </c>
    </row>
    <row r="2469" spans="18:20" x14ac:dyDescent="0.25">
      <c r="R2469">
        <v>76</v>
      </c>
      <c r="S2469">
        <v>276</v>
      </c>
      <c r="T2469">
        <v>1</v>
      </c>
    </row>
    <row r="2470" spans="18:20" x14ac:dyDescent="0.25">
      <c r="R2470">
        <v>76</v>
      </c>
      <c r="S2470">
        <v>291</v>
      </c>
      <c r="T2470">
        <v>4</v>
      </c>
    </row>
    <row r="2471" spans="18:20" x14ac:dyDescent="0.25">
      <c r="R2471">
        <v>76</v>
      </c>
      <c r="S2471">
        <v>299</v>
      </c>
      <c r="T2471">
        <v>1</v>
      </c>
    </row>
    <row r="2472" spans="18:20" x14ac:dyDescent="0.25">
      <c r="R2472">
        <v>76</v>
      </c>
      <c r="S2472">
        <v>315</v>
      </c>
      <c r="T2472">
        <v>2</v>
      </c>
    </row>
    <row r="2473" spans="18:20" x14ac:dyDescent="0.25">
      <c r="R2473">
        <v>76</v>
      </c>
      <c r="S2473">
        <v>337</v>
      </c>
      <c r="T2473">
        <v>1</v>
      </c>
    </row>
    <row r="2474" spans="18:20" x14ac:dyDescent="0.25">
      <c r="R2474">
        <v>76</v>
      </c>
      <c r="S2474">
        <v>343</v>
      </c>
      <c r="T2474">
        <v>1</v>
      </c>
    </row>
    <row r="2475" spans="18:20" x14ac:dyDescent="0.25">
      <c r="R2475">
        <v>76</v>
      </c>
      <c r="S2475">
        <v>351</v>
      </c>
      <c r="T2475">
        <v>4</v>
      </c>
    </row>
    <row r="2476" spans="18:20" x14ac:dyDescent="0.25">
      <c r="R2476">
        <v>76</v>
      </c>
      <c r="S2476">
        <v>355</v>
      </c>
      <c r="T2476">
        <v>3</v>
      </c>
    </row>
    <row r="2477" spans="18:20" x14ac:dyDescent="0.25">
      <c r="R2477">
        <v>76</v>
      </c>
      <c r="S2477">
        <v>362</v>
      </c>
      <c r="T2477">
        <v>3</v>
      </c>
    </row>
    <row r="2478" spans="18:20" x14ac:dyDescent="0.25">
      <c r="R2478">
        <v>76</v>
      </c>
      <c r="S2478">
        <v>365</v>
      </c>
      <c r="T2478">
        <v>2</v>
      </c>
    </row>
    <row r="2479" spans="18:20" x14ac:dyDescent="0.25">
      <c r="R2479">
        <v>76</v>
      </c>
      <c r="S2479">
        <v>366</v>
      </c>
      <c r="T2479">
        <v>1</v>
      </c>
    </row>
    <row r="2480" spans="18:20" x14ac:dyDescent="0.25">
      <c r="R2480">
        <v>76</v>
      </c>
      <c r="S2480">
        <v>384</v>
      </c>
      <c r="T2480">
        <v>4</v>
      </c>
    </row>
    <row r="2481" spans="18:20" x14ac:dyDescent="0.25">
      <c r="R2481">
        <v>76</v>
      </c>
      <c r="S2481">
        <v>389</v>
      </c>
      <c r="T2481">
        <v>4</v>
      </c>
    </row>
    <row r="2482" spans="18:20" x14ac:dyDescent="0.25">
      <c r="R2482">
        <v>76</v>
      </c>
      <c r="S2482">
        <v>401</v>
      </c>
      <c r="T2482">
        <v>4</v>
      </c>
    </row>
    <row r="2483" spans="18:20" x14ac:dyDescent="0.25">
      <c r="R2483">
        <v>76</v>
      </c>
      <c r="S2483">
        <v>409</v>
      </c>
      <c r="T2483">
        <v>4</v>
      </c>
    </row>
    <row r="2484" spans="18:20" x14ac:dyDescent="0.25">
      <c r="R2484">
        <v>76</v>
      </c>
      <c r="S2484">
        <v>410</v>
      </c>
      <c r="T2484">
        <v>2</v>
      </c>
    </row>
    <row r="2485" spans="18:20" x14ac:dyDescent="0.25">
      <c r="R2485">
        <v>76</v>
      </c>
      <c r="S2485">
        <v>421</v>
      </c>
      <c r="T2485">
        <v>3</v>
      </c>
    </row>
    <row r="2486" spans="18:20" x14ac:dyDescent="0.25">
      <c r="R2486">
        <v>76</v>
      </c>
      <c r="S2486">
        <v>435</v>
      </c>
      <c r="T2486">
        <v>2</v>
      </c>
    </row>
    <row r="2487" spans="18:20" x14ac:dyDescent="0.25">
      <c r="R2487">
        <v>77</v>
      </c>
      <c r="S2487">
        <v>32</v>
      </c>
      <c r="T2487">
        <v>4</v>
      </c>
    </row>
    <row r="2488" spans="18:20" x14ac:dyDescent="0.25">
      <c r="R2488">
        <v>77</v>
      </c>
      <c r="S2488">
        <v>55</v>
      </c>
      <c r="T2488">
        <v>5</v>
      </c>
    </row>
    <row r="2489" spans="18:20" x14ac:dyDescent="0.25">
      <c r="R2489">
        <v>77</v>
      </c>
      <c r="S2489">
        <v>78</v>
      </c>
      <c r="T2489">
        <v>3</v>
      </c>
    </row>
    <row r="2490" spans="18:20" x14ac:dyDescent="0.25">
      <c r="R2490">
        <v>77</v>
      </c>
      <c r="S2490">
        <v>126</v>
      </c>
      <c r="T2490">
        <v>3</v>
      </c>
    </row>
    <row r="2491" spans="18:20" x14ac:dyDescent="0.25">
      <c r="R2491">
        <v>77</v>
      </c>
      <c r="S2491">
        <v>127</v>
      </c>
      <c r="T2491">
        <v>2</v>
      </c>
    </row>
    <row r="2492" spans="18:20" x14ac:dyDescent="0.25">
      <c r="R2492">
        <v>77</v>
      </c>
      <c r="S2492">
        <v>163</v>
      </c>
      <c r="T2492">
        <v>1</v>
      </c>
    </row>
    <row r="2493" spans="18:20" x14ac:dyDescent="0.25">
      <c r="R2493">
        <v>77</v>
      </c>
      <c r="S2493">
        <v>167</v>
      </c>
      <c r="T2493">
        <v>5</v>
      </c>
    </row>
    <row r="2494" spans="18:20" x14ac:dyDescent="0.25">
      <c r="R2494">
        <v>77</v>
      </c>
      <c r="S2494">
        <v>167</v>
      </c>
      <c r="T2494">
        <v>5</v>
      </c>
    </row>
    <row r="2495" spans="18:20" x14ac:dyDescent="0.25">
      <c r="R2495">
        <v>77</v>
      </c>
      <c r="S2495">
        <v>181</v>
      </c>
      <c r="T2495">
        <v>3</v>
      </c>
    </row>
    <row r="2496" spans="18:20" x14ac:dyDescent="0.25">
      <c r="R2496">
        <v>77</v>
      </c>
      <c r="S2496">
        <v>191</v>
      </c>
      <c r="T2496">
        <v>5</v>
      </c>
    </row>
    <row r="2497" spans="18:20" x14ac:dyDescent="0.25">
      <c r="R2497">
        <v>77</v>
      </c>
      <c r="S2497">
        <v>253</v>
      </c>
      <c r="T2497">
        <v>1</v>
      </c>
    </row>
    <row r="2498" spans="18:20" x14ac:dyDescent="0.25">
      <c r="R2498">
        <v>77</v>
      </c>
      <c r="S2498">
        <v>257</v>
      </c>
      <c r="T2498">
        <v>3</v>
      </c>
    </row>
    <row r="2499" spans="18:20" x14ac:dyDescent="0.25">
      <c r="R2499">
        <v>77</v>
      </c>
      <c r="S2499">
        <v>259</v>
      </c>
      <c r="T2499">
        <v>1</v>
      </c>
    </row>
    <row r="2500" spans="18:20" x14ac:dyDescent="0.25">
      <c r="R2500">
        <v>77</v>
      </c>
      <c r="S2500">
        <v>272</v>
      </c>
      <c r="T2500">
        <v>3</v>
      </c>
    </row>
    <row r="2501" spans="18:20" x14ac:dyDescent="0.25">
      <c r="R2501">
        <v>77</v>
      </c>
      <c r="S2501">
        <v>272</v>
      </c>
      <c r="T2501">
        <v>5</v>
      </c>
    </row>
    <row r="2502" spans="18:20" x14ac:dyDescent="0.25">
      <c r="R2502">
        <v>77</v>
      </c>
      <c r="S2502">
        <v>274</v>
      </c>
      <c r="T2502">
        <v>2</v>
      </c>
    </row>
    <row r="2503" spans="18:20" x14ac:dyDescent="0.25">
      <c r="R2503">
        <v>77</v>
      </c>
      <c r="S2503">
        <v>276</v>
      </c>
      <c r="T2503">
        <v>3</v>
      </c>
    </row>
    <row r="2504" spans="18:20" x14ac:dyDescent="0.25">
      <c r="R2504">
        <v>77</v>
      </c>
      <c r="S2504">
        <v>306</v>
      </c>
      <c r="T2504">
        <v>5</v>
      </c>
    </row>
    <row r="2505" spans="18:20" x14ac:dyDescent="0.25">
      <c r="R2505">
        <v>77</v>
      </c>
      <c r="S2505">
        <v>313</v>
      </c>
      <c r="T2505">
        <v>4</v>
      </c>
    </row>
    <row r="2506" spans="18:20" x14ac:dyDescent="0.25">
      <c r="R2506">
        <v>77</v>
      </c>
      <c r="S2506">
        <v>317</v>
      </c>
      <c r="T2506">
        <v>4</v>
      </c>
    </row>
    <row r="2507" spans="18:20" x14ac:dyDescent="0.25">
      <c r="R2507">
        <v>77</v>
      </c>
      <c r="S2507">
        <v>323</v>
      </c>
      <c r="T2507">
        <v>3</v>
      </c>
    </row>
    <row r="2508" spans="18:20" x14ac:dyDescent="0.25">
      <c r="R2508">
        <v>77</v>
      </c>
      <c r="S2508">
        <v>339</v>
      </c>
      <c r="T2508">
        <v>3</v>
      </c>
    </row>
    <row r="2509" spans="18:20" x14ac:dyDescent="0.25">
      <c r="R2509">
        <v>77</v>
      </c>
      <c r="S2509">
        <v>345</v>
      </c>
      <c r="T2509">
        <v>2</v>
      </c>
    </row>
    <row r="2510" spans="18:20" x14ac:dyDescent="0.25">
      <c r="R2510">
        <v>77</v>
      </c>
      <c r="S2510">
        <v>381</v>
      </c>
      <c r="T2510">
        <v>5</v>
      </c>
    </row>
    <row r="2511" spans="18:20" x14ac:dyDescent="0.25">
      <c r="R2511">
        <v>77</v>
      </c>
      <c r="S2511">
        <v>389</v>
      </c>
      <c r="T2511">
        <v>3</v>
      </c>
    </row>
    <row r="2512" spans="18:20" x14ac:dyDescent="0.25">
      <c r="R2512">
        <v>77</v>
      </c>
      <c r="S2512">
        <v>389</v>
      </c>
      <c r="T2512">
        <v>1</v>
      </c>
    </row>
    <row r="2513" spans="18:20" x14ac:dyDescent="0.25">
      <c r="R2513">
        <v>77</v>
      </c>
      <c r="S2513">
        <v>410</v>
      </c>
      <c r="T2513">
        <v>3</v>
      </c>
    </row>
    <row r="2514" spans="18:20" x14ac:dyDescent="0.25">
      <c r="R2514">
        <v>77</v>
      </c>
      <c r="S2514">
        <v>418</v>
      </c>
      <c r="T2514">
        <v>3</v>
      </c>
    </row>
    <row r="2515" spans="18:20" x14ac:dyDescent="0.25">
      <c r="R2515">
        <v>77</v>
      </c>
      <c r="S2515">
        <v>429</v>
      </c>
      <c r="T2515">
        <v>1</v>
      </c>
    </row>
    <row r="2516" spans="18:20" x14ac:dyDescent="0.25">
      <c r="R2516">
        <v>77</v>
      </c>
      <c r="S2516">
        <v>432</v>
      </c>
      <c r="T2516">
        <v>2</v>
      </c>
    </row>
    <row r="2517" spans="18:20" x14ac:dyDescent="0.25">
      <c r="R2517">
        <v>78</v>
      </c>
      <c r="S2517">
        <v>7</v>
      </c>
      <c r="T2517">
        <v>4</v>
      </c>
    </row>
    <row r="2518" spans="18:20" x14ac:dyDescent="0.25">
      <c r="R2518">
        <v>78</v>
      </c>
      <c r="S2518">
        <v>7</v>
      </c>
      <c r="T2518">
        <v>2</v>
      </c>
    </row>
    <row r="2519" spans="18:20" x14ac:dyDescent="0.25">
      <c r="R2519">
        <v>78</v>
      </c>
      <c r="S2519">
        <v>11</v>
      </c>
      <c r="T2519">
        <v>2</v>
      </c>
    </row>
    <row r="2520" spans="18:20" x14ac:dyDescent="0.25">
      <c r="R2520">
        <v>78</v>
      </c>
      <c r="S2520">
        <v>59</v>
      </c>
      <c r="T2520">
        <v>1</v>
      </c>
    </row>
    <row r="2521" spans="18:20" x14ac:dyDescent="0.25">
      <c r="R2521">
        <v>78</v>
      </c>
      <c r="S2521">
        <v>62</v>
      </c>
      <c r="T2521">
        <v>5</v>
      </c>
    </row>
    <row r="2522" spans="18:20" x14ac:dyDescent="0.25">
      <c r="R2522">
        <v>78</v>
      </c>
      <c r="S2522">
        <v>68</v>
      </c>
      <c r="T2522">
        <v>1</v>
      </c>
    </row>
    <row r="2523" spans="18:20" x14ac:dyDescent="0.25">
      <c r="R2523">
        <v>78</v>
      </c>
      <c r="S2523">
        <v>76</v>
      </c>
      <c r="T2523">
        <v>4</v>
      </c>
    </row>
    <row r="2524" spans="18:20" x14ac:dyDescent="0.25">
      <c r="R2524">
        <v>78</v>
      </c>
      <c r="S2524">
        <v>108</v>
      </c>
      <c r="T2524">
        <v>3</v>
      </c>
    </row>
    <row r="2525" spans="18:20" x14ac:dyDescent="0.25">
      <c r="R2525">
        <v>78</v>
      </c>
      <c r="S2525">
        <v>113</v>
      </c>
      <c r="T2525">
        <v>4</v>
      </c>
    </row>
    <row r="2526" spans="18:20" x14ac:dyDescent="0.25">
      <c r="R2526">
        <v>78</v>
      </c>
      <c r="S2526">
        <v>117</v>
      </c>
      <c r="T2526">
        <v>5</v>
      </c>
    </row>
    <row r="2527" spans="18:20" x14ac:dyDescent="0.25">
      <c r="R2527">
        <v>78</v>
      </c>
      <c r="S2527">
        <v>120</v>
      </c>
      <c r="T2527">
        <v>3</v>
      </c>
    </row>
    <row r="2528" spans="18:20" x14ac:dyDescent="0.25">
      <c r="R2528">
        <v>78</v>
      </c>
      <c r="S2528">
        <v>151</v>
      </c>
      <c r="T2528">
        <v>3</v>
      </c>
    </row>
    <row r="2529" spans="18:20" x14ac:dyDescent="0.25">
      <c r="R2529">
        <v>78</v>
      </c>
      <c r="S2529">
        <v>155</v>
      </c>
      <c r="T2529">
        <v>5</v>
      </c>
    </row>
    <row r="2530" spans="18:20" x14ac:dyDescent="0.25">
      <c r="R2530">
        <v>78</v>
      </c>
      <c r="S2530">
        <v>169</v>
      </c>
      <c r="T2530">
        <v>4</v>
      </c>
    </row>
    <row r="2531" spans="18:20" x14ac:dyDescent="0.25">
      <c r="R2531">
        <v>78</v>
      </c>
      <c r="S2531">
        <v>181</v>
      </c>
      <c r="T2531">
        <v>1</v>
      </c>
    </row>
    <row r="2532" spans="18:20" x14ac:dyDescent="0.25">
      <c r="R2532">
        <v>78</v>
      </c>
      <c r="S2532">
        <v>199</v>
      </c>
      <c r="T2532">
        <v>5</v>
      </c>
    </row>
    <row r="2533" spans="18:20" x14ac:dyDescent="0.25">
      <c r="R2533">
        <v>78</v>
      </c>
      <c r="S2533">
        <v>226</v>
      </c>
      <c r="T2533">
        <v>4</v>
      </c>
    </row>
    <row r="2534" spans="18:20" x14ac:dyDescent="0.25">
      <c r="R2534">
        <v>78</v>
      </c>
      <c r="S2534">
        <v>232</v>
      </c>
      <c r="T2534">
        <v>3</v>
      </c>
    </row>
    <row r="2535" spans="18:20" x14ac:dyDescent="0.25">
      <c r="R2535">
        <v>78</v>
      </c>
      <c r="S2535">
        <v>245</v>
      </c>
      <c r="T2535">
        <v>4</v>
      </c>
    </row>
    <row r="2536" spans="18:20" x14ac:dyDescent="0.25">
      <c r="R2536">
        <v>78</v>
      </c>
      <c r="S2536">
        <v>248</v>
      </c>
      <c r="T2536">
        <v>4</v>
      </c>
    </row>
    <row r="2537" spans="18:20" x14ac:dyDescent="0.25">
      <c r="R2537">
        <v>78</v>
      </c>
      <c r="S2537">
        <v>248</v>
      </c>
      <c r="T2537">
        <v>3</v>
      </c>
    </row>
    <row r="2538" spans="18:20" x14ac:dyDescent="0.25">
      <c r="R2538">
        <v>78</v>
      </c>
      <c r="S2538">
        <v>260</v>
      </c>
      <c r="T2538">
        <v>5</v>
      </c>
    </row>
    <row r="2539" spans="18:20" x14ac:dyDescent="0.25">
      <c r="R2539">
        <v>78</v>
      </c>
      <c r="S2539">
        <v>276</v>
      </c>
      <c r="T2539">
        <v>2</v>
      </c>
    </row>
    <row r="2540" spans="18:20" x14ac:dyDescent="0.25">
      <c r="R2540">
        <v>78</v>
      </c>
      <c r="S2540">
        <v>285</v>
      </c>
      <c r="T2540">
        <v>2</v>
      </c>
    </row>
    <row r="2541" spans="18:20" x14ac:dyDescent="0.25">
      <c r="R2541">
        <v>78</v>
      </c>
      <c r="S2541">
        <v>291</v>
      </c>
      <c r="T2541">
        <v>5</v>
      </c>
    </row>
    <row r="2542" spans="18:20" x14ac:dyDescent="0.25">
      <c r="R2542">
        <v>78</v>
      </c>
      <c r="S2542">
        <v>293</v>
      </c>
      <c r="T2542">
        <v>5</v>
      </c>
    </row>
    <row r="2543" spans="18:20" x14ac:dyDescent="0.25">
      <c r="R2543">
        <v>78</v>
      </c>
      <c r="S2543">
        <v>300</v>
      </c>
      <c r="T2543">
        <v>4</v>
      </c>
    </row>
    <row r="2544" spans="18:20" x14ac:dyDescent="0.25">
      <c r="R2544">
        <v>78</v>
      </c>
      <c r="S2544">
        <v>307</v>
      </c>
      <c r="T2544">
        <v>5</v>
      </c>
    </row>
    <row r="2545" spans="18:20" x14ac:dyDescent="0.25">
      <c r="R2545">
        <v>78</v>
      </c>
      <c r="S2545">
        <v>320</v>
      </c>
      <c r="T2545">
        <v>4</v>
      </c>
    </row>
    <row r="2546" spans="18:20" x14ac:dyDescent="0.25">
      <c r="R2546">
        <v>78</v>
      </c>
      <c r="S2546">
        <v>325</v>
      </c>
      <c r="T2546">
        <v>4</v>
      </c>
    </row>
    <row r="2547" spans="18:20" x14ac:dyDescent="0.25">
      <c r="R2547">
        <v>78</v>
      </c>
      <c r="S2547">
        <v>340</v>
      </c>
      <c r="T2547">
        <v>1</v>
      </c>
    </row>
    <row r="2548" spans="18:20" x14ac:dyDescent="0.25">
      <c r="R2548">
        <v>78</v>
      </c>
      <c r="S2548">
        <v>367</v>
      </c>
      <c r="T2548">
        <v>4</v>
      </c>
    </row>
    <row r="2549" spans="18:20" x14ac:dyDescent="0.25">
      <c r="R2549">
        <v>78</v>
      </c>
      <c r="S2549">
        <v>380</v>
      </c>
      <c r="T2549">
        <v>3</v>
      </c>
    </row>
    <row r="2550" spans="18:20" x14ac:dyDescent="0.25">
      <c r="R2550">
        <v>78</v>
      </c>
      <c r="S2550">
        <v>400</v>
      </c>
      <c r="T2550">
        <v>3</v>
      </c>
    </row>
    <row r="2551" spans="18:20" x14ac:dyDescent="0.25">
      <c r="R2551">
        <v>78</v>
      </c>
      <c r="S2551">
        <v>406</v>
      </c>
      <c r="T2551">
        <v>5</v>
      </c>
    </row>
    <row r="2552" spans="18:20" x14ac:dyDescent="0.25">
      <c r="R2552">
        <v>78</v>
      </c>
      <c r="S2552">
        <v>406</v>
      </c>
      <c r="T2552">
        <v>4</v>
      </c>
    </row>
    <row r="2553" spans="18:20" x14ac:dyDescent="0.25">
      <c r="R2553">
        <v>78</v>
      </c>
      <c r="S2553">
        <v>415</v>
      </c>
      <c r="T2553">
        <v>3</v>
      </c>
    </row>
    <row r="2554" spans="18:20" x14ac:dyDescent="0.25">
      <c r="R2554">
        <v>79</v>
      </c>
      <c r="S2554">
        <v>12</v>
      </c>
      <c r="T2554">
        <v>2</v>
      </c>
    </row>
    <row r="2555" spans="18:20" x14ac:dyDescent="0.25">
      <c r="R2555">
        <v>79</v>
      </c>
      <c r="S2555">
        <v>13</v>
      </c>
      <c r="T2555">
        <v>5</v>
      </c>
    </row>
    <row r="2556" spans="18:20" x14ac:dyDescent="0.25">
      <c r="R2556">
        <v>79</v>
      </c>
      <c r="S2556">
        <v>14</v>
      </c>
      <c r="T2556">
        <v>3</v>
      </c>
    </row>
    <row r="2557" spans="18:20" x14ac:dyDescent="0.25">
      <c r="R2557">
        <v>79</v>
      </c>
      <c r="S2557">
        <v>33</v>
      </c>
      <c r="T2557">
        <v>2</v>
      </c>
    </row>
    <row r="2558" spans="18:20" x14ac:dyDescent="0.25">
      <c r="R2558">
        <v>79</v>
      </c>
      <c r="S2558">
        <v>88</v>
      </c>
      <c r="T2558">
        <v>4</v>
      </c>
    </row>
    <row r="2559" spans="18:20" x14ac:dyDescent="0.25">
      <c r="R2559">
        <v>79</v>
      </c>
      <c r="S2559">
        <v>92</v>
      </c>
      <c r="T2559">
        <v>2</v>
      </c>
    </row>
    <row r="2560" spans="18:20" x14ac:dyDescent="0.25">
      <c r="R2560">
        <v>79</v>
      </c>
      <c r="S2560">
        <v>92</v>
      </c>
      <c r="T2560">
        <v>3</v>
      </c>
    </row>
    <row r="2561" spans="18:20" x14ac:dyDescent="0.25">
      <c r="R2561">
        <v>79</v>
      </c>
      <c r="S2561">
        <v>93</v>
      </c>
      <c r="T2561">
        <v>1</v>
      </c>
    </row>
    <row r="2562" spans="18:20" x14ac:dyDescent="0.25">
      <c r="R2562">
        <v>79</v>
      </c>
      <c r="S2562">
        <v>94</v>
      </c>
      <c r="T2562">
        <v>3</v>
      </c>
    </row>
    <row r="2563" spans="18:20" x14ac:dyDescent="0.25">
      <c r="R2563">
        <v>79</v>
      </c>
      <c r="S2563">
        <v>132</v>
      </c>
      <c r="T2563">
        <v>2</v>
      </c>
    </row>
    <row r="2564" spans="18:20" x14ac:dyDescent="0.25">
      <c r="R2564">
        <v>79</v>
      </c>
      <c r="S2564">
        <v>139</v>
      </c>
      <c r="T2564">
        <v>5</v>
      </c>
    </row>
    <row r="2565" spans="18:20" x14ac:dyDescent="0.25">
      <c r="R2565">
        <v>79</v>
      </c>
      <c r="S2565">
        <v>144</v>
      </c>
      <c r="T2565">
        <v>1</v>
      </c>
    </row>
    <row r="2566" spans="18:20" x14ac:dyDescent="0.25">
      <c r="R2566">
        <v>79</v>
      </c>
      <c r="S2566">
        <v>167</v>
      </c>
      <c r="T2566">
        <v>5</v>
      </c>
    </row>
    <row r="2567" spans="18:20" x14ac:dyDescent="0.25">
      <c r="R2567">
        <v>79</v>
      </c>
      <c r="S2567">
        <v>177</v>
      </c>
      <c r="T2567">
        <v>2</v>
      </c>
    </row>
    <row r="2568" spans="18:20" x14ac:dyDescent="0.25">
      <c r="R2568">
        <v>79</v>
      </c>
      <c r="S2568">
        <v>177</v>
      </c>
      <c r="T2568">
        <v>3</v>
      </c>
    </row>
    <row r="2569" spans="18:20" x14ac:dyDescent="0.25">
      <c r="R2569">
        <v>79</v>
      </c>
      <c r="S2569">
        <v>182</v>
      </c>
      <c r="T2569">
        <v>1</v>
      </c>
    </row>
    <row r="2570" spans="18:20" x14ac:dyDescent="0.25">
      <c r="R2570">
        <v>79</v>
      </c>
      <c r="S2570">
        <v>184</v>
      </c>
      <c r="T2570">
        <v>2</v>
      </c>
    </row>
    <row r="2571" spans="18:20" x14ac:dyDescent="0.25">
      <c r="R2571">
        <v>79</v>
      </c>
      <c r="S2571">
        <v>228</v>
      </c>
      <c r="T2571">
        <v>5</v>
      </c>
    </row>
    <row r="2572" spans="18:20" x14ac:dyDescent="0.25">
      <c r="R2572">
        <v>79</v>
      </c>
      <c r="S2572">
        <v>241</v>
      </c>
      <c r="T2572">
        <v>2</v>
      </c>
    </row>
    <row r="2573" spans="18:20" x14ac:dyDescent="0.25">
      <c r="R2573">
        <v>79</v>
      </c>
      <c r="S2573">
        <v>254</v>
      </c>
      <c r="T2573">
        <v>5</v>
      </c>
    </row>
    <row r="2574" spans="18:20" x14ac:dyDescent="0.25">
      <c r="R2574">
        <v>79</v>
      </c>
      <c r="S2574">
        <v>262</v>
      </c>
      <c r="T2574">
        <v>1</v>
      </c>
    </row>
    <row r="2575" spans="18:20" x14ac:dyDescent="0.25">
      <c r="R2575">
        <v>79</v>
      </c>
      <c r="S2575">
        <v>272</v>
      </c>
      <c r="T2575">
        <v>3</v>
      </c>
    </row>
    <row r="2576" spans="18:20" x14ac:dyDescent="0.25">
      <c r="R2576">
        <v>79</v>
      </c>
      <c r="S2576">
        <v>297</v>
      </c>
      <c r="T2576">
        <v>5</v>
      </c>
    </row>
    <row r="2577" spans="18:20" x14ac:dyDescent="0.25">
      <c r="R2577">
        <v>79</v>
      </c>
      <c r="S2577">
        <v>300</v>
      </c>
      <c r="T2577">
        <v>4</v>
      </c>
    </row>
    <row r="2578" spans="18:20" x14ac:dyDescent="0.25">
      <c r="R2578">
        <v>79</v>
      </c>
      <c r="S2578">
        <v>313</v>
      </c>
      <c r="T2578">
        <v>3</v>
      </c>
    </row>
    <row r="2579" spans="18:20" x14ac:dyDescent="0.25">
      <c r="R2579">
        <v>79</v>
      </c>
      <c r="S2579">
        <v>318</v>
      </c>
      <c r="T2579">
        <v>3</v>
      </c>
    </row>
    <row r="2580" spans="18:20" x14ac:dyDescent="0.25">
      <c r="R2580">
        <v>79</v>
      </c>
      <c r="S2580">
        <v>328</v>
      </c>
      <c r="T2580">
        <v>4</v>
      </c>
    </row>
    <row r="2581" spans="18:20" x14ac:dyDescent="0.25">
      <c r="R2581">
        <v>79</v>
      </c>
      <c r="S2581">
        <v>332</v>
      </c>
      <c r="T2581">
        <v>2</v>
      </c>
    </row>
    <row r="2582" spans="18:20" x14ac:dyDescent="0.25">
      <c r="R2582">
        <v>79</v>
      </c>
      <c r="S2582">
        <v>345</v>
      </c>
      <c r="T2582">
        <v>3</v>
      </c>
    </row>
    <row r="2583" spans="18:20" x14ac:dyDescent="0.25">
      <c r="R2583">
        <v>79</v>
      </c>
      <c r="S2583">
        <v>372</v>
      </c>
      <c r="T2583">
        <v>4</v>
      </c>
    </row>
    <row r="2584" spans="18:20" x14ac:dyDescent="0.25">
      <c r="R2584">
        <v>79</v>
      </c>
      <c r="S2584">
        <v>376</v>
      </c>
      <c r="T2584">
        <v>1</v>
      </c>
    </row>
    <row r="2585" spans="18:20" x14ac:dyDescent="0.25">
      <c r="R2585">
        <v>79</v>
      </c>
      <c r="S2585">
        <v>394</v>
      </c>
      <c r="T2585">
        <v>3</v>
      </c>
    </row>
    <row r="2586" spans="18:20" x14ac:dyDescent="0.25">
      <c r="R2586">
        <v>79</v>
      </c>
      <c r="S2586">
        <v>415</v>
      </c>
      <c r="T2586">
        <v>1</v>
      </c>
    </row>
    <row r="2587" spans="18:20" x14ac:dyDescent="0.25">
      <c r="R2587">
        <v>79</v>
      </c>
      <c r="S2587">
        <v>429</v>
      </c>
      <c r="T2587">
        <v>3</v>
      </c>
    </row>
    <row r="2588" spans="18:20" x14ac:dyDescent="0.25">
      <c r="R2588">
        <v>80</v>
      </c>
      <c r="S2588">
        <v>26</v>
      </c>
      <c r="T2588">
        <v>1</v>
      </c>
    </row>
    <row r="2589" spans="18:20" x14ac:dyDescent="0.25">
      <c r="R2589">
        <v>80</v>
      </c>
      <c r="S2589">
        <v>34</v>
      </c>
      <c r="T2589">
        <v>3</v>
      </c>
    </row>
    <row r="2590" spans="18:20" x14ac:dyDescent="0.25">
      <c r="R2590">
        <v>80</v>
      </c>
      <c r="S2590">
        <v>42</v>
      </c>
      <c r="T2590">
        <v>4</v>
      </c>
    </row>
    <row r="2591" spans="18:20" x14ac:dyDescent="0.25">
      <c r="R2591">
        <v>80</v>
      </c>
      <c r="S2591">
        <v>53</v>
      </c>
      <c r="T2591">
        <v>2</v>
      </c>
    </row>
    <row r="2592" spans="18:20" x14ac:dyDescent="0.25">
      <c r="R2592">
        <v>80</v>
      </c>
      <c r="S2592">
        <v>66</v>
      </c>
      <c r="T2592">
        <v>4</v>
      </c>
    </row>
    <row r="2593" spans="18:20" x14ac:dyDescent="0.25">
      <c r="R2593">
        <v>80</v>
      </c>
      <c r="S2593">
        <v>70</v>
      </c>
      <c r="T2593">
        <v>3</v>
      </c>
    </row>
    <row r="2594" spans="18:20" x14ac:dyDescent="0.25">
      <c r="R2594">
        <v>80</v>
      </c>
      <c r="S2594">
        <v>100</v>
      </c>
      <c r="T2594">
        <v>1</v>
      </c>
    </row>
    <row r="2595" spans="18:20" x14ac:dyDescent="0.25">
      <c r="R2595">
        <v>80</v>
      </c>
      <c r="S2595">
        <v>108</v>
      </c>
      <c r="T2595">
        <v>2</v>
      </c>
    </row>
    <row r="2596" spans="18:20" x14ac:dyDescent="0.25">
      <c r="R2596">
        <v>80</v>
      </c>
      <c r="S2596">
        <v>150</v>
      </c>
      <c r="T2596">
        <v>3</v>
      </c>
    </row>
    <row r="2597" spans="18:20" x14ac:dyDescent="0.25">
      <c r="R2597">
        <v>80</v>
      </c>
      <c r="S2597">
        <v>164</v>
      </c>
      <c r="T2597">
        <v>5</v>
      </c>
    </row>
    <row r="2598" spans="18:20" x14ac:dyDescent="0.25">
      <c r="R2598">
        <v>80</v>
      </c>
      <c r="S2598">
        <v>173</v>
      </c>
      <c r="T2598">
        <v>4</v>
      </c>
    </row>
    <row r="2599" spans="18:20" x14ac:dyDescent="0.25">
      <c r="R2599">
        <v>80</v>
      </c>
      <c r="S2599">
        <v>173</v>
      </c>
      <c r="T2599">
        <v>1</v>
      </c>
    </row>
    <row r="2600" spans="18:20" x14ac:dyDescent="0.25">
      <c r="R2600">
        <v>80</v>
      </c>
      <c r="S2600">
        <v>210</v>
      </c>
      <c r="T2600">
        <v>5</v>
      </c>
    </row>
    <row r="2601" spans="18:20" x14ac:dyDescent="0.25">
      <c r="R2601">
        <v>80</v>
      </c>
      <c r="S2601">
        <v>215</v>
      </c>
      <c r="T2601">
        <v>1</v>
      </c>
    </row>
    <row r="2602" spans="18:20" x14ac:dyDescent="0.25">
      <c r="R2602">
        <v>80</v>
      </c>
      <c r="S2602">
        <v>246</v>
      </c>
      <c r="T2602">
        <v>3</v>
      </c>
    </row>
    <row r="2603" spans="18:20" x14ac:dyDescent="0.25">
      <c r="R2603">
        <v>80</v>
      </c>
      <c r="S2603">
        <v>272</v>
      </c>
      <c r="T2603">
        <v>2</v>
      </c>
    </row>
    <row r="2604" spans="18:20" x14ac:dyDescent="0.25">
      <c r="R2604">
        <v>80</v>
      </c>
      <c r="S2604">
        <v>272</v>
      </c>
      <c r="T2604">
        <v>1</v>
      </c>
    </row>
    <row r="2605" spans="18:20" x14ac:dyDescent="0.25">
      <c r="R2605">
        <v>80</v>
      </c>
      <c r="S2605">
        <v>274</v>
      </c>
      <c r="T2605">
        <v>2</v>
      </c>
    </row>
    <row r="2606" spans="18:20" x14ac:dyDescent="0.25">
      <c r="R2606">
        <v>80</v>
      </c>
      <c r="S2606">
        <v>275</v>
      </c>
      <c r="T2606">
        <v>2</v>
      </c>
    </row>
    <row r="2607" spans="18:20" x14ac:dyDescent="0.25">
      <c r="R2607">
        <v>80</v>
      </c>
      <c r="S2607">
        <v>282</v>
      </c>
      <c r="T2607">
        <v>2</v>
      </c>
    </row>
    <row r="2608" spans="18:20" x14ac:dyDescent="0.25">
      <c r="R2608">
        <v>80</v>
      </c>
      <c r="S2608">
        <v>291</v>
      </c>
      <c r="T2608">
        <v>1</v>
      </c>
    </row>
    <row r="2609" spans="18:20" x14ac:dyDescent="0.25">
      <c r="R2609">
        <v>80</v>
      </c>
      <c r="S2609">
        <v>322</v>
      </c>
      <c r="T2609">
        <v>2</v>
      </c>
    </row>
    <row r="2610" spans="18:20" x14ac:dyDescent="0.25">
      <c r="R2610">
        <v>80</v>
      </c>
      <c r="S2610">
        <v>348</v>
      </c>
      <c r="T2610">
        <v>1</v>
      </c>
    </row>
    <row r="2611" spans="18:20" x14ac:dyDescent="0.25">
      <c r="R2611">
        <v>80</v>
      </c>
      <c r="S2611">
        <v>354</v>
      </c>
      <c r="T2611">
        <v>3</v>
      </c>
    </row>
    <row r="2612" spans="18:20" x14ac:dyDescent="0.25">
      <c r="R2612">
        <v>80</v>
      </c>
      <c r="S2612">
        <v>363</v>
      </c>
      <c r="T2612">
        <v>2</v>
      </c>
    </row>
    <row r="2613" spans="18:20" x14ac:dyDescent="0.25">
      <c r="R2613">
        <v>80</v>
      </c>
      <c r="S2613">
        <v>371</v>
      </c>
      <c r="T2613">
        <v>2</v>
      </c>
    </row>
    <row r="2614" spans="18:20" x14ac:dyDescent="0.25">
      <c r="R2614">
        <v>80</v>
      </c>
      <c r="S2614">
        <v>377</v>
      </c>
      <c r="T2614">
        <v>2</v>
      </c>
    </row>
    <row r="2615" spans="18:20" x14ac:dyDescent="0.25">
      <c r="R2615">
        <v>80</v>
      </c>
      <c r="S2615">
        <v>381</v>
      </c>
      <c r="T2615">
        <v>5</v>
      </c>
    </row>
    <row r="2616" spans="18:20" x14ac:dyDescent="0.25">
      <c r="R2616">
        <v>80</v>
      </c>
      <c r="S2616">
        <v>423</v>
      </c>
      <c r="T2616">
        <v>1</v>
      </c>
    </row>
    <row r="2617" spans="18:20" x14ac:dyDescent="0.25">
      <c r="R2617">
        <v>80</v>
      </c>
      <c r="S2617">
        <v>430</v>
      </c>
      <c r="T2617">
        <v>5</v>
      </c>
    </row>
    <row r="2618" spans="18:20" x14ac:dyDescent="0.25">
      <c r="R2618">
        <v>80</v>
      </c>
      <c r="S2618">
        <v>431</v>
      </c>
      <c r="T2618">
        <v>3</v>
      </c>
    </row>
    <row r="2619" spans="18:20" x14ac:dyDescent="0.25">
      <c r="R2619">
        <v>80</v>
      </c>
      <c r="S2619">
        <v>435</v>
      </c>
      <c r="T2619">
        <v>2</v>
      </c>
    </row>
    <row r="2620" spans="18:20" x14ac:dyDescent="0.25">
      <c r="R2620">
        <v>80</v>
      </c>
      <c r="S2620">
        <v>436</v>
      </c>
      <c r="T2620">
        <v>3</v>
      </c>
    </row>
    <row r="2621" spans="18:20" x14ac:dyDescent="0.25">
      <c r="R2621">
        <v>81</v>
      </c>
      <c r="S2621">
        <v>6</v>
      </c>
      <c r="T2621">
        <v>2</v>
      </c>
    </row>
    <row r="2622" spans="18:20" x14ac:dyDescent="0.25">
      <c r="R2622">
        <v>81</v>
      </c>
      <c r="S2622">
        <v>79</v>
      </c>
      <c r="T2622">
        <v>3</v>
      </c>
    </row>
    <row r="2623" spans="18:20" x14ac:dyDescent="0.25">
      <c r="R2623">
        <v>81</v>
      </c>
      <c r="S2623">
        <v>115</v>
      </c>
      <c r="T2623">
        <v>3</v>
      </c>
    </row>
    <row r="2624" spans="18:20" x14ac:dyDescent="0.25">
      <c r="R2624">
        <v>81</v>
      </c>
      <c r="S2624">
        <v>120</v>
      </c>
      <c r="T2624">
        <v>1</v>
      </c>
    </row>
    <row r="2625" spans="18:20" x14ac:dyDescent="0.25">
      <c r="R2625">
        <v>81</v>
      </c>
      <c r="S2625">
        <v>125</v>
      </c>
      <c r="T2625">
        <v>1</v>
      </c>
    </row>
    <row r="2626" spans="18:20" x14ac:dyDescent="0.25">
      <c r="R2626">
        <v>81</v>
      </c>
      <c r="S2626">
        <v>127</v>
      </c>
      <c r="T2626">
        <v>4</v>
      </c>
    </row>
    <row r="2627" spans="18:20" x14ac:dyDescent="0.25">
      <c r="R2627">
        <v>81</v>
      </c>
      <c r="S2627">
        <v>135</v>
      </c>
      <c r="T2627">
        <v>3</v>
      </c>
    </row>
    <row r="2628" spans="18:20" x14ac:dyDescent="0.25">
      <c r="R2628">
        <v>81</v>
      </c>
      <c r="S2628">
        <v>173</v>
      </c>
      <c r="T2628">
        <v>2</v>
      </c>
    </row>
    <row r="2629" spans="18:20" x14ac:dyDescent="0.25">
      <c r="R2629">
        <v>81</v>
      </c>
      <c r="S2629">
        <v>181</v>
      </c>
      <c r="T2629">
        <v>1</v>
      </c>
    </row>
    <row r="2630" spans="18:20" x14ac:dyDescent="0.25">
      <c r="R2630">
        <v>81</v>
      </c>
      <c r="S2630">
        <v>217</v>
      </c>
      <c r="T2630">
        <v>1</v>
      </c>
    </row>
    <row r="2631" spans="18:20" x14ac:dyDescent="0.25">
      <c r="R2631">
        <v>81</v>
      </c>
      <c r="S2631">
        <v>219</v>
      </c>
      <c r="T2631">
        <v>2</v>
      </c>
    </row>
    <row r="2632" spans="18:20" x14ac:dyDescent="0.25">
      <c r="R2632">
        <v>81</v>
      </c>
      <c r="S2632">
        <v>238</v>
      </c>
      <c r="T2632">
        <v>2</v>
      </c>
    </row>
    <row r="2633" spans="18:20" x14ac:dyDescent="0.25">
      <c r="R2633">
        <v>81</v>
      </c>
      <c r="S2633">
        <v>243</v>
      </c>
      <c r="T2633">
        <v>2</v>
      </c>
    </row>
    <row r="2634" spans="18:20" x14ac:dyDescent="0.25">
      <c r="R2634">
        <v>81</v>
      </c>
      <c r="S2634">
        <v>248</v>
      </c>
      <c r="T2634">
        <v>2</v>
      </c>
    </row>
    <row r="2635" spans="18:20" x14ac:dyDescent="0.25">
      <c r="R2635">
        <v>81</v>
      </c>
      <c r="S2635">
        <v>257</v>
      </c>
      <c r="T2635">
        <v>3</v>
      </c>
    </row>
    <row r="2636" spans="18:20" x14ac:dyDescent="0.25">
      <c r="R2636">
        <v>81</v>
      </c>
      <c r="S2636">
        <v>266</v>
      </c>
      <c r="T2636">
        <v>1</v>
      </c>
    </row>
    <row r="2637" spans="18:20" x14ac:dyDescent="0.25">
      <c r="R2637">
        <v>81</v>
      </c>
      <c r="S2637">
        <v>286</v>
      </c>
      <c r="T2637">
        <v>3</v>
      </c>
    </row>
    <row r="2638" spans="18:20" x14ac:dyDescent="0.25">
      <c r="R2638">
        <v>81</v>
      </c>
      <c r="S2638">
        <v>302</v>
      </c>
      <c r="T2638">
        <v>4</v>
      </c>
    </row>
    <row r="2639" spans="18:20" x14ac:dyDescent="0.25">
      <c r="R2639">
        <v>81</v>
      </c>
      <c r="S2639">
        <v>359</v>
      </c>
      <c r="T2639">
        <v>5</v>
      </c>
    </row>
    <row r="2640" spans="18:20" x14ac:dyDescent="0.25">
      <c r="R2640">
        <v>81</v>
      </c>
      <c r="S2640">
        <v>377</v>
      </c>
      <c r="T2640">
        <v>5</v>
      </c>
    </row>
    <row r="2641" spans="18:20" x14ac:dyDescent="0.25">
      <c r="R2641">
        <v>81</v>
      </c>
      <c r="S2641">
        <v>418</v>
      </c>
      <c r="T2641">
        <v>1</v>
      </c>
    </row>
    <row r="2642" spans="18:20" x14ac:dyDescent="0.25">
      <c r="R2642">
        <v>81</v>
      </c>
      <c r="S2642">
        <v>426</v>
      </c>
      <c r="T2642">
        <v>4</v>
      </c>
    </row>
    <row r="2643" spans="18:20" x14ac:dyDescent="0.25">
      <c r="R2643">
        <v>81</v>
      </c>
      <c r="S2643">
        <v>436</v>
      </c>
      <c r="T2643">
        <v>3</v>
      </c>
    </row>
    <row r="2644" spans="18:20" x14ac:dyDescent="0.25">
      <c r="R2644">
        <v>82</v>
      </c>
      <c r="S2644">
        <v>33</v>
      </c>
      <c r="T2644">
        <v>4</v>
      </c>
    </row>
    <row r="2645" spans="18:20" x14ac:dyDescent="0.25">
      <c r="R2645">
        <v>82</v>
      </c>
      <c r="S2645">
        <v>39</v>
      </c>
      <c r="T2645">
        <v>4</v>
      </c>
    </row>
    <row r="2646" spans="18:20" x14ac:dyDescent="0.25">
      <c r="R2646">
        <v>82</v>
      </c>
      <c r="S2646">
        <v>70</v>
      </c>
      <c r="T2646">
        <v>5</v>
      </c>
    </row>
    <row r="2647" spans="18:20" x14ac:dyDescent="0.25">
      <c r="R2647">
        <v>82</v>
      </c>
      <c r="S2647">
        <v>70</v>
      </c>
      <c r="T2647">
        <v>2</v>
      </c>
    </row>
    <row r="2648" spans="18:20" x14ac:dyDescent="0.25">
      <c r="R2648">
        <v>82</v>
      </c>
      <c r="S2648">
        <v>154</v>
      </c>
      <c r="T2648">
        <v>2</v>
      </c>
    </row>
    <row r="2649" spans="18:20" x14ac:dyDescent="0.25">
      <c r="R2649">
        <v>82</v>
      </c>
      <c r="S2649">
        <v>159</v>
      </c>
      <c r="T2649">
        <v>1</v>
      </c>
    </row>
    <row r="2650" spans="18:20" x14ac:dyDescent="0.25">
      <c r="R2650">
        <v>82</v>
      </c>
      <c r="S2650">
        <v>206</v>
      </c>
      <c r="T2650">
        <v>2</v>
      </c>
    </row>
    <row r="2651" spans="18:20" x14ac:dyDescent="0.25">
      <c r="R2651">
        <v>82</v>
      </c>
      <c r="S2651">
        <v>236</v>
      </c>
      <c r="T2651">
        <v>4</v>
      </c>
    </row>
    <row r="2652" spans="18:20" x14ac:dyDescent="0.25">
      <c r="R2652">
        <v>82</v>
      </c>
      <c r="S2652">
        <v>263</v>
      </c>
      <c r="T2652">
        <v>3</v>
      </c>
    </row>
    <row r="2653" spans="18:20" x14ac:dyDescent="0.25">
      <c r="R2653">
        <v>82</v>
      </c>
      <c r="S2653">
        <v>286</v>
      </c>
      <c r="T2653">
        <v>2</v>
      </c>
    </row>
    <row r="2654" spans="18:20" x14ac:dyDescent="0.25">
      <c r="R2654">
        <v>82</v>
      </c>
      <c r="S2654">
        <v>297</v>
      </c>
      <c r="T2654">
        <v>1</v>
      </c>
    </row>
    <row r="2655" spans="18:20" x14ac:dyDescent="0.25">
      <c r="R2655">
        <v>82</v>
      </c>
      <c r="S2655">
        <v>298</v>
      </c>
      <c r="T2655">
        <v>1</v>
      </c>
    </row>
    <row r="2656" spans="18:20" x14ac:dyDescent="0.25">
      <c r="R2656">
        <v>82</v>
      </c>
      <c r="S2656">
        <v>320</v>
      </c>
      <c r="T2656">
        <v>5</v>
      </c>
    </row>
    <row r="2657" spans="18:20" x14ac:dyDescent="0.25">
      <c r="R2657">
        <v>82</v>
      </c>
      <c r="S2657">
        <v>332</v>
      </c>
      <c r="T2657">
        <v>2</v>
      </c>
    </row>
    <row r="2658" spans="18:20" x14ac:dyDescent="0.25">
      <c r="R2658">
        <v>82</v>
      </c>
      <c r="S2658">
        <v>347</v>
      </c>
      <c r="T2658">
        <v>5</v>
      </c>
    </row>
    <row r="2659" spans="18:20" x14ac:dyDescent="0.25">
      <c r="R2659">
        <v>82</v>
      </c>
      <c r="S2659">
        <v>367</v>
      </c>
      <c r="T2659">
        <v>4</v>
      </c>
    </row>
    <row r="2660" spans="18:20" x14ac:dyDescent="0.25">
      <c r="R2660">
        <v>82</v>
      </c>
      <c r="S2660">
        <v>386</v>
      </c>
      <c r="T2660">
        <v>5</v>
      </c>
    </row>
    <row r="2661" spans="18:20" x14ac:dyDescent="0.25">
      <c r="R2661">
        <v>82</v>
      </c>
      <c r="S2661">
        <v>392</v>
      </c>
      <c r="T2661">
        <v>5</v>
      </c>
    </row>
    <row r="2662" spans="18:20" x14ac:dyDescent="0.25">
      <c r="R2662">
        <v>82</v>
      </c>
      <c r="S2662">
        <v>401</v>
      </c>
      <c r="T2662">
        <v>5</v>
      </c>
    </row>
    <row r="2663" spans="18:20" x14ac:dyDescent="0.25">
      <c r="R2663">
        <v>82</v>
      </c>
      <c r="S2663">
        <v>404</v>
      </c>
      <c r="T2663">
        <v>2</v>
      </c>
    </row>
    <row r="2664" spans="18:20" x14ac:dyDescent="0.25">
      <c r="R2664">
        <v>82</v>
      </c>
      <c r="S2664">
        <v>411</v>
      </c>
      <c r="T2664">
        <v>1</v>
      </c>
    </row>
    <row r="2665" spans="18:20" x14ac:dyDescent="0.25">
      <c r="R2665">
        <v>82</v>
      </c>
      <c r="S2665">
        <v>424</v>
      </c>
      <c r="T2665">
        <v>5</v>
      </c>
    </row>
    <row r="2666" spans="18:20" x14ac:dyDescent="0.25">
      <c r="R2666">
        <v>82</v>
      </c>
      <c r="S2666">
        <v>427</v>
      </c>
      <c r="T2666">
        <v>1</v>
      </c>
    </row>
    <row r="2667" spans="18:20" x14ac:dyDescent="0.25">
      <c r="R2667">
        <v>82</v>
      </c>
      <c r="S2667">
        <v>432</v>
      </c>
      <c r="T2667">
        <v>4</v>
      </c>
    </row>
    <row r="2668" spans="18:20" x14ac:dyDescent="0.25">
      <c r="R2668">
        <v>83</v>
      </c>
      <c r="S2668">
        <v>13</v>
      </c>
      <c r="T2668">
        <v>2</v>
      </c>
    </row>
    <row r="2669" spans="18:20" x14ac:dyDescent="0.25">
      <c r="R2669">
        <v>83</v>
      </c>
      <c r="S2669">
        <v>48</v>
      </c>
      <c r="T2669">
        <v>5</v>
      </c>
    </row>
    <row r="2670" spans="18:20" x14ac:dyDescent="0.25">
      <c r="R2670">
        <v>83</v>
      </c>
      <c r="S2670">
        <v>54</v>
      </c>
      <c r="T2670">
        <v>5</v>
      </c>
    </row>
    <row r="2671" spans="18:20" x14ac:dyDescent="0.25">
      <c r="R2671">
        <v>83</v>
      </c>
      <c r="S2671">
        <v>64</v>
      </c>
      <c r="T2671">
        <v>2</v>
      </c>
    </row>
    <row r="2672" spans="18:20" x14ac:dyDescent="0.25">
      <c r="R2672">
        <v>83</v>
      </c>
      <c r="S2672">
        <v>82</v>
      </c>
      <c r="T2672">
        <v>3</v>
      </c>
    </row>
    <row r="2673" spans="18:20" x14ac:dyDescent="0.25">
      <c r="R2673">
        <v>83</v>
      </c>
      <c r="S2673">
        <v>101</v>
      </c>
      <c r="T2673">
        <v>3</v>
      </c>
    </row>
    <row r="2674" spans="18:20" x14ac:dyDescent="0.25">
      <c r="R2674">
        <v>83</v>
      </c>
      <c r="S2674">
        <v>106</v>
      </c>
      <c r="T2674">
        <v>4</v>
      </c>
    </row>
    <row r="2675" spans="18:20" x14ac:dyDescent="0.25">
      <c r="R2675">
        <v>83</v>
      </c>
      <c r="S2675">
        <v>130</v>
      </c>
      <c r="T2675">
        <v>3</v>
      </c>
    </row>
    <row r="2676" spans="18:20" x14ac:dyDescent="0.25">
      <c r="R2676">
        <v>83</v>
      </c>
      <c r="S2676">
        <v>152</v>
      </c>
      <c r="T2676">
        <v>1</v>
      </c>
    </row>
    <row r="2677" spans="18:20" x14ac:dyDescent="0.25">
      <c r="R2677">
        <v>83</v>
      </c>
      <c r="S2677">
        <v>159</v>
      </c>
      <c r="T2677">
        <v>2</v>
      </c>
    </row>
    <row r="2678" spans="18:20" x14ac:dyDescent="0.25">
      <c r="R2678">
        <v>83</v>
      </c>
      <c r="S2678">
        <v>169</v>
      </c>
      <c r="T2678">
        <v>3</v>
      </c>
    </row>
    <row r="2679" spans="18:20" x14ac:dyDescent="0.25">
      <c r="R2679">
        <v>83</v>
      </c>
      <c r="S2679">
        <v>173</v>
      </c>
      <c r="T2679">
        <v>4</v>
      </c>
    </row>
    <row r="2680" spans="18:20" x14ac:dyDescent="0.25">
      <c r="R2680">
        <v>83</v>
      </c>
      <c r="S2680">
        <v>184</v>
      </c>
      <c r="T2680">
        <v>1</v>
      </c>
    </row>
    <row r="2681" spans="18:20" x14ac:dyDescent="0.25">
      <c r="R2681">
        <v>83</v>
      </c>
      <c r="S2681">
        <v>189</v>
      </c>
      <c r="T2681">
        <v>5</v>
      </c>
    </row>
    <row r="2682" spans="18:20" x14ac:dyDescent="0.25">
      <c r="R2682">
        <v>83</v>
      </c>
      <c r="S2682">
        <v>204</v>
      </c>
      <c r="T2682">
        <v>4</v>
      </c>
    </row>
    <row r="2683" spans="18:20" x14ac:dyDescent="0.25">
      <c r="R2683">
        <v>83</v>
      </c>
      <c r="S2683">
        <v>208</v>
      </c>
      <c r="T2683">
        <v>4</v>
      </c>
    </row>
    <row r="2684" spans="18:20" x14ac:dyDescent="0.25">
      <c r="R2684">
        <v>83</v>
      </c>
      <c r="S2684">
        <v>209</v>
      </c>
      <c r="T2684">
        <v>1</v>
      </c>
    </row>
    <row r="2685" spans="18:20" x14ac:dyDescent="0.25">
      <c r="R2685">
        <v>83</v>
      </c>
      <c r="S2685">
        <v>228</v>
      </c>
      <c r="T2685">
        <v>4</v>
      </c>
    </row>
    <row r="2686" spans="18:20" x14ac:dyDescent="0.25">
      <c r="R2686">
        <v>83</v>
      </c>
      <c r="S2686">
        <v>260</v>
      </c>
      <c r="T2686">
        <v>1</v>
      </c>
    </row>
    <row r="2687" spans="18:20" x14ac:dyDescent="0.25">
      <c r="R2687">
        <v>83</v>
      </c>
      <c r="S2687">
        <v>271</v>
      </c>
      <c r="T2687">
        <v>4</v>
      </c>
    </row>
    <row r="2688" spans="18:20" x14ac:dyDescent="0.25">
      <c r="R2688">
        <v>83</v>
      </c>
      <c r="S2688">
        <v>274</v>
      </c>
      <c r="T2688">
        <v>1</v>
      </c>
    </row>
    <row r="2689" spans="18:20" x14ac:dyDescent="0.25">
      <c r="R2689">
        <v>83</v>
      </c>
      <c r="S2689">
        <v>277</v>
      </c>
      <c r="T2689">
        <v>5</v>
      </c>
    </row>
    <row r="2690" spans="18:20" x14ac:dyDescent="0.25">
      <c r="R2690">
        <v>83</v>
      </c>
      <c r="S2690">
        <v>283</v>
      </c>
      <c r="T2690">
        <v>5</v>
      </c>
    </row>
    <row r="2691" spans="18:20" x14ac:dyDescent="0.25">
      <c r="R2691">
        <v>83</v>
      </c>
      <c r="S2691">
        <v>299</v>
      </c>
      <c r="T2691">
        <v>3</v>
      </c>
    </row>
    <row r="2692" spans="18:20" x14ac:dyDescent="0.25">
      <c r="R2692">
        <v>83</v>
      </c>
      <c r="S2692">
        <v>319</v>
      </c>
      <c r="T2692">
        <v>4</v>
      </c>
    </row>
    <row r="2693" spans="18:20" x14ac:dyDescent="0.25">
      <c r="R2693">
        <v>83</v>
      </c>
      <c r="S2693">
        <v>344</v>
      </c>
      <c r="T2693">
        <v>4</v>
      </c>
    </row>
    <row r="2694" spans="18:20" x14ac:dyDescent="0.25">
      <c r="R2694">
        <v>83</v>
      </c>
      <c r="S2694">
        <v>373</v>
      </c>
      <c r="T2694">
        <v>2</v>
      </c>
    </row>
    <row r="2695" spans="18:20" x14ac:dyDescent="0.25">
      <c r="R2695">
        <v>83</v>
      </c>
      <c r="S2695">
        <v>378</v>
      </c>
      <c r="T2695">
        <v>2</v>
      </c>
    </row>
    <row r="2696" spans="18:20" x14ac:dyDescent="0.25">
      <c r="R2696">
        <v>83</v>
      </c>
      <c r="S2696">
        <v>393</v>
      </c>
      <c r="T2696">
        <v>1</v>
      </c>
    </row>
    <row r="2697" spans="18:20" x14ac:dyDescent="0.25">
      <c r="R2697">
        <v>83</v>
      </c>
      <c r="S2697">
        <v>405</v>
      </c>
      <c r="T2697">
        <v>1</v>
      </c>
    </row>
    <row r="2698" spans="18:20" x14ac:dyDescent="0.25">
      <c r="R2698">
        <v>83</v>
      </c>
      <c r="S2698">
        <v>414</v>
      </c>
      <c r="T2698">
        <v>1</v>
      </c>
    </row>
    <row r="2699" spans="18:20" x14ac:dyDescent="0.25">
      <c r="R2699">
        <v>83</v>
      </c>
      <c r="S2699">
        <v>420</v>
      </c>
      <c r="T2699">
        <v>4</v>
      </c>
    </row>
    <row r="2700" spans="18:20" x14ac:dyDescent="0.25">
      <c r="R2700">
        <v>84</v>
      </c>
      <c r="S2700">
        <v>26</v>
      </c>
      <c r="T2700">
        <v>3</v>
      </c>
    </row>
    <row r="2701" spans="18:20" x14ac:dyDescent="0.25">
      <c r="R2701">
        <v>84</v>
      </c>
      <c r="S2701">
        <v>52</v>
      </c>
      <c r="T2701">
        <v>5</v>
      </c>
    </row>
    <row r="2702" spans="18:20" x14ac:dyDescent="0.25">
      <c r="R2702">
        <v>84</v>
      </c>
      <c r="S2702">
        <v>69</v>
      </c>
      <c r="T2702">
        <v>4</v>
      </c>
    </row>
    <row r="2703" spans="18:20" x14ac:dyDescent="0.25">
      <c r="R2703">
        <v>84</v>
      </c>
      <c r="S2703">
        <v>97</v>
      </c>
      <c r="T2703">
        <v>4</v>
      </c>
    </row>
    <row r="2704" spans="18:20" x14ac:dyDescent="0.25">
      <c r="R2704">
        <v>84</v>
      </c>
      <c r="S2704">
        <v>104</v>
      </c>
      <c r="T2704">
        <v>1</v>
      </c>
    </row>
    <row r="2705" spans="18:20" x14ac:dyDescent="0.25">
      <c r="R2705">
        <v>84</v>
      </c>
      <c r="S2705">
        <v>131</v>
      </c>
      <c r="T2705">
        <v>2</v>
      </c>
    </row>
    <row r="2706" spans="18:20" x14ac:dyDescent="0.25">
      <c r="R2706">
        <v>84</v>
      </c>
      <c r="S2706">
        <v>156</v>
      </c>
      <c r="T2706">
        <v>2</v>
      </c>
    </row>
    <row r="2707" spans="18:20" x14ac:dyDescent="0.25">
      <c r="R2707">
        <v>84</v>
      </c>
      <c r="S2707">
        <v>169</v>
      </c>
      <c r="T2707">
        <v>1</v>
      </c>
    </row>
    <row r="2708" spans="18:20" x14ac:dyDescent="0.25">
      <c r="R2708">
        <v>84</v>
      </c>
      <c r="S2708">
        <v>171</v>
      </c>
      <c r="T2708">
        <v>4</v>
      </c>
    </row>
    <row r="2709" spans="18:20" x14ac:dyDescent="0.25">
      <c r="R2709">
        <v>84</v>
      </c>
      <c r="S2709">
        <v>179</v>
      </c>
      <c r="T2709">
        <v>4</v>
      </c>
    </row>
    <row r="2710" spans="18:20" x14ac:dyDescent="0.25">
      <c r="R2710">
        <v>84</v>
      </c>
      <c r="S2710">
        <v>184</v>
      </c>
      <c r="T2710">
        <v>2</v>
      </c>
    </row>
    <row r="2711" spans="18:20" x14ac:dyDescent="0.25">
      <c r="R2711">
        <v>84</v>
      </c>
      <c r="S2711">
        <v>186</v>
      </c>
      <c r="T2711">
        <v>3</v>
      </c>
    </row>
    <row r="2712" spans="18:20" x14ac:dyDescent="0.25">
      <c r="R2712">
        <v>84</v>
      </c>
      <c r="S2712">
        <v>196</v>
      </c>
      <c r="T2712">
        <v>5</v>
      </c>
    </row>
    <row r="2713" spans="18:20" x14ac:dyDescent="0.25">
      <c r="R2713">
        <v>84</v>
      </c>
      <c r="S2713">
        <v>202</v>
      </c>
      <c r="T2713">
        <v>4</v>
      </c>
    </row>
    <row r="2714" spans="18:20" x14ac:dyDescent="0.25">
      <c r="R2714">
        <v>84</v>
      </c>
      <c r="S2714">
        <v>220</v>
      </c>
      <c r="T2714">
        <v>3</v>
      </c>
    </row>
    <row r="2715" spans="18:20" x14ac:dyDescent="0.25">
      <c r="R2715">
        <v>84</v>
      </c>
      <c r="S2715">
        <v>239</v>
      </c>
      <c r="T2715">
        <v>5</v>
      </c>
    </row>
    <row r="2716" spans="18:20" x14ac:dyDescent="0.25">
      <c r="R2716">
        <v>84</v>
      </c>
      <c r="S2716">
        <v>257</v>
      </c>
      <c r="T2716">
        <v>3</v>
      </c>
    </row>
    <row r="2717" spans="18:20" x14ac:dyDescent="0.25">
      <c r="R2717">
        <v>84</v>
      </c>
      <c r="S2717">
        <v>262</v>
      </c>
      <c r="T2717">
        <v>5</v>
      </c>
    </row>
    <row r="2718" spans="18:20" x14ac:dyDescent="0.25">
      <c r="R2718">
        <v>84</v>
      </c>
      <c r="S2718">
        <v>266</v>
      </c>
      <c r="T2718">
        <v>1</v>
      </c>
    </row>
    <row r="2719" spans="18:20" x14ac:dyDescent="0.25">
      <c r="R2719">
        <v>84</v>
      </c>
      <c r="S2719">
        <v>276</v>
      </c>
      <c r="T2719">
        <v>4</v>
      </c>
    </row>
    <row r="2720" spans="18:20" x14ac:dyDescent="0.25">
      <c r="R2720">
        <v>84</v>
      </c>
      <c r="S2720">
        <v>286</v>
      </c>
      <c r="T2720">
        <v>4</v>
      </c>
    </row>
    <row r="2721" spans="18:20" x14ac:dyDescent="0.25">
      <c r="R2721">
        <v>84</v>
      </c>
      <c r="S2721">
        <v>290</v>
      </c>
      <c r="T2721">
        <v>1</v>
      </c>
    </row>
    <row r="2722" spans="18:20" x14ac:dyDescent="0.25">
      <c r="R2722">
        <v>84</v>
      </c>
      <c r="S2722">
        <v>296</v>
      </c>
      <c r="T2722">
        <v>1</v>
      </c>
    </row>
    <row r="2723" spans="18:20" x14ac:dyDescent="0.25">
      <c r="R2723">
        <v>84</v>
      </c>
      <c r="S2723">
        <v>304</v>
      </c>
      <c r="T2723">
        <v>3</v>
      </c>
    </row>
    <row r="2724" spans="18:20" x14ac:dyDescent="0.25">
      <c r="R2724">
        <v>84</v>
      </c>
      <c r="S2724">
        <v>309</v>
      </c>
      <c r="T2724">
        <v>5</v>
      </c>
    </row>
    <row r="2725" spans="18:20" x14ac:dyDescent="0.25">
      <c r="R2725">
        <v>84</v>
      </c>
      <c r="S2725">
        <v>322</v>
      </c>
      <c r="T2725">
        <v>4</v>
      </c>
    </row>
    <row r="2726" spans="18:20" x14ac:dyDescent="0.25">
      <c r="R2726">
        <v>84</v>
      </c>
      <c r="S2726">
        <v>333</v>
      </c>
      <c r="T2726">
        <v>4</v>
      </c>
    </row>
    <row r="2727" spans="18:20" x14ac:dyDescent="0.25">
      <c r="R2727">
        <v>84</v>
      </c>
      <c r="S2727">
        <v>337</v>
      </c>
      <c r="T2727">
        <v>5</v>
      </c>
    </row>
    <row r="2728" spans="18:20" x14ac:dyDescent="0.25">
      <c r="R2728">
        <v>84</v>
      </c>
      <c r="S2728">
        <v>341</v>
      </c>
      <c r="T2728">
        <v>3</v>
      </c>
    </row>
    <row r="2729" spans="18:20" x14ac:dyDescent="0.25">
      <c r="R2729">
        <v>84</v>
      </c>
      <c r="S2729">
        <v>346</v>
      </c>
      <c r="T2729">
        <v>5</v>
      </c>
    </row>
    <row r="2730" spans="18:20" x14ac:dyDescent="0.25">
      <c r="R2730">
        <v>84</v>
      </c>
      <c r="S2730">
        <v>359</v>
      </c>
      <c r="T2730">
        <v>4</v>
      </c>
    </row>
    <row r="2731" spans="18:20" x14ac:dyDescent="0.25">
      <c r="R2731">
        <v>84</v>
      </c>
      <c r="S2731">
        <v>367</v>
      </c>
      <c r="T2731">
        <v>2</v>
      </c>
    </row>
    <row r="2732" spans="18:20" x14ac:dyDescent="0.25">
      <c r="R2732">
        <v>84</v>
      </c>
      <c r="S2732">
        <v>401</v>
      </c>
      <c r="T2732">
        <v>1</v>
      </c>
    </row>
    <row r="2733" spans="18:20" x14ac:dyDescent="0.25">
      <c r="R2733">
        <v>84</v>
      </c>
      <c r="S2733">
        <v>404</v>
      </c>
      <c r="T2733">
        <v>4</v>
      </c>
    </row>
    <row r="2734" spans="18:20" x14ac:dyDescent="0.25">
      <c r="R2734">
        <v>84</v>
      </c>
      <c r="S2734">
        <v>409</v>
      </c>
      <c r="T2734">
        <v>1</v>
      </c>
    </row>
    <row r="2735" spans="18:20" x14ac:dyDescent="0.25">
      <c r="R2735">
        <v>84</v>
      </c>
      <c r="S2735">
        <v>422</v>
      </c>
      <c r="T2735">
        <v>4</v>
      </c>
    </row>
    <row r="2736" spans="18:20" x14ac:dyDescent="0.25">
      <c r="R2736">
        <v>85</v>
      </c>
      <c r="S2736">
        <v>28</v>
      </c>
      <c r="T2736">
        <v>1</v>
      </c>
    </row>
    <row r="2737" spans="18:20" x14ac:dyDescent="0.25">
      <c r="R2737">
        <v>85</v>
      </c>
      <c r="S2737">
        <v>33</v>
      </c>
      <c r="T2737">
        <v>4</v>
      </c>
    </row>
    <row r="2738" spans="18:20" x14ac:dyDescent="0.25">
      <c r="R2738">
        <v>85</v>
      </c>
      <c r="S2738">
        <v>40</v>
      </c>
      <c r="T2738">
        <v>1</v>
      </c>
    </row>
    <row r="2739" spans="18:20" x14ac:dyDescent="0.25">
      <c r="R2739">
        <v>85</v>
      </c>
      <c r="S2739">
        <v>45</v>
      </c>
      <c r="T2739">
        <v>5</v>
      </c>
    </row>
    <row r="2740" spans="18:20" x14ac:dyDescent="0.25">
      <c r="R2740">
        <v>85</v>
      </c>
      <c r="S2740">
        <v>54</v>
      </c>
      <c r="T2740">
        <v>2</v>
      </c>
    </row>
    <row r="2741" spans="18:20" x14ac:dyDescent="0.25">
      <c r="R2741">
        <v>85</v>
      </c>
      <c r="S2741">
        <v>65</v>
      </c>
      <c r="T2741">
        <v>1</v>
      </c>
    </row>
    <row r="2742" spans="18:20" x14ac:dyDescent="0.25">
      <c r="R2742">
        <v>85</v>
      </c>
      <c r="S2742">
        <v>103</v>
      </c>
      <c r="T2742">
        <v>4</v>
      </c>
    </row>
    <row r="2743" spans="18:20" x14ac:dyDescent="0.25">
      <c r="R2743">
        <v>85</v>
      </c>
      <c r="S2743">
        <v>104</v>
      </c>
      <c r="T2743">
        <v>3</v>
      </c>
    </row>
    <row r="2744" spans="18:20" x14ac:dyDescent="0.25">
      <c r="R2744">
        <v>85</v>
      </c>
      <c r="S2744">
        <v>108</v>
      </c>
      <c r="T2744">
        <v>3</v>
      </c>
    </row>
    <row r="2745" spans="18:20" x14ac:dyDescent="0.25">
      <c r="R2745">
        <v>85</v>
      </c>
      <c r="S2745">
        <v>132</v>
      </c>
      <c r="T2745">
        <v>3</v>
      </c>
    </row>
    <row r="2746" spans="18:20" x14ac:dyDescent="0.25">
      <c r="R2746">
        <v>85</v>
      </c>
      <c r="S2746">
        <v>155</v>
      </c>
      <c r="T2746">
        <v>4</v>
      </c>
    </row>
    <row r="2747" spans="18:20" x14ac:dyDescent="0.25">
      <c r="R2747">
        <v>85</v>
      </c>
      <c r="S2747">
        <v>156</v>
      </c>
      <c r="T2747">
        <v>4</v>
      </c>
    </row>
    <row r="2748" spans="18:20" x14ac:dyDescent="0.25">
      <c r="R2748">
        <v>85</v>
      </c>
      <c r="S2748">
        <v>159</v>
      </c>
      <c r="T2748">
        <v>2</v>
      </c>
    </row>
    <row r="2749" spans="18:20" x14ac:dyDescent="0.25">
      <c r="R2749">
        <v>85</v>
      </c>
      <c r="S2749">
        <v>164</v>
      </c>
      <c r="T2749">
        <v>3</v>
      </c>
    </row>
    <row r="2750" spans="18:20" x14ac:dyDescent="0.25">
      <c r="R2750">
        <v>85</v>
      </c>
      <c r="S2750">
        <v>197</v>
      </c>
      <c r="T2750">
        <v>5</v>
      </c>
    </row>
    <row r="2751" spans="18:20" x14ac:dyDescent="0.25">
      <c r="R2751">
        <v>85</v>
      </c>
      <c r="S2751">
        <v>210</v>
      </c>
      <c r="T2751">
        <v>5</v>
      </c>
    </row>
    <row r="2752" spans="18:20" x14ac:dyDescent="0.25">
      <c r="R2752">
        <v>85</v>
      </c>
      <c r="S2752">
        <v>211</v>
      </c>
      <c r="T2752">
        <v>5</v>
      </c>
    </row>
    <row r="2753" spans="18:20" x14ac:dyDescent="0.25">
      <c r="R2753">
        <v>85</v>
      </c>
      <c r="S2753">
        <v>236</v>
      </c>
      <c r="T2753">
        <v>1</v>
      </c>
    </row>
    <row r="2754" spans="18:20" x14ac:dyDescent="0.25">
      <c r="R2754">
        <v>85</v>
      </c>
      <c r="S2754">
        <v>261</v>
      </c>
      <c r="T2754">
        <v>1</v>
      </c>
    </row>
    <row r="2755" spans="18:20" x14ac:dyDescent="0.25">
      <c r="R2755">
        <v>85</v>
      </c>
      <c r="S2755">
        <v>264</v>
      </c>
      <c r="T2755">
        <v>2</v>
      </c>
    </row>
    <row r="2756" spans="18:20" x14ac:dyDescent="0.25">
      <c r="R2756">
        <v>85</v>
      </c>
      <c r="S2756">
        <v>280</v>
      </c>
      <c r="T2756">
        <v>1</v>
      </c>
    </row>
    <row r="2757" spans="18:20" x14ac:dyDescent="0.25">
      <c r="R2757">
        <v>85</v>
      </c>
      <c r="S2757">
        <v>284</v>
      </c>
      <c r="T2757">
        <v>5</v>
      </c>
    </row>
    <row r="2758" spans="18:20" x14ac:dyDescent="0.25">
      <c r="R2758">
        <v>85</v>
      </c>
      <c r="S2758">
        <v>291</v>
      </c>
      <c r="T2758">
        <v>2</v>
      </c>
    </row>
    <row r="2759" spans="18:20" x14ac:dyDescent="0.25">
      <c r="R2759">
        <v>85</v>
      </c>
      <c r="S2759">
        <v>347</v>
      </c>
      <c r="T2759">
        <v>1</v>
      </c>
    </row>
    <row r="2760" spans="18:20" x14ac:dyDescent="0.25">
      <c r="R2760">
        <v>85</v>
      </c>
      <c r="S2760">
        <v>350</v>
      </c>
      <c r="T2760">
        <v>1</v>
      </c>
    </row>
    <row r="2761" spans="18:20" x14ac:dyDescent="0.25">
      <c r="R2761">
        <v>85</v>
      </c>
      <c r="S2761">
        <v>373</v>
      </c>
      <c r="T2761">
        <v>1</v>
      </c>
    </row>
    <row r="2762" spans="18:20" x14ac:dyDescent="0.25">
      <c r="R2762">
        <v>85</v>
      </c>
      <c r="S2762">
        <v>376</v>
      </c>
      <c r="T2762">
        <v>1</v>
      </c>
    </row>
    <row r="2763" spans="18:20" x14ac:dyDescent="0.25">
      <c r="R2763">
        <v>85</v>
      </c>
      <c r="S2763">
        <v>387</v>
      </c>
      <c r="T2763">
        <v>3</v>
      </c>
    </row>
    <row r="2764" spans="18:20" x14ac:dyDescent="0.25">
      <c r="R2764">
        <v>85</v>
      </c>
      <c r="S2764">
        <v>397</v>
      </c>
      <c r="T2764">
        <v>4</v>
      </c>
    </row>
    <row r="2765" spans="18:20" x14ac:dyDescent="0.25">
      <c r="R2765">
        <v>86</v>
      </c>
      <c r="S2765">
        <v>1</v>
      </c>
      <c r="T2765">
        <v>4</v>
      </c>
    </row>
    <row r="2766" spans="18:20" x14ac:dyDescent="0.25">
      <c r="R2766">
        <v>86</v>
      </c>
      <c r="S2766">
        <v>11</v>
      </c>
      <c r="T2766">
        <v>5</v>
      </c>
    </row>
    <row r="2767" spans="18:20" x14ac:dyDescent="0.25">
      <c r="R2767">
        <v>86</v>
      </c>
      <c r="S2767">
        <v>27</v>
      </c>
      <c r="T2767">
        <v>5</v>
      </c>
    </row>
    <row r="2768" spans="18:20" x14ac:dyDescent="0.25">
      <c r="R2768">
        <v>86</v>
      </c>
      <c r="S2768">
        <v>39</v>
      </c>
      <c r="T2768">
        <v>1</v>
      </c>
    </row>
    <row r="2769" spans="18:20" x14ac:dyDescent="0.25">
      <c r="R2769">
        <v>86</v>
      </c>
      <c r="S2769">
        <v>44</v>
      </c>
      <c r="T2769">
        <v>5</v>
      </c>
    </row>
    <row r="2770" spans="18:20" x14ac:dyDescent="0.25">
      <c r="R2770">
        <v>86</v>
      </c>
      <c r="S2770">
        <v>62</v>
      </c>
      <c r="T2770">
        <v>2</v>
      </c>
    </row>
    <row r="2771" spans="18:20" x14ac:dyDescent="0.25">
      <c r="R2771">
        <v>86</v>
      </c>
      <c r="S2771">
        <v>79</v>
      </c>
      <c r="T2771">
        <v>5</v>
      </c>
    </row>
    <row r="2772" spans="18:20" x14ac:dyDescent="0.25">
      <c r="R2772">
        <v>86</v>
      </c>
      <c r="S2772">
        <v>95</v>
      </c>
      <c r="T2772">
        <v>4</v>
      </c>
    </row>
    <row r="2773" spans="18:20" x14ac:dyDescent="0.25">
      <c r="R2773">
        <v>86</v>
      </c>
      <c r="S2773">
        <v>106</v>
      </c>
      <c r="T2773">
        <v>5</v>
      </c>
    </row>
    <row r="2774" spans="18:20" x14ac:dyDescent="0.25">
      <c r="R2774">
        <v>86</v>
      </c>
      <c r="S2774">
        <v>127</v>
      </c>
      <c r="T2774">
        <v>1</v>
      </c>
    </row>
    <row r="2775" spans="18:20" x14ac:dyDescent="0.25">
      <c r="R2775">
        <v>86</v>
      </c>
      <c r="S2775">
        <v>155</v>
      </c>
      <c r="T2775">
        <v>1</v>
      </c>
    </row>
    <row r="2776" spans="18:20" x14ac:dyDescent="0.25">
      <c r="R2776">
        <v>86</v>
      </c>
      <c r="S2776">
        <v>158</v>
      </c>
      <c r="T2776">
        <v>3</v>
      </c>
    </row>
    <row r="2777" spans="18:20" x14ac:dyDescent="0.25">
      <c r="R2777">
        <v>86</v>
      </c>
      <c r="S2777">
        <v>160</v>
      </c>
      <c r="T2777">
        <v>1</v>
      </c>
    </row>
    <row r="2778" spans="18:20" x14ac:dyDescent="0.25">
      <c r="R2778">
        <v>86</v>
      </c>
      <c r="S2778">
        <v>160</v>
      </c>
      <c r="T2778">
        <v>5</v>
      </c>
    </row>
    <row r="2779" spans="18:20" x14ac:dyDescent="0.25">
      <c r="R2779">
        <v>86</v>
      </c>
      <c r="S2779">
        <v>160</v>
      </c>
      <c r="T2779">
        <v>4</v>
      </c>
    </row>
    <row r="2780" spans="18:20" x14ac:dyDescent="0.25">
      <c r="R2780">
        <v>86</v>
      </c>
      <c r="S2780">
        <v>166</v>
      </c>
      <c r="T2780">
        <v>1</v>
      </c>
    </row>
    <row r="2781" spans="18:20" x14ac:dyDescent="0.25">
      <c r="R2781">
        <v>86</v>
      </c>
      <c r="S2781">
        <v>174</v>
      </c>
      <c r="T2781">
        <v>4</v>
      </c>
    </row>
    <row r="2782" spans="18:20" x14ac:dyDescent="0.25">
      <c r="R2782">
        <v>86</v>
      </c>
      <c r="S2782">
        <v>176</v>
      </c>
      <c r="T2782">
        <v>3</v>
      </c>
    </row>
    <row r="2783" spans="18:20" x14ac:dyDescent="0.25">
      <c r="R2783">
        <v>86</v>
      </c>
      <c r="S2783">
        <v>180</v>
      </c>
      <c r="T2783">
        <v>3</v>
      </c>
    </row>
    <row r="2784" spans="18:20" x14ac:dyDescent="0.25">
      <c r="R2784">
        <v>86</v>
      </c>
      <c r="S2784">
        <v>184</v>
      </c>
      <c r="T2784">
        <v>4</v>
      </c>
    </row>
    <row r="2785" spans="18:20" x14ac:dyDescent="0.25">
      <c r="R2785">
        <v>86</v>
      </c>
      <c r="S2785">
        <v>187</v>
      </c>
      <c r="T2785">
        <v>3</v>
      </c>
    </row>
    <row r="2786" spans="18:20" x14ac:dyDescent="0.25">
      <c r="R2786">
        <v>86</v>
      </c>
      <c r="S2786">
        <v>193</v>
      </c>
      <c r="T2786">
        <v>1</v>
      </c>
    </row>
    <row r="2787" spans="18:20" x14ac:dyDescent="0.25">
      <c r="R2787">
        <v>86</v>
      </c>
      <c r="S2787">
        <v>207</v>
      </c>
      <c r="T2787">
        <v>4</v>
      </c>
    </row>
    <row r="2788" spans="18:20" x14ac:dyDescent="0.25">
      <c r="R2788">
        <v>86</v>
      </c>
      <c r="S2788">
        <v>208</v>
      </c>
      <c r="T2788">
        <v>3</v>
      </c>
    </row>
    <row r="2789" spans="18:20" x14ac:dyDescent="0.25">
      <c r="R2789">
        <v>86</v>
      </c>
      <c r="S2789">
        <v>215</v>
      </c>
      <c r="T2789">
        <v>1</v>
      </c>
    </row>
    <row r="2790" spans="18:20" x14ac:dyDescent="0.25">
      <c r="R2790">
        <v>86</v>
      </c>
      <c r="S2790">
        <v>220</v>
      </c>
      <c r="T2790">
        <v>2</v>
      </c>
    </row>
    <row r="2791" spans="18:20" x14ac:dyDescent="0.25">
      <c r="R2791">
        <v>86</v>
      </c>
      <c r="S2791">
        <v>221</v>
      </c>
      <c r="T2791">
        <v>2</v>
      </c>
    </row>
    <row r="2792" spans="18:20" x14ac:dyDescent="0.25">
      <c r="R2792">
        <v>86</v>
      </c>
      <c r="S2792">
        <v>229</v>
      </c>
      <c r="T2792">
        <v>4</v>
      </c>
    </row>
    <row r="2793" spans="18:20" x14ac:dyDescent="0.25">
      <c r="R2793">
        <v>86</v>
      </c>
      <c r="S2793">
        <v>231</v>
      </c>
      <c r="T2793">
        <v>3</v>
      </c>
    </row>
    <row r="2794" spans="18:20" x14ac:dyDescent="0.25">
      <c r="R2794">
        <v>86</v>
      </c>
      <c r="S2794">
        <v>250</v>
      </c>
      <c r="T2794">
        <v>4</v>
      </c>
    </row>
    <row r="2795" spans="18:20" x14ac:dyDescent="0.25">
      <c r="R2795">
        <v>86</v>
      </c>
      <c r="S2795">
        <v>290</v>
      </c>
      <c r="T2795">
        <v>3</v>
      </c>
    </row>
    <row r="2796" spans="18:20" x14ac:dyDescent="0.25">
      <c r="R2796">
        <v>86</v>
      </c>
      <c r="S2796">
        <v>295</v>
      </c>
      <c r="T2796">
        <v>3</v>
      </c>
    </row>
    <row r="2797" spans="18:20" x14ac:dyDescent="0.25">
      <c r="R2797">
        <v>86</v>
      </c>
      <c r="S2797">
        <v>310</v>
      </c>
      <c r="T2797">
        <v>1</v>
      </c>
    </row>
    <row r="2798" spans="18:20" x14ac:dyDescent="0.25">
      <c r="R2798">
        <v>86</v>
      </c>
      <c r="S2798">
        <v>310</v>
      </c>
      <c r="T2798">
        <v>5</v>
      </c>
    </row>
    <row r="2799" spans="18:20" x14ac:dyDescent="0.25">
      <c r="R2799">
        <v>86</v>
      </c>
      <c r="S2799">
        <v>336</v>
      </c>
      <c r="T2799">
        <v>5</v>
      </c>
    </row>
    <row r="2800" spans="18:20" x14ac:dyDescent="0.25">
      <c r="R2800">
        <v>86</v>
      </c>
      <c r="S2800">
        <v>337</v>
      </c>
      <c r="T2800">
        <v>1</v>
      </c>
    </row>
    <row r="2801" spans="18:20" x14ac:dyDescent="0.25">
      <c r="R2801">
        <v>86</v>
      </c>
      <c r="S2801">
        <v>350</v>
      </c>
      <c r="T2801">
        <v>2</v>
      </c>
    </row>
    <row r="2802" spans="18:20" x14ac:dyDescent="0.25">
      <c r="R2802">
        <v>86</v>
      </c>
      <c r="S2802">
        <v>360</v>
      </c>
      <c r="T2802">
        <v>5</v>
      </c>
    </row>
    <row r="2803" spans="18:20" x14ac:dyDescent="0.25">
      <c r="R2803">
        <v>86</v>
      </c>
      <c r="S2803">
        <v>361</v>
      </c>
      <c r="T2803">
        <v>2</v>
      </c>
    </row>
    <row r="2804" spans="18:20" x14ac:dyDescent="0.25">
      <c r="R2804">
        <v>86</v>
      </c>
      <c r="S2804">
        <v>375</v>
      </c>
      <c r="T2804">
        <v>1</v>
      </c>
    </row>
    <row r="2805" spans="18:20" x14ac:dyDescent="0.25">
      <c r="R2805">
        <v>86</v>
      </c>
      <c r="S2805">
        <v>419</v>
      </c>
      <c r="T2805">
        <v>3</v>
      </c>
    </row>
    <row r="2806" spans="18:20" x14ac:dyDescent="0.25">
      <c r="R2806">
        <v>86</v>
      </c>
      <c r="S2806">
        <v>424</v>
      </c>
      <c r="T2806">
        <v>3</v>
      </c>
    </row>
    <row r="2807" spans="18:20" x14ac:dyDescent="0.25">
      <c r="R2807">
        <v>87</v>
      </c>
      <c r="S2807">
        <v>5</v>
      </c>
      <c r="T2807">
        <v>4</v>
      </c>
    </row>
    <row r="2808" spans="18:20" x14ac:dyDescent="0.25">
      <c r="R2808">
        <v>87</v>
      </c>
      <c r="S2808">
        <v>5</v>
      </c>
      <c r="T2808">
        <v>3</v>
      </c>
    </row>
    <row r="2809" spans="18:20" x14ac:dyDescent="0.25">
      <c r="R2809">
        <v>87</v>
      </c>
      <c r="S2809">
        <v>5</v>
      </c>
      <c r="T2809">
        <v>5</v>
      </c>
    </row>
    <row r="2810" spans="18:20" x14ac:dyDescent="0.25">
      <c r="R2810">
        <v>87</v>
      </c>
      <c r="S2810">
        <v>43</v>
      </c>
      <c r="T2810">
        <v>1</v>
      </c>
    </row>
    <row r="2811" spans="18:20" x14ac:dyDescent="0.25">
      <c r="R2811">
        <v>87</v>
      </c>
      <c r="S2811">
        <v>45</v>
      </c>
      <c r="T2811">
        <v>3</v>
      </c>
    </row>
    <row r="2812" spans="18:20" x14ac:dyDescent="0.25">
      <c r="R2812">
        <v>87</v>
      </c>
      <c r="S2812">
        <v>72</v>
      </c>
      <c r="T2812">
        <v>2</v>
      </c>
    </row>
    <row r="2813" spans="18:20" x14ac:dyDescent="0.25">
      <c r="R2813">
        <v>87</v>
      </c>
      <c r="S2813">
        <v>108</v>
      </c>
      <c r="T2813">
        <v>2</v>
      </c>
    </row>
    <row r="2814" spans="18:20" x14ac:dyDescent="0.25">
      <c r="R2814">
        <v>87</v>
      </c>
      <c r="S2814">
        <v>119</v>
      </c>
      <c r="T2814">
        <v>1</v>
      </c>
    </row>
    <row r="2815" spans="18:20" x14ac:dyDescent="0.25">
      <c r="R2815">
        <v>87</v>
      </c>
      <c r="S2815">
        <v>122</v>
      </c>
      <c r="T2815">
        <v>4</v>
      </c>
    </row>
    <row r="2816" spans="18:20" x14ac:dyDescent="0.25">
      <c r="R2816">
        <v>87</v>
      </c>
      <c r="S2816">
        <v>153</v>
      </c>
      <c r="T2816">
        <v>4</v>
      </c>
    </row>
    <row r="2817" spans="18:20" x14ac:dyDescent="0.25">
      <c r="R2817">
        <v>87</v>
      </c>
      <c r="S2817">
        <v>161</v>
      </c>
      <c r="T2817">
        <v>4</v>
      </c>
    </row>
    <row r="2818" spans="18:20" x14ac:dyDescent="0.25">
      <c r="R2818">
        <v>87</v>
      </c>
      <c r="S2818">
        <v>163</v>
      </c>
      <c r="T2818">
        <v>4</v>
      </c>
    </row>
    <row r="2819" spans="18:20" x14ac:dyDescent="0.25">
      <c r="R2819">
        <v>87</v>
      </c>
      <c r="S2819">
        <v>165</v>
      </c>
      <c r="T2819">
        <v>5</v>
      </c>
    </row>
    <row r="2820" spans="18:20" x14ac:dyDescent="0.25">
      <c r="R2820">
        <v>87</v>
      </c>
      <c r="S2820">
        <v>166</v>
      </c>
      <c r="T2820">
        <v>4</v>
      </c>
    </row>
    <row r="2821" spans="18:20" x14ac:dyDescent="0.25">
      <c r="R2821">
        <v>87</v>
      </c>
      <c r="S2821">
        <v>167</v>
      </c>
      <c r="T2821">
        <v>4</v>
      </c>
    </row>
    <row r="2822" spans="18:20" x14ac:dyDescent="0.25">
      <c r="R2822">
        <v>87</v>
      </c>
      <c r="S2822">
        <v>169</v>
      </c>
      <c r="T2822">
        <v>1</v>
      </c>
    </row>
    <row r="2823" spans="18:20" x14ac:dyDescent="0.25">
      <c r="R2823">
        <v>87</v>
      </c>
      <c r="S2823">
        <v>203</v>
      </c>
      <c r="T2823">
        <v>3</v>
      </c>
    </row>
    <row r="2824" spans="18:20" x14ac:dyDescent="0.25">
      <c r="R2824">
        <v>87</v>
      </c>
      <c r="S2824">
        <v>220</v>
      </c>
      <c r="T2824">
        <v>3</v>
      </c>
    </row>
    <row r="2825" spans="18:20" x14ac:dyDescent="0.25">
      <c r="R2825">
        <v>87</v>
      </c>
      <c r="S2825">
        <v>232</v>
      </c>
      <c r="T2825">
        <v>4</v>
      </c>
    </row>
    <row r="2826" spans="18:20" x14ac:dyDescent="0.25">
      <c r="R2826">
        <v>87</v>
      </c>
      <c r="S2826">
        <v>235</v>
      </c>
      <c r="T2826">
        <v>1</v>
      </c>
    </row>
    <row r="2827" spans="18:20" x14ac:dyDescent="0.25">
      <c r="R2827">
        <v>87</v>
      </c>
      <c r="S2827">
        <v>258</v>
      </c>
      <c r="T2827">
        <v>1</v>
      </c>
    </row>
    <row r="2828" spans="18:20" x14ac:dyDescent="0.25">
      <c r="R2828">
        <v>87</v>
      </c>
      <c r="S2828">
        <v>300</v>
      </c>
      <c r="T2828">
        <v>5</v>
      </c>
    </row>
    <row r="2829" spans="18:20" x14ac:dyDescent="0.25">
      <c r="R2829">
        <v>87</v>
      </c>
      <c r="S2829">
        <v>307</v>
      </c>
      <c r="T2829">
        <v>2</v>
      </c>
    </row>
    <row r="2830" spans="18:20" x14ac:dyDescent="0.25">
      <c r="R2830">
        <v>87</v>
      </c>
      <c r="S2830">
        <v>331</v>
      </c>
      <c r="T2830">
        <v>4</v>
      </c>
    </row>
    <row r="2831" spans="18:20" x14ac:dyDescent="0.25">
      <c r="R2831">
        <v>87</v>
      </c>
      <c r="S2831">
        <v>337</v>
      </c>
      <c r="T2831">
        <v>1</v>
      </c>
    </row>
    <row r="2832" spans="18:20" x14ac:dyDescent="0.25">
      <c r="R2832">
        <v>87</v>
      </c>
      <c r="S2832">
        <v>346</v>
      </c>
      <c r="T2832">
        <v>4</v>
      </c>
    </row>
    <row r="2833" spans="18:20" x14ac:dyDescent="0.25">
      <c r="R2833">
        <v>87</v>
      </c>
      <c r="S2833">
        <v>353</v>
      </c>
      <c r="T2833">
        <v>3</v>
      </c>
    </row>
    <row r="2834" spans="18:20" x14ac:dyDescent="0.25">
      <c r="R2834">
        <v>87</v>
      </c>
      <c r="S2834">
        <v>372</v>
      </c>
      <c r="T2834">
        <v>3</v>
      </c>
    </row>
    <row r="2835" spans="18:20" x14ac:dyDescent="0.25">
      <c r="R2835">
        <v>87</v>
      </c>
      <c r="S2835">
        <v>372</v>
      </c>
      <c r="T2835">
        <v>3</v>
      </c>
    </row>
    <row r="2836" spans="18:20" x14ac:dyDescent="0.25">
      <c r="R2836">
        <v>87</v>
      </c>
      <c r="S2836">
        <v>388</v>
      </c>
      <c r="T2836">
        <v>2</v>
      </c>
    </row>
    <row r="2837" spans="18:20" x14ac:dyDescent="0.25">
      <c r="R2837">
        <v>87</v>
      </c>
      <c r="S2837">
        <v>410</v>
      </c>
      <c r="T2837">
        <v>5</v>
      </c>
    </row>
    <row r="2838" spans="18:20" x14ac:dyDescent="0.25">
      <c r="R2838">
        <v>87</v>
      </c>
      <c r="S2838">
        <v>420</v>
      </c>
      <c r="T2838">
        <v>2</v>
      </c>
    </row>
    <row r="2839" spans="18:20" x14ac:dyDescent="0.25">
      <c r="R2839">
        <v>88</v>
      </c>
      <c r="S2839">
        <v>12</v>
      </c>
      <c r="T2839">
        <v>4</v>
      </c>
    </row>
    <row r="2840" spans="18:20" x14ac:dyDescent="0.25">
      <c r="R2840">
        <v>88</v>
      </c>
      <c r="S2840">
        <v>13</v>
      </c>
      <c r="T2840">
        <v>1</v>
      </c>
    </row>
    <row r="2841" spans="18:20" x14ac:dyDescent="0.25">
      <c r="R2841">
        <v>88</v>
      </c>
      <c r="S2841">
        <v>25</v>
      </c>
      <c r="T2841">
        <v>2</v>
      </c>
    </row>
    <row r="2842" spans="18:20" x14ac:dyDescent="0.25">
      <c r="R2842">
        <v>88</v>
      </c>
      <c r="S2842">
        <v>30</v>
      </c>
      <c r="T2842">
        <v>1</v>
      </c>
    </row>
    <row r="2843" spans="18:20" x14ac:dyDescent="0.25">
      <c r="R2843">
        <v>88</v>
      </c>
      <c r="S2843">
        <v>34</v>
      </c>
      <c r="T2843">
        <v>3</v>
      </c>
    </row>
    <row r="2844" spans="18:20" x14ac:dyDescent="0.25">
      <c r="R2844">
        <v>88</v>
      </c>
      <c r="S2844">
        <v>78</v>
      </c>
      <c r="T2844">
        <v>2</v>
      </c>
    </row>
    <row r="2845" spans="18:20" x14ac:dyDescent="0.25">
      <c r="R2845">
        <v>88</v>
      </c>
      <c r="S2845">
        <v>85</v>
      </c>
      <c r="T2845">
        <v>1</v>
      </c>
    </row>
    <row r="2846" spans="18:20" x14ac:dyDescent="0.25">
      <c r="R2846">
        <v>88</v>
      </c>
      <c r="S2846">
        <v>94</v>
      </c>
      <c r="T2846">
        <v>3</v>
      </c>
    </row>
    <row r="2847" spans="18:20" x14ac:dyDescent="0.25">
      <c r="R2847">
        <v>88</v>
      </c>
      <c r="S2847">
        <v>107</v>
      </c>
      <c r="T2847">
        <v>1</v>
      </c>
    </row>
    <row r="2848" spans="18:20" x14ac:dyDescent="0.25">
      <c r="R2848">
        <v>88</v>
      </c>
      <c r="S2848">
        <v>118</v>
      </c>
      <c r="T2848">
        <v>2</v>
      </c>
    </row>
    <row r="2849" spans="18:20" x14ac:dyDescent="0.25">
      <c r="R2849">
        <v>88</v>
      </c>
      <c r="S2849">
        <v>135</v>
      </c>
      <c r="T2849">
        <v>4</v>
      </c>
    </row>
    <row r="2850" spans="18:20" x14ac:dyDescent="0.25">
      <c r="R2850">
        <v>88</v>
      </c>
      <c r="S2850">
        <v>150</v>
      </c>
      <c r="T2850">
        <v>5</v>
      </c>
    </row>
    <row r="2851" spans="18:20" x14ac:dyDescent="0.25">
      <c r="R2851">
        <v>88</v>
      </c>
      <c r="S2851">
        <v>165</v>
      </c>
      <c r="T2851">
        <v>1</v>
      </c>
    </row>
    <row r="2852" spans="18:20" x14ac:dyDescent="0.25">
      <c r="R2852">
        <v>88</v>
      </c>
      <c r="S2852">
        <v>206</v>
      </c>
      <c r="T2852">
        <v>1</v>
      </c>
    </row>
    <row r="2853" spans="18:20" x14ac:dyDescent="0.25">
      <c r="R2853">
        <v>88</v>
      </c>
      <c r="S2853">
        <v>210</v>
      </c>
      <c r="T2853">
        <v>3</v>
      </c>
    </row>
    <row r="2854" spans="18:20" x14ac:dyDescent="0.25">
      <c r="R2854">
        <v>88</v>
      </c>
      <c r="S2854">
        <v>214</v>
      </c>
      <c r="T2854">
        <v>3</v>
      </c>
    </row>
    <row r="2855" spans="18:20" x14ac:dyDescent="0.25">
      <c r="R2855">
        <v>88</v>
      </c>
      <c r="S2855">
        <v>236</v>
      </c>
      <c r="T2855">
        <v>1</v>
      </c>
    </row>
    <row r="2856" spans="18:20" x14ac:dyDescent="0.25">
      <c r="R2856">
        <v>88</v>
      </c>
      <c r="S2856">
        <v>283</v>
      </c>
      <c r="T2856">
        <v>2</v>
      </c>
    </row>
    <row r="2857" spans="18:20" x14ac:dyDescent="0.25">
      <c r="R2857">
        <v>88</v>
      </c>
      <c r="S2857">
        <v>287</v>
      </c>
      <c r="T2857">
        <v>1</v>
      </c>
    </row>
    <row r="2858" spans="18:20" x14ac:dyDescent="0.25">
      <c r="R2858">
        <v>88</v>
      </c>
      <c r="S2858">
        <v>321</v>
      </c>
      <c r="T2858">
        <v>2</v>
      </c>
    </row>
    <row r="2859" spans="18:20" x14ac:dyDescent="0.25">
      <c r="R2859">
        <v>88</v>
      </c>
      <c r="S2859">
        <v>340</v>
      </c>
      <c r="T2859">
        <v>2</v>
      </c>
    </row>
    <row r="2860" spans="18:20" x14ac:dyDescent="0.25">
      <c r="R2860">
        <v>88</v>
      </c>
      <c r="S2860">
        <v>347</v>
      </c>
      <c r="T2860">
        <v>3</v>
      </c>
    </row>
    <row r="2861" spans="18:20" x14ac:dyDescent="0.25">
      <c r="R2861">
        <v>88</v>
      </c>
      <c r="S2861">
        <v>352</v>
      </c>
      <c r="T2861">
        <v>1</v>
      </c>
    </row>
    <row r="2862" spans="18:20" x14ac:dyDescent="0.25">
      <c r="R2862">
        <v>88</v>
      </c>
      <c r="S2862">
        <v>354</v>
      </c>
      <c r="T2862">
        <v>3</v>
      </c>
    </row>
    <row r="2863" spans="18:20" x14ac:dyDescent="0.25">
      <c r="R2863">
        <v>88</v>
      </c>
      <c r="S2863">
        <v>356</v>
      </c>
      <c r="T2863">
        <v>2</v>
      </c>
    </row>
    <row r="2864" spans="18:20" x14ac:dyDescent="0.25">
      <c r="R2864">
        <v>88</v>
      </c>
      <c r="S2864">
        <v>360</v>
      </c>
      <c r="T2864">
        <v>3</v>
      </c>
    </row>
    <row r="2865" spans="18:20" x14ac:dyDescent="0.25">
      <c r="R2865">
        <v>88</v>
      </c>
      <c r="S2865">
        <v>402</v>
      </c>
      <c r="T2865">
        <v>1</v>
      </c>
    </row>
    <row r="2866" spans="18:20" x14ac:dyDescent="0.25">
      <c r="R2866">
        <v>89</v>
      </c>
      <c r="S2866">
        <v>30</v>
      </c>
      <c r="T2866">
        <v>1</v>
      </c>
    </row>
    <row r="2867" spans="18:20" x14ac:dyDescent="0.25">
      <c r="R2867">
        <v>89</v>
      </c>
      <c r="S2867">
        <v>31</v>
      </c>
      <c r="T2867">
        <v>3</v>
      </c>
    </row>
    <row r="2868" spans="18:20" x14ac:dyDescent="0.25">
      <c r="R2868">
        <v>89</v>
      </c>
      <c r="S2868">
        <v>32</v>
      </c>
      <c r="T2868">
        <v>3</v>
      </c>
    </row>
    <row r="2869" spans="18:20" x14ac:dyDescent="0.25">
      <c r="R2869">
        <v>89</v>
      </c>
      <c r="S2869">
        <v>41</v>
      </c>
      <c r="T2869">
        <v>4</v>
      </c>
    </row>
    <row r="2870" spans="18:20" x14ac:dyDescent="0.25">
      <c r="R2870">
        <v>89</v>
      </c>
      <c r="S2870">
        <v>48</v>
      </c>
      <c r="T2870">
        <v>1</v>
      </c>
    </row>
    <row r="2871" spans="18:20" x14ac:dyDescent="0.25">
      <c r="R2871">
        <v>89</v>
      </c>
      <c r="S2871">
        <v>68</v>
      </c>
      <c r="T2871">
        <v>3</v>
      </c>
    </row>
    <row r="2872" spans="18:20" x14ac:dyDescent="0.25">
      <c r="R2872">
        <v>89</v>
      </c>
      <c r="S2872">
        <v>70</v>
      </c>
      <c r="T2872">
        <v>5</v>
      </c>
    </row>
    <row r="2873" spans="18:20" x14ac:dyDescent="0.25">
      <c r="R2873">
        <v>89</v>
      </c>
      <c r="S2873">
        <v>104</v>
      </c>
      <c r="T2873">
        <v>4</v>
      </c>
    </row>
    <row r="2874" spans="18:20" x14ac:dyDescent="0.25">
      <c r="R2874">
        <v>89</v>
      </c>
      <c r="S2874">
        <v>116</v>
      </c>
      <c r="T2874">
        <v>5</v>
      </c>
    </row>
    <row r="2875" spans="18:20" x14ac:dyDescent="0.25">
      <c r="R2875">
        <v>89</v>
      </c>
      <c r="S2875">
        <v>144</v>
      </c>
      <c r="T2875">
        <v>2</v>
      </c>
    </row>
    <row r="2876" spans="18:20" x14ac:dyDescent="0.25">
      <c r="R2876">
        <v>89</v>
      </c>
      <c r="S2876">
        <v>149</v>
      </c>
      <c r="T2876">
        <v>4</v>
      </c>
    </row>
    <row r="2877" spans="18:20" x14ac:dyDescent="0.25">
      <c r="R2877">
        <v>89</v>
      </c>
      <c r="S2877">
        <v>149</v>
      </c>
      <c r="T2877">
        <v>3</v>
      </c>
    </row>
    <row r="2878" spans="18:20" x14ac:dyDescent="0.25">
      <c r="R2878">
        <v>89</v>
      </c>
      <c r="S2878">
        <v>156</v>
      </c>
      <c r="T2878">
        <v>5</v>
      </c>
    </row>
    <row r="2879" spans="18:20" x14ac:dyDescent="0.25">
      <c r="R2879">
        <v>89</v>
      </c>
      <c r="S2879">
        <v>180</v>
      </c>
      <c r="T2879">
        <v>2</v>
      </c>
    </row>
    <row r="2880" spans="18:20" x14ac:dyDescent="0.25">
      <c r="R2880">
        <v>89</v>
      </c>
      <c r="S2880">
        <v>192</v>
      </c>
      <c r="T2880">
        <v>2</v>
      </c>
    </row>
    <row r="2881" spans="18:20" x14ac:dyDescent="0.25">
      <c r="R2881">
        <v>89</v>
      </c>
      <c r="S2881">
        <v>233</v>
      </c>
      <c r="T2881">
        <v>3</v>
      </c>
    </row>
    <row r="2882" spans="18:20" x14ac:dyDescent="0.25">
      <c r="R2882">
        <v>89</v>
      </c>
      <c r="S2882">
        <v>249</v>
      </c>
      <c r="T2882">
        <v>5</v>
      </c>
    </row>
    <row r="2883" spans="18:20" x14ac:dyDescent="0.25">
      <c r="R2883">
        <v>89</v>
      </c>
      <c r="S2883">
        <v>277</v>
      </c>
      <c r="T2883">
        <v>4</v>
      </c>
    </row>
    <row r="2884" spans="18:20" x14ac:dyDescent="0.25">
      <c r="R2884">
        <v>89</v>
      </c>
      <c r="S2884">
        <v>299</v>
      </c>
      <c r="T2884">
        <v>1</v>
      </c>
    </row>
    <row r="2885" spans="18:20" x14ac:dyDescent="0.25">
      <c r="R2885">
        <v>89</v>
      </c>
      <c r="S2885">
        <v>312</v>
      </c>
      <c r="T2885">
        <v>2</v>
      </c>
    </row>
    <row r="2886" spans="18:20" x14ac:dyDescent="0.25">
      <c r="R2886">
        <v>89</v>
      </c>
      <c r="S2886">
        <v>316</v>
      </c>
      <c r="T2886">
        <v>4</v>
      </c>
    </row>
    <row r="2887" spans="18:20" x14ac:dyDescent="0.25">
      <c r="R2887">
        <v>89</v>
      </c>
      <c r="S2887">
        <v>356</v>
      </c>
      <c r="T2887">
        <v>2</v>
      </c>
    </row>
    <row r="2888" spans="18:20" x14ac:dyDescent="0.25">
      <c r="R2888">
        <v>89</v>
      </c>
      <c r="S2888">
        <v>374</v>
      </c>
      <c r="T2888">
        <v>3</v>
      </c>
    </row>
    <row r="2889" spans="18:20" x14ac:dyDescent="0.25">
      <c r="R2889">
        <v>89</v>
      </c>
      <c r="S2889">
        <v>382</v>
      </c>
      <c r="T2889">
        <v>1</v>
      </c>
    </row>
    <row r="2890" spans="18:20" x14ac:dyDescent="0.25">
      <c r="R2890">
        <v>89</v>
      </c>
      <c r="S2890">
        <v>401</v>
      </c>
      <c r="T2890">
        <v>4</v>
      </c>
    </row>
    <row r="2891" spans="18:20" x14ac:dyDescent="0.25">
      <c r="R2891">
        <v>89</v>
      </c>
      <c r="S2891">
        <v>407</v>
      </c>
      <c r="T2891">
        <v>1</v>
      </c>
    </row>
    <row r="2892" spans="18:20" x14ac:dyDescent="0.25">
      <c r="R2892">
        <v>89</v>
      </c>
      <c r="S2892">
        <v>429</v>
      </c>
      <c r="T2892">
        <v>3</v>
      </c>
    </row>
    <row r="2893" spans="18:20" x14ac:dyDescent="0.25">
      <c r="R2893">
        <v>90</v>
      </c>
      <c r="S2893">
        <v>6</v>
      </c>
      <c r="T2893">
        <v>1</v>
      </c>
    </row>
    <row r="2894" spans="18:20" x14ac:dyDescent="0.25">
      <c r="R2894">
        <v>90</v>
      </c>
      <c r="S2894">
        <v>29</v>
      </c>
      <c r="T2894">
        <v>4</v>
      </c>
    </row>
    <row r="2895" spans="18:20" x14ac:dyDescent="0.25">
      <c r="R2895">
        <v>90</v>
      </c>
      <c r="S2895">
        <v>32</v>
      </c>
      <c r="T2895">
        <v>2</v>
      </c>
    </row>
    <row r="2896" spans="18:20" x14ac:dyDescent="0.25">
      <c r="R2896">
        <v>90</v>
      </c>
      <c r="S2896">
        <v>49</v>
      </c>
      <c r="T2896">
        <v>2</v>
      </c>
    </row>
    <row r="2897" spans="18:20" x14ac:dyDescent="0.25">
      <c r="R2897">
        <v>90</v>
      </c>
      <c r="S2897">
        <v>56</v>
      </c>
      <c r="T2897">
        <v>4</v>
      </c>
    </row>
    <row r="2898" spans="18:20" x14ac:dyDescent="0.25">
      <c r="R2898">
        <v>90</v>
      </c>
      <c r="S2898">
        <v>108</v>
      </c>
      <c r="T2898">
        <v>2</v>
      </c>
    </row>
    <row r="2899" spans="18:20" x14ac:dyDescent="0.25">
      <c r="R2899">
        <v>90</v>
      </c>
      <c r="S2899">
        <v>108</v>
      </c>
      <c r="T2899">
        <v>2</v>
      </c>
    </row>
    <row r="2900" spans="18:20" x14ac:dyDescent="0.25">
      <c r="R2900">
        <v>90</v>
      </c>
      <c r="S2900">
        <v>126</v>
      </c>
      <c r="T2900">
        <v>1</v>
      </c>
    </row>
    <row r="2901" spans="18:20" x14ac:dyDescent="0.25">
      <c r="R2901">
        <v>90</v>
      </c>
      <c r="S2901">
        <v>127</v>
      </c>
      <c r="T2901">
        <v>3</v>
      </c>
    </row>
    <row r="2902" spans="18:20" x14ac:dyDescent="0.25">
      <c r="R2902">
        <v>90</v>
      </c>
      <c r="S2902">
        <v>128</v>
      </c>
      <c r="T2902">
        <v>4</v>
      </c>
    </row>
    <row r="2903" spans="18:20" x14ac:dyDescent="0.25">
      <c r="R2903">
        <v>90</v>
      </c>
      <c r="S2903">
        <v>139</v>
      </c>
      <c r="T2903">
        <v>3</v>
      </c>
    </row>
    <row r="2904" spans="18:20" x14ac:dyDescent="0.25">
      <c r="R2904">
        <v>90</v>
      </c>
      <c r="S2904">
        <v>140</v>
      </c>
      <c r="T2904">
        <v>1</v>
      </c>
    </row>
    <row r="2905" spans="18:20" x14ac:dyDescent="0.25">
      <c r="R2905">
        <v>90</v>
      </c>
      <c r="S2905">
        <v>158</v>
      </c>
      <c r="T2905">
        <v>2</v>
      </c>
    </row>
    <row r="2906" spans="18:20" x14ac:dyDescent="0.25">
      <c r="R2906">
        <v>90</v>
      </c>
      <c r="S2906">
        <v>181</v>
      </c>
      <c r="T2906">
        <v>1</v>
      </c>
    </row>
    <row r="2907" spans="18:20" x14ac:dyDescent="0.25">
      <c r="R2907">
        <v>90</v>
      </c>
      <c r="S2907">
        <v>201</v>
      </c>
      <c r="T2907">
        <v>3</v>
      </c>
    </row>
    <row r="2908" spans="18:20" x14ac:dyDescent="0.25">
      <c r="R2908">
        <v>90</v>
      </c>
      <c r="S2908">
        <v>215</v>
      </c>
      <c r="T2908">
        <v>2</v>
      </c>
    </row>
    <row r="2909" spans="18:20" x14ac:dyDescent="0.25">
      <c r="R2909">
        <v>90</v>
      </c>
      <c r="S2909">
        <v>221</v>
      </c>
      <c r="T2909">
        <v>4</v>
      </c>
    </row>
    <row r="2910" spans="18:20" x14ac:dyDescent="0.25">
      <c r="R2910">
        <v>90</v>
      </c>
      <c r="S2910">
        <v>225</v>
      </c>
      <c r="T2910">
        <v>3</v>
      </c>
    </row>
    <row r="2911" spans="18:20" x14ac:dyDescent="0.25">
      <c r="R2911">
        <v>90</v>
      </c>
      <c r="S2911">
        <v>263</v>
      </c>
      <c r="T2911">
        <v>2</v>
      </c>
    </row>
    <row r="2912" spans="18:20" x14ac:dyDescent="0.25">
      <c r="R2912">
        <v>90</v>
      </c>
      <c r="S2912">
        <v>263</v>
      </c>
      <c r="T2912">
        <v>5</v>
      </c>
    </row>
    <row r="2913" spans="18:20" x14ac:dyDescent="0.25">
      <c r="R2913">
        <v>90</v>
      </c>
      <c r="S2913">
        <v>283</v>
      </c>
      <c r="T2913">
        <v>3</v>
      </c>
    </row>
    <row r="2914" spans="18:20" x14ac:dyDescent="0.25">
      <c r="R2914">
        <v>90</v>
      </c>
      <c r="S2914">
        <v>308</v>
      </c>
      <c r="T2914">
        <v>3</v>
      </c>
    </row>
    <row r="2915" spans="18:20" x14ac:dyDescent="0.25">
      <c r="R2915">
        <v>90</v>
      </c>
      <c r="S2915">
        <v>322</v>
      </c>
      <c r="T2915">
        <v>5</v>
      </c>
    </row>
    <row r="2916" spans="18:20" x14ac:dyDescent="0.25">
      <c r="R2916">
        <v>90</v>
      </c>
      <c r="S2916">
        <v>325</v>
      </c>
      <c r="T2916">
        <v>2</v>
      </c>
    </row>
    <row r="2917" spans="18:20" x14ac:dyDescent="0.25">
      <c r="R2917">
        <v>90</v>
      </c>
      <c r="S2917">
        <v>327</v>
      </c>
      <c r="T2917">
        <v>3</v>
      </c>
    </row>
    <row r="2918" spans="18:20" x14ac:dyDescent="0.25">
      <c r="R2918">
        <v>90</v>
      </c>
      <c r="S2918">
        <v>335</v>
      </c>
      <c r="T2918">
        <v>4</v>
      </c>
    </row>
    <row r="2919" spans="18:20" x14ac:dyDescent="0.25">
      <c r="R2919">
        <v>90</v>
      </c>
      <c r="S2919">
        <v>341</v>
      </c>
      <c r="T2919">
        <v>3</v>
      </c>
    </row>
    <row r="2920" spans="18:20" x14ac:dyDescent="0.25">
      <c r="R2920">
        <v>90</v>
      </c>
      <c r="S2920">
        <v>374</v>
      </c>
      <c r="T2920">
        <v>1</v>
      </c>
    </row>
    <row r="2921" spans="18:20" x14ac:dyDescent="0.25">
      <c r="R2921">
        <v>90</v>
      </c>
      <c r="S2921">
        <v>400</v>
      </c>
      <c r="T2921">
        <v>3</v>
      </c>
    </row>
    <row r="2922" spans="18:20" x14ac:dyDescent="0.25">
      <c r="R2922">
        <v>90</v>
      </c>
      <c r="S2922">
        <v>405</v>
      </c>
      <c r="T2922">
        <v>1</v>
      </c>
    </row>
    <row r="2923" spans="18:20" x14ac:dyDescent="0.25">
      <c r="R2923">
        <v>90</v>
      </c>
      <c r="S2923">
        <v>416</v>
      </c>
      <c r="T2923">
        <v>2</v>
      </c>
    </row>
    <row r="2924" spans="18:20" x14ac:dyDescent="0.25">
      <c r="R2924">
        <v>91</v>
      </c>
      <c r="S2924">
        <v>4</v>
      </c>
      <c r="T2924">
        <v>1</v>
      </c>
    </row>
    <row r="2925" spans="18:20" x14ac:dyDescent="0.25">
      <c r="R2925">
        <v>91</v>
      </c>
      <c r="S2925">
        <v>8</v>
      </c>
      <c r="T2925">
        <v>5</v>
      </c>
    </row>
    <row r="2926" spans="18:20" x14ac:dyDescent="0.25">
      <c r="R2926">
        <v>91</v>
      </c>
      <c r="S2926">
        <v>13</v>
      </c>
      <c r="T2926">
        <v>5</v>
      </c>
    </row>
    <row r="2927" spans="18:20" x14ac:dyDescent="0.25">
      <c r="R2927">
        <v>91</v>
      </c>
      <c r="S2927">
        <v>23</v>
      </c>
      <c r="T2927">
        <v>1</v>
      </c>
    </row>
    <row r="2928" spans="18:20" x14ac:dyDescent="0.25">
      <c r="R2928">
        <v>91</v>
      </c>
      <c r="S2928">
        <v>25</v>
      </c>
      <c r="T2928">
        <v>1</v>
      </c>
    </row>
    <row r="2929" spans="18:20" x14ac:dyDescent="0.25">
      <c r="R2929">
        <v>91</v>
      </c>
      <c r="S2929">
        <v>33</v>
      </c>
      <c r="T2929">
        <v>4</v>
      </c>
    </row>
    <row r="2930" spans="18:20" x14ac:dyDescent="0.25">
      <c r="R2930">
        <v>91</v>
      </c>
      <c r="S2930">
        <v>76</v>
      </c>
      <c r="T2930">
        <v>5</v>
      </c>
    </row>
    <row r="2931" spans="18:20" x14ac:dyDescent="0.25">
      <c r="R2931">
        <v>91</v>
      </c>
      <c r="S2931">
        <v>88</v>
      </c>
      <c r="T2931">
        <v>2</v>
      </c>
    </row>
    <row r="2932" spans="18:20" x14ac:dyDescent="0.25">
      <c r="R2932">
        <v>91</v>
      </c>
      <c r="S2932">
        <v>98</v>
      </c>
      <c r="T2932">
        <v>2</v>
      </c>
    </row>
    <row r="2933" spans="18:20" x14ac:dyDescent="0.25">
      <c r="R2933">
        <v>91</v>
      </c>
      <c r="S2933">
        <v>110</v>
      </c>
      <c r="T2933">
        <v>3</v>
      </c>
    </row>
    <row r="2934" spans="18:20" x14ac:dyDescent="0.25">
      <c r="R2934">
        <v>91</v>
      </c>
      <c r="S2934">
        <v>130</v>
      </c>
      <c r="T2934">
        <v>1</v>
      </c>
    </row>
    <row r="2935" spans="18:20" x14ac:dyDescent="0.25">
      <c r="R2935">
        <v>91</v>
      </c>
      <c r="S2935">
        <v>130</v>
      </c>
      <c r="T2935">
        <v>2</v>
      </c>
    </row>
    <row r="2936" spans="18:20" x14ac:dyDescent="0.25">
      <c r="R2936">
        <v>91</v>
      </c>
      <c r="S2936">
        <v>143</v>
      </c>
      <c r="T2936">
        <v>3</v>
      </c>
    </row>
    <row r="2937" spans="18:20" x14ac:dyDescent="0.25">
      <c r="R2937">
        <v>91</v>
      </c>
      <c r="S2937">
        <v>143</v>
      </c>
      <c r="T2937">
        <v>5</v>
      </c>
    </row>
    <row r="2938" spans="18:20" x14ac:dyDescent="0.25">
      <c r="R2938">
        <v>91</v>
      </c>
      <c r="S2938">
        <v>146</v>
      </c>
      <c r="T2938">
        <v>5</v>
      </c>
    </row>
    <row r="2939" spans="18:20" x14ac:dyDescent="0.25">
      <c r="R2939">
        <v>91</v>
      </c>
      <c r="S2939">
        <v>156</v>
      </c>
      <c r="T2939">
        <v>2</v>
      </c>
    </row>
    <row r="2940" spans="18:20" x14ac:dyDescent="0.25">
      <c r="R2940">
        <v>91</v>
      </c>
      <c r="S2940">
        <v>169</v>
      </c>
      <c r="T2940">
        <v>2</v>
      </c>
    </row>
    <row r="2941" spans="18:20" x14ac:dyDescent="0.25">
      <c r="R2941">
        <v>91</v>
      </c>
      <c r="S2941">
        <v>174</v>
      </c>
      <c r="T2941">
        <v>5</v>
      </c>
    </row>
    <row r="2942" spans="18:20" x14ac:dyDescent="0.25">
      <c r="R2942">
        <v>91</v>
      </c>
      <c r="S2942">
        <v>208</v>
      </c>
      <c r="T2942">
        <v>5</v>
      </c>
    </row>
    <row r="2943" spans="18:20" x14ac:dyDescent="0.25">
      <c r="R2943">
        <v>91</v>
      </c>
      <c r="S2943">
        <v>208</v>
      </c>
      <c r="T2943">
        <v>4</v>
      </c>
    </row>
    <row r="2944" spans="18:20" x14ac:dyDescent="0.25">
      <c r="R2944">
        <v>91</v>
      </c>
      <c r="S2944">
        <v>221</v>
      </c>
      <c r="T2944">
        <v>4</v>
      </c>
    </row>
    <row r="2945" spans="18:20" x14ac:dyDescent="0.25">
      <c r="R2945">
        <v>91</v>
      </c>
      <c r="S2945">
        <v>222</v>
      </c>
      <c r="T2945">
        <v>5</v>
      </c>
    </row>
    <row r="2946" spans="18:20" x14ac:dyDescent="0.25">
      <c r="R2946">
        <v>91</v>
      </c>
      <c r="S2946">
        <v>222</v>
      </c>
      <c r="T2946">
        <v>4</v>
      </c>
    </row>
    <row r="2947" spans="18:20" x14ac:dyDescent="0.25">
      <c r="R2947">
        <v>91</v>
      </c>
      <c r="S2947">
        <v>223</v>
      </c>
      <c r="T2947">
        <v>4</v>
      </c>
    </row>
    <row r="2948" spans="18:20" x14ac:dyDescent="0.25">
      <c r="R2948">
        <v>91</v>
      </c>
      <c r="S2948">
        <v>226</v>
      </c>
      <c r="T2948">
        <v>3</v>
      </c>
    </row>
    <row r="2949" spans="18:20" x14ac:dyDescent="0.25">
      <c r="R2949">
        <v>91</v>
      </c>
      <c r="S2949">
        <v>232</v>
      </c>
      <c r="T2949">
        <v>1</v>
      </c>
    </row>
    <row r="2950" spans="18:20" x14ac:dyDescent="0.25">
      <c r="R2950">
        <v>91</v>
      </c>
      <c r="S2950">
        <v>262</v>
      </c>
      <c r="T2950">
        <v>1</v>
      </c>
    </row>
    <row r="2951" spans="18:20" x14ac:dyDescent="0.25">
      <c r="R2951">
        <v>91</v>
      </c>
      <c r="S2951">
        <v>286</v>
      </c>
      <c r="T2951">
        <v>3</v>
      </c>
    </row>
    <row r="2952" spans="18:20" x14ac:dyDescent="0.25">
      <c r="R2952">
        <v>91</v>
      </c>
      <c r="S2952">
        <v>298</v>
      </c>
      <c r="T2952">
        <v>5</v>
      </c>
    </row>
    <row r="2953" spans="18:20" x14ac:dyDescent="0.25">
      <c r="R2953">
        <v>91</v>
      </c>
      <c r="S2953">
        <v>307</v>
      </c>
      <c r="T2953">
        <v>1</v>
      </c>
    </row>
    <row r="2954" spans="18:20" x14ac:dyDescent="0.25">
      <c r="R2954">
        <v>91</v>
      </c>
      <c r="S2954">
        <v>317</v>
      </c>
      <c r="T2954">
        <v>2</v>
      </c>
    </row>
    <row r="2955" spans="18:20" x14ac:dyDescent="0.25">
      <c r="R2955">
        <v>91</v>
      </c>
      <c r="S2955">
        <v>321</v>
      </c>
      <c r="T2955">
        <v>4</v>
      </c>
    </row>
    <row r="2956" spans="18:20" x14ac:dyDescent="0.25">
      <c r="R2956">
        <v>91</v>
      </c>
      <c r="S2956">
        <v>322</v>
      </c>
      <c r="T2956">
        <v>2</v>
      </c>
    </row>
    <row r="2957" spans="18:20" x14ac:dyDescent="0.25">
      <c r="R2957">
        <v>91</v>
      </c>
      <c r="S2957">
        <v>375</v>
      </c>
      <c r="T2957">
        <v>4</v>
      </c>
    </row>
    <row r="2958" spans="18:20" x14ac:dyDescent="0.25">
      <c r="R2958">
        <v>91</v>
      </c>
      <c r="S2958">
        <v>382</v>
      </c>
      <c r="T2958">
        <v>5</v>
      </c>
    </row>
    <row r="2959" spans="18:20" x14ac:dyDescent="0.25">
      <c r="R2959">
        <v>91</v>
      </c>
      <c r="S2959">
        <v>404</v>
      </c>
      <c r="T2959">
        <v>2</v>
      </c>
    </row>
    <row r="2960" spans="18:20" x14ac:dyDescent="0.25">
      <c r="R2960">
        <v>91</v>
      </c>
      <c r="S2960">
        <v>404</v>
      </c>
      <c r="T2960">
        <v>1</v>
      </c>
    </row>
    <row r="2961" spans="18:20" x14ac:dyDescent="0.25">
      <c r="R2961">
        <v>91</v>
      </c>
      <c r="S2961">
        <v>411</v>
      </c>
      <c r="T2961">
        <v>4</v>
      </c>
    </row>
    <row r="2962" spans="18:20" x14ac:dyDescent="0.25">
      <c r="R2962">
        <v>91</v>
      </c>
      <c r="S2962">
        <v>418</v>
      </c>
      <c r="T2962">
        <v>2</v>
      </c>
    </row>
    <row r="2963" spans="18:20" x14ac:dyDescent="0.25">
      <c r="R2963">
        <v>91</v>
      </c>
      <c r="S2963">
        <v>424</v>
      </c>
      <c r="T2963">
        <v>1</v>
      </c>
    </row>
    <row r="2964" spans="18:20" x14ac:dyDescent="0.25">
      <c r="R2964">
        <v>91</v>
      </c>
      <c r="S2964">
        <v>429</v>
      </c>
      <c r="T2964">
        <v>2</v>
      </c>
    </row>
    <row r="2965" spans="18:20" x14ac:dyDescent="0.25">
      <c r="R2965">
        <v>91</v>
      </c>
      <c r="S2965">
        <v>429</v>
      </c>
      <c r="T2965">
        <v>3</v>
      </c>
    </row>
    <row r="2966" spans="18:20" x14ac:dyDescent="0.25">
      <c r="R2966">
        <v>92</v>
      </c>
      <c r="S2966">
        <v>5</v>
      </c>
      <c r="T2966">
        <v>3</v>
      </c>
    </row>
    <row r="2967" spans="18:20" x14ac:dyDescent="0.25">
      <c r="R2967">
        <v>92</v>
      </c>
      <c r="S2967">
        <v>8</v>
      </c>
      <c r="T2967">
        <v>5</v>
      </c>
    </row>
    <row r="2968" spans="18:20" x14ac:dyDescent="0.25">
      <c r="R2968">
        <v>92</v>
      </c>
      <c r="S2968">
        <v>60</v>
      </c>
      <c r="T2968">
        <v>3</v>
      </c>
    </row>
    <row r="2969" spans="18:20" x14ac:dyDescent="0.25">
      <c r="R2969">
        <v>92</v>
      </c>
      <c r="S2969">
        <v>61</v>
      </c>
      <c r="T2969">
        <v>5</v>
      </c>
    </row>
    <row r="2970" spans="18:20" x14ac:dyDescent="0.25">
      <c r="R2970">
        <v>92</v>
      </c>
      <c r="S2970">
        <v>62</v>
      </c>
      <c r="T2970">
        <v>1</v>
      </c>
    </row>
    <row r="2971" spans="18:20" x14ac:dyDescent="0.25">
      <c r="R2971">
        <v>92</v>
      </c>
      <c r="S2971">
        <v>69</v>
      </c>
      <c r="T2971">
        <v>4</v>
      </c>
    </row>
    <row r="2972" spans="18:20" x14ac:dyDescent="0.25">
      <c r="R2972">
        <v>92</v>
      </c>
      <c r="S2972">
        <v>87</v>
      </c>
      <c r="T2972">
        <v>1</v>
      </c>
    </row>
    <row r="2973" spans="18:20" x14ac:dyDescent="0.25">
      <c r="R2973">
        <v>92</v>
      </c>
      <c r="S2973">
        <v>97</v>
      </c>
      <c r="T2973">
        <v>5</v>
      </c>
    </row>
    <row r="2974" spans="18:20" x14ac:dyDescent="0.25">
      <c r="R2974">
        <v>92</v>
      </c>
      <c r="S2974">
        <v>105</v>
      </c>
      <c r="T2974">
        <v>5</v>
      </c>
    </row>
    <row r="2975" spans="18:20" x14ac:dyDescent="0.25">
      <c r="R2975">
        <v>92</v>
      </c>
      <c r="S2975">
        <v>126</v>
      </c>
      <c r="T2975">
        <v>3</v>
      </c>
    </row>
    <row r="2976" spans="18:20" x14ac:dyDescent="0.25">
      <c r="R2976">
        <v>92</v>
      </c>
      <c r="S2976">
        <v>142</v>
      </c>
      <c r="T2976">
        <v>4</v>
      </c>
    </row>
    <row r="2977" spans="18:20" x14ac:dyDescent="0.25">
      <c r="R2977">
        <v>92</v>
      </c>
      <c r="S2977">
        <v>142</v>
      </c>
      <c r="T2977">
        <v>3</v>
      </c>
    </row>
    <row r="2978" spans="18:20" x14ac:dyDescent="0.25">
      <c r="R2978">
        <v>92</v>
      </c>
      <c r="S2978">
        <v>150</v>
      </c>
      <c r="T2978">
        <v>4</v>
      </c>
    </row>
    <row r="2979" spans="18:20" x14ac:dyDescent="0.25">
      <c r="R2979">
        <v>92</v>
      </c>
      <c r="S2979">
        <v>156</v>
      </c>
      <c r="T2979">
        <v>5</v>
      </c>
    </row>
    <row r="2980" spans="18:20" x14ac:dyDescent="0.25">
      <c r="R2980">
        <v>92</v>
      </c>
      <c r="S2980">
        <v>169</v>
      </c>
      <c r="T2980">
        <v>5</v>
      </c>
    </row>
    <row r="2981" spans="18:20" x14ac:dyDescent="0.25">
      <c r="R2981">
        <v>92</v>
      </c>
      <c r="S2981">
        <v>171</v>
      </c>
      <c r="T2981">
        <v>5</v>
      </c>
    </row>
    <row r="2982" spans="18:20" x14ac:dyDescent="0.25">
      <c r="R2982">
        <v>92</v>
      </c>
      <c r="S2982">
        <v>171</v>
      </c>
      <c r="T2982">
        <v>1</v>
      </c>
    </row>
    <row r="2983" spans="18:20" x14ac:dyDescent="0.25">
      <c r="R2983">
        <v>92</v>
      </c>
      <c r="S2983">
        <v>205</v>
      </c>
      <c r="T2983">
        <v>2</v>
      </c>
    </row>
    <row r="2984" spans="18:20" x14ac:dyDescent="0.25">
      <c r="R2984">
        <v>92</v>
      </c>
      <c r="S2984">
        <v>209</v>
      </c>
      <c r="T2984">
        <v>4</v>
      </c>
    </row>
    <row r="2985" spans="18:20" x14ac:dyDescent="0.25">
      <c r="R2985">
        <v>92</v>
      </c>
      <c r="S2985">
        <v>226</v>
      </c>
      <c r="T2985">
        <v>3</v>
      </c>
    </row>
    <row r="2986" spans="18:20" x14ac:dyDescent="0.25">
      <c r="R2986">
        <v>92</v>
      </c>
      <c r="S2986">
        <v>228</v>
      </c>
      <c r="T2986">
        <v>4</v>
      </c>
    </row>
    <row r="2987" spans="18:20" x14ac:dyDescent="0.25">
      <c r="R2987">
        <v>92</v>
      </c>
      <c r="S2987">
        <v>235</v>
      </c>
      <c r="T2987">
        <v>3</v>
      </c>
    </row>
    <row r="2988" spans="18:20" x14ac:dyDescent="0.25">
      <c r="R2988">
        <v>92</v>
      </c>
      <c r="S2988">
        <v>237</v>
      </c>
      <c r="T2988">
        <v>5</v>
      </c>
    </row>
    <row r="2989" spans="18:20" x14ac:dyDescent="0.25">
      <c r="R2989">
        <v>92</v>
      </c>
      <c r="S2989">
        <v>248</v>
      </c>
      <c r="T2989">
        <v>4</v>
      </c>
    </row>
    <row r="2990" spans="18:20" x14ac:dyDescent="0.25">
      <c r="R2990">
        <v>92</v>
      </c>
      <c r="S2990">
        <v>250</v>
      </c>
      <c r="T2990">
        <v>4</v>
      </c>
    </row>
    <row r="2991" spans="18:20" x14ac:dyDescent="0.25">
      <c r="R2991">
        <v>92</v>
      </c>
      <c r="S2991">
        <v>258</v>
      </c>
      <c r="T2991">
        <v>3</v>
      </c>
    </row>
    <row r="2992" spans="18:20" x14ac:dyDescent="0.25">
      <c r="R2992">
        <v>92</v>
      </c>
      <c r="S2992">
        <v>259</v>
      </c>
      <c r="T2992">
        <v>3</v>
      </c>
    </row>
    <row r="2993" spans="18:20" x14ac:dyDescent="0.25">
      <c r="R2993">
        <v>92</v>
      </c>
      <c r="S2993">
        <v>266</v>
      </c>
      <c r="T2993">
        <v>1</v>
      </c>
    </row>
    <row r="2994" spans="18:20" x14ac:dyDescent="0.25">
      <c r="R2994">
        <v>92</v>
      </c>
      <c r="S2994">
        <v>285</v>
      </c>
      <c r="T2994">
        <v>4</v>
      </c>
    </row>
    <row r="2995" spans="18:20" x14ac:dyDescent="0.25">
      <c r="R2995">
        <v>92</v>
      </c>
      <c r="S2995">
        <v>301</v>
      </c>
      <c r="T2995">
        <v>1</v>
      </c>
    </row>
    <row r="2996" spans="18:20" x14ac:dyDescent="0.25">
      <c r="R2996">
        <v>92</v>
      </c>
      <c r="S2996">
        <v>309</v>
      </c>
      <c r="T2996">
        <v>5</v>
      </c>
    </row>
    <row r="2997" spans="18:20" x14ac:dyDescent="0.25">
      <c r="R2997">
        <v>92</v>
      </c>
      <c r="S2997">
        <v>345</v>
      </c>
      <c r="T2997">
        <v>3</v>
      </c>
    </row>
    <row r="2998" spans="18:20" x14ac:dyDescent="0.25">
      <c r="R2998">
        <v>92</v>
      </c>
      <c r="S2998">
        <v>369</v>
      </c>
      <c r="T2998">
        <v>2</v>
      </c>
    </row>
    <row r="2999" spans="18:20" x14ac:dyDescent="0.25">
      <c r="R2999">
        <v>92</v>
      </c>
      <c r="S2999">
        <v>379</v>
      </c>
      <c r="T2999">
        <v>3</v>
      </c>
    </row>
    <row r="3000" spans="18:20" x14ac:dyDescent="0.25">
      <c r="R3000">
        <v>92</v>
      </c>
      <c r="S3000">
        <v>384</v>
      </c>
      <c r="T3000">
        <v>1</v>
      </c>
    </row>
    <row r="3001" spans="18:20" x14ac:dyDescent="0.25">
      <c r="R3001">
        <v>92</v>
      </c>
      <c r="S3001">
        <v>385</v>
      </c>
      <c r="T3001">
        <v>4</v>
      </c>
    </row>
    <row r="3002" spans="18:20" x14ac:dyDescent="0.25">
      <c r="R3002">
        <v>92</v>
      </c>
      <c r="S3002">
        <v>404</v>
      </c>
      <c r="T3002">
        <v>5</v>
      </c>
    </row>
    <row r="3003" spans="18:20" x14ac:dyDescent="0.25">
      <c r="R3003">
        <v>92</v>
      </c>
      <c r="S3003">
        <v>419</v>
      </c>
      <c r="T3003">
        <v>5</v>
      </c>
    </row>
    <row r="3004" spans="18:20" x14ac:dyDescent="0.25">
      <c r="R3004">
        <v>93</v>
      </c>
      <c r="S3004">
        <v>15</v>
      </c>
      <c r="T3004">
        <v>2</v>
      </c>
    </row>
    <row r="3005" spans="18:20" x14ac:dyDescent="0.25">
      <c r="R3005">
        <v>93</v>
      </c>
      <c r="S3005">
        <v>17</v>
      </c>
      <c r="T3005">
        <v>3</v>
      </c>
    </row>
    <row r="3006" spans="18:20" x14ac:dyDescent="0.25">
      <c r="R3006">
        <v>93</v>
      </c>
      <c r="S3006">
        <v>29</v>
      </c>
      <c r="T3006">
        <v>2</v>
      </c>
    </row>
    <row r="3007" spans="18:20" x14ac:dyDescent="0.25">
      <c r="R3007">
        <v>93</v>
      </c>
      <c r="S3007">
        <v>37</v>
      </c>
      <c r="T3007">
        <v>5</v>
      </c>
    </row>
    <row r="3008" spans="18:20" x14ac:dyDescent="0.25">
      <c r="R3008">
        <v>93</v>
      </c>
      <c r="S3008">
        <v>43</v>
      </c>
      <c r="T3008">
        <v>1</v>
      </c>
    </row>
    <row r="3009" spans="18:20" x14ac:dyDescent="0.25">
      <c r="R3009">
        <v>93</v>
      </c>
      <c r="S3009">
        <v>49</v>
      </c>
      <c r="T3009">
        <v>4</v>
      </c>
    </row>
    <row r="3010" spans="18:20" x14ac:dyDescent="0.25">
      <c r="R3010">
        <v>93</v>
      </c>
      <c r="S3010">
        <v>80</v>
      </c>
      <c r="T3010">
        <v>5</v>
      </c>
    </row>
    <row r="3011" spans="18:20" x14ac:dyDescent="0.25">
      <c r="R3011">
        <v>93</v>
      </c>
      <c r="S3011">
        <v>81</v>
      </c>
      <c r="T3011">
        <v>1</v>
      </c>
    </row>
    <row r="3012" spans="18:20" x14ac:dyDescent="0.25">
      <c r="R3012">
        <v>93</v>
      </c>
      <c r="S3012">
        <v>85</v>
      </c>
      <c r="T3012">
        <v>5</v>
      </c>
    </row>
    <row r="3013" spans="18:20" x14ac:dyDescent="0.25">
      <c r="R3013">
        <v>93</v>
      </c>
      <c r="S3013">
        <v>129</v>
      </c>
      <c r="T3013">
        <v>4</v>
      </c>
    </row>
    <row r="3014" spans="18:20" x14ac:dyDescent="0.25">
      <c r="R3014">
        <v>93</v>
      </c>
      <c r="S3014">
        <v>131</v>
      </c>
      <c r="T3014">
        <v>3</v>
      </c>
    </row>
    <row r="3015" spans="18:20" x14ac:dyDescent="0.25">
      <c r="R3015">
        <v>93</v>
      </c>
      <c r="S3015">
        <v>143</v>
      </c>
      <c r="T3015">
        <v>3</v>
      </c>
    </row>
    <row r="3016" spans="18:20" x14ac:dyDescent="0.25">
      <c r="R3016">
        <v>93</v>
      </c>
      <c r="S3016">
        <v>167</v>
      </c>
      <c r="T3016">
        <v>3</v>
      </c>
    </row>
    <row r="3017" spans="18:20" x14ac:dyDescent="0.25">
      <c r="R3017">
        <v>93</v>
      </c>
      <c r="S3017">
        <v>187</v>
      </c>
      <c r="T3017">
        <v>3</v>
      </c>
    </row>
    <row r="3018" spans="18:20" x14ac:dyDescent="0.25">
      <c r="R3018">
        <v>93</v>
      </c>
      <c r="S3018">
        <v>192</v>
      </c>
      <c r="T3018">
        <v>5</v>
      </c>
    </row>
    <row r="3019" spans="18:20" x14ac:dyDescent="0.25">
      <c r="R3019">
        <v>93</v>
      </c>
      <c r="S3019">
        <v>200</v>
      </c>
      <c r="T3019">
        <v>2</v>
      </c>
    </row>
    <row r="3020" spans="18:20" x14ac:dyDescent="0.25">
      <c r="R3020">
        <v>93</v>
      </c>
      <c r="S3020">
        <v>207</v>
      </c>
      <c r="T3020">
        <v>1</v>
      </c>
    </row>
    <row r="3021" spans="18:20" x14ac:dyDescent="0.25">
      <c r="R3021">
        <v>93</v>
      </c>
      <c r="S3021">
        <v>232</v>
      </c>
      <c r="T3021">
        <v>4</v>
      </c>
    </row>
    <row r="3022" spans="18:20" x14ac:dyDescent="0.25">
      <c r="R3022">
        <v>93</v>
      </c>
      <c r="S3022">
        <v>260</v>
      </c>
      <c r="T3022">
        <v>3</v>
      </c>
    </row>
    <row r="3023" spans="18:20" x14ac:dyDescent="0.25">
      <c r="R3023">
        <v>93</v>
      </c>
      <c r="S3023">
        <v>264</v>
      </c>
      <c r="T3023">
        <v>2</v>
      </c>
    </row>
    <row r="3024" spans="18:20" x14ac:dyDescent="0.25">
      <c r="R3024">
        <v>93</v>
      </c>
      <c r="S3024">
        <v>269</v>
      </c>
      <c r="T3024">
        <v>2</v>
      </c>
    </row>
    <row r="3025" spans="18:20" x14ac:dyDescent="0.25">
      <c r="R3025">
        <v>93</v>
      </c>
      <c r="S3025">
        <v>284</v>
      </c>
      <c r="T3025">
        <v>2</v>
      </c>
    </row>
    <row r="3026" spans="18:20" x14ac:dyDescent="0.25">
      <c r="R3026">
        <v>93</v>
      </c>
      <c r="S3026">
        <v>304</v>
      </c>
      <c r="T3026">
        <v>2</v>
      </c>
    </row>
    <row r="3027" spans="18:20" x14ac:dyDescent="0.25">
      <c r="R3027">
        <v>93</v>
      </c>
      <c r="S3027">
        <v>306</v>
      </c>
      <c r="T3027">
        <v>4</v>
      </c>
    </row>
    <row r="3028" spans="18:20" x14ac:dyDescent="0.25">
      <c r="R3028">
        <v>93</v>
      </c>
      <c r="S3028">
        <v>309</v>
      </c>
      <c r="T3028">
        <v>2</v>
      </c>
    </row>
    <row r="3029" spans="18:20" x14ac:dyDescent="0.25">
      <c r="R3029">
        <v>93</v>
      </c>
      <c r="S3029">
        <v>328</v>
      </c>
      <c r="T3029">
        <v>4</v>
      </c>
    </row>
    <row r="3030" spans="18:20" x14ac:dyDescent="0.25">
      <c r="R3030">
        <v>93</v>
      </c>
      <c r="S3030">
        <v>340</v>
      </c>
      <c r="T3030">
        <v>5</v>
      </c>
    </row>
    <row r="3031" spans="18:20" x14ac:dyDescent="0.25">
      <c r="R3031">
        <v>93</v>
      </c>
      <c r="S3031">
        <v>344</v>
      </c>
      <c r="T3031">
        <v>5</v>
      </c>
    </row>
    <row r="3032" spans="18:20" x14ac:dyDescent="0.25">
      <c r="R3032">
        <v>93</v>
      </c>
      <c r="S3032">
        <v>348</v>
      </c>
      <c r="T3032">
        <v>5</v>
      </c>
    </row>
    <row r="3033" spans="18:20" x14ac:dyDescent="0.25">
      <c r="R3033">
        <v>93</v>
      </c>
      <c r="S3033">
        <v>357</v>
      </c>
      <c r="T3033">
        <v>4</v>
      </c>
    </row>
    <row r="3034" spans="18:20" x14ac:dyDescent="0.25">
      <c r="R3034">
        <v>93</v>
      </c>
      <c r="S3034">
        <v>366</v>
      </c>
      <c r="T3034">
        <v>1</v>
      </c>
    </row>
    <row r="3035" spans="18:20" x14ac:dyDescent="0.25">
      <c r="R3035">
        <v>93</v>
      </c>
      <c r="S3035">
        <v>369</v>
      </c>
      <c r="T3035">
        <v>2</v>
      </c>
    </row>
    <row r="3036" spans="18:20" x14ac:dyDescent="0.25">
      <c r="R3036">
        <v>93</v>
      </c>
      <c r="S3036">
        <v>410</v>
      </c>
      <c r="T3036">
        <v>1</v>
      </c>
    </row>
    <row r="3037" spans="18:20" x14ac:dyDescent="0.25">
      <c r="R3037">
        <v>93</v>
      </c>
      <c r="S3037">
        <v>410</v>
      </c>
      <c r="T3037">
        <v>1</v>
      </c>
    </row>
    <row r="3038" spans="18:20" x14ac:dyDescent="0.25">
      <c r="R3038">
        <v>93</v>
      </c>
      <c r="S3038">
        <v>425</v>
      </c>
      <c r="T3038">
        <v>5</v>
      </c>
    </row>
    <row r="3039" spans="18:20" x14ac:dyDescent="0.25">
      <c r="R3039">
        <v>93</v>
      </c>
      <c r="S3039">
        <v>430</v>
      </c>
      <c r="T3039">
        <v>5</v>
      </c>
    </row>
    <row r="3040" spans="18:20" x14ac:dyDescent="0.25">
      <c r="R3040">
        <v>93</v>
      </c>
      <c r="S3040">
        <v>433</v>
      </c>
      <c r="T3040">
        <v>4</v>
      </c>
    </row>
    <row r="3041" spans="18:20" x14ac:dyDescent="0.25">
      <c r="R3041">
        <v>93</v>
      </c>
      <c r="S3041">
        <v>436</v>
      </c>
      <c r="T3041">
        <v>5</v>
      </c>
    </row>
    <row r="3042" spans="18:20" x14ac:dyDescent="0.25">
      <c r="R3042">
        <v>94</v>
      </c>
      <c r="S3042">
        <v>2</v>
      </c>
      <c r="T3042">
        <v>5</v>
      </c>
    </row>
    <row r="3043" spans="18:20" x14ac:dyDescent="0.25">
      <c r="R3043">
        <v>94</v>
      </c>
      <c r="S3043">
        <v>10</v>
      </c>
      <c r="T3043">
        <v>4</v>
      </c>
    </row>
    <row r="3044" spans="18:20" x14ac:dyDescent="0.25">
      <c r="R3044">
        <v>94</v>
      </c>
      <c r="S3044">
        <v>45</v>
      </c>
      <c r="T3044">
        <v>5</v>
      </c>
    </row>
    <row r="3045" spans="18:20" x14ac:dyDescent="0.25">
      <c r="R3045">
        <v>94</v>
      </c>
      <c r="S3045">
        <v>53</v>
      </c>
      <c r="T3045">
        <v>3</v>
      </c>
    </row>
    <row r="3046" spans="18:20" x14ac:dyDescent="0.25">
      <c r="R3046">
        <v>94</v>
      </c>
      <c r="S3046">
        <v>70</v>
      </c>
      <c r="T3046">
        <v>5</v>
      </c>
    </row>
    <row r="3047" spans="18:20" x14ac:dyDescent="0.25">
      <c r="R3047">
        <v>94</v>
      </c>
      <c r="S3047">
        <v>92</v>
      </c>
      <c r="T3047">
        <v>2</v>
      </c>
    </row>
    <row r="3048" spans="18:20" x14ac:dyDescent="0.25">
      <c r="R3048">
        <v>94</v>
      </c>
      <c r="S3048">
        <v>104</v>
      </c>
      <c r="T3048">
        <v>2</v>
      </c>
    </row>
    <row r="3049" spans="18:20" x14ac:dyDescent="0.25">
      <c r="R3049">
        <v>94</v>
      </c>
      <c r="S3049">
        <v>115</v>
      </c>
      <c r="T3049">
        <v>5</v>
      </c>
    </row>
    <row r="3050" spans="18:20" x14ac:dyDescent="0.25">
      <c r="R3050">
        <v>94</v>
      </c>
      <c r="S3050">
        <v>120</v>
      </c>
      <c r="T3050">
        <v>4</v>
      </c>
    </row>
    <row r="3051" spans="18:20" x14ac:dyDescent="0.25">
      <c r="R3051">
        <v>94</v>
      </c>
      <c r="S3051">
        <v>123</v>
      </c>
      <c r="T3051">
        <v>2</v>
      </c>
    </row>
    <row r="3052" spans="18:20" x14ac:dyDescent="0.25">
      <c r="R3052">
        <v>94</v>
      </c>
      <c r="S3052">
        <v>140</v>
      </c>
      <c r="T3052">
        <v>5</v>
      </c>
    </row>
    <row r="3053" spans="18:20" x14ac:dyDescent="0.25">
      <c r="R3053">
        <v>94</v>
      </c>
      <c r="S3053">
        <v>151</v>
      </c>
      <c r="T3053">
        <v>2</v>
      </c>
    </row>
    <row r="3054" spans="18:20" x14ac:dyDescent="0.25">
      <c r="R3054">
        <v>94</v>
      </c>
      <c r="S3054">
        <v>214</v>
      </c>
      <c r="T3054">
        <v>2</v>
      </c>
    </row>
    <row r="3055" spans="18:20" x14ac:dyDescent="0.25">
      <c r="R3055">
        <v>94</v>
      </c>
      <c r="S3055">
        <v>220</v>
      </c>
      <c r="T3055">
        <v>2</v>
      </c>
    </row>
    <row r="3056" spans="18:20" x14ac:dyDescent="0.25">
      <c r="R3056">
        <v>94</v>
      </c>
      <c r="S3056">
        <v>223</v>
      </c>
      <c r="T3056">
        <v>4</v>
      </c>
    </row>
    <row r="3057" spans="18:20" x14ac:dyDescent="0.25">
      <c r="R3057">
        <v>94</v>
      </c>
      <c r="S3057">
        <v>225</v>
      </c>
      <c r="T3057">
        <v>3</v>
      </c>
    </row>
    <row r="3058" spans="18:20" x14ac:dyDescent="0.25">
      <c r="R3058">
        <v>94</v>
      </c>
      <c r="S3058">
        <v>234</v>
      </c>
      <c r="T3058">
        <v>1</v>
      </c>
    </row>
    <row r="3059" spans="18:20" x14ac:dyDescent="0.25">
      <c r="R3059">
        <v>94</v>
      </c>
      <c r="S3059">
        <v>235</v>
      </c>
      <c r="T3059">
        <v>4</v>
      </c>
    </row>
    <row r="3060" spans="18:20" x14ac:dyDescent="0.25">
      <c r="R3060">
        <v>94</v>
      </c>
      <c r="S3060">
        <v>246</v>
      </c>
      <c r="T3060">
        <v>2</v>
      </c>
    </row>
    <row r="3061" spans="18:20" x14ac:dyDescent="0.25">
      <c r="R3061">
        <v>94</v>
      </c>
      <c r="S3061">
        <v>249</v>
      </c>
      <c r="T3061">
        <v>3</v>
      </c>
    </row>
    <row r="3062" spans="18:20" x14ac:dyDescent="0.25">
      <c r="R3062">
        <v>94</v>
      </c>
      <c r="S3062">
        <v>250</v>
      </c>
      <c r="T3062">
        <v>3</v>
      </c>
    </row>
    <row r="3063" spans="18:20" x14ac:dyDescent="0.25">
      <c r="R3063">
        <v>94</v>
      </c>
      <c r="S3063">
        <v>265</v>
      </c>
      <c r="T3063">
        <v>1</v>
      </c>
    </row>
    <row r="3064" spans="18:20" x14ac:dyDescent="0.25">
      <c r="R3064">
        <v>94</v>
      </c>
      <c r="S3064">
        <v>268</v>
      </c>
      <c r="T3064">
        <v>3</v>
      </c>
    </row>
    <row r="3065" spans="18:20" x14ac:dyDescent="0.25">
      <c r="R3065">
        <v>94</v>
      </c>
      <c r="S3065">
        <v>300</v>
      </c>
      <c r="T3065">
        <v>3</v>
      </c>
    </row>
    <row r="3066" spans="18:20" x14ac:dyDescent="0.25">
      <c r="R3066">
        <v>94</v>
      </c>
      <c r="S3066">
        <v>307</v>
      </c>
      <c r="T3066">
        <v>4</v>
      </c>
    </row>
    <row r="3067" spans="18:20" x14ac:dyDescent="0.25">
      <c r="R3067">
        <v>94</v>
      </c>
      <c r="S3067">
        <v>317</v>
      </c>
      <c r="T3067">
        <v>1</v>
      </c>
    </row>
    <row r="3068" spans="18:20" x14ac:dyDescent="0.25">
      <c r="R3068">
        <v>94</v>
      </c>
      <c r="S3068">
        <v>341</v>
      </c>
      <c r="T3068">
        <v>3</v>
      </c>
    </row>
    <row r="3069" spans="18:20" x14ac:dyDescent="0.25">
      <c r="R3069">
        <v>94</v>
      </c>
      <c r="S3069">
        <v>344</v>
      </c>
      <c r="T3069">
        <v>1</v>
      </c>
    </row>
    <row r="3070" spans="18:20" x14ac:dyDescent="0.25">
      <c r="R3070">
        <v>94</v>
      </c>
      <c r="S3070">
        <v>372</v>
      </c>
      <c r="T3070">
        <v>3</v>
      </c>
    </row>
    <row r="3071" spans="18:20" x14ac:dyDescent="0.25">
      <c r="R3071">
        <v>94</v>
      </c>
      <c r="S3071">
        <v>380</v>
      </c>
      <c r="T3071">
        <v>2</v>
      </c>
    </row>
    <row r="3072" spans="18:20" x14ac:dyDescent="0.25">
      <c r="R3072">
        <v>94</v>
      </c>
      <c r="S3072">
        <v>399</v>
      </c>
      <c r="T3072">
        <v>5</v>
      </c>
    </row>
    <row r="3073" spans="18:20" x14ac:dyDescent="0.25">
      <c r="R3073">
        <v>94</v>
      </c>
      <c r="S3073">
        <v>408</v>
      </c>
      <c r="T3073">
        <v>3</v>
      </c>
    </row>
    <row r="3074" spans="18:20" x14ac:dyDescent="0.25">
      <c r="R3074">
        <v>94</v>
      </c>
      <c r="S3074">
        <v>412</v>
      </c>
      <c r="T3074">
        <v>2</v>
      </c>
    </row>
    <row r="3075" spans="18:20" x14ac:dyDescent="0.25">
      <c r="R3075">
        <v>94</v>
      </c>
      <c r="S3075">
        <v>414</v>
      </c>
      <c r="T3075">
        <v>1</v>
      </c>
    </row>
    <row r="3076" spans="18:20" x14ac:dyDescent="0.25">
      <c r="R3076">
        <v>94</v>
      </c>
      <c r="S3076">
        <v>415</v>
      </c>
      <c r="T3076">
        <v>5</v>
      </c>
    </row>
    <row r="3077" spans="18:20" x14ac:dyDescent="0.25">
      <c r="R3077">
        <v>94</v>
      </c>
      <c r="S3077">
        <v>420</v>
      </c>
      <c r="T3077">
        <v>2</v>
      </c>
    </row>
    <row r="3078" spans="18:20" x14ac:dyDescent="0.25">
      <c r="R3078">
        <v>94</v>
      </c>
      <c r="S3078">
        <v>426</v>
      </c>
      <c r="T3078">
        <v>4</v>
      </c>
    </row>
    <row r="3079" spans="18:20" x14ac:dyDescent="0.25">
      <c r="R3079">
        <v>95</v>
      </c>
      <c r="S3079">
        <v>6</v>
      </c>
      <c r="T3079">
        <v>2</v>
      </c>
    </row>
    <row r="3080" spans="18:20" x14ac:dyDescent="0.25">
      <c r="R3080">
        <v>95</v>
      </c>
      <c r="S3080">
        <v>17</v>
      </c>
      <c r="T3080">
        <v>3</v>
      </c>
    </row>
    <row r="3081" spans="18:20" x14ac:dyDescent="0.25">
      <c r="R3081">
        <v>95</v>
      </c>
      <c r="S3081">
        <v>46</v>
      </c>
      <c r="T3081">
        <v>5</v>
      </c>
    </row>
    <row r="3082" spans="18:20" x14ac:dyDescent="0.25">
      <c r="R3082">
        <v>95</v>
      </c>
      <c r="S3082">
        <v>47</v>
      </c>
      <c r="T3082">
        <v>3</v>
      </c>
    </row>
    <row r="3083" spans="18:20" x14ac:dyDescent="0.25">
      <c r="R3083">
        <v>95</v>
      </c>
      <c r="S3083">
        <v>81</v>
      </c>
      <c r="T3083">
        <v>4</v>
      </c>
    </row>
    <row r="3084" spans="18:20" x14ac:dyDescent="0.25">
      <c r="R3084">
        <v>95</v>
      </c>
      <c r="S3084">
        <v>112</v>
      </c>
      <c r="T3084">
        <v>5</v>
      </c>
    </row>
    <row r="3085" spans="18:20" x14ac:dyDescent="0.25">
      <c r="R3085">
        <v>95</v>
      </c>
      <c r="S3085">
        <v>116</v>
      </c>
      <c r="T3085">
        <v>4</v>
      </c>
    </row>
    <row r="3086" spans="18:20" x14ac:dyDescent="0.25">
      <c r="R3086">
        <v>95</v>
      </c>
      <c r="S3086">
        <v>119</v>
      </c>
      <c r="T3086">
        <v>2</v>
      </c>
    </row>
    <row r="3087" spans="18:20" x14ac:dyDescent="0.25">
      <c r="R3087">
        <v>95</v>
      </c>
      <c r="S3087">
        <v>128</v>
      </c>
      <c r="T3087">
        <v>3</v>
      </c>
    </row>
    <row r="3088" spans="18:20" x14ac:dyDescent="0.25">
      <c r="R3088">
        <v>95</v>
      </c>
      <c r="S3088">
        <v>130</v>
      </c>
      <c r="T3088">
        <v>2</v>
      </c>
    </row>
    <row r="3089" spans="18:20" x14ac:dyDescent="0.25">
      <c r="R3089">
        <v>95</v>
      </c>
      <c r="S3089">
        <v>157</v>
      </c>
      <c r="T3089">
        <v>5</v>
      </c>
    </row>
    <row r="3090" spans="18:20" x14ac:dyDescent="0.25">
      <c r="R3090">
        <v>95</v>
      </c>
      <c r="S3090">
        <v>157</v>
      </c>
      <c r="T3090">
        <v>3</v>
      </c>
    </row>
    <row r="3091" spans="18:20" x14ac:dyDescent="0.25">
      <c r="R3091">
        <v>95</v>
      </c>
      <c r="S3091">
        <v>244</v>
      </c>
      <c r="T3091">
        <v>1</v>
      </c>
    </row>
    <row r="3092" spans="18:20" x14ac:dyDescent="0.25">
      <c r="R3092">
        <v>95</v>
      </c>
      <c r="S3092">
        <v>246</v>
      </c>
      <c r="T3092">
        <v>4</v>
      </c>
    </row>
    <row r="3093" spans="18:20" x14ac:dyDescent="0.25">
      <c r="R3093">
        <v>95</v>
      </c>
      <c r="S3093">
        <v>260</v>
      </c>
      <c r="T3093">
        <v>4</v>
      </c>
    </row>
    <row r="3094" spans="18:20" x14ac:dyDescent="0.25">
      <c r="R3094">
        <v>95</v>
      </c>
      <c r="S3094">
        <v>266</v>
      </c>
      <c r="T3094">
        <v>4</v>
      </c>
    </row>
    <row r="3095" spans="18:20" x14ac:dyDescent="0.25">
      <c r="R3095">
        <v>95</v>
      </c>
      <c r="S3095">
        <v>268</v>
      </c>
      <c r="T3095">
        <v>1</v>
      </c>
    </row>
    <row r="3096" spans="18:20" x14ac:dyDescent="0.25">
      <c r="R3096">
        <v>95</v>
      </c>
      <c r="S3096">
        <v>275</v>
      </c>
      <c r="T3096">
        <v>4</v>
      </c>
    </row>
    <row r="3097" spans="18:20" x14ac:dyDescent="0.25">
      <c r="R3097">
        <v>95</v>
      </c>
      <c r="S3097">
        <v>278</v>
      </c>
      <c r="T3097">
        <v>3</v>
      </c>
    </row>
    <row r="3098" spans="18:20" x14ac:dyDescent="0.25">
      <c r="R3098">
        <v>95</v>
      </c>
      <c r="S3098">
        <v>310</v>
      </c>
      <c r="T3098">
        <v>3</v>
      </c>
    </row>
    <row r="3099" spans="18:20" x14ac:dyDescent="0.25">
      <c r="R3099">
        <v>95</v>
      </c>
      <c r="S3099">
        <v>311</v>
      </c>
      <c r="T3099">
        <v>5</v>
      </c>
    </row>
    <row r="3100" spans="18:20" x14ac:dyDescent="0.25">
      <c r="R3100">
        <v>95</v>
      </c>
      <c r="S3100">
        <v>314</v>
      </c>
      <c r="T3100">
        <v>4</v>
      </c>
    </row>
    <row r="3101" spans="18:20" x14ac:dyDescent="0.25">
      <c r="R3101">
        <v>95</v>
      </c>
      <c r="S3101">
        <v>338</v>
      </c>
      <c r="T3101">
        <v>3</v>
      </c>
    </row>
    <row r="3102" spans="18:20" x14ac:dyDescent="0.25">
      <c r="R3102">
        <v>95</v>
      </c>
      <c r="S3102">
        <v>342</v>
      </c>
      <c r="T3102">
        <v>4</v>
      </c>
    </row>
    <row r="3103" spans="18:20" x14ac:dyDescent="0.25">
      <c r="R3103">
        <v>95</v>
      </c>
      <c r="S3103">
        <v>354</v>
      </c>
      <c r="T3103">
        <v>4</v>
      </c>
    </row>
    <row r="3104" spans="18:20" x14ac:dyDescent="0.25">
      <c r="R3104">
        <v>95</v>
      </c>
      <c r="S3104">
        <v>368</v>
      </c>
      <c r="T3104">
        <v>2</v>
      </c>
    </row>
    <row r="3105" spans="18:20" x14ac:dyDescent="0.25">
      <c r="R3105">
        <v>95</v>
      </c>
      <c r="S3105">
        <v>377</v>
      </c>
      <c r="T3105">
        <v>3</v>
      </c>
    </row>
    <row r="3106" spans="18:20" x14ac:dyDescent="0.25">
      <c r="R3106">
        <v>95</v>
      </c>
      <c r="S3106">
        <v>388</v>
      </c>
      <c r="T3106">
        <v>3</v>
      </c>
    </row>
    <row r="3107" spans="18:20" x14ac:dyDescent="0.25">
      <c r="R3107">
        <v>96</v>
      </c>
      <c r="S3107">
        <v>36</v>
      </c>
      <c r="T3107">
        <v>3</v>
      </c>
    </row>
    <row r="3108" spans="18:20" x14ac:dyDescent="0.25">
      <c r="R3108">
        <v>96</v>
      </c>
      <c r="S3108">
        <v>42</v>
      </c>
      <c r="T3108">
        <v>4</v>
      </c>
    </row>
    <row r="3109" spans="18:20" x14ac:dyDescent="0.25">
      <c r="R3109">
        <v>96</v>
      </c>
      <c r="S3109">
        <v>49</v>
      </c>
      <c r="T3109">
        <v>5</v>
      </c>
    </row>
    <row r="3110" spans="18:20" x14ac:dyDescent="0.25">
      <c r="R3110">
        <v>96</v>
      </c>
      <c r="S3110">
        <v>74</v>
      </c>
      <c r="T3110">
        <v>4</v>
      </c>
    </row>
    <row r="3111" spans="18:20" x14ac:dyDescent="0.25">
      <c r="R3111">
        <v>96</v>
      </c>
      <c r="S3111">
        <v>76</v>
      </c>
      <c r="T3111">
        <v>2</v>
      </c>
    </row>
    <row r="3112" spans="18:20" x14ac:dyDescent="0.25">
      <c r="R3112">
        <v>96</v>
      </c>
      <c r="S3112">
        <v>80</v>
      </c>
      <c r="T3112">
        <v>3</v>
      </c>
    </row>
    <row r="3113" spans="18:20" x14ac:dyDescent="0.25">
      <c r="R3113">
        <v>96</v>
      </c>
      <c r="S3113">
        <v>86</v>
      </c>
      <c r="T3113">
        <v>2</v>
      </c>
    </row>
    <row r="3114" spans="18:20" x14ac:dyDescent="0.25">
      <c r="R3114">
        <v>96</v>
      </c>
      <c r="S3114">
        <v>101</v>
      </c>
      <c r="T3114">
        <v>2</v>
      </c>
    </row>
    <row r="3115" spans="18:20" x14ac:dyDescent="0.25">
      <c r="R3115">
        <v>96</v>
      </c>
      <c r="S3115">
        <v>106</v>
      </c>
      <c r="T3115">
        <v>1</v>
      </c>
    </row>
    <row r="3116" spans="18:20" x14ac:dyDescent="0.25">
      <c r="R3116">
        <v>96</v>
      </c>
      <c r="S3116">
        <v>113</v>
      </c>
      <c r="T3116">
        <v>3</v>
      </c>
    </row>
    <row r="3117" spans="18:20" x14ac:dyDescent="0.25">
      <c r="R3117">
        <v>96</v>
      </c>
      <c r="S3117">
        <v>114</v>
      </c>
      <c r="T3117">
        <v>1</v>
      </c>
    </row>
    <row r="3118" spans="18:20" x14ac:dyDescent="0.25">
      <c r="R3118">
        <v>96</v>
      </c>
      <c r="S3118">
        <v>142</v>
      </c>
      <c r="T3118">
        <v>5</v>
      </c>
    </row>
    <row r="3119" spans="18:20" x14ac:dyDescent="0.25">
      <c r="R3119">
        <v>96</v>
      </c>
      <c r="S3119">
        <v>172</v>
      </c>
      <c r="T3119">
        <v>2</v>
      </c>
    </row>
    <row r="3120" spans="18:20" x14ac:dyDescent="0.25">
      <c r="R3120">
        <v>96</v>
      </c>
      <c r="S3120">
        <v>188</v>
      </c>
      <c r="T3120">
        <v>5</v>
      </c>
    </row>
    <row r="3121" spans="18:20" x14ac:dyDescent="0.25">
      <c r="R3121">
        <v>96</v>
      </c>
      <c r="S3121">
        <v>196</v>
      </c>
      <c r="T3121">
        <v>3</v>
      </c>
    </row>
    <row r="3122" spans="18:20" x14ac:dyDescent="0.25">
      <c r="R3122">
        <v>96</v>
      </c>
      <c r="S3122">
        <v>203</v>
      </c>
      <c r="T3122">
        <v>2</v>
      </c>
    </row>
    <row r="3123" spans="18:20" x14ac:dyDescent="0.25">
      <c r="R3123">
        <v>96</v>
      </c>
      <c r="S3123">
        <v>208</v>
      </c>
      <c r="T3123">
        <v>3</v>
      </c>
    </row>
    <row r="3124" spans="18:20" x14ac:dyDescent="0.25">
      <c r="R3124">
        <v>96</v>
      </c>
      <c r="S3124">
        <v>210</v>
      </c>
      <c r="T3124">
        <v>1</v>
      </c>
    </row>
    <row r="3125" spans="18:20" x14ac:dyDescent="0.25">
      <c r="R3125">
        <v>96</v>
      </c>
      <c r="S3125">
        <v>219</v>
      </c>
      <c r="T3125">
        <v>3</v>
      </c>
    </row>
    <row r="3126" spans="18:20" x14ac:dyDescent="0.25">
      <c r="R3126">
        <v>96</v>
      </c>
      <c r="S3126">
        <v>229</v>
      </c>
      <c r="T3126">
        <v>1</v>
      </c>
    </row>
    <row r="3127" spans="18:20" x14ac:dyDescent="0.25">
      <c r="R3127">
        <v>96</v>
      </c>
      <c r="S3127">
        <v>238</v>
      </c>
      <c r="T3127">
        <v>2</v>
      </c>
    </row>
    <row r="3128" spans="18:20" x14ac:dyDescent="0.25">
      <c r="R3128">
        <v>96</v>
      </c>
      <c r="S3128">
        <v>249</v>
      </c>
      <c r="T3128">
        <v>3</v>
      </c>
    </row>
    <row r="3129" spans="18:20" x14ac:dyDescent="0.25">
      <c r="R3129">
        <v>96</v>
      </c>
      <c r="S3129">
        <v>258</v>
      </c>
      <c r="T3129">
        <v>5</v>
      </c>
    </row>
    <row r="3130" spans="18:20" x14ac:dyDescent="0.25">
      <c r="R3130">
        <v>96</v>
      </c>
      <c r="S3130">
        <v>264</v>
      </c>
      <c r="T3130">
        <v>4</v>
      </c>
    </row>
    <row r="3131" spans="18:20" x14ac:dyDescent="0.25">
      <c r="R3131">
        <v>96</v>
      </c>
      <c r="S3131">
        <v>279</v>
      </c>
      <c r="T3131">
        <v>3</v>
      </c>
    </row>
    <row r="3132" spans="18:20" x14ac:dyDescent="0.25">
      <c r="R3132">
        <v>96</v>
      </c>
      <c r="S3132">
        <v>295</v>
      </c>
      <c r="T3132">
        <v>3</v>
      </c>
    </row>
    <row r="3133" spans="18:20" x14ac:dyDescent="0.25">
      <c r="R3133">
        <v>96</v>
      </c>
      <c r="S3133">
        <v>307</v>
      </c>
      <c r="T3133">
        <v>1</v>
      </c>
    </row>
    <row r="3134" spans="18:20" x14ac:dyDescent="0.25">
      <c r="R3134">
        <v>96</v>
      </c>
      <c r="S3134">
        <v>329</v>
      </c>
      <c r="T3134">
        <v>1</v>
      </c>
    </row>
    <row r="3135" spans="18:20" x14ac:dyDescent="0.25">
      <c r="R3135">
        <v>96</v>
      </c>
      <c r="S3135">
        <v>346</v>
      </c>
      <c r="T3135">
        <v>4</v>
      </c>
    </row>
    <row r="3136" spans="18:20" x14ac:dyDescent="0.25">
      <c r="R3136">
        <v>96</v>
      </c>
      <c r="S3136">
        <v>349</v>
      </c>
      <c r="T3136">
        <v>2</v>
      </c>
    </row>
    <row r="3137" spans="18:20" x14ac:dyDescent="0.25">
      <c r="R3137">
        <v>96</v>
      </c>
      <c r="S3137">
        <v>378</v>
      </c>
      <c r="T3137">
        <v>4</v>
      </c>
    </row>
    <row r="3138" spans="18:20" x14ac:dyDescent="0.25">
      <c r="R3138">
        <v>96</v>
      </c>
      <c r="S3138">
        <v>401</v>
      </c>
      <c r="T3138">
        <v>2</v>
      </c>
    </row>
    <row r="3139" spans="18:20" x14ac:dyDescent="0.25">
      <c r="R3139">
        <v>96</v>
      </c>
      <c r="S3139">
        <v>402</v>
      </c>
      <c r="T3139">
        <v>1</v>
      </c>
    </row>
    <row r="3140" spans="18:20" x14ac:dyDescent="0.25">
      <c r="R3140">
        <v>96</v>
      </c>
      <c r="S3140">
        <v>415</v>
      </c>
      <c r="T3140">
        <v>5</v>
      </c>
    </row>
    <row r="3141" spans="18:20" x14ac:dyDescent="0.25">
      <c r="R3141">
        <v>97</v>
      </c>
      <c r="S3141">
        <v>3</v>
      </c>
      <c r="T3141">
        <v>1</v>
      </c>
    </row>
    <row r="3142" spans="18:20" x14ac:dyDescent="0.25">
      <c r="R3142">
        <v>97</v>
      </c>
      <c r="S3142">
        <v>25</v>
      </c>
      <c r="T3142">
        <v>2</v>
      </c>
    </row>
    <row r="3143" spans="18:20" x14ac:dyDescent="0.25">
      <c r="R3143">
        <v>97</v>
      </c>
      <c r="S3143">
        <v>26</v>
      </c>
      <c r="T3143">
        <v>3</v>
      </c>
    </row>
    <row r="3144" spans="18:20" x14ac:dyDescent="0.25">
      <c r="R3144">
        <v>97</v>
      </c>
      <c r="S3144">
        <v>31</v>
      </c>
      <c r="T3144">
        <v>3</v>
      </c>
    </row>
    <row r="3145" spans="18:20" x14ac:dyDescent="0.25">
      <c r="R3145">
        <v>97</v>
      </c>
      <c r="S3145">
        <v>34</v>
      </c>
      <c r="T3145">
        <v>3</v>
      </c>
    </row>
    <row r="3146" spans="18:20" x14ac:dyDescent="0.25">
      <c r="R3146">
        <v>97</v>
      </c>
      <c r="S3146">
        <v>42</v>
      </c>
      <c r="T3146">
        <v>2</v>
      </c>
    </row>
    <row r="3147" spans="18:20" x14ac:dyDescent="0.25">
      <c r="R3147">
        <v>97</v>
      </c>
      <c r="S3147">
        <v>49</v>
      </c>
      <c r="T3147">
        <v>5</v>
      </c>
    </row>
    <row r="3148" spans="18:20" x14ac:dyDescent="0.25">
      <c r="R3148">
        <v>97</v>
      </c>
      <c r="S3148">
        <v>61</v>
      </c>
      <c r="T3148">
        <v>1</v>
      </c>
    </row>
    <row r="3149" spans="18:20" x14ac:dyDescent="0.25">
      <c r="R3149">
        <v>97</v>
      </c>
      <c r="S3149">
        <v>71</v>
      </c>
      <c r="T3149">
        <v>2</v>
      </c>
    </row>
    <row r="3150" spans="18:20" x14ac:dyDescent="0.25">
      <c r="R3150">
        <v>97</v>
      </c>
      <c r="S3150">
        <v>81</v>
      </c>
      <c r="T3150">
        <v>2</v>
      </c>
    </row>
    <row r="3151" spans="18:20" x14ac:dyDescent="0.25">
      <c r="R3151">
        <v>97</v>
      </c>
      <c r="S3151">
        <v>113</v>
      </c>
      <c r="T3151">
        <v>5</v>
      </c>
    </row>
    <row r="3152" spans="18:20" x14ac:dyDescent="0.25">
      <c r="R3152">
        <v>97</v>
      </c>
      <c r="S3152">
        <v>150</v>
      </c>
      <c r="T3152">
        <v>2</v>
      </c>
    </row>
    <row r="3153" spans="18:20" x14ac:dyDescent="0.25">
      <c r="R3153">
        <v>97</v>
      </c>
      <c r="S3153">
        <v>151</v>
      </c>
      <c r="T3153">
        <v>3</v>
      </c>
    </row>
    <row r="3154" spans="18:20" x14ac:dyDescent="0.25">
      <c r="R3154">
        <v>97</v>
      </c>
      <c r="S3154">
        <v>151</v>
      </c>
      <c r="T3154">
        <v>2</v>
      </c>
    </row>
    <row r="3155" spans="18:20" x14ac:dyDescent="0.25">
      <c r="R3155">
        <v>97</v>
      </c>
      <c r="S3155">
        <v>174</v>
      </c>
      <c r="T3155">
        <v>4</v>
      </c>
    </row>
    <row r="3156" spans="18:20" x14ac:dyDescent="0.25">
      <c r="R3156">
        <v>97</v>
      </c>
      <c r="S3156">
        <v>177</v>
      </c>
      <c r="T3156">
        <v>5</v>
      </c>
    </row>
    <row r="3157" spans="18:20" x14ac:dyDescent="0.25">
      <c r="R3157">
        <v>97</v>
      </c>
      <c r="S3157">
        <v>183</v>
      </c>
      <c r="T3157">
        <v>3</v>
      </c>
    </row>
    <row r="3158" spans="18:20" x14ac:dyDescent="0.25">
      <c r="R3158">
        <v>97</v>
      </c>
      <c r="S3158">
        <v>206</v>
      </c>
      <c r="T3158">
        <v>1</v>
      </c>
    </row>
    <row r="3159" spans="18:20" x14ac:dyDescent="0.25">
      <c r="R3159">
        <v>97</v>
      </c>
      <c r="S3159">
        <v>208</v>
      </c>
      <c r="T3159">
        <v>2</v>
      </c>
    </row>
    <row r="3160" spans="18:20" x14ac:dyDescent="0.25">
      <c r="R3160">
        <v>97</v>
      </c>
      <c r="S3160">
        <v>218</v>
      </c>
      <c r="T3160">
        <v>4</v>
      </c>
    </row>
    <row r="3161" spans="18:20" x14ac:dyDescent="0.25">
      <c r="R3161">
        <v>97</v>
      </c>
      <c r="S3161">
        <v>218</v>
      </c>
      <c r="T3161">
        <v>2</v>
      </c>
    </row>
    <row r="3162" spans="18:20" x14ac:dyDescent="0.25">
      <c r="R3162">
        <v>97</v>
      </c>
      <c r="S3162">
        <v>223</v>
      </c>
      <c r="T3162">
        <v>2</v>
      </c>
    </row>
    <row r="3163" spans="18:20" x14ac:dyDescent="0.25">
      <c r="R3163">
        <v>97</v>
      </c>
      <c r="S3163">
        <v>232</v>
      </c>
      <c r="T3163">
        <v>4</v>
      </c>
    </row>
    <row r="3164" spans="18:20" x14ac:dyDescent="0.25">
      <c r="R3164">
        <v>97</v>
      </c>
      <c r="S3164">
        <v>234</v>
      </c>
      <c r="T3164">
        <v>2</v>
      </c>
    </row>
    <row r="3165" spans="18:20" x14ac:dyDescent="0.25">
      <c r="R3165">
        <v>97</v>
      </c>
      <c r="S3165">
        <v>263</v>
      </c>
      <c r="T3165">
        <v>5</v>
      </c>
    </row>
    <row r="3166" spans="18:20" x14ac:dyDescent="0.25">
      <c r="R3166">
        <v>97</v>
      </c>
      <c r="S3166">
        <v>266</v>
      </c>
      <c r="T3166">
        <v>1</v>
      </c>
    </row>
    <row r="3167" spans="18:20" x14ac:dyDescent="0.25">
      <c r="R3167">
        <v>97</v>
      </c>
      <c r="S3167">
        <v>266</v>
      </c>
      <c r="T3167">
        <v>4</v>
      </c>
    </row>
    <row r="3168" spans="18:20" x14ac:dyDescent="0.25">
      <c r="R3168">
        <v>97</v>
      </c>
      <c r="S3168">
        <v>270</v>
      </c>
      <c r="T3168">
        <v>4</v>
      </c>
    </row>
    <row r="3169" spans="18:20" x14ac:dyDescent="0.25">
      <c r="R3169">
        <v>97</v>
      </c>
      <c r="S3169">
        <v>276</v>
      </c>
      <c r="T3169">
        <v>1</v>
      </c>
    </row>
    <row r="3170" spans="18:20" x14ac:dyDescent="0.25">
      <c r="R3170">
        <v>97</v>
      </c>
      <c r="S3170">
        <v>278</v>
      </c>
      <c r="T3170">
        <v>2</v>
      </c>
    </row>
    <row r="3171" spans="18:20" x14ac:dyDescent="0.25">
      <c r="R3171">
        <v>97</v>
      </c>
      <c r="S3171">
        <v>298</v>
      </c>
      <c r="T3171">
        <v>3</v>
      </c>
    </row>
    <row r="3172" spans="18:20" x14ac:dyDescent="0.25">
      <c r="R3172">
        <v>97</v>
      </c>
      <c r="S3172">
        <v>306</v>
      </c>
      <c r="T3172">
        <v>4</v>
      </c>
    </row>
    <row r="3173" spans="18:20" x14ac:dyDescent="0.25">
      <c r="R3173">
        <v>97</v>
      </c>
      <c r="S3173">
        <v>365</v>
      </c>
      <c r="T3173">
        <v>5</v>
      </c>
    </row>
    <row r="3174" spans="18:20" x14ac:dyDescent="0.25">
      <c r="R3174">
        <v>97</v>
      </c>
      <c r="S3174">
        <v>366</v>
      </c>
      <c r="T3174">
        <v>4</v>
      </c>
    </row>
    <row r="3175" spans="18:20" x14ac:dyDescent="0.25">
      <c r="R3175">
        <v>97</v>
      </c>
      <c r="S3175">
        <v>370</v>
      </c>
      <c r="T3175">
        <v>3</v>
      </c>
    </row>
    <row r="3176" spans="18:20" x14ac:dyDescent="0.25">
      <c r="R3176">
        <v>97</v>
      </c>
      <c r="S3176">
        <v>370</v>
      </c>
      <c r="T3176">
        <v>4</v>
      </c>
    </row>
    <row r="3177" spans="18:20" x14ac:dyDescent="0.25">
      <c r="R3177">
        <v>97</v>
      </c>
      <c r="S3177">
        <v>371</v>
      </c>
      <c r="T3177">
        <v>5</v>
      </c>
    </row>
    <row r="3178" spans="18:20" x14ac:dyDescent="0.25">
      <c r="R3178">
        <v>97</v>
      </c>
      <c r="S3178">
        <v>375</v>
      </c>
      <c r="T3178">
        <v>4</v>
      </c>
    </row>
    <row r="3179" spans="18:20" x14ac:dyDescent="0.25">
      <c r="R3179">
        <v>97</v>
      </c>
      <c r="S3179">
        <v>377</v>
      </c>
      <c r="T3179">
        <v>4</v>
      </c>
    </row>
    <row r="3180" spans="18:20" x14ac:dyDescent="0.25">
      <c r="R3180">
        <v>97</v>
      </c>
      <c r="S3180">
        <v>380</v>
      </c>
      <c r="T3180">
        <v>4</v>
      </c>
    </row>
    <row r="3181" spans="18:20" x14ac:dyDescent="0.25">
      <c r="R3181">
        <v>97</v>
      </c>
      <c r="S3181">
        <v>393</v>
      </c>
      <c r="T3181">
        <v>4</v>
      </c>
    </row>
    <row r="3182" spans="18:20" x14ac:dyDescent="0.25">
      <c r="R3182">
        <v>98</v>
      </c>
      <c r="S3182">
        <v>2</v>
      </c>
      <c r="T3182">
        <v>3</v>
      </c>
    </row>
    <row r="3183" spans="18:20" x14ac:dyDescent="0.25">
      <c r="R3183">
        <v>98</v>
      </c>
      <c r="S3183">
        <v>15</v>
      </c>
      <c r="T3183">
        <v>4</v>
      </c>
    </row>
    <row r="3184" spans="18:20" x14ac:dyDescent="0.25">
      <c r="R3184">
        <v>98</v>
      </c>
      <c r="S3184">
        <v>18</v>
      </c>
      <c r="T3184">
        <v>1</v>
      </c>
    </row>
    <row r="3185" spans="18:20" x14ac:dyDescent="0.25">
      <c r="R3185">
        <v>98</v>
      </c>
      <c r="S3185">
        <v>42</v>
      </c>
      <c r="T3185">
        <v>3</v>
      </c>
    </row>
    <row r="3186" spans="18:20" x14ac:dyDescent="0.25">
      <c r="R3186">
        <v>98</v>
      </c>
      <c r="S3186">
        <v>65</v>
      </c>
      <c r="T3186">
        <v>4</v>
      </c>
    </row>
    <row r="3187" spans="18:20" x14ac:dyDescent="0.25">
      <c r="R3187">
        <v>98</v>
      </c>
      <c r="S3187">
        <v>77</v>
      </c>
      <c r="T3187">
        <v>3</v>
      </c>
    </row>
    <row r="3188" spans="18:20" x14ac:dyDescent="0.25">
      <c r="R3188">
        <v>98</v>
      </c>
      <c r="S3188">
        <v>81</v>
      </c>
      <c r="T3188">
        <v>3</v>
      </c>
    </row>
    <row r="3189" spans="18:20" x14ac:dyDescent="0.25">
      <c r="R3189">
        <v>98</v>
      </c>
      <c r="S3189">
        <v>105</v>
      </c>
      <c r="T3189">
        <v>5</v>
      </c>
    </row>
    <row r="3190" spans="18:20" x14ac:dyDescent="0.25">
      <c r="R3190">
        <v>98</v>
      </c>
      <c r="S3190">
        <v>107</v>
      </c>
      <c r="T3190">
        <v>1</v>
      </c>
    </row>
    <row r="3191" spans="18:20" x14ac:dyDescent="0.25">
      <c r="R3191">
        <v>98</v>
      </c>
      <c r="S3191">
        <v>112</v>
      </c>
      <c r="T3191">
        <v>2</v>
      </c>
    </row>
    <row r="3192" spans="18:20" x14ac:dyDescent="0.25">
      <c r="R3192">
        <v>98</v>
      </c>
      <c r="S3192">
        <v>190</v>
      </c>
      <c r="T3192">
        <v>2</v>
      </c>
    </row>
    <row r="3193" spans="18:20" x14ac:dyDescent="0.25">
      <c r="R3193">
        <v>98</v>
      </c>
      <c r="S3193">
        <v>196</v>
      </c>
      <c r="T3193">
        <v>5</v>
      </c>
    </row>
    <row r="3194" spans="18:20" x14ac:dyDescent="0.25">
      <c r="R3194">
        <v>98</v>
      </c>
      <c r="S3194">
        <v>217</v>
      </c>
      <c r="T3194">
        <v>4</v>
      </c>
    </row>
    <row r="3195" spans="18:20" x14ac:dyDescent="0.25">
      <c r="R3195">
        <v>98</v>
      </c>
      <c r="S3195">
        <v>219</v>
      </c>
      <c r="T3195">
        <v>2</v>
      </c>
    </row>
    <row r="3196" spans="18:20" x14ac:dyDescent="0.25">
      <c r="R3196">
        <v>98</v>
      </c>
      <c r="S3196">
        <v>225</v>
      </c>
      <c r="T3196">
        <v>3</v>
      </c>
    </row>
    <row r="3197" spans="18:20" x14ac:dyDescent="0.25">
      <c r="R3197">
        <v>98</v>
      </c>
      <c r="S3197">
        <v>226</v>
      </c>
      <c r="T3197">
        <v>2</v>
      </c>
    </row>
    <row r="3198" spans="18:20" x14ac:dyDescent="0.25">
      <c r="R3198">
        <v>98</v>
      </c>
      <c r="S3198">
        <v>241</v>
      </c>
      <c r="T3198">
        <v>5</v>
      </c>
    </row>
    <row r="3199" spans="18:20" x14ac:dyDescent="0.25">
      <c r="R3199">
        <v>98</v>
      </c>
      <c r="S3199">
        <v>254</v>
      </c>
      <c r="T3199">
        <v>3</v>
      </c>
    </row>
    <row r="3200" spans="18:20" x14ac:dyDescent="0.25">
      <c r="R3200">
        <v>98</v>
      </c>
      <c r="S3200">
        <v>255</v>
      </c>
      <c r="T3200">
        <v>1</v>
      </c>
    </row>
    <row r="3201" spans="18:20" x14ac:dyDescent="0.25">
      <c r="R3201">
        <v>98</v>
      </c>
      <c r="S3201">
        <v>303</v>
      </c>
      <c r="T3201">
        <v>2</v>
      </c>
    </row>
    <row r="3202" spans="18:20" x14ac:dyDescent="0.25">
      <c r="R3202">
        <v>98</v>
      </c>
      <c r="S3202">
        <v>324</v>
      </c>
      <c r="T3202">
        <v>2</v>
      </c>
    </row>
    <row r="3203" spans="18:20" x14ac:dyDescent="0.25">
      <c r="R3203">
        <v>98</v>
      </c>
      <c r="S3203">
        <v>337</v>
      </c>
      <c r="T3203">
        <v>3</v>
      </c>
    </row>
    <row r="3204" spans="18:20" x14ac:dyDescent="0.25">
      <c r="R3204">
        <v>98</v>
      </c>
      <c r="S3204">
        <v>340</v>
      </c>
      <c r="T3204">
        <v>2</v>
      </c>
    </row>
    <row r="3205" spans="18:20" x14ac:dyDescent="0.25">
      <c r="R3205">
        <v>98</v>
      </c>
      <c r="S3205">
        <v>355</v>
      </c>
      <c r="T3205">
        <v>2</v>
      </c>
    </row>
    <row r="3206" spans="18:20" x14ac:dyDescent="0.25">
      <c r="R3206">
        <v>98</v>
      </c>
      <c r="S3206">
        <v>372</v>
      </c>
      <c r="T3206">
        <v>5</v>
      </c>
    </row>
    <row r="3207" spans="18:20" x14ac:dyDescent="0.25">
      <c r="R3207">
        <v>98</v>
      </c>
      <c r="S3207">
        <v>373</v>
      </c>
      <c r="T3207">
        <v>4</v>
      </c>
    </row>
    <row r="3208" spans="18:20" x14ac:dyDescent="0.25">
      <c r="R3208">
        <v>98</v>
      </c>
      <c r="S3208">
        <v>380</v>
      </c>
      <c r="T3208">
        <v>2</v>
      </c>
    </row>
    <row r="3209" spans="18:20" x14ac:dyDescent="0.25">
      <c r="R3209">
        <v>98</v>
      </c>
      <c r="S3209">
        <v>390</v>
      </c>
      <c r="T3209">
        <v>5</v>
      </c>
    </row>
    <row r="3210" spans="18:20" x14ac:dyDescent="0.25">
      <c r="R3210">
        <v>98</v>
      </c>
      <c r="S3210">
        <v>403</v>
      </c>
      <c r="T3210">
        <v>2</v>
      </c>
    </row>
    <row r="3211" spans="18:20" x14ac:dyDescent="0.25">
      <c r="R3211">
        <v>98</v>
      </c>
      <c r="S3211">
        <v>418</v>
      </c>
      <c r="T3211">
        <v>5</v>
      </c>
    </row>
    <row r="3212" spans="18:20" x14ac:dyDescent="0.25">
      <c r="R3212">
        <v>98</v>
      </c>
      <c r="S3212">
        <v>427</v>
      </c>
      <c r="T3212">
        <v>4</v>
      </c>
    </row>
    <row r="3213" spans="18:20" x14ac:dyDescent="0.25">
      <c r="R3213">
        <v>98</v>
      </c>
      <c r="S3213">
        <v>436</v>
      </c>
      <c r="T3213">
        <v>2</v>
      </c>
    </row>
    <row r="3214" spans="18:20" x14ac:dyDescent="0.25">
      <c r="R3214">
        <v>99</v>
      </c>
      <c r="S3214">
        <v>44</v>
      </c>
      <c r="T3214">
        <v>3</v>
      </c>
    </row>
    <row r="3215" spans="18:20" x14ac:dyDescent="0.25">
      <c r="R3215">
        <v>99</v>
      </c>
      <c r="S3215">
        <v>45</v>
      </c>
      <c r="T3215">
        <v>3</v>
      </c>
    </row>
    <row r="3216" spans="18:20" x14ac:dyDescent="0.25">
      <c r="R3216">
        <v>99</v>
      </c>
      <c r="S3216">
        <v>53</v>
      </c>
      <c r="T3216">
        <v>5</v>
      </c>
    </row>
    <row r="3217" spans="18:20" x14ac:dyDescent="0.25">
      <c r="R3217">
        <v>99</v>
      </c>
      <c r="S3217">
        <v>59</v>
      </c>
      <c r="T3217">
        <v>4</v>
      </c>
    </row>
    <row r="3218" spans="18:20" x14ac:dyDescent="0.25">
      <c r="R3218">
        <v>99</v>
      </c>
      <c r="S3218">
        <v>66</v>
      </c>
      <c r="T3218">
        <v>4</v>
      </c>
    </row>
    <row r="3219" spans="18:20" x14ac:dyDescent="0.25">
      <c r="R3219">
        <v>99</v>
      </c>
      <c r="S3219">
        <v>68</v>
      </c>
      <c r="T3219">
        <v>5</v>
      </c>
    </row>
    <row r="3220" spans="18:20" x14ac:dyDescent="0.25">
      <c r="R3220">
        <v>99</v>
      </c>
      <c r="S3220">
        <v>70</v>
      </c>
      <c r="T3220">
        <v>3</v>
      </c>
    </row>
    <row r="3221" spans="18:20" x14ac:dyDescent="0.25">
      <c r="R3221">
        <v>99</v>
      </c>
      <c r="S3221">
        <v>76</v>
      </c>
      <c r="T3221">
        <v>4</v>
      </c>
    </row>
    <row r="3222" spans="18:20" x14ac:dyDescent="0.25">
      <c r="R3222">
        <v>99</v>
      </c>
      <c r="S3222">
        <v>84</v>
      </c>
      <c r="T3222">
        <v>4</v>
      </c>
    </row>
    <row r="3223" spans="18:20" x14ac:dyDescent="0.25">
      <c r="R3223">
        <v>99</v>
      </c>
      <c r="S3223">
        <v>84</v>
      </c>
      <c r="T3223">
        <v>1</v>
      </c>
    </row>
    <row r="3224" spans="18:20" x14ac:dyDescent="0.25">
      <c r="R3224">
        <v>99</v>
      </c>
      <c r="S3224">
        <v>94</v>
      </c>
      <c r="T3224">
        <v>3</v>
      </c>
    </row>
    <row r="3225" spans="18:20" x14ac:dyDescent="0.25">
      <c r="R3225">
        <v>99</v>
      </c>
      <c r="S3225">
        <v>111</v>
      </c>
      <c r="T3225">
        <v>5</v>
      </c>
    </row>
    <row r="3226" spans="18:20" x14ac:dyDescent="0.25">
      <c r="R3226">
        <v>99</v>
      </c>
      <c r="S3226">
        <v>115</v>
      </c>
      <c r="T3226">
        <v>4</v>
      </c>
    </row>
    <row r="3227" spans="18:20" x14ac:dyDescent="0.25">
      <c r="R3227">
        <v>99</v>
      </c>
      <c r="S3227">
        <v>134</v>
      </c>
      <c r="T3227">
        <v>3</v>
      </c>
    </row>
    <row r="3228" spans="18:20" x14ac:dyDescent="0.25">
      <c r="R3228">
        <v>99</v>
      </c>
      <c r="S3228">
        <v>156</v>
      </c>
      <c r="T3228">
        <v>4</v>
      </c>
    </row>
    <row r="3229" spans="18:20" x14ac:dyDescent="0.25">
      <c r="R3229">
        <v>99</v>
      </c>
      <c r="S3229">
        <v>173</v>
      </c>
      <c r="T3229">
        <v>2</v>
      </c>
    </row>
    <row r="3230" spans="18:20" x14ac:dyDescent="0.25">
      <c r="R3230">
        <v>99</v>
      </c>
      <c r="S3230">
        <v>182</v>
      </c>
      <c r="T3230">
        <v>5</v>
      </c>
    </row>
    <row r="3231" spans="18:20" x14ac:dyDescent="0.25">
      <c r="R3231">
        <v>99</v>
      </c>
      <c r="S3231">
        <v>183</v>
      </c>
      <c r="T3231">
        <v>1</v>
      </c>
    </row>
    <row r="3232" spans="18:20" x14ac:dyDescent="0.25">
      <c r="R3232">
        <v>99</v>
      </c>
      <c r="S3232">
        <v>190</v>
      </c>
      <c r="T3232">
        <v>5</v>
      </c>
    </row>
    <row r="3233" spans="18:20" x14ac:dyDescent="0.25">
      <c r="R3233">
        <v>99</v>
      </c>
      <c r="S3233">
        <v>199</v>
      </c>
      <c r="T3233">
        <v>5</v>
      </c>
    </row>
    <row r="3234" spans="18:20" x14ac:dyDescent="0.25">
      <c r="R3234">
        <v>99</v>
      </c>
      <c r="S3234">
        <v>206</v>
      </c>
      <c r="T3234">
        <v>5</v>
      </c>
    </row>
    <row r="3235" spans="18:20" x14ac:dyDescent="0.25">
      <c r="R3235">
        <v>99</v>
      </c>
      <c r="S3235">
        <v>215</v>
      </c>
      <c r="T3235">
        <v>5</v>
      </c>
    </row>
    <row r="3236" spans="18:20" x14ac:dyDescent="0.25">
      <c r="R3236">
        <v>99</v>
      </c>
      <c r="S3236">
        <v>224</v>
      </c>
      <c r="T3236">
        <v>3</v>
      </c>
    </row>
    <row r="3237" spans="18:20" x14ac:dyDescent="0.25">
      <c r="R3237">
        <v>99</v>
      </c>
      <c r="S3237">
        <v>232</v>
      </c>
      <c r="T3237">
        <v>4</v>
      </c>
    </row>
    <row r="3238" spans="18:20" x14ac:dyDescent="0.25">
      <c r="R3238">
        <v>99</v>
      </c>
      <c r="S3238">
        <v>244</v>
      </c>
      <c r="T3238">
        <v>2</v>
      </c>
    </row>
    <row r="3239" spans="18:20" x14ac:dyDescent="0.25">
      <c r="R3239">
        <v>99</v>
      </c>
      <c r="S3239">
        <v>272</v>
      </c>
      <c r="T3239">
        <v>4</v>
      </c>
    </row>
    <row r="3240" spans="18:20" x14ac:dyDescent="0.25">
      <c r="R3240">
        <v>99</v>
      </c>
      <c r="S3240">
        <v>277</v>
      </c>
      <c r="T3240">
        <v>5</v>
      </c>
    </row>
    <row r="3241" spans="18:20" x14ac:dyDescent="0.25">
      <c r="R3241">
        <v>99</v>
      </c>
      <c r="S3241">
        <v>280</v>
      </c>
      <c r="T3241">
        <v>1</v>
      </c>
    </row>
    <row r="3242" spans="18:20" x14ac:dyDescent="0.25">
      <c r="R3242">
        <v>99</v>
      </c>
      <c r="S3242">
        <v>288</v>
      </c>
      <c r="T3242">
        <v>4</v>
      </c>
    </row>
    <row r="3243" spans="18:20" x14ac:dyDescent="0.25">
      <c r="R3243">
        <v>99</v>
      </c>
      <c r="S3243">
        <v>311</v>
      </c>
      <c r="T3243">
        <v>1</v>
      </c>
    </row>
    <row r="3244" spans="18:20" x14ac:dyDescent="0.25">
      <c r="R3244">
        <v>99</v>
      </c>
      <c r="S3244">
        <v>313</v>
      </c>
      <c r="T3244">
        <v>4</v>
      </c>
    </row>
    <row r="3245" spans="18:20" x14ac:dyDescent="0.25">
      <c r="R3245">
        <v>99</v>
      </c>
      <c r="S3245">
        <v>316</v>
      </c>
      <c r="T3245">
        <v>1</v>
      </c>
    </row>
    <row r="3246" spans="18:20" x14ac:dyDescent="0.25">
      <c r="R3246">
        <v>99</v>
      </c>
      <c r="S3246">
        <v>322</v>
      </c>
      <c r="T3246">
        <v>4</v>
      </c>
    </row>
    <row r="3247" spans="18:20" x14ac:dyDescent="0.25">
      <c r="R3247">
        <v>99</v>
      </c>
      <c r="S3247">
        <v>336</v>
      </c>
      <c r="T3247">
        <v>1</v>
      </c>
    </row>
    <row r="3248" spans="18:20" x14ac:dyDescent="0.25">
      <c r="R3248">
        <v>99</v>
      </c>
      <c r="S3248">
        <v>337</v>
      </c>
      <c r="T3248">
        <v>2</v>
      </c>
    </row>
    <row r="3249" spans="18:20" x14ac:dyDescent="0.25">
      <c r="R3249">
        <v>99</v>
      </c>
      <c r="S3249">
        <v>349</v>
      </c>
      <c r="T3249">
        <v>4</v>
      </c>
    </row>
    <row r="3250" spans="18:20" x14ac:dyDescent="0.25">
      <c r="R3250">
        <v>99</v>
      </c>
      <c r="S3250">
        <v>355</v>
      </c>
      <c r="T3250">
        <v>2</v>
      </c>
    </row>
    <row r="3251" spans="18:20" x14ac:dyDescent="0.25">
      <c r="R3251">
        <v>99</v>
      </c>
      <c r="S3251">
        <v>370</v>
      </c>
      <c r="T3251">
        <v>2</v>
      </c>
    </row>
    <row r="3252" spans="18:20" x14ac:dyDescent="0.25">
      <c r="R3252">
        <v>99</v>
      </c>
      <c r="S3252">
        <v>376</v>
      </c>
      <c r="T3252">
        <v>5</v>
      </c>
    </row>
    <row r="3253" spans="18:20" x14ac:dyDescent="0.25">
      <c r="R3253">
        <v>99</v>
      </c>
      <c r="S3253">
        <v>393</v>
      </c>
      <c r="T3253">
        <v>3</v>
      </c>
    </row>
    <row r="3254" spans="18:20" x14ac:dyDescent="0.25">
      <c r="R3254">
        <v>99</v>
      </c>
      <c r="S3254">
        <v>414</v>
      </c>
      <c r="T3254">
        <v>4</v>
      </c>
    </row>
    <row r="3255" spans="18:20" x14ac:dyDescent="0.25">
      <c r="R3255">
        <v>99</v>
      </c>
      <c r="S3255">
        <v>423</v>
      </c>
      <c r="T3255">
        <v>1</v>
      </c>
    </row>
    <row r="3256" spans="18:20" x14ac:dyDescent="0.25">
      <c r="R3256">
        <v>99</v>
      </c>
      <c r="S3256">
        <v>436</v>
      </c>
      <c r="T3256">
        <v>4</v>
      </c>
    </row>
    <row r="3257" spans="18:20" x14ac:dyDescent="0.25">
      <c r="R3257">
        <v>100</v>
      </c>
      <c r="S3257">
        <v>1</v>
      </c>
      <c r="T3257">
        <v>1</v>
      </c>
    </row>
    <row r="3258" spans="18:20" x14ac:dyDescent="0.25">
      <c r="R3258">
        <v>100</v>
      </c>
      <c r="S3258">
        <v>48</v>
      </c>
      <c r="T3258">
        <v>5</v>
      </c>
    </row>
    <row r="3259" spans="18:20" x14ac:dyDescent="0.25">
      <c r="R3259">
        <v>100</v>
      </c>
      <c r="S3259">
        <v>83</v>
      </c>
      <c r="T3259">
        <v>2</v>
      </c>
    </row>
    <row r="3260" spans="18:20" x14ac:dyDescent="0.25">
      <c r="R3260">
        <v>100</v>
      </c>
      <c r="S3260">
        <v>88</v>
      </c>
      <c r="T3260">
        <v>3</v>
      </c>
    </row>
    <row r="3261" spans="18:20" x14ac:dyDescent="0.25">
      <c r="R3261">
        <v>100</v>
      </c>
      <c r="S3261">
        <v>93</v>
      </c>
      <c r="T3261">
        <v>3</v>
      </c>
    </row>
    <row r="3262" spans="18:20" x14ac:dyDescent="0.25">
      <c r="R3262">
        <v>100</v>
      </c>
      <c r="S3262">
        <v>102</v>
      </c>
      <c r="T3262">
        <v>5</v>
      </c>
    </row>
    <row r="3263" spans="18:20" x14ac:dyDescent="0.25">
      <c r="R3263">
        <v>100</v>
      </c>
      <c r="S3263">
        <v>108</v>
      </c>
      <c r="T3263">
        <v>3</v>
      </c>
    </row>
    <row r="3264" spans="18:20" x14ac:dyDescent="0.25">
      <c r="R3264">
        <v>100</v>
      </c>
      <c r="S3264">
        <v>114</v>
      </c>
      <c r="T3264">
        <v>2</v>
      </c>
    </row>
    <row r="3265" spans="18:20" x14ac:dyDescent="0.25">
      <c r="R3265">
        <v>100</v>
      </c>
      <c r="S3265">
        <v>128</v>
      </c>
      <c r="T3265">
        <v>5</v>
      </c>
    </row>
    <row r="3266" spans="18:20" x14ac:dyDescent="0.25">
      <c r="R3266">
        <v>100</v>
      </c>
      <c r="S3266">
        <v>157</v>
      </c>
      <c r="T3266">
        <v>5</v>
      </c>
    </row>
    <row r="3267" spans="18:20" x14ac:dyDescent="0.25">
      <c r="R3267">
        <v>100</v>
      </c>
      <c r="S3267">
        <v>189</v>
      </c>
      <c r="T3267">
        <v>1</v>
      </c>
    </row>
    <row r="3268" spans="18:20" x14ac:dyDescent="0.25">
      <c r="R3268">
        <v>100</v>
      </c>
      <c r="S3268">
        <v>211</v>
      </c>
      <c r="T3268">
        <v>1</v>
      </c>
    </row>
    <row r="3269" spans="18:20" x14ac:dyDescent="0.25">
      <c r="R3269">
        <v>100</v>
      </c>
      <c r="S3269">
        <v>252</v>
      </c>
      <c r="T3269">
        <v>1</v>
      </c>
    </row>
    <row r="3270" spans="18:20" x14ac:dyDescent="0.25">
      <c r="R3270">
        <v>100</v>
      </c>
      <c r="S3270">
        <v>255</v>
      </c>
      <c r="T3270">
        <v>5</v>
      </c>
    </row>
    <row r="3271" spans="18:20" x14ac:dyDescent="0.25">
      <c r="R3271">
        <v>100</v>
      </c>
      <c r="S3271">
        <v>274</v>
      </c>
      <c r="T3271">
        <v>4</v>
      </c>
    </row>
    <row r="3272" spans="18:20" x14ac:dyDescent="0.25">
      <c r="R3272">
        <v>100</v>
      </c>
      <c r="S3272">
        <v>285</v>
      </c>
      <c r="T3272">
        <v>2</v>
      </c>
    </row>
    <row r="3273" spans="18:20" x14ac:dyDescent="0.25">
      <c r="R3273">
        <v>100</v>
      </c>
      <c r="S3273">
        <v>289</v>
      </c>
      <c r="T3273">
        <v>1</v>
      </c>
    </row>
    <row r="3274" spans="18:20" x14ac:dyDescent="0.25">
      <c r="R3274">
        <v>100</v>
      </c>
      <c r="S3274">
        <v>298</v>
      </c>
      <c r="T3274">
        <v>2</v>
      </c>
    </row>
    <row r="3275" spans="18:20" x14ac:dyDescent="0.25">
      <c r="R3275">
        <v>100</v>
      </c>
      <c r="S3275">
        <v>303</v>
      </c>
      <c r="T3275">
        <v>2</v>
      </c>
    </row>
    <row r="3276" spans="18:20" x14ac:dyDescent="0.25">
      <c r="R3276">
        <v>100</v>
      </c>
      <c r="S3276">
        <v>325</v>
      </c>
      <c r="T3276">
        <v>1</v>
      </c>
    </row>
    <row r="3277" spans="18:20" x14ac:dyDescent="0.25">
      <c r="R3277">
        <v>100</v>
      </c>
      <c r="S3277">
        <v>339</v>
      </c>
      <c r="T3277">
        <v>3</v>
      </c>
    </row>
    <row r="3278" spans="18:20" x14ac:dyDescent="0.25">
      <c r="R3278">
        <v>100</v>
      </c>
      <c r="S3278">
        <v>345</v>
      </c>
      <c r="T3278">
        <v>3</v>
      </c>
    </row>
    <row r="3279" spans="18:20" x14ac:dyDescent="0.25">
      <c r="R3279">
        <v>100</v>
      </c>
      <c r="S3279">
        <v>363</v>
      </c>
      <c r="T3279">
        <v>3</v>
      </c>
    </row>
    <row r="3280" spans="18:20" x14ac:dyDescent="0.25">
      <c r="R3280">
        <v>100</v>
      </c>
      <c r="S3280">
        <v>398</v>
      </c>
      <c r="T3280">
        <v>3</v>
      </c>
    </row>
    <row r="3281" spans="18:20" x14ac:dyDescent="0.25">
      <c r="R3281">
        <v>100</v>
      </c>
      <c r="S3281">
        <v>412</v>
      </c>
      <c r="T3281">
        <v>2</v>
      </c>
    </row>
    <row r="3282" spans="18:20" x14ac:dyDescent="0.25">
      <c r="R3282">
        <v>100</v>
      </c>
      <c r="S3282">
        <v>414</v>
      </c>
      <c r="T3282">
        <v>1</v>
      </c>
    </row>
    <row r="3283" spans="18:20" x14ac:dyDescent="0.25">
      <c r="R3283">
        <v>100</v>
      </c>
      <c r="S3283">
        <v>424</v>
      </c>
      <c r="T3283">
        <v>5</v>
      </c>
    </row>
    <row r="3284" spans="18:20" x14ac:dyDescent="0.25">
      <c r="R3284">
        <v>100</v>
      </c>
      <c r="S3284">
        <v>428</v>
      </c>
      <c r="T3284">
        <v>2</v>
      </c>
    </row>
    <row r="3285" spans="18:20" x14ac:dyDescent="0.25">
      <c r="R3285">
        <v>100</v>
      </c>
      <c r="S3285">
        <v>436</v>
      </c>
      <c r="T3285">
        <v>2</v>
      </c>
    </row>
    <row r="3286" spans="18:20" x14ac:dyDescent="0.25">
      <c r="R3286">
        <v>101</v>
      </c>
      <c r="S3286">
        <v>7</v>
      </c>
      <c r="T3286">
        <v>3</v>
      </c>
    </row>
    <row r="3287" spans="18:20" x14ac:dyDescent="0.25">
      <c r="R3287">
        <v>101</v>
      </c>
      <c r="S3287">
        <v>21</v>
      </c>
      <c r="T3287">
        <v>2</v>
      </c>
    </row>
    <row r="3288" spans="18:20" x14ac:dyDescent="0.25">
      <c r="R3288">
        <v>101</v>
      </c>
      <c r="S3288">
        <v>36</v>
      </c>
      <c r="T3288">
        <v>5</v>
      </c>
    </row>
    <row r="3289" spans="18:20" x14ac:dyDescent="0.25">
      <c r="R3289">
        <v>101</v>
      </c>
      <c r="S3289">
        <v>65</v>
      </c>
      <c r="T3289">
        <v>3</v>
      </c>
    </row>
    <row r="3290" spans="18:20" x14ac:dyDescent="0.25">
      <c r="R3290">
        <v>101</v>
      </c>
      <c r="S3290">
        <v>83</v>
      </c>
      <c r="T3290">
        <v>5</v>
      </c>
    </row>
    <row r="3291" spans="18:20" x14ac:dyDescent="0.25">
      <c r="R3291">
        <v>101</v>
      </c>
      <c r="S3291">
        <v>89</v>
      </c>
      <c r="T3291">
        <v>1</v>
      </c>
    </row>
    <row r="3292" spans="18:20" x14ac:dyDescent="0.25">
      <c r="R3292">
        <v>101</v>
      </c>
      <c r="S3292">
        <v>102</v>
      </c>
      <c r="T3292">
        <v>1</v>
      </c>
    </row>
    <row r="3293" spans="18:20" x14ac:dyDescent="0.25">
      <c r="R3293">
        <v>101</v>
      </c>
      <c r="S3293">
        <v>147</v>
      </c>
      <c r="T3293">
        <v>4</v>
      </c>
    </row>
    <row r="3294" spans="18:20" x14ac:dyDescent="0.25">
      <c r="R3294">
        <v>101</v>
      </c>
      <c r="S3294">
        <v>156</v>
      </c>
      <c r="T3294">
        <v>3</v>
      </c>
    </row>
    <row r="3295" spans="18:20" x14ac:dyDescent="0.25">
      <c r="R3295">
        <v>101</v>
      </c>
      <c r="S3295">
        <v>161</v>
      </c>
      <c r="T3295">
        <v>1</v>
      </c>
    </row>
    <row r="3296" spans="18:20" x14ac:dyDescent="0.25">
      <c r="R3296">
        <v>101</v>
      </c>
      <c r="S3296">
        <v>164</v>
      </c>
      <c r="T3296">
        <v>4</v>
      </c>
    </row>
    <row r="3297" spans="18:20" x14ac:dyDescent="0.25">
      <c r="R3297">
        <v>101</v>
      </c>
      <c r="S3297">
        <v>218</v>
      </c>
      <c r="T3297">
        <v>3</v>
      </c>
    </row>
    <row r="3298" spans="18:20" x14ac:dyDescent="0.25">
      <c r="R3298">
        <v>101</v>
      </c>
      <c r="S3298">
        <v>220</v>
      </c>
      <c r="T3298">
        <v>3</v>
      </c>
    </row>
    <row r="3299" spans="18:20" x14ac:dyDescent="0.25">
      <c r="R3299">
        <v>101</v>
      </c>
      <c r="S3299">
        <v>271</v>
      </c>
      <c r="T3299">
        <v>3</v>
      </c>
    </row>
    <row r="3300" spans="18:20" x14ac:dyDescent="0.25">
      <c r="R3300">
        <v>101</v>
      </c>
      <c r="S3300">
        <v>279</v>
      </c>
      <c r="T3300">
        <v>4</v>
      </c>
    </row>
    <row r="3301" spans="18:20" x14ac:dyDescent="0.25">
      <c r="R3301">
        <v>101</v>
      </c>
      <c r="S3301">
        <v>306</v>
      </c>
      <c r="T3301">
        <v>2</v>
      </c>
    </row>
    <row r="3302" spans="18:20" x14ac:dyDescent="0.25">
      <c r="R3302">
        <v>101</v>
      </c>
      <c r="S3302">
        <v>319</v>
      </c>
      <c r="T3302">
        <v>3</v>
      </c>
    </row>
    <row r="3303" spans="18:20" x14ac:dyDescent="0.25">
      <c r="R3303">
        <v>101</v>
      </c>
      <c r="S3303">
        <v>326</v>
      </c>
      <c r="T3303">
        <v>3</v>
      </c>
    </row>
    <row r="3304" spans="18:20" x14ac:dyDescent="0.25">
      <c r="R3304">
        <v>101</v>
      </c>
      <c r="S3304">
        <v>346</v>
      </c>
      <c r="T3304">
        <v>5</v>
      </c>
    </row>
    <row r="3305" spans="18:20" x14ac:dyDescent="0.25">
      <c r="R3305">
        <v>101</v>
      </c>
      <c r="S3305">
        <v>360</v>
      </c>
      <c r="T3305">
        <v>1</v>
      </c>
    </row>
    <row r="3306" spans="18:20" x14ac:dyDescent="0.25">
      <c r="R3306">
        <v>101</v>
      </c>
      <c r="S3306">
        <v>386</v>
      </c>
      <c r="T3306">
        <v>3</v>
      </c>
    </row>
    <row r="3307" spans="18:20" x14ac:dyDescent="0.25">
      <c r="R3307">
        <v>101</v>
      </c>
      <c r="S3307">
        <v>390</v>
      </c>
      <c r="T3307">
        <v>3</v>
      </c>
    </row>
    <row r="3308" spans="18:20" x14ac:dyDescent="0.25">
      <c r="R3308">
        <v>101</v>
      </c>
      <c r="S3308">
        <v>419</v>
      </c>
      <c r="T3308">
        <v>3</v>
      </c>
    </row>
    <row r="3309" spans="18:20" x14ac:dyDescent="0.25">
      <c r="R3309">
        <v>101</v>
      </c>
      <c r="S3309">
        <v>422</v>
      </c>
      <c r="T3309">
        <v>3</v>
      </c>
    </row>
    <row r="3310" spans="18:20" x14ac:dyDescent="0.25">
      <c r="R3310">
        <v>101</v>
      </c>
      <c r="S3310">
        <v>429</v>
      </c>
      <c r="T3310">
        <v>1</v>
      </c>
    </row>
    <row r="3311" spans="18:20" x14ac:dyDescent="0.25">
      <c r="R3311">
        <v>101</v>
      </c>
      <c r="S3311">
        <v>429</v>
      </c>
      <c r="T3311">
        <v>3</v>
      </c>
    </row>
    <row r="3312" spans="18:20" x14ac:dyDescent="0.25">
      <c r="R3312">
        <v>101</v>
      </c>
      <c r="S3312">
        <v>435</v>
      </c>
      <c r="T3312">
        <v>5</v>
      </c>
    </row>
    <row r="3313" spans="18:20" x14ac:dyDescent="0.25">
      <c r="R3313">
        <v>102</v>
      </c>
      <c r="S3313">
        <v>40</v>
      </c>
      <c r="T3313">
        <v>2</v>
      </c>
    </row>
    <row r="3314" spans="18:20" x14ac:dyDescent="0.25">
      <c r="R3314">
        <v>102</v>
      </c>
      <c r="S3314">
        <v>42</v>
      </c>
      <c r="T3314">
        <v>2</v>
      </c>
    </row>
    <row r="3315" spans="18:20" x14ac:dyDescent="0.25">
      <c r="R3315">
        <v>102</v>
      </c>
      <c r="S3315">
        <v>53</v>
      </c>
      <c r="T3315">
        <v>3</v>
      </c>
    </row>
    <row r="3316" spans="18:20" x14ac:dyDescent="0.25">
      <c r="R3316">
        <v>102</v>
      </c>
      <c r="S3316">
        <v>60</v>
      </c>
      <c r="T3316">
        <v>5</v>
      </c>
    </row>
    <row r="3317" spans="18:20" x14ac:dyDescent="0.25">
      <c r="R3317">
        <v>102</v>
      </c>
      <c r="S3317">
        <v>61</v>
      </c>
      <c r="T3317">
        <v>1</v>
      </c>
    </row>
    <row r="3318" spans="18:20" x14ac:dyDescent="0.25">
      <c r="R3318">
        <v>102</v>
      </c>
      <c r="S3318">
        <v>78</v>
      </c>
      <c r="T3318">
        <v>2</v>
      </c>
    </row>
    <row r="3319" spans="18:20" x14ac:dyDescent="0.25">
      <c r="R3319">
        <v>102</v>
      </c>
      <c r="S3319">
        <v>82</v>
      </c>
      <c r="T3319">
        <v>5</v>
      </c>
    </row>
    <row r="3320" spans="18:20" x14ac:dyDescent="0.25">
      <c r="R3320">
        <v>102</v>
      </c>
      <c r="S3320">
        <v>83</v>
      </c>
      <c r="T3320">
        <v>3</v>
      </c>
    </row>
    <row r="3321" spans="18:20" x14ac:dyDescent="0.25">
      <c r="R3321">
        <v>102</v>
      </c>
      <c r="S3321">
        <v>90</v>
      </c>
      <c r="T3321">
        <v>5</v>
      </c>
    </row>
    <row r="3322" spans="18:20" x14ac:dyDescent="0.25">
      <c r="R3322">
        <v>102</v>
      </c>
      <c r="S3322">
        <v>111</v>
      </c>
      <c r="T3322">
        <v>3</v>
      </c>
    </row>
    <row r="3323" spans="18:20" x14ac:dyDescent="0.25">
      <c r="R3323">
        <v>102</v>
      </c>
      <c r="S3323">
        <v>113</v>
      </c>
      <c r="T3323">
        <v>1</v>
      </c>
    </row>
    <row r="3324" spans="18:20" x14ac:dyDescent="0.25">
      <c r="R3324">
        <v>102</v>
      </c>
      <c r="S3324">
        <v>149</v>
      </c>
      <c r="T3324">
        <v>1</v>
      </c>
    </row>
    <row r="3325" spans="18:20" x14ac:dyDescent="0.25">
      <c r="R3325">
        <v>102</v>
      </c>
      <c r="S3325">
        <v>153</v>
      </c>
      <c r="T3325">
        <v>3</v>
      </c>
    </row>
    <row r="3326" spans="18:20" x14ac:dyDescent="0.25">
      <c r="R3326">
        <v>102</v>
      </c>
      <c r="S3326">
        <v>158</v>
      </c>
      <c r="T3326">
        <v>1</v>
      </c>
    </row>
    <row r="3327" spans="18:20" x14ac:dyDescent="0.25">
      <c r="R3327">
        <v>102</v>
      </c>
      <c r="S3327">
        <v>168</v>
      </c>
      <c r="T3327">
        <v>2</v>
      </c>
    </row>
    <row r="3328" spans="18:20" x14ac:dyDescent="0.25">
      <c r="R3328">
        <v>102</v>
      </c>
      <c r="S3328">
        <v>168</v>
      </c>
      <c r="T3328">
        <v>1</v>
      </c>
    </row>
    <row r="3329" spans="18:20" x14ac:dyDescent="0.25">
      <c r="R3329">
        <v>102</v>
      </c>
      <c r="S3329">
        <v>175</v>
      </c>
      <c r="T3329">
        <v>2</v>
      </c>
    </row>
    <row r="3330" spans="18:20" x14ac:dyDescent="0.25">
      <c r="R3330">
        <v>102</v>
      </c>
      <c r="S3330">
        <v>211</v>
      </c>
      <c r="T3330">
        <v>3</v>
      </c>
    </row>
    <row r="3331" spans="18:20" x14ac:dyDescent="0.25">
      <c r="R3331">
        <v>102</v>
      </c>
      <c r="S3331">
        <v>220</v>
      </c>
      <c r="T3331">
        <v>4</v>
      </c>
    </row>
    <row r="3332" spans="18:20" x14ac:dyDescent="0.25">
      <c r="R3332">
        <v>102</v>
      </c>
      <c r="S3332">
        <v>231</v>
      </c>
      <c r="T3332">
        <v>3</v>
      </c>
    </row>
    <row r="3333" spans="18:20" x14ac:dyDescent="0.25">
      <c r="R3333">
        <v>102</v>
      </c>
      <c r="S3333">
        <v>259</v>
      </c>
      <c r="T3333">
        <v>2</v>
      </c>
    </row>
    <row r="3334" spans="18:20" x14ac:dyDescent="0.25">
      <c r="R3334">
        <v>102</v>
      </c>
      <c r="S3334">
        <v>272</v>
      </c>
      <c r="T3334">
        <v>5</v>
      </c>
    </row>
    <row r="3335" spans="18:20" x14ac:dyDescent="0.25">
      <c r="R3335">
        <v>102</v>
      </c>
      <c r="S3335">
        <v>275</v>
      </c>
      <c r="T3335">
        <v>3</v>
      </c>
    </row>
    <row r="3336" spans="18:20" x14ac:dyDescent="0.25">
      <c r="R3336">
        <v>102</v>
      </c>
      <c r="S3336">
        <v>303</v>
      </c>
      <c r="T3336">
        <v>1</v>
      </c>
    </row>
    <row r="3337" spans="18:20" x14ac:dyDescent="0.25">
      <c r="R3337">
        <v>102</v>
      </c>
      <c r="S3337">
        <v>314</v>
      </c>
      <c r="T3337">
        <v>5</v>
      </c>
    </row>
    <row r="3338" spans="18:20" x14ac:dyDescent="0.25">
      <c r="R3338">
        <v>102</v>
      </c>
      <c r="S3338">
        <v>326</v>
      </c>
      <c r="T3338">
        <v>2</v>
      </c>
    </row>
    <row r="3339" spans="18:20" x14ac:dyDescent="0.25">
      <c r="R3339">
        <v>102</v>
      </c>
      <c r="S3339">
        <v>332</v>
      </c>
      <c r="T3339">
        <v>5</v>
      </c>
    </row>
    <row r="3340" spans="18:20" x14ac:dyDescent="0.25">
      <c r="R3340">
        <v>102</v>
      </c>
      <c r="S3340">
        <v>345</v>
      </c>
      <c r="T3340">
        <v>5</v>
      </c>
    </row>
    <row r="3341" spans="18:20" x14ac:dyDescent="0.25">
      <c r="R3341">
        <v>102</v>
      </c>
      <c r="S3341">
        <v>351</v>
      </c>
      <c r="T3341">
        <v>2</v>
      </c>
    </row>
    <row r="3342" spans="18:20" x14ac:dyDescent="0.25">
      <c r="R3342">
        <v>102</v>
      </c>
      <c r="S3342">
        <v>352</v>
      </c>
      <c r="T3342">
        <v>3</v>
      </c>
    </row>
    <row r="3343" spans="18:20" x14ac:dyDescent="0.25">
      <c r="R3343">
        <v>102</v>
      </c>
      <c r="S3343">
        <v>386</v>
      </c>
      <c r="T3343">
        <v>2</v>
      </c>
    </row>
    <row r="3344" spans="18:20" x14ac:dyDescent="0.25">
      <c r="R3344">
        <v>102</v>
      </c>
      <c r="S3344">
        <v>389</v>
      </c>
      <c r="T3344">
        <v>2</v>
      </c>
    </row>
    <row r="3345" spans="18:20" x14ac:dyDescent="0.25">
      <c r="R3345">
        <v>102</v>
      </c>
      <c r="S3345">
        <v>397</v>
      </c>
      <c r="T3345">
        <v>3</v>
      </c>
    </row>
    <row r="3346" spans="18:20" x14ac:dyDescent="0.25">
      <c r="R3346">
        <v>102</v>
      </c>
      <c r="S3346">
        <v>422</v>
      </c>
      <c r="T3346">
        <v>1</v>
      </c>
    </row>
    <row r="3347" spans="18:20" x14ac:dyDescent="0.25">
      <c r="R3347">
        <v>102</v>
      </c>
      <c r="S3347">
        <v>431</v>
      </c>
      <c r="T3347">
        <v>3</v>
      </c>
    </row>
    <row r="3348" spans="18:20" x14ac:dyDescent="0.25">
      <c r="R3348">
        <v>103</v>
      </c>
      <c r="S3348">
        <v>5</v>
      </c>
      <c r="T3348">
        <v>2</v>
      </c>
    </row>
    <row r="3349" spans="18:20" x14ac:dyDescent="0.25">
      <c r="R3349">
        <v>103</v>
      </c>
      <c r="S3349">
        <v>19</v>
      </c>
      <c r="T3349">
        <v>5</v>
      </c>
    </row>
    <row r="3350" spans="18:20" x14ac:dyDescent="0.25">
      <c r="R3350">
        <v>103</v>
      </c>
      <c r="S3350">
        <v>29</v>
      </c>
      <c r="T3350">
        <v>1</v>
      </c>
    </row>
    <row r="3351" spans="18:20" x14ac:dyDescent="0.25">
      <c r="R3351">
        <v>103</v>
      </c>
      <c r="S3351">
        <v>75</v>
      </c>
      <c r="T3351">
        <v>3</v>
      </c>
    </row>
    <row r="3352" spans="18:20" x14ac:dyDescent="0.25">
      <c r="R3352">
        <v>103</v>
      </c>
      <c r="S3352">
        <v>77</v>
      </c>
      <c r="T3352">
        <v>2</v>
      </c>
    </row>
    <row r="3353" spans="18:20" x14ac:dyDescent="0.25">
      <c r="R3353">
        <v>103</v>
      </c>
      <c r="S3353">
        <v>90</v>
      </c>
      <c r="T3353">
        <v>4</v>
      </c>
    </row>
    <row r="3354" spans="18:20" x14ac:dyDescent="0.25">
      <c r="R3354">
        <v>103</v>
      </c>
      <c r="S3354">
        <v>110</v>
      </c>
      <c r="T3354">
        <v>2</v>
      </c>
    </row>
    <row r="3355" spans="18:20" x14ac:dyDescent="0.25">
      <c r="R3355">
        <v>103</v>
      </c>
      <c r="S3355">
        <v>121</v>
      </c>
      <c r="T3355">
        <v>4</v>
      </c>
    </row>
    <row r="3356" spans="18:20" x14ac:dyDescent="0.25">
      <c r="R3356">
        <v>103</v>
      </c>
      <c r="S3356">
        <v>135</v>
      </c>
      <c r="T3356">
        <v>2</v>
      </c>
    </row>
    <row r="3357" spans="18:20" x14ac:dyDescent="0.25">
      <c r="R3357">
        <v>103</v>
      </c>
      <c r="S3357">
        <v>142</v>
      </c>
      <c r="T3357">
        <v>2</v>
      </c>
    </row>
    <row r="3358" spans="18:20" x14ac:dyDescent="0.25">
      <c r="R3358">
        <v>103</v>
      </c>
      <c r="S3358">
        <v>144</v>
      </c>
      <c r="T3358">
        <v>3</v>
      </c>
    </row>
    <row r="3359" spans="18:20" x14ac:dyDescent="0.25">
      <c r="R3359">
        <v>103</v>
      </c>
      <c r="S3359">
        <v>145</v>
      </c>
      <c r="T3359">
        <v>3</v>
      </c>
    </row>
    <row r="3360" spans="18:20" x14ac:dyDescent="0.25">
      <c r="R3360">
        <v>103</v>
      </c>
      <c r="S3360">
        <v>163</v>
      </c>
      <c r="T3360">
        <v>1</v>
      </c>
    </row>
    <row r="3361" spans="18:20" x14ac:dyDescent="0.25">
      <c r="R3361">
        <v>103</v>
      </c>
      <c r="S3361">
        <v>166</v>
      </c>
      <c r="T3361">
        <v>4</v>
      </c>
    </row>
    <row r="3362" spans="18:20" x14ac:dyDescent="0.25">
      <c r="R3362">
        <v>103</v>
      </c>
      <c r="S3362">
        <v>168</v>
      </c>
      <c r="T3362">
        <v>5</v>
      </c>
    </row>
    <row r="3363" spans="18:20" x14ac:dyDescent="0.25">
      <c r="R3363">
        <v>103</v>
      </c>
      <c r="S3363">
        <v>169</v>
      </c>
      <c r="T3363">
        <v>5</v>
      </c>
    </row>
    <row r="3364" spans="18:20" x14ac:dyDescent="0.25">
      <c r="R3364">
        <v>103</v>
      </c>
      <c r="S3364">
        <v>175</v>
      </c>
      <c r="T3364">
        <v>3</v>
      </c>
    </row>
    <row r="3365" spans="18:20" x14ac:dyDescent="0.25">
      <c r="R3365">
        <v>103</v>
      </c>
      <c r="S3365">
        <v>198</v>
      </c>
      <c r="T3365">
        <v>1</v>
      </c>
    </row>
    <row r="3366" spans="18:20" x14ac:dyDescent="0.25">
      <c r="R3366">
        <v>103</v>
      </c>
      <c r="S3366">
        <v>198</v>
      </c>
      <c r="T3366">
        <v>1</v>
      </c>
    </row>
    <row r="3367" spans="18:20" x14ac:dyDescent="0.25">
      <c r="R3367">
        <v>103</v>
      </c>
      <c r="S3367">
        <v>204</v>
      </c>
      <c r="T3367">
        <v>5</v>
      </c>
    </row>
    <row r="3368" spans="18:20" x14ac:dyDescent="0.25">
      <c r="R3368">
        <v>103</v>
      </c>
      <c r="S3368">
        <v>209</v>
      </c>
      <c r="T3368">
        <v>1</v>
      </c>
    </row>
    <row r="3369" spans="18:20" x14ac:dyDescent="0.25">
      <c r="R3369">
        <v>103</v>
      </c>
      <c r="S3369">
        <v>216</v>
      </c>
      <c r="T3369">
        <v>1</v>
      </c>
    </row>
    <row r="3370" spans="18:20" x14ac:dyDescent="0.25">
      <c r="R3370">
        <v>103</v>
      </c>
      <c r="S3370">
        <v>227</v>
      </c>
      <c r="T3370">
        <v>1</v>
      </c>
    </row>
    <row r="3371" spans="18:20" x14ac:dyDescent="0.25">
      <c r="R3371">
        <v>103</v>
      </c>
      <c r="S3371">
        <v>244</v>
      </c>
      <c r="T3371">
        <v>2</v>
      </c>
    </row>
    <row r="3372" spans="18:20" x14ac:dyDescent="0.25">
      <c r="R3372">
        <v>103</v>
      </c>
      <c r="S3372">
        <v>320</v>
      </c>
      <c r="T3372">
        <v>3</v>
      </c>
    </row>
    <row r="3373" spans="18:20" x14ac:dyDescent="0.25">
      <c r="R3373">
        <v>103</v>
      </c>
      <c r="S3373">
        <v>328</v>
      </c>
      <c r="T3373">
        <v>3</v>
      </c>
    </row>
    <row r="3374" spans="18:20" x14ac:dyDescent="0.25">
      <c r="R3374">
        <v>103</v>
      </c>
      <c r="S3374">
        <v>330</v>
      </c>
      <c r="T3374">
        <v>1</v>
      </c>
    </row>
    <row r="3375" spans="18:20" x14ac:dyDescent="0.25">
      <c r="R3375">
        <v>103</v>
      </c>
      <c r="S3375">
        <v>332</v>
      </c>
      <c r="T3375">
        <v>4</v>
      </c>
    </row>
    <row r="3376" spans="18:20" x14ac:dyDescent="0.25">
      <c r="R3376">
        <v>103</v>
      </c>
      <c r="S3376">
        <v>340</v>
      </c>
      <c r="T3376">
        <v>5</v>
      </c>
    </row>
    <row r="3377" spans="18:20" x14ac:dyDescent="0.25">
      <c r="R3377">
        <v>103</v>
      </c>
      <c r="S3377">
        <v>341</v>
      </c>
      <c r="T3377">
        <v>5</v>
      </c>
    </row>
    <row r="3378" spans="18:20" x14ac:dyDescent="0.25">
      <c r="R3378">
        <v>103</v>
      </c>
      <c r="S3378">
        <v>364</v>
      </c>
      <c r="T3378">
        <v>5</v>
      </c>
    </row>
    <row r="3379" spans="18:20" x14ac:dyDescent="0.25">
      <c r="R3379">
        <v>103</v>
      </c>
      <c r="S3379">
        <v>399</v>
      </c>
      <c r="T3379">
        <v>4</v>
      </c>
    </row>
    <row r="3380" spans="18:20" x14ac:dyDescent="0.25">
      <c r="R3380">
        <v>103</v>
      </c>
      <c r="S3380">
        <v>402</v>
      </c>
      <c r="T3380">
        <v>1</v>
      </c>
    </row>
    <row r="3381" spans="18:20" x14ac:dyDescent="0.25">
      <c r="R3381">
        <v>104</v>
      </c>
      <c r="S3381">
        <v>6</v>
      </c>
      <c r="T3381">
        <v>5</v>
      </c>
    </row>
    <row r="3382" spans="18:20" x14ac:dyDescent="0.25">
      <c r="R3382">
        <v>104</v>
      </c>
      <c r="S3382">
        <v>27</v>
      </c>
      <c r="T3382">
        <v>3</v>
      </c>
    </row>
    <row r="3383" spans="18:20" x14ac:dyDescent="0.25">
      <c r="R3383">
        <v>104</v>
      </c>
      <c r="S3383">
        <v>33</v>
      </c>
      <c r="T3383">
        <v>3</v>
      </c>
    </row>
    <row r="3384" spans="18:20" x14ac:dyDescent="0.25">
      <c r="R3384">
        <v>104</v>
      </c>
      <c r="S3384">
        <v>35</v>
      </c>
      <c r="T3384">
        <v>1</v>
      </c>
    </row>
    <row r="3385" spans="18:20" x14ac:dyDescent="0.25">
      <c r="R3385">
        <v>104</v>
      </c>
      <c r="S3385">
        <v>41</v>
      </c>
      <c r="T3385">
        <v>4</v>
      </c>
    </row>
    <row r="3386" spans="18:20" x14ac:dyDescent="0.25">
      <c r="R3386">
        <v>104</v>
      </c>
      <c r="S3386">
        <v>85</v>
      </c>
      <c r="T3386">
        <v>1</v>
      </c>
    </row>
    <row r="3387" spans="18:20" x14ac:dyDescent="0.25">
      <c r="R3387">
        <v>104</v>
      </c>
      <c r="S3387">
        <v>94</v>
      </c>
      <c r="T3387">
        <v>5</v>
      </c>
    </row>
    <row r="3388" spans="18:20" x14ac:dyDescent="0.25">
      <c r="R3388">
        <v>104</v>
      </c>
      <c r="S3388">
        <v>114</v>
      </c>
      <c r="T3388">
        <v>3</v>
      </c>
    </row>
    <row r="3389" spans="18:20" x14ac:dyDescent="0.25">
      <c r="R3389">
        <v>104</v>
      </c>
      <c r="S3389">
        <v>119</v>
      </c>
      <c r="T3389">
        <v>1</v>
      </c>
    </row>
    <row r="3390" spans="18:20" x14ac:dyDescent="0.25">
      <c r="R3390">
        <v>104</v>
      </c>
      <c r="S3390">
        <v>127</v>
      </c>
      <c r="T3390">
        <v>4</v>
      </c>
    </row>
    <row r="3391" spans="18:20" x14ac:dyDescent="0.25">
      <c r="R3391">
        <v>104</v>
      </c>
      <c r="S3391">
        <v>146</v>
      </c>
      <c r="T3391">
        <v>3</v>
      </c>
    </row>
    <row r="3392" spans="18:20" x14ac:dyDescent="0.25">
      <c r="R3392">
        <v>104</v>
      </c>
      <c r="S3392">
        <v>155</v>
      </c>
      <c r="T3392">
        <v>4</v>
      </c>
    </row>
    <row r="3393" spans="18:20" x14ac:dyDescent="0.25">
      <c r="R3393">
        <v>104</v>
      </c>
      <c r="S3393">
        <v>185</v>
      </c>
      <c r="T3393">
        <v>2</v>
      </c>
    </row>
    <row r="3394" spans="18:20" x14ac:dyDescent="0.25">
      <c r="R3394">
        <v>104</v>
      </c>
      <c r="S3394">
        <v>199</v>
      </c>
      <c r="T3394">
        <v>4</v>
      </c>
    </row>
    <row r="3395" spans="18:20" x14ac:dyDescent="0.25">
      <c r="R3395">
        <v>104</v>
      </c>
      <c r="S3395">
        <v>235</v>
      </c>
      <c r="T3395">
        <v>4</v>
      </c>
    </row>
    <row r="3396" spans="18:20" x14ac:dyDescent="0.25">
      <c r="R3396">
        <v>104</v>
      </c>
      <c r="S3396">
        <v>265</v>
      </c>
      <c r="T3396">
        <v>2</v>
      </c>
    </row>
    <row r="3397" spans="18:20" x14ac:dyDescent="0.25">
      <c r="R3397">
        <v>104</v>
      </c>
      <c r="S3397">
        <v>275</v>
      </c>
      <c r="T3397">
        <v>3</v>
      </c>
    </row>
    <row r="3398" spans="18:20" x14ac:dyDescent="0.25">
      <c r="R3398">
        <v>104</v>
      </c>
      <c r="S3398">
        <v>291</v>
      </c>
      <c r="T3398">
        <v>5</v>
      </c>
    </row>
    <row r="3399" spans="18:20" x14ac:dyDescent="0.25">
      <c r="R3399">
        <v>104</v>
      </c>
      <c r="S3399">
        <v>294</v>
      </c>
      <c r="T3399">
        <v>2</v>
      </c>
    </row>
    <row r="3400" spans="18:20" x14ac:dyDescent="0.25">
      <c r="R3400">
        <v>104</v>
      </c>
      <c r="S3400">
        <v>302</v>
      </c>
      <c r="T3400">
        <v>1</v>
      </c>
    </row>
    <row r="3401" spans="18:20" x14ac:dyDescent="0.25">
      <c r="R3401">
        <v>104</v>
      </c>
      <c r="S3401">
        <v>308</v>
      </c>
      <c r="T3401">
        <v>5</v>
      </c>
    </row>
    <row r="3402" spans="18:20" x14ac:dyDescent="0.25">
      <c r="R3402">
        <v>104</v>
      </c>
      <c r="S3402">
        <v>312</v>
      </c>
      <c r="T3402">
        <v>4</v>
      </c>
    </row>
    <row r="3403" spans="18:20" x14ac:dyDescent="0.25">
      <c r="R3403">
        <v>104</v>
      </c>
      <c r="S3403">
        <v>312</v>
      </c>
      <c r="T3403">
        <v>2</v>
      </c>
    </row>
    <row r="3404" spans="18:20" x14ac:dyDescent="0.25">
      <c r="R3404">
        <v>104</v>
      </c>
      <c r="S3404">
        <v>314</v>
      </c>
      <c r="T3404">
        <v>2</v>
      </c>
    </row>
    <row r="3405" spans="18:20" x14ac:dyDescent="0.25">
      <c r="R3405">
        <v>104</v>
      </c>
      <c r="S3405">
        <v>315</v>
      </c>
      <c r="T3405">
        <v>1</v>
      </c>
    </row>
    <row r="3406" spans="18:20" x14ac:dyDescent="0.25">
      <c r="R3406">
        <v>104</v>
      </c>
      <c r="S3406">
        <v>323</v>
      </c>
      <c r="T3406">
        <v>3</v>
      </c>
    </row>
    <row r="3407" spans="18:20" x14ac:dyDescent="0.25">
      <c r="R3407">
        <v>104</v>
      </c>
      <c r="S3407">
        <v>335</v>
      </c>
      <c r="T3407">
        <v>3</v>
      </c>
    </row>
    <row r="3408" spans="18:20" x14ac:dyDescent="0.25">
      <c r="R3408">
        <v>104</v>
      </c>
      <c r="S3408">
        <v>348</v>
      </c>
      <c r="T3408">
        <v>3</v>
      </c>
    </row>
    <row r="3409" spans="18:20" x14ac:dyDescent="0.25">
      <c r="R3409">
        <v>104</v>
      </c>
      <c r="S3409">
        <v>350</v>
      </c>
      <c r="T3409">
        <v>4</v>
      </c>
    </row>
    <row r="3410" spans="18:20" x14ac:dyDescent="0.25">
      <c r="R3410">
        <v>104</v>
      </c>
      <c r="S3410">
        <v>365</v>
      </c>
      <c r="T3410">
        <v>3</v>
      </c>
    </row>
    <row r="3411" spans="18:20" x14ac:dyDescent="0.25">
      <c r="R3411">
        <v>104</v>
      </c>
      <c r="S3411">
        <v>366</v>
      </c>
      <c r="T3411">
        <v>2</v>
      </c>
    </row>
    <row r="3412" spans="18:20" x14ac:dyDescent="0.25">
      <c r="R3412">
        <v>104</v>
      </c>
      <c r="S3412">
        <v>385</v>
      </c>
      <c r="T3412">
        <v>2</v>
      </c>
    </row>
    <row r="3413" spans="18:20" x14ac:dyDescent="0.25">
      <c r="R3413">
        <v>104</v>
      </c>
      <c r="S3413">
        <v>392</v>
      </c>
      <c r="T3413">
        <v>2</v>
      </c>
    </row>
    <row r="3414" spans="18:20" x14ac:dyDescent="0.25">
      <c r="R3414">
        <v>105</v>
      </c>
      <c r="S3414">
        <v>1</v>
      </c>
      <c r="T3414">
        <v>5</v>
      </c>
    </row>
    <row r="3415" spans="18:20" x14ac:dyDescent="0.25">
      <c r="R3415">
        <v>105</v>
      </c>
      <c r="S3415">
        <v>3</v>
      </c>
      <c r="T3415">
        <v>5</v>
      </c>
    </row>
    <row r="3416" spans="18:20" x14ac:dyDescent="0.25">
      <c r="R3416">
        <v>105</v>
      </c>
      <c r="S3416">
        <v>26</v>
      </c>
      <c r="T3416">
        <v>4</v>
      </c>
    </row>
    <row r="3417" spans="18:20" x14ac:dyDescent="0.25">
      <c r="R3417">
        <v>105</v>
      </c>
      <c r="S3417">
        <v>31</v>
      </c>
      <c r="T3417">
        <v>1</v>
      </c>
    </row>
    <row r="3418" spans="18:20" x14ac:dyDescent="0.25">
      <c r="R3418">
        <v>105</v>
      </c>
      <c r="S3418">
        <v>60</v>
      </c>
      <c r="T3418">
        <v>5</v>
      </c>
    </row>
    <row r="3419" spans="18:20" x14ac:dyDescent="0.25">
      <c r="R3419">
        <v>105</v>
      </c>
      <c r="S3419">
        <v>66</v>
      </c>
      <c r="T3419">
        <v>2</v>
      </c>
    </row>
    <row r="3420" spans="18:20" x14ac:dyDescent="0.25">
      <c r="R3420">
        <v>105</v>
      </c>
      <c r="S3420">
        <v>69</v>
      </c>
      <c r="T3420">
        <v>5</v>
      </c>
    </row>
    <row r="3421" spans="18:20" x14ac:dyDescent="0.25">
      <c r="R3421">
        <v>105</v>
      </c>
      <c r="S3421">
        <v>69</v>
      </c>
      <c r="T3421">
        <v>2</v>
      </c>
    </row>
    <row r="3422" spans="18:20" x14ac:dyDescent="0.25">
      <c r="R3422">
        <v>105</v>
      </c>
      <c r="S3422">
        <v>86</v>
      </c>
      <c r="T3422">
        <v>4</v>
      </c>
    </row>
    <row r="3423" spans="18:20" x14ac:dyDescent="0.25">
      <c r="R3423">
        <v>105</v>
      </c>
      <c r="S3423">
        <v>93</v>
      </c>
      <c r="T3423">
        <v>5</v>
      </c>
    </row>
    <row r="3424" spans="18:20" x14ac:dyDescent="0.25">
      <c r="R3424">
        <v>105</v>
      </c>
      <c r="S3424">
        <v>109</v>
      </c>
      <c r="T3424">
        <v>1</v>
      </c>
    </row>
    <row r="3425" spans="18:20" x14ac:dyDescent="0.25">
      <c r="R3425">
        <v>105</v>
      </c>
      <c r="S3425">
        <v>120</v>
      </c>
      <c r="T3425">
        <v>1</v>
      </c>
    </row>
    <row r="3426" spans="18:20" x14ac:dyDescent="0.25">
      <c r="R3426">
        <v>105</v>
      </c>
      <c r="S3426">
        <v>140</v>
      </c>
      <c r="T3426">
        <v>2</v>
      </c>
    </row>
    <row r="3427" spans="18:20" x14ac:dyDescent="0.25">
      <c r="R3427">
        <v>105</v>
      </c>
      <c r="S3427">
        <v>143</v>
      </c>
      <c r="T3427">
        <v>3</v>
      </c>
    </row>
    <row r="3428" spans="18:20" x14ac:dyDescent="0.25">
      <c r="R3428">
        <v>105</v>
      </c>
      <c r="S3428">
        <v>178</v>
      </c>
      <c r="T3428">
        <v>4</v>
      </c>
    </row>
    <row r="3429" spans="18:20" x14ac:dyDescent="0.25">
      <c r="R3429">
        <v>105</v>
      </c>
      <c r="S3429">
        <v>181</v>
      </c>
      <c r="T3429">
        <v>1</v>
      </c>
    </row>
    <row r="3430" spans="18:20" x14ac:dyDescent="0.25">
      <c r="R3430">
        <v>105</v>
      </c>
      <c r="S3430">
        <v>192</v>
      </c>
      <c r="T3430">
        <v>5</v>
      </c>
    </row>
    <row r="3431" spans="18:20" x14ac:dyDescent="0.25">
      <c r="R3431">
        <v>105</v>
      </c>
      <c r="S3431">
        <v>194</v>
      </c>
      <c r="T3431">
        <v>3</v>
      </c>
    </row>
    <row r="3432" spans="18:20" x14ac:dyDescent="0.25">
      <c r="R3432">
        <v>105</v>
      </c>
      <c r="S3432">
        <v>230</v>
      </c>
      <c r="T3432">
        <v>5</v>
      </c>
    </row>
    <row r="3433" spans="18:20" x14ac:dyDescent="0.25">
      <c r="R3433">
        <v>105</v>
      </c>
      <c r="S3433">
        <v>236</v>
      </c>
      <c r="T3433">
        <v>1</v>
      </c>
    </row>
    <row r="3434" spans="18:20" x14ac:dyDescent="0.25">
      <c r="R3434">
        <v>105</v>
      </c>
      <c r="S3434">
        <v>247</v>
      </c>
      <c r="T3434">
        <v>5</v>
      </c>
    </row>
    <row r="3435" spans="18:20" x14ac:dyDescent="0.25">
      <c r="R3435">
        <v>105</v>
      </c>
      <c r="S3435">
        <v>270</v>
      </c>
      <c r="T3435">
        <v>1</v>
      </c>
    </row>
    <row r="3436" spans="18:20" x14ac:dyDescent="0.25">
      <c r="R3436">
        <v>105</v>
      </c>
      <c r="S3436">
        <v>279</v>
      </c>
      <c r="T3436">
        <v>5</v>
      </c>
    </row>
    <row r="3437" spans="18:20" x14ac:dyDescent="0.25">
      <c r="R3437">
        <v>105</v>
      </c>
      <c r="S3437">
        <v>294</v>
      </c>
      <c r="T3437">
        <v>5</v>
      </c>
    </row>
    <row r="3438" spans="18:20" x14ac:dyDescent="0.25">
      <c r="R3438">
        <v>105</v>
      </c>
      <c r="S3438">
        <v>296</v>
      </c>
      <c r="T3438">
        <v>4</v>
      </c>
    </row>
    <row r="3439" spans="18:20" x14ac:dyDescent="0.25">
      <c r="R3439">
        <v>105</v>
      </c>
      <c r="S3439">
        <v>302</v>
      </c>
      <c r="T3439">
        <v>3</v>
      </c>
    </row>
    <row r="3440" spans="18:20" x14ac:dyDescent="0.25">
      <c r="R3440">
        <v>105</v>
      </c>
      <c r="S3440">
        <v>313</v>
      </c>
      <c r="T3440">
        <v>1</v>
      </c>
    </row>
    <row r="3441" spans="18:20" x14ac:dyDescent="0.25">
      <c r="R3441">
        <v>105</v>
      </c>
      <c r="S3441">
        <v>317</v>
      </c>
      <c r="T3441">
        <v>5</v>
      </c>
    </row>
    <row r="3442" spans="18:20" x14ac:dyDescent="0.25">
      <c r="R3442">
        <v>105</v>
      </c>
      <c r="S3442">
        <v>320</v>
      </c>
      <c r="T3442">
        <v>4</v>
      </c>
    </row>
    <row r="3443" spans="18:20" x14ac:dyDescent="0.25">
      <c r="R3443">
        <v>105</v>
      </c>
      <c r="S3443">
        <v>327</v>
      </c>
      <c r="T3443">
        <v>5</v>
      </c>
    </row>
    <row r="3444" spans="18:20" x14ac:dyDescent="0.25">
      <c r="R3444">
        <v>105</v>
      </c>
      <c r="S3444">
        <v>328</v>
      </c>
      <c r="T3444">
        <v>2</v>
      </c>
    </row>
    <row r="3445" spans="18:20" x14ac:dyDescent="0.25">
      <c r="R3445">
        <v>105</v>
      </c>
      <c r="S3445">
        <v>333</v>
      </c>
      <c r="T3445">
        <v>4</v>
      </c>
    </row>
    <row r="3446" spans="18:20" x14ac:dyDescent="0.25">
      <c r="R3446">
        <v>105</v>
      </c>
      <c r="S3446">
        <v>334</v>
      </c>
      <c r="T3446">
        <v>4</v>
      </c>
    </row>
    <row r="3447" spans="18:20" x14ac:dyDescent="0.25">
      <c r="R3447">
        <v>105</v>
      </c>
      <c r="S3447">
        <v>334</v>
      </c>
      <c r="T3447">
        <v>5</v>
      </c>
    </row>
    <row r="3448" spans="18:20" x14ac:dyDescent="0.25">
      <c r="R3448">
        <v>105</v>
      </c>
      <c r="S3448">
        <v>341</v>
      </c>
      <c r="T3448">
        <v>4</v>
      </c>
    </row>
    <row r="3449" spans="18:20" x14ac:dyDescent="0.25">
      <c r="R3449">
        <v>105</v>
      </c>
      <c r="S3449">
        <v>342</v>
      </c>
      <c r="T3449">
        <v>2</v>
      </c>
    </row>
    <row r="3450" spans="18:20" x14ac:dyDescent="0.25">
      <c r="R3450">
        <v>105</v>
      </c>
      <c r="S3450">
        <v>342</v>
      </c>
      <c r="T3450">
        <v>3</v>
      </c>
    </row>
    <row r="3451" spans="18:20" x14ac:dyDescent="0.25">
      <c r="R3451">
        <v>105</v>
      </c>
      <c r="S3451">
        <v>343</v>
      </c>
      <c r="T3451">
        <v>2</v>
      </c>
    </row>
    <row r="3452" spans="18:20" x14ac:dyDescent="0.25">
      <c r="R3452">
        <v>105</v>
      </c>
      <c r="S3452">
        <v>352</v>
      </c>
      <c r="T3452">
        <v>3</v>
      </c>
    </row>
    <row r="3453" spans="18:20" x14ac:dyDescent="0.25">
      <c r="R3453">
        <v>105</v>
      </c>
      <c r="S3453">
        <v>361</v>
      </c>
      <c r="T3453">
        <v>3</v>
      </c>
    </row>
    <row r="3454" spans="18:20" x14ac:dyDescent="0.25">
      <c r="R3454">
        <v>105</v>
      </c>
      <c r="S3454">
        <v>365</v>
      </c>
      <c r="T3454">
        <v>4</v>
      </c>
    </row>
    <row r="3455" spans="18:20" x14ac:dyDescent="0.25">
      <c r="R3455">
        <v>105</v>
      </c>
      <c r="S3455">
        <v>413</v>
      </c>
      <c r="T3455">
        <v>3</v>
      </c>
    </row>
    <row r="3456" spans="18:20" x14ac:dyDescent="0.25">
      <c r="R3456">
        <v>105</v>
      </c>
      <c r="S3456">
        <v>418</v>
      </c>
      <c r="T3456">
        <v>5</v>
      </c>
    </row>
    <row r="3457" spans="18:20" x14ac:dyDescent="0.25">
      <c r="R3457">
        <v>106</v>
      </c>
      <c r="S3457">
        <v>5</v>
      </c>
      <c r="T3457">
        <v>2</v>
      </c>
    </row>
    <row r="3458" spans="18:20" x14ac:dyDescent="0.25">
      <c r="R3458">
        <v>106</v>
      </c>
      <c r="S3458">
        <v>9</v>
      </c>
      <c r="T3458">
        <v>1</v>
      </c>
    </row>
    <row r="3459" spans="18:20" x14ac:dyDescent="0.25">
      <c r="R3459">
        <v>106</v>
      </c>
      <c r="S3459">
        <v>27</v>
      </c>
      <c r="T3459">
        <v>1</v>
      </c>
    </row>
    <row r="3460" spans="18:20" x14ac:dyDescent="0.25">
      <c r="R3460">
        <v>106</v>
      </c>
      <c r="S3460">
        <v>35</v>
      </c>
      <c r="T3460">
        <v>4</v>
      </c>
    </row>
    <row r="3461" spans="18:20" x14ac:dyDescent="0.25">
      <c r="R3461">
        <v>106</v>
      </c>
      <c r="S3461">
        <v>37</v>
      </c>
      <c r="T3461">
        <v>5</v>
      </c>
    </row>
    <row r="3462" spans="18:20" x14ac:dyDescent="0.25">
      <c r="R3462">
        <v>106</v>
      </c>
      <c r="S3462">
        <v>46</v>
      </c>
      <c r="T3462">
        <v>5</v>
      </c>
    </row>
    <row r="3463" spans="18:20" x14ac:dyDescent="0.25">
      <c r="R3463">
        <v>106</v>
      </c>
      <c r="S3463">
        <v>54</v>
      </c>
      <c r="T3463">
        <v>5</v>
      </c>
    </row>
    <row r="3464" spans="18:20" x14ac:dyDescent="0.25">
      <c r="R3464">
        <v>106</v>
      </c>
      <c r="S3464">
        <v>63</v>
      </c>
      <c r="T3464">
        <v>2</v>
      </c>
    </row>
    <row r="3465" spans="18:20" x14ac:dyDescent="0.25">
      <c r="R3465">
        <v>106</v>
      </c>
      <c r="S3465">
        <v>122</v>
      </c>
      <c r="T3465">
        <v>5</v>
      </c>
    </row>
    <row r="3466" spans="18:20" x14ac:dyDescent="0.25">
      <c r="R3466">
        <v>106</v>
      </c>
      <c r="S3466">
        <v>131</v>
      </c>
      <c r="T3466">
        <v>5</v>
      </c>
    </row>
    <row r="3467" spans="18:20" x14ac:dyDescent="0.25">
      <c r="R3467">
        <v>106</v>
      </c>
      <c r="S3467">
        <v>153</v>
      </c>
      <c r="T3467">
        <v>5</v>
      </c>
    </row>
    <row r="3468" spans="18:20" x14ac:dyDescent="0.25">
      <c r="R3468">
        <v>106</v>
      </c>
      <c r="S3468">
        <v>156</v>
      </c>
      <c r="T3468">
        <v>3</v>
      </c>
    </row>
    <row r="3469" spans="18:20" x14ac:dyDescent="0.25">
      <c r="R3469">
        <v>106</v>
      </c>
      <c r="S3469">
        <v>167</v>
      </c>
      <c r="T3469">
        <v>3</v>
      </c>
    </row>
    <row r="3470" spans="18:20" x14ac:dyDescent="0.25">
      <c r="R3470">
        <v>106</v>
      </c>
      <c r="S3470">
        <v>186</v>
      </c>
      <c r="T3470">
        <v>1</v>
      </c>
    </row>
    <row r="3471" spans="18:20" x14ac:dyDescent="0.25">
      <c r="R3471">
        <v>106</v>
      </c>
      <c r="S3471">
        <v>189</v>
      </c>
      <c r="T3471">
        <v>4</v>
      </c>
    </row>
    <row r="3472" spans="18:20" x14ac:dyDescent="0.25">
      <c r="R3472">
        <v>106</v>
      </c>
      <c r="S3472">
        <v>210</v>
      </c>
      <c r="T3472">
        <v>3</v>
      </c>
    </row>
    <row r="3473" spans="18:20" x14ac:dyDescent="0.25">
      <c r="R3473">
        <v>106</v>
      </c>
      <c r="S3473">
        <v>233</v>
      </c>
      <c r="T3473">
        <v>2</v>
      </c>
    </row>
    <row r="3474" spans="18:20" x14ac:dyDescent="0.25">
      <c r="R3474">
        <v>106</v>
      </c>
      <c r="S3474">
        <v>234</v>
      </c>
      <c r="T3474">
        <v>2</v>
      </c>
    </row>
    <row r="3475" spans="18:20" x14ac:dyDescent="0.25">
      <c r="R3475">
        <v>106</v>
      </c>
      <c r="S3475">
        <v>238</v>
      </c>
      <c r="T3475">
        <v>2</v>
      </c>
    </row>
    <row r="3476" spans="18:20" x14ac:dyDescent="0.25">
      <c r="R3476">
        <v>106</v>
      </c>
      <c r="S3476">
        <v>271</v>
      </c>
      <c r="T3476">
        <v>3</v>
      </c>
    </row>
    <row r="3477" spans="18:20" x14ac:dyDescent="0.25">
      <c r="R3477">
        <v>106</v>
      </c>
      <c r="S3477">
        <v>295</v>
      </c>
      <c r="T3477">
        <v>5</v>
      </c>
    </row>
    <row r="3478" spans="18:20" x14ac:dyDescent="0.25">
      <c r="R3478">
        <v>106</v>
      </c>
      <c r="S3478">
        <v>318</v>
      </c>
      <c r="T3478">
        <v>1</v>
      </c>
    </row>
    <row r="3479" spans="18:20" x14ac:dyDescent="0.25">
      <c r="R3479">
        <v>106</v>
      </c>
      <c r="S3479">
        <v>324</v>
      </c>
      <c r="T3479">
        <v>2</v>
      </c>
    </row>
    <row r="3480" spans="18:20" x14ac:dyDescent="0.25">
      <c r="R3480">
        <v>106</v>
      </c>
      <c r="S3480">
        <v>330</v>
      </c>
      <c r="T3480">
        <v>2</v>
      </c>
    </row>
    <row r="3481" spans="18:20" x14ac:dyDescent="0.25">
      <c r="R3481">
        <v>106</v>
      </c>
      <c r="S3481">
        <v>336</v>
      </c>
      <c r="T3481">
        <v>4</v>
      </c>
    </row>
    <row r="3482" spans="18:20" x14ac:dyDescent="0.25">
      <c r="R3482">
        <v>106</v>
      </c>
      <c r="S3482">
        <v>347</v>
      </c>
      <c r="T3482">
        <v>2</v>
      </c>
    </row>
    <row r="3483" spans="18:20" x14ac:dyDescent="0.25">
      <c r="R3483">
        <v>106</v>
      </c>
      <c r="S3483">
        <v>353</v>
      </c>
      <c r="T3483">
        <v>1</v>
      </c>
    </row>
    <row r="3484" spans="18:20" x14ac:dyDescent="0.25">
      <c r="R3484">
        <v>106</v>
      </c>
      <c r="S3484">
        <v>364</v>
      </c>
      <c r="T3484">
        <v>2</v>
      </c>
    </row>
    <row r="3485" spans="18:20" x14ac:dyDescent="0.25">
      <c r="R3485">
        <v>106</v>
      </c>
      <c r="S3485">
        <v>385</v>
      </c>
      <c r="T3485">
        <v>3</v>
      </c>
    </row>
    <row r="3486" spans="18:20" x14ac:dyDescent="0.25">
      <c r="R3486">
        <v>106</v>
      </c>
      <c r="S3486">
        <v>388</v>
      </c>
      <c r="T3486">
        <v>1</v>
      </c>
    </row>
    <row r="3487" spans="18:20" x14ac:dyDescent="0.25">
      <c r="R3487">
        <v>106</v>
      </c>
      <c r="S3487">
        <v>394</v>
      </c>
      <c r="T3487">
        <v>4</v>
      </c>
    </row>
    <row r="3488" spans="18:20" x14ac:dyDescent="0.25">
      <c r="R3488">
        <v>106</v>
      </c>
      <c r="S3488">
        <v>423</v>
      </c>
      <c r="T3488">
        <v>2</v>
      </c>
    </row>
    <row r="3489" spans="18:20" x14ac:dyDescent="0.25">
      <c r="R3489">
        <v>106</v>
      </c>
      <c r="S3489">
        <v>429</v>
      </c>
      <c r="T3489">
        <v>5</v>
      </c>
    </row>
    <row r="3490" spans="18:20" x14ac:dyDescent="0.25">
      <c r="R3490">
        <v>106</v>
      </c>
      <c r="S3490">
        <v>431</v>
      </c>
      <c r="T3490">
        <v>4</v>
      </c>
    </row>
    <row r="3491" spans="18:20" x14ac:dyDescent="0.25">
      <c r="R3491">
        <v>107</v>
      </c>
      <c r="S3491">
        <v>7</v>
      </c>
      <c r="T3491">
        <v>2</v>
      </c>
    </row>
    <row r="3492" spans="18:20" x14ac:dyDescent="0.25">
      <c r="R3492">
        <v>107</v>
      </c>
      <c r="S3492">
        <v>10</v>
      </c>
      <c r="T3492">
        <v>2</v>
      </c>
    </row>
    <row r="3493" spans="18:20" x14ac:dyDescent="0.25">
      <c r="R3493">
        <v>107</v>
      </c>
      <c r="S3493">
        <v>11</v>
      </c>
      <c r="T3493">
        <v>2</v>
      </c>
    </row>
    <row r="3494" spans="18:20" x14ac:dyDescent="0.25">
      <c r="R3494">
        <v>107</v>
      </c>
      <c r="S3494">
        <v>20</v>
      </c>
      <c r="T3494">
        <v>4</v>
      </c>
    </row>
    <row r="3495" spans="18:20" x14ac:dyDescent="0.25">
      <c r="R3495">
        <v>107</v>
      </c>
      <c r="S3495">
        <v>23</v>
      </c>
      <c r="T3495">
        <v>4</v>
      </c>
    </row>
    <row r="3496" spans="18:20" x14ac:dyDescent="0.25">
      <c r="R3496">
        <v>107</v>
      </c>
      <c r="S3496">
        <v>35</v>
      </c>
      <c r="T3496">
        <v>3</v>
      </c>
    </row>
    <row r="3497" spans="18:20" x14ac:dyDescent="0.25">
      <c r="R3497">
        <v>107</v>
      </c>
      <c r="S3497">
        <v>39</v>
      </c>
      <c r="T3497">
        <v>1</v>
      </c>
    </row>
    <row r="3498" spans="18:20" x14ac:dyDescent="0.25">
      <c r="R3498">
        <v>107</v>
      </c>
      <c r="S3498">
        <v>57</v>
      </c>
      <c r="T3498">
        <v>1</v>
      </c>
    </row>
    <row r="3499" spans="18:20" x14ac:dyDescent="0.25">
      <c r="R3499">
        <v>107</v>
      </c>
      <c r="S3499">
        <v>79</v>
      </c>
      <c r="T3499">
        <v>3</v>
      </c>
    </row>
    <row r="3500" spans="18:20" x14ac:dyDescent="0.25">
      <c r="R3500">
        <v>107</v>
      </c>
      <c r="S3500">
        <v>88</v>
      </c>
      <c r="T3500">
        <v>1</v>
      </c>
    </row>
    <row r="3501" spans="18:20" x14ac:dyDescent="0.25">
      <c r="R3501">
        <v>107</v>
      </c>
      <c r="S3501">
        <v>93</v>
      </c>
      <c r="T3501">
        <v>3</v>
      </c>
    </row>
    <row r="3502" spans="18:20" x14ac:dyDescent="0.25">
      <c r="R3502">
        <v>107</v>
      </c>
      <c r="S3502">
        <v>104</v>
      </c>
      <c r="T3502">
        <v>3</v>
      </c>
    </row>
    <row r="3503" spans="18:20" x14ac:dyDescent="0.25">
      <c r="R3503">
        <v>107</v>
      </c>
      <c r="S3503">
        <v>140</v>
      </c>
      <c r="T3503">
        <v>2</v>
      </c>
    </row>
    <row r="3504" spans="18:20" x14ac:dyDescent="0.25">
      <c r="R3504">
        <v>107</v>
      </c>
      <c r="S3504">
        <v>143</v>
      </c>
      <c r="T3504">
        <v>5</v>
      </c>
    </row>
    <row r="3505" spans="18:20" x14ac:dyDescent="0.25">
      <c r="R3505">
        <v>107</v>
      </c>
      <c r="S3505">
        <v>174</v>
      </c>
      <c r="T3505">
        <v>1</v>
      </c>
    </row>
    <row r="3506" spans="18:20" x14ac:dyDescent="0.25">
      <c r="R3506">
        <v>107</v>
      </c>
      <c r="S3506">
        <v>180</v>
      </c>
      <c r="T3506">
        <v>5</v>
      </c>
    </row>
    <row r="3507" spans="18:20" x14ac:dyDescent="0.25">
      <c r="R3507">
        <v>107</v>
      </c>
      <c r="S3507">
        <v>185</v>
      </c>
      <c r="T3507">
        <v>3</v>
      </c>
    </row>
    <row r="3508" spans="18:20" x14ac:dyDescent="0.25">
      <c r="R3508">
        <v>107</v>
      </c>
      <c r="S3508">
        <v>188</v>
      </c>
      <c r="T3508">
        <v>4</v>
      </c>
    </row>
    <row r="3509" spans="18:20" x14ac:dyDescent="0.25">
      <c r="R3509">
        <v>107</v>
      </c>
      <c r="S3509">
        <v>192</v>
      </c>
      <c r="T3509">
        <v>2</v>
      </c>
    </row>
    <row r="3510" spans="18:20" x14ac:dyDescent="0.25">
      <c r="R3510">
        <v>107</v>
      </c>
      <c r="S3510">
        <v>197</v>
      </c>
      <c r="T3510">
        <v>4</v>
      </c>
    </row>
    <row r="3511" spans="18:20" x14ac:dyDescent="0.25">
      <c r="R3511">
        <v>107</v>
      </c>
      <c r="S3511">
        <v>219</v>
      </c>
      <c r="T3511">
        <v>2</v>
      </c>
    </row>
    <row r="3512" spans="18:20" x14ac:dyDescent="0.25">
      <c r="R3512">
        <v>107</v>
      </c>
      <c r="S3512">
        <v>230</v>
      </c>
      <c r="T3512">
        <v>3</v>
      </c>
    </row>
    <row r="3513" spans="18:20" x14ac:dyDescent="0.25">
      <c r="R3513">
        <v>107</v>
      </c>
      <c r="S3513">
        <v>231</v>
      </c>
      <c r="T3513">
        <v>2</v>
      </c>
    </row>
    <row r="3514" spans="18:20" x14ac:dyDescent="0.25">
      <c r="R3514">
        <v>107</v>
      </c>
      <c r="S3514">
        <v>233</v>
      </c>
      <c r="T3514">
        <v>5</v>
      </c>
    </row>
    <row r="3515" spans="18:20" x14ac:dyDescent="0.25">
      <c r="R3515">
        <v>107</v>
      </c>
      <c r="S3515">
        <v>240</v>
      </c>
      <c r="T3515">
        <v>5</v>
      </c>
    </row>
    <row r="3516" spans="18:20" x14ac:dyDescent="0.25">
      <c r="R3516">
        <v>107</v>
      </c>
      <c r="S3516">
        <v>258</v>
      </c>
      <c r="T3516">
        <v>3</v>
      </c>
    </row>
    <row r="3517" spans="18:20" x14ac:dyDescent="0.25">
      <c r="R3517">
        <v>107</v>
      </c>
      <c r="S3517">
        <v>265</v>
      </c>
      <c r="T3517">
        <v>5</v>
      </c>
    </row>
    <row r="3518" spans="18:20" x14ac:dyDescent="0.25">
      <c r="R3518">
        <v>107</v>
      </c>
      <c r="S3518">
        <v>268</v>
      </c>
      <c r="T3518">
        <v>4</v>
      </c>
    </row>
    <row r="3519" spans="18:20" x14ac:dyDescent="0.25">
      <c r="R3519">
        <v>107</v>
      </c>
      <c r="S3519">
        <v>277</v>
      </c>
      <c r="T3519">
        <v>1</v>
      </c>
    </row>
    <row r="3520" spans="18:20" x14ac:dyDescent="0.25">
      <c r="R3520">
        <v>107</v>
      </c>
      <c r="S3520">
        <v>282</v>
      </c>
      <c r="T3520">
        <v>4</v>
      </c>
    </row>
    <row r="3521" spans="18:20" x14ac:dyDescent="0.25">
      <c r="R3521">
        <v>107</v>
      </c>
      <c r="S3521">
        <v>294</v>
      </c>
      <c r="T3521">
        <v>4</v>
      </c>
    </row>
    <row r="3522" spans="18:20" x14ac:dyDescent="0.25">
      <c r="R3522">
        <v>107</v>
      </c>
      <c r="S3522">
        <v>308</v>
      </c>
      <c r="T3522">
        <v>4</v>
      </c>
    </row>
    <row r="3523" spans="18:20" x14ac:dyDescent="0.25">
      <c r="R3523">
        <v>107</v>
      </c>
      <c r="S3523">
        <v>318</v>
      </c>
      <c r="T3523">
        <v>2</v>
      </c>
    </row>
    <row r="3524" spans="18:20" x14ac:dyDescent="0.25">
      <c r="R3524">
        <v>107</v>
      </c>
      <c r="S3524">
        <v>328</v>
      </c>
      <c r="T3524">
        <v>2</v>
      </c>
    </row>
    <row r="3525" spans="18:20" x14ac:dyDescent="0.25">
      <c r="R3525">
        <v>107</v>
      </c>
      <c r="S3525">
        <v>342</v>
      </c>
      <c r="T3525">
        <v>5</v>
      </c>
    </row>
    <row r="3526" spans="18:20" x14ac:dyDescent="0.25">
      <c r="R3526">
        <v>107</v>
      </c>
      <c r="S3526">
        <v>347</v>
      </c>
      <c r="T3526">
        <v>2</v>
      </c>
    </row>
    <row r="3527" spans="18:20" x14ac:dyDescent="0.25">
      <c r="R3527">
        <v>107</v>
      </c>
      <c r="S3527">
        <v>367</v>
      </c>
      <c r="T3527">
        <v>2</v>
      </c>
    </row>
    <row r="3528" spans="18:20" x14ac:dyDescent="0.25">
      <c r="R3528">
        <v>107</v>
      </c>
      <c r="S3528">
        <v>400</v>
      </c>
      <c r="T3528">
        <v>3</v>
      </c>
    </row>
    <row r="3529" spans="18:20" x14ac:dyDescent="0.25">
      <c r="R3529">
        <v>107</v>
      </c>
      <c r="S3529">
        <v>406</v>
      </c>
      <c r="T3529">
        <v>2</v>
      </c>
    </row>
    <row r="3530" spans="18:20" x14ac:dyDescent="0.25">
      <c r="R3530">
        <v>107</v>
      </c>
      <c r="S3530">
        <v>406</v>
      </c>
      <c r="T3530">
        <v>4</v>
      </c>
    </row>
    <row r="3531" spans="18:20" x14ac:dyDescent="0.25">
      <c r="R3531">
        <v>108</v>
      </c>
      <c r="S3531">
        <v>4</v>
      </c>
      <c r="T3531">
        <v>1</v>
      </c>
    </row>
    <row r="3532" spans="18:20" x14ac:dyDescent="0.25">
      <c r="R3532">
        <v>108</v>
      </c>
      <c r="S3532">
        <v>26</v>
      </c>
      <c r="T3532">
        <v>4</v>
      </c>
    </row>
    <row r="3533" spans="18:20" x14ac:dyDescent="0.25">
      <c r="R3533">
        <v>108</v>
      </c>
      <c r="S3533">
        <v>35</v>
      </c>
      <c r="T3533">
        <v>2</v>
      </c>
    </row>
    <row r="3534" spans="18:20" x14ac:dyDescent="0.25">
      <c r="R3534">
        <v>108</v>
      </c>
      <c r="S3534">
        <v>43</v>
      </c>
      <c r="T3534">
        <v>1</v>
      </c>
    </row>
    <row r="3535" spans="18:20" x14ac:dyDescent="0.25">
      <c r="R3535">
        <v>108</v>
      </c>
      <c r="S3535">
        <v>50</v>
      </c>
      <c r="T3535">
        <v>2</v>
      </c>
    </row>
    <row r="3536" spans="18:20" x14ac:dyDescent="0.25">
      <c r="R3536">
        <v>108</v>
      </c>
      <c r="S3536">
        <v>80</v>
      </c>
      <c r="T3536">
        <v>2</v>
      </c>
    </row>
    <row r="3537" spans="18:20" x14ac:dyDescent="0.25">
      <c r="R3537">
        <v>108</v>
      </c>
      <c r="S3537">
        <v>114</v>
      </c>
      <c r="T3537">
        <v>5</v>
      </c>
    </row>
    <row r="3538" spans="18:20" x14ac:dyDescent="0.25">
      <c r="R3538">
        <v>108</v>
      </c>
      <c r="S3538">
        <v>132</v>
      </c>
      <c r="T3538">
        <v>5</v>
      </c>
    </row>
    <row r="3539" spans="18:20" x14ac:dyDescent="0.25">
      <c r="R3539">
        <v>108</v>
      </c>
      <c r="S3539">
        <v>139</v>
      </c>
      <c r="T3539">
        <v>5</v>
      </c>
    </row>
    <row r="3540" spans="18:20" x14ac:dyDescent="0.25">
      <c r="R3540">
        <v>108</v>
      </c>
      <c r="S3540">
        <v>140</v>
      </c>
      <c r="T3540">
        <v>2</v>
      </c>
    </row>
    <row r="3541" spans="18:20" x14ac:dyDescent="0.25">
      <c r="R3541">
        <v>108</v>
      </c>
      <c r="S3541">
        <v>140</v>
      </c>
      <c r="T3541">
        <v>4</v>
      </c>
    </row>
    <row r="3542" spans="18:20" x14ac:dyDescent="0.25">
      <c r="R3542">
        <v>108</v>
      </c>
      <c r="S3542">
        <v>141</v>
      </c>
      <c r="T3542">
        <v>5</v>
      </c>
    </row>
    <row r="3543" spans="18:20" x14ac:dyDescent="0.25">
      <c r="R3543">
        <v>108</v>
      </c>
      <c r="S3543">
        <v>146</v>
      </c>
      <c r="T3543">
        <v>3</v>
      </c>
    </row>
    <row r="3544" spans="18:20" x14ac:dyDescent="0.25">
      <c r="R3544">
        <v>108</v>
      </c>
      <c r="S3544">
        <v>165</v>
      </c>
      <c r="T3544">
        <v>5</v>
      </c>
    </row>
    <row r="3545" spans="18:20" x14ac:dyDescent="0.25">
      <c r="R3545">
        <v>108</v>
      </c>
      <c r="S3545">
        <v>192</v>
      </c>
      <c r="T3545">
        <v>2</v>
      </c>
    </row>
    <row r="3546" spans="18:20" x14ac:dyDescent="0.25">
      <c r="R3546">
        <v>108</v>
      </c>
      <c r="S3546">
        <v>206</v>
      </c>
      <c r="T3546">
        <v>3</v>
      </c>
    </row>
    <row r="3547" spans="18:20" x14ac:dyDescent="0.25">
      <c r="R3547">
        <v>108</v>
      </c>
      <c r="S3547">
        <v>206</v>
      </c>
      <c r="T3547">
        <v>2</v>
      </c>
    </row>
    <row r="3548" spans="18:20" x14ac:dyDescent="0.25">
      <c r="R3548">
        <v>108</v>
      </c>
      <c r="S3548">
        <v>208</v>
      </c>
      <c r="T3548">
        <v>3</v>
      </c>
    </row>
    <row r="3549" spans="18:20" x14ac:dyDescent="0.25">
      <c r="R3549">
        <v>108</v>
      </c>
      <c r="S3549">
        <v>220</v>
      </c>
      <c r="T3549">
        <v>4</v>
      </c>
    </row>
    <row r="3550" spans="18:20" x14ac:dyDescent="0.25">
      <c r="R3550">
        <v>108</v>
      </c>
      <c r="S3550">
        <v>233</v>
      </c>
      <c r="T3550">
        <v>1</v>
      </c>
    </row>
    <row r="3551" spans="18:20" x14ac:dyDescent="0.25">
      <c r="R3551">
        <v>108</v>
      </c>
      <c r="S3551">
        <v>244</v>
      </c>
      <c r="T3551">
        <v>1</v>
      </c>
    </row>
    <row r="3552" spans="18:20" x14ac:dyDescent="0.25">
      <c r="R3552">
        <v>108</v>
      </c>
      <c r="S3552">
        <v>250</v>
      </c>
      <c r="T3552">
        <v>4</v>
      </c>
    </row>
    <row r="3553" spans="18:20" x14ac:dyDescent="0.25">
      <c r="R3553">
        <v>108</v>
      </c>
      <c r="S3553">
        <v>252</v>
      </c>
      <c r="T3553">
        <v>3</v>
      </c>
    </row>
    <row r="3554" spans="18:20" x14ac:dyDescent="0.25">
      <c r="R3554">
        <v>108</v>
      </c>
      <c r="S3554">
        <v>285</v>
      </c>
      <c r="T3554">
        <v>3</v>
      </c>
    </row>
    <row r="3555" spans="18:20" x14ac:dyDescent="0.25">
      <c r="R3555">
        <v>108</v>
      </c>
      <c r="S3555">
        <v>287</v>
      </c>
      <c r="T3555">
        <v>2</v>
      </c>
    </row>
    <row r="3556" spans="18:20" x14ac:dyDescent="0.25">
      <c r="R3556">
        <v>108</v>
      </c>
      <c r="S3556">
        <v>291</v>
      </c>
      <c r="T3556">
        <v>3</v>
      </c>
    </row>
    <row r="3557" spans="18:20" x14ac:dyDescent="0.25">
      <c r="R3557">
        <v>108</v>
      </c>
      <c r="S3557">
        <v>330</v>
      </c>
      <c r="T3557">
        <v>5</v>
      </c>
    </row>
    <row r="3558" spans="18:20" x14ac:dyDescent="0.25">
      <c r="R3558">
        <v>108</v>
      </c>
      <c r="S3558">
        <v>360</v>
      </c>
      <c r="T3558">
        <v>4</v>
      </c>
    </row>
    <row r="3559" spans="18:20" x14ac:dyDescent="0.25">
      <c r="R3559">
        <v>108</v>
      </c>
      <c r="S3559">
        <v>366</v>
      </c>
      <c r="T3559">
        <v>3</v>
      </c>
    </row>
    <row r="3560" spans="18:20" x14ac:dyDescent="0.25">
      <c r="R3560">
        <v>108</v>
      </c>
      <c r="S3560">
        <v>383</v>
      </c>
      <c r="T3560">
        <v>3</v>
      </c>
    </row>
    <row r="3561" spans="18:20" x14ac:dyDescent="0.25">
      <c r="R3561">
        <v>108</v>
      </c>
      <c r="S3561">
        <v>391</v>
      </c>
      <c r="T3561">
        <v>5</v>
      </c>
    </row>
    <row r="3562" spans="18:20" x14ac:dyDescent="0.25">
      <c r="R3562">
        <v>108</v>
      </c>
      <c r="S3562">
        <v>394</v>
      </c>
      <c r="T3562">
        <v>5</v>
      </c>
    </row>
    <row r="3563" spans="18:20" x14ac:dyDescent="0.25">
      <c r="R3563">
        <v>108</v>
      </c>
      <c r="S3563">
        <v>415</v>
      </c>
      <c r="T3563">
        <v>5</v>
      </c>
    </row>
    <row r="3564" spans="18:20" x14ac:dyDescent="0.25">
      <c r="R3564">
        <v>108</v>
      </c>
      <c r="S3564">
        <v>417</v>
      </c>
      <c r="T3564">
        <v>1</v>
      </c>
    </row>
    <row r="3565" spans="18:20" x14ac:dyDescent="0.25">
      <c r="R3565">
        <v>108</v>
      </c>
      <c r="S3565">
        <v>423</v>
      </c>
      <c r="T3565">
        <v>4</v>
      </c>
    </row>
    <row r="3566" spans="18:20" x14ac:dyDescent="0.25">
      <c r="R3566">
        <v>109</v>
      </c>
      <c r="S3566">
        <v>5</v>
      </c>
      <c r="T3566">
        <v>5</v>
      </c>
    </row>
    <row r="3567" spans="18:20" x14ac:dyDescent="0.25">
      <c r="R3567">
        <v>109</v>
      </c>
      <c r="S3567">
        <v>47</v>
      </c>
      <c r="T3567">
        <v>2</v>
      </c>
    </row>
    <row r="3568" spans="18:20" x14ac:dyDescent="0.25">
      <c r="R3568">
        <v>109</v>
      </c>
      <c r="S3568">
        <v>53</v>
      </c>
      <c r="T3568">
        <v>5</v>
      </c>
    </row>
    <row r="3569" spans="18:20" x14ac:dyDescent="0.25">
      <c r="R3569">
        <v>109</v>
      </c>
      <c r="S3569">
        <v>86</v>
      </c>
      <c r="T3569">
        <v>5</v>
      </c>
    </row>
    <row r="3570" spans="18:20" x14ac:dyDescent="0.25">
      <c r="R3570">
        <v>109</v>
      </c>
      <c r="S3570">
        <v>88</v>
      </c>
      <c r="T3570">
        <v>3</v>
      </c>
    </row>
    <row r="3571" spans="18:20" x14ac:dyDescent="0.25">
      <c r="R3571">
        <v>109</v>
      </c>
      <c r="S3571">
        <v>100</v>
      </c>
      <c r="T3571">
        <v>4</v>
      </c>
    </row>
    <row r="3572" spans="18:20" x14ac:dyDescent="0.25">
      <c r="R3572">
        <v>109</v>
      </c>
      <c r="S3572">
        <v>120</v>
      </c>
      <c r="T3572">
        <v>1</v>
      </c>
    </row>
    <row r="3573" spans="18:20" x14ac:dyDescent="0.25">
      <c r="R3573">
        <v>109</v>
      </c>
      <c r="S3573">
        <v>177</v>
      </c>
      <c r="T3573">
        <v>2</v>
      </c>
    </row>
    <row r="3574" spans="18:20" x14ac:dyDescent="0.25">
      <c r="R3574">
        <v>109</v>
      </c>
      <c r="S3574">
        <v>178</v>
      </c>
      <c r="T3574">
        <v>5</v>
      </c>
    </row>
    <row r="3575" spans="18:20" x14ac:dyDescent="0.25">
      <c r="R3575">
        <v>109</v>
      </c>
      <c r="S3575">
        <v>184</v>
      </c>
      <c r="T3575">
        <v>3</v>
      </c>
    </row>
    <row r="3576" spans="18:20" x14ac:dyDescent="0.25">
      <c r="R3576">
        <v>109</v>
      </c>
      <c r="S3576">
        <v>184</v>
      </c>
      <c r="T3576">
        <v>1</v>
      </c>
    </row>
    <row r="3577" spans="18:20" x14ac:dyDescent="0.25">
      <c r="R3577">
        <v>109</v>
      </c>
      <c r="S3577">
        <v>193</v>
      </c>
      <c r="T3577">
        <v>3</v>
      </c>
    </row>
    <row r="3578" spans="18:20" x14ac:dyDescent="0.25">
      <c r="R3578">
        <v>109</v>
      </c>
      <c r="S3578">
        <v>210</v>
      </c>
      <c r="T3578">
        <v>2</v>
      </c>
    </row>
    <row r="3579" spans="18:20" x14ac:dyDescent="0.25">
      <c r="R3579">
        <v>109</v>
      </c>
      <c r="S3579">
        <v>235</v>
      </c>
      <c r="T3579">
        <v>1</v>
      </c>
    </row>
    <row r="3580" spans="18:20" x14ac:dyDescent="0.25">
      <c r="R3580">
        <v>109</v>
      </c>
      <c r="S3580">
        <v>267</v>
      </c>
      <c r="T3580">
        <v>4</v>
      </c>
    </row>
    <row r="3581" spans="18:20" x14ac:dyDescent="0.25">
      <c r="R3581">
        <v>109</v>
      </c>
      <c r="S3581">
        <v>282</v>
      </c>
      <c r="T3581">
        <v>3</v>
      </c>
    </row>
    <row r="3582" spans="18:20" x14ac:dyDescent="0.25">
      <c r="R3582">
        <v>109</v>
      </c>
      <c r="S3582">
        <v>294</v>
      </c>
      <c r="T3582">
        <v>3</v>
      </c>
    </row>
    <row r="3583" spans="18:20" x14ac:dyDescent="0.25">
      <c r="R3583">
        <v>109</v>
      </c>
      <c r="S3583">
        <v>303</v>
      </c>
      <c r="T3583">
        <v>5</v>
      </c>
    </row>
    <row r="3584" spans="18:20" x14ac:dyDescent="0.25">
      <c r="R3584">
        <v>109</v>
      </c>
      <c r="S3584">
        <v>307</v>
      </c>
      <c r="T3584">
        <v>2</v>
      </c>
    </row>
    <row r="3585" spans="18:20" x14ac:dyDescent="0.25">
      <c r="R3585">
        <v>109</v>
      </c>
      <c r="S3585">
        <v>311</v>
      </c>
      <c r="T3585">
        <v>4</v>
      </c>
    </row>
    <row r="3586" spans="18:20" x14ac:dyDescent="0.25">
      <c r="R3586">
        <v>109</v>
      </c>
      <c r="S3586">
        <v>317</v>
      </c>
      <c r="T3586">
        <v>5</v>
      </c>
    </row>
    <row r="3587" spans="18:20" x14ac:dyDescent="0.25">
      <c r="R3587">
        <v>109</v>
      </c>
      <c r="S3587">
        <v>335</v>
      </c>
      <c r="T3587">
        <v>5</v>
      </c>
    </row>
    <row r="3588" spans="18:20" x14ac:dyDescent="0.25">
      <c r="R3588">
        <v>109</v>
      </c>
      <c r="S3588">
        <v>351</v>
      </c>
      <c r="T3588">
        <v>5</v>
      </c>
    </row>
    <row r="3589" spans="18:20" x14ac:dyDescent="0.25">
      <c r="R3589">
        <v>109</v>
      </c>
      <c r="S3589">
        <v>357</v>
      </c>
      <c r="T3589">
        <v>3</v>
      </c>
    </row>
    <row r="3590" spans="18:20" x14ac:dyDescent="0.25">
      <c r="R3590">
        <v>109</v>
      </c>
      <c r="S3590">
        <v>364</v>
      </c>
      <c r="T3590">
        <v>2</v>
      </c>
    </row>
    <row r="3591" spans="18:20" x14ac:dyDescent="0.25">
      <c r="R3591">
        <v>109</v>
      </c>
      <c r="S3591">
        <v>407</v>
      </c>
      <c r="T3591">
        <v>1</v>
      </c>
    </row>
    <row r="3592" spans="18:20" x14ac:dyDescent="0.25">
      <c r="R3592">
        <v>109</v>
      </c>
      <c r="S3592">
        <v>428</v>
      </c>
      <c r="T3592">
        <v>4</v>
      </c>
    </row>
    <row r="3593" spans="18:20" x14ac:dyDescent="0.25">
      <c r="R3593">
        <v>110</v>
      </c>
      <c r="S3593">
        <v>2</v>
      </c>
      <c r="T3593">
        <v>2</v>
      </c>
    </row>
    <row r="3594" spans="18:20" x14ac:dyDescent="0.25">
      <c r="R3594">
        <v>110</v>
      </c>
      <c r="S3594">
        <v>17</v>
      </c>
      <c r="T3594">
        <v>3</v>
      </c>
    </row>
    <row r="3595" spans="18:20" x14ac:dyDescent="0.25">
      <c r="R3595">
        <v>110</v>
      </c>
      <c r="S3595">
        <v>29</v>
      </c>
      <c r="T3595">
        <v>1</v>
      </c>
    </row>
    <row r="3596" spans="18:20" x14ac:dyDescent="0.25">
      <c r="R3596">
        <v>110</v>
      </c>
      <c r="S3596">
        <v>29</v>
      </c>
      <c r="T3596">
        <v>3</v>
      </c>
    </row>
    <row r="3597" spans="18:20" x14ac:dyDescent="0.25">
      <c r="R3597">
        <v>110</v>
      </c>
      <c r="S3597">
        <v>37</v>
      </c>
      <c r="T3597">
        <v>3</v>
      </c>
    </row>
    <row r="3598" spans="18:20" x14ac:dyDescent="0.25">
      <c r="R3598">
        <v>110</v>
      </c>
      <c r="S3598">
        <v>79</v>
      </c>
      <c r="T3598">
        <v>5</v>
      </c>
    </row>
    <row r="3599" spans="18:20" x14ac:dyDescent="0.25">
      <c r="R3599">
        <v>110</v>
      </c>
      <c r="S3599">
        <v>107</v>
      </c>
      <c r="T3599">
        <v>4</v>
      </c>
    </row>
    <row r="3600" spans="18:20" x14ac:dyDescent="0.25">
      <c r="R3600">
        <v>110</v>
      </c>
      <c r="S3600">
        <v>113</v>
      </c>
      <c r="T3600">
        <v>4</v>
      </c>
    </row>
    <row r="3601" spans="18:20" x14ac:dyDescent="0.25">
      <c r="R3601">
        <v>110</v>
      </c>
      <c r="S3601">
        <v>123</v>
      </c>
      <c r="T3601">
        <v>4</v>
      </c>
    </row>
    <row r="3602" spans="18:20" x14ac:dyDescent="0.25">
      <c r="R3602">
        <v>110</v>
      </c>
      <c r="S3602">
        <v>184</v>
      </c>
      <c r="T3602">
        <v>4</v>
      </c>
    </row>
    <row r="3603" spans="18:20" x14ac:dyDescent="0.25">
      <c r="R3603">
        <v>110</v>
      </c>
      <c r="S3603">
        <v>185</v>
      </c>
      <c r="T3603">
        <v>4</v>
      </c>
    </row>
    <row r="3604" spans="18:20" x14ac:dyDescent="0.25">
      <c r="R3604">
        <v>110</v>
      </c>
      <c r="S3604">
        <v>197</v>
      </c>
      <c r="T3604">
        <v>4</v>
      </c>
    </row>
    <row r="3605" spans="18:20" x14ac:dyDescent="0.25">
      <c r="R3605">
        <v>110</v>
      </c>
      <c r="S3605">
        <v>199</v>
      </c>
      <c r="T3605">
        <v>5</v>
      </c>
    </row>
    <row r="3606" spans="18:20" x14ac:dyDescent="0.25">
      <c r="R3606">
        <v>110</v>
      </c>
      <c r="S3606">
        <v>207</v>
      </c>
      <c r="T3606">
        <v>3</v>
      </c>
    </row>
    <row r="3607" spans="18:20" x14ac:dyDescent="0.25">
      <c r="R3607">
        <v>110</v>
      </c>
      <c r="S3607">
        <v>233</v>
      </c>
      <c r="T3607">
        <v>2</v>
      </c>
    </row>
    <row r="3608" spans="18:20" x14ac:dyDescent="0.25">
      <c r="R3608">
        <v>110</v>
      </c>
      <c r="S3608">
        <v>235</v>
      </c>
      <c r="T3608">
        <v>2</v>
      </c>
    </row>
    <row r="3609" spans="18:20" x14ac:dyDescent="0.25">
      <c r="R3609">
        <v>110</v>
      </c>
      <c r="S3609">
        <v>248</v>
      </c>
      <c r="T3609">
        <v>2</v>
      </c>
    </row>
    <row r="3610" spans="18:20" x14ac:dyDescent="0.25">
      <c r="R3610">
        <v>110</v>
      </c>
      <c r="S3610">
        <v>251</v>
      </c>
      <c r="T3610">
        <v>1</v>
      </c>
    </row>
    <row r="3611" spans="18:20" x14ac:dyDescent="0.25">
      <c r="R3611">
        <v>110</v>
      </c>
      <c r="S3611">
        <v>290</v>
      </c>
      <c r="T3611">
        <v>2</v>
      </c>
    </row>
    <row r="3612" spans="18:20" x14ac:dyDescent="0.25">
      <c r="R3612">
        <v>110</v>
      </c>
      <c r="S3612">
        <v>302</v>
      </c>
      <c r="T3612">
        <v>3</v>
      </c>
    </row>
    <row r="3613" spans="18:20" x14ac:dyDescent="0.25">
      <c r="R3613">
        <v>110</v>
      </c>
      <c r="S3613">
        <v>316</v>
      </c>
      <c r="T3613">
        <v>2</v>
      </c>
    </row>
    <row r="3614" spans="18:20" x14ac:dyDescent="0.25">
      <c r="R3614">
        <v>110</v>
      </c>
      <c r="S3614">
        <v>331</v>
      </c>
      <c r="T3614">
        <v>3</v>
      </c>
    </row>
    <row r="3615" spans="18:20" x14ac:dyDescent="0.25">
      <c r="R3615">
        <v>110</v>
      </c>
      <c r="S3615">
        <v>338</v>
      </c>
      <c r="T3615">
        <v>4</v>
      </c>
    </row>
    <row r="3616" spans="18:20" x14ac:dyDescent="0.25">
      <c r="R3616">
        <v>110</v>
      </c>
      <c r="S3616">
        <v>354</v>
      </c>
      <c r="T3616">
        <v>1</v>
      </c>
    </row>
    <row r="3617" spans="18:20" x14ac:dyDescent="0.25">
      <c r="R3617">
        <v>110</v>
      </c>
      <c r="S3617">
        <v>387</v>
      </c>
      <c r="T3617">
        <v>4</v>
      </c>
    </row>
    <row r="3618" spans="18:20" x14ac:dyDescent="0.25">
      <c r="R3618">
        <v>110</v>
      </c>
      <c r="S3618">
        <v>409</v>
      </c>
      <c r="T3618">
        <v>1</v>
      </c>
    </row>
    <row r="3619" spans="18:20" x14ac:dyDescent="0.25">
      <c r="R3619">
        <v>110</v>
      </c>
      <c r="S3619">
        <v>422</v>
      </c>
      <c r="T3619">
        <v>1</v>
      </c>
    </row>
    <row r="3620" spans="18:20" x14ac:dyDescent="0.25">
      <c r="R3620">
        <v>110</v>
      </c>
      <c r="S3620">
        <v>433</v>
      </c>
      <c r="T3620">
        <v>3</v>
      </c>
    </row>
    <row r="3621" spans="18:20" x14ac:dyDescent="0.25">
      <c r="R3621">
        <v>111</v>
      </c>
      <c r="S3621">
        <v>4</v>
      </c>
      <c r="T3621">
        <v>3</v>
      </c>
    </row>
    <row r="3622" spans="18:20" x14ac:dyDescent="0.25">
      <c r="R3622">
        <v>111</v>
      </c>
      <c r="S3622">
        <v>25</v>
      </c>
      <c r="T3622">
        <v>3</v>
      </c>
    </row>
    <row r="3623" spans="18:20" x14ac:dyDescent="0.25">
      <c r="R3623">
        <v>111</v>
      </c>
      <c r="S3623">
        <v>31</v>
      </c>
      <c r="T3623">
        <v>4</v>
      </c>
    </row>
    <row r="3624" spans="18:20" x14ac:dyDescent="0.25">
      <c r="R3624">
        <v>111</v>
      </c>
      <c r="S3624">
        <v>40</v>
      </c>
      <c r="T3624">
        <v>4</v>
      </c>
    </row>
    <row r="3625" spans="18:20" x14ac:dyDescent="0.25">
      <c r="R3625">
        <v>111</v>
      </c>
      <c r="S3625">
        <v>61</v>
      </c>
      <c r="T3625">
        <v>3</v>
      </c>
    </row>
    <row r="3626" spans="18:20" x14ac:dyDescent="0.25">
      <c r="R3626">
        <v>111</v>
      </c>
      <c r="S3626">
        <v>63</v>
      </c>
      <c r="T3626">
        <v>4</v>
      </c>
    </row>
    <row r="3627" spans="18:20" x14ac:dyDescent="0.25">
      <c r="R3627">
        <v>111</v>
      </c>
      <c r="S3627">
        <v>119</v>
      </c>
      <c r="T3627">
        <v>4</v>
      </c>
    </row>
    <row r="3628" spans="18:20" x14ac:dyDescent="0.25">
      <c r="R3628">
        <v>111</v>
      </c>
      <c r="S3628">
        <v>121</v>
      </c>
      <c r="T3628">
        <v>1</v>
      </c>
    </row>
    <row r="3629" spans="18:20" x14ac:dyDescent="0.25">
      <c r="R3629">
        <v>111</v>
      </c>
      <c r="S3629">
        <v>131</v>
      </c>
      <c r="T3629">
        <v>3</v>
      </c>
    </row>
    <row r="3630" spans="18:20" x14ac:dyDescent="0.25">
      <c r="R3630">
        <v>111</v>
      </c>
      <c r="S3630">
        <v>133</v>
      </c>
      <c r="T3630">
        <v>3</v>
      </c>
    </row>
    <row r="3631" spans="18:20" x14ac:dyDescent="0.25">
      <c r="R3631">
        <v>111</v>
      </c>
      <c r="S3631">
        <v>176</v>
      </c>
      <c r="T3631">
        <v>5</v>
      </c>
    </row>
    <row r="3632" spans="18:20" x14ac:dyDescent="0.25">
      <c r="R3632">
        <v>111</v>
      </c>
      <c r="S3632">
        <v>177</v>
      </c>
      <c r="T3632">
        <v>5</v>
      </c>
    </row>
    <row r="3633" spans="18:20" x14ac:dyDescent="0.25">
      <c r="R3633">
        <v>111</v>
      </c>
      <c r="S3633">
        <v>233</v>
      </c>
      <c r="T3633">
        <v>1</v>
      </c>
    </row>
    <row r="3634" spans="18:20" x14ac:dyDescent="0.25">
      <c r="R3634">
        <v>111</v>
      </c>
      <c r="S3634">
        <v>242</v>
      </c>
      <c r="T3634">
        <v>4</v>
      </c>
    </row>
    <row r="3635" spans="18:20" x14ac:dyDescent="0.25">
      <c r="R3635">
        <v>111</v>
      </c>
      <c r="S3635">
        <v>254</v>
      </c>
      <c r="T3635">
        <v>5</v>
      </c>
    </row>
    <row r="3636" spans="18:20" x14ac:dyDescent="0.25">
      <c r="R3636">
        <v>111</v>
      </c>
      <c r="S3636">
        <v>255</v>
      </c>
      <c r="T3636">
        <v>3</v>
      </c>
    </row>
    <row r="3637" spans="18:20" x14ac:dyDescent="0.25">
      <c r="R3637">
        <v>111</v>
      </c>
      <c r="S3637">
        <v>256</v>
      </c>
      <c r="T3637">
        <v>5</v>
      </c>
    </row>
    <row r="3638" spans="18:20" x14ac:dyDescent="0.25">
      <c r="R3638">
        <v>111</v>
      </c>
      <c r="S3638">
        <v>258</v>
      </c>
      <c r="T3638">
        <v>5</v>
      </c>
    </row>
    <row r="3639" spans="18:20" x14ac:dyDescent="0.25">
      <c r="R3639">
        <v>111</v>
      </c>
      <c r="S3639">
        <v>279</v>
      </c>
      <c r="T3639">
        <v>4</v>
      </c>
    </row>
    <row r="3640" spans="18:20" x14ac:dyDescent="0.25">
      <c r="R3640">
        <v>111</v>
      </c>
      <c r="S3640">
        <v>297</v>
      </c>
      <c r="T3640">
        <v>1</v>
      </c>
    </row>
    <row r="3641" spans="18:20" x14ac:dyDescent="0.25">
      <c r="R3641">
        <v>111</v>
      </c>
      <c r="S3641">
        <v>300</v>
      </c>
      <c r="T3641">
        <v>5</v>
      </c>
    </row>
    <row r="3642" spans="18:20" x14ac:dyDescent="0.25">
      <c r="R3642">
        <v>111</v>
      </c>
      <c r="S3642">
        <v>327</v>
      </c>
      <c r="T3642">
        <v>3</v>
      </c>
    </row>
    <row r="3643" spans="18:20" x14ac:dyDescent="0.25">
      <c r="R3643">
        <v>111</v>
      </c>
      <c r="S3643">
        <v>350</v>
      </c>
      <c r="T3643">
        <v>2</v>
      </c>
    </row>
    <row r="3644" spans="18:20" x14ac:dyDescent="0.25">
      <c r="R3644">
        <v>111</v>
      </c>
      <c r="S3644">
        <v>386</v>
      </c>
      <c r="T3644">
        <v>4</v>
      </c>
    </row>
    <row r="3645" spans="18:20" x14ac:dyDescent="0.25">
      <c r="R3645">
        <v>111</v>
      </c>
      <c r="S3645">
        <v>417</v>
      </c>
      <c r="T3645">
        <v>1</v>
      </c>
    </row>
    <row r="3646" spans="18:20" x14ac:dyDescent="0.25">
      <c r="R3646">
        <v>111</v>
      </c>
      <c r="S3646">
        <v>427</v>
      </c>
      <c r="T3646">
        <v>4</v>
      </c>
    </row>
    <row r="3647" spans="18:20" x14ac:dyDescent="0.25">
      <c r="R3647">
        <v>111</v>
      </c>
      <c r="S3647">
        <v>427</v>
      </c>
      <c r="T3647">
        <v>2</v>
      </c>
    </row>
    <row r="3648" spans="18:20" x14ac:dyDescent="0.25">
      <c r="R3648">
        <v>112</v>
      </c>
      <c r="S3648">
        <v>8</v>
      </c>
      <c r="T3648">
        <v>4</v>
      </c>
    </row>
    <row r="3649" spans="18:20" x14ac:dyDescent="0.25">
      <c r="R3649">
        <v>112</v>
      </c>
      <c r="S3649">
        <v>22</v>
      </c>
      <c r="T3649">
        <v>1</v>
      </c>
    </row>
    <row r="3650" spans="18:20" x14ac:dyDescent="0.25">
      <c r="R3650">
        <v>112</v>
      </c>
      <c r="S3650">
        <v>26</v>
      </c>
      <c r="T3650">
        <v>3</v>
      </c>
    </row>
    <row r="3651" spans="18:20" x14ac:dyDescent="0.25">
      <c r="R3651">
        <v>112</v>
      </c>
      <c r="S3651">
        <v>27</v>
      </c>
      <c r="T3651">
        <v>2</v>
      </c>
    </row>
    <row r="3652" spans="18:20" x14ac:dyDescent="0.25">
      <c r="R3652">
        <v>112</v>
      </c>
      <c r="S3652">
        <v>33</v>
      </c>
      <c r="T3652">
        <v>2</v>
      </c>
    </row>
    <row r="3653" spans="18:20" x14ac:dyDescent="0.25">
      <c r="R3653">
        <v>112</v>
      </c>
      <c r="S3653">
        <v>35</v>
      </c>
      <c r="T3653">
        <v>1</v>
      </c>
    </row>
    <row r="3654" spans="18:20" x14ac:dyDescent="0.25">
      <c r="R3654">
        <v>112</v>
      </c>
      <c r="S3654">
        <v>70</v>
      </c>
      <c r="T3654">
        <v>4</v>
      </c>
    </row>
    <row r="3655" spans="18:20" x14ac:dyDescent="0.25">
      <c r="R3655">
        <v>112</v>
      </c>
      <c r="S3655">
        <v>76</v>
      </c>
      <c r="T3655">
        <v>4</v>
      </c>
    </row>
    <row r="3656" spans="18:20" x14ac:dyDescent="0.25">
      <c r="R3656">
        <v>112</v>
      </c>
      <c r="S3656">
        <v>82</v>
      </c>
      <c r="T3656">
        <v>1</v>
      </c>
    </row>
    <row r="3657" spans="18:20" x14ac:dyDescent="0.25">
      <c r="R3657">
        <v>112</v>
      </c>
      <c r="S3657">
        <v>90</v>
      </c>
      <c r="T3657">
        <v>1</v>
      </c>
    </row>
    <row r="3658" spans="18:20" x14ac:dyDescent="0.25">
      <c r="R3658">
        <v>112</v>
      </c>
      <c r="S3658">
        <v>92</v>
      </c>
      <c r="T3658">
        <v>2</v>
      </c>
    </row>
    <row r="3659" spans="18:20" x14ac:dyDescent="0.25">
      <c r="R3659">
        <v>112</v>
      </c>
      <c r="S3659">
        <v>149</v>
      </c>
      <c r="T3659">
        <v>2</v>
      </c>
    </row>
    <row r="3660" spans="18:20" x14ac:dyDescent="0.25">
      <c r="R3660">
        <v>112</v>
      </c>
      <c r="S3660">
        <v>149</v>
      </c>
      <c r="T3660">
        <v>2</v>
      </c>
    </row>
    <row r="3661" spans="18:20" x14ac:dyDescent="0.25">
      <c r="R3661">
        <v>112</v>
      </c>
      <c r="S3661">
        <v>159</v>
      </c>
      <c r="T3661">
        <v>5</v>
      </c>
    </row>
    <row r="3662" spans="18:20" x14ac:dyDescent="0.25">
      <c r="R3662">
        <v>112</v>
      </c>
      <c r="S3662">
        <v>197</v>
      </c>
      <c r="T3662">
        <v>3</v>
      </c>
    </row>
    <row r="3663" spans="18:20" x14ac:dyDescent="0.25">
      <c r="R3663">
        <v>112</v>
      </c>
      <c r="S3663">
        <v>221</v>
      </c>
      <c r="T3663">
        <v>3</v>
      </c>
    </row>
    <row r="3664" spans="18:20" x14ac:dyDescent="0.25">
      <c r="R3664">
        <v>112</v>
      </c>
      <c r="S3664">
        <v>259</v>
      </c>
      <c r="T3664">
        <v>5</v>
      </c>
    </row>
    <row r="3665" spans="18:20" x14ac:dyDescent="0.25">
      <c r="R3665">
        <v>112</v>
      </c>
      <c r="S3665">
        <v>267</v>
      </c>
      <c r="T3665">
        <v>1</v>
      </c>
    </row>
    <row r="3666" spans="18:20" x14ac:dyDescent="0.25">
      <c r="R3666">
        <v>112</v>
      </c>
      <c r="S3666">
        <v>271</v>
      </c>
      <c r="T3666">
        <v>1</v>
      </c>
    </row>
    <row r="3667" spans="18:20" x14ac:dyDescent="0.25">
      <c r="R3667">
        <v>112</v>
      </c>
      <c r="S3667">
        <v>288</v>
      </c>
      <c r="T3667">
        <v>4</v>
      </c>
    </row>
    <row r="3668" spans="18:20" x14ac:dyDescent="0.25">
      <c r="R3668">
        <v>112</v>
      </c>
      <c r="S3668">
        <v>316</v>
      </c>
      <c r="T3668">
        <v>4</v>
      </c>
    </row>
    <row r="3669" spans="18:20" x14ac:dyDescent="0.25">
      <c r="R3669">
        <v>112</v>
      </c>
      <c r="S3669">
        <v>342</v>
      </c>
      <c r="T3669">
        <v>4</v>
      </c>
    </row>
    <row r="3670" spans="18:20" x14ac:dyDescent="0.25">
      <c r="R3670">
        <v>112</v>
      </c>
      <c r="S3670">
        <v>350</v>
      </c>
      <c r="T3670">
        <v>5</v>
      </c>
    </row>
    <row r="3671" spans="18:20" x14ac:dyDescent="0.25">
      <c r="R3671">
        <v>112</v>
      </c>
      <c r="S3671">
        <v>354</v>
      </c>
      <c r="T3671">
        <v>3</v>
      </c>
    </row>
    <row r="3672" spans="18:20" x14ac:dyDescent="0.25">
      <c r="R3672">
        <v>112</v>
      </c>
      <c r="S3672">
        <v>390</v>
      </c>
      <c r="T3672">
        <v>4</v>
      </c>
    </row>
    <row r="3673" spans="18:20" x14ac:dyDescent="0.25">
      <c r="R3673">
        <v>112</v>
      </c>
      <c r="S3673">
        <v>410</v>
      </c>
      <c r="T3673">
        <v>2</v>
      </c>
    </row>
    <row r="3674" spans="18:20" x14ac:dyDescent="0.25">
      <c r="R3674">
        <v>112</v>
      </c>
      <c r="S3674">
        <v>423</v>
      </c>
      <c r="T3674">
        <v>5</v>
      </c>
    </row>
    <row r="3675" spans="18:20" x14ac:dyDescent="0.25">
      <c r="R3675">
        <v>112</v>
      </c>
      <c r="S3675">
        <v>425</v>
      </c>
      <c r="T3675">
        <v>5</v>
      </c>
    </row>
    <row r="3676" spans="18:20" x14ac:dyDescent="0.25">
      <c r="R3676">
        <v>112</v>
      </c>
      <c r="S3676">
        <v>429</v>
      </c>
      <c r="T3676">
        <v>4</v>
      </c>
    </row>
    <row r="3677" spans="18:20" x14ac:dyDescent="0.25">
      <c r="R3677">
        <v>112</v>
      </c>
      <c r="S3677">
        <v>434</v>
      </c>
      <c r="T3677">
        <v>1</v>
      </c>
    </row>
    <row r="3678" spans="18:20" x14ac:dyDescent="0.25">
      <c r="R3678">
        <v>113</v>
      </c>
      <c r="S3678">
        <v>4</v>
      </c>
      <c r="T3678">
        <v>5</v>
      </c>
    </row>
    <row r="3679" spans="18:20" x14ac:dyDescent="0.25">
      <c r="R3679">
        <v>113</v>
      </c>
      <c r="S3679">
        <v>7</v>
      </c>
      <c r="T3679">
        <v>3</v>
      </c>
    </row>
    <row r="3680" spans="18:20" x14ac:dyDescent="0.25">
      <c r="R3680">
        <v>113</v>
      </c>
      <c r="S3680">
        <v>14</v>
      </c>
      <c r="T3680">
        <v>4</v>
      </c>
    </row>
    <row r="3681" spans="18:20" x14ac:dyDescent="0.25">
      <c r="R3681">
        <v>113</v>
      </c>
      <c r="S3681">
        <v>16</v>
      </c>
      <c r="T3681">
        <v>3</v>
      </c>
    </row>
    <row r="3682" spans="18:20" x14ac:dyDescent="0.25">
      <c r="R3682">
        <v>113</v>
      </c>
      <c r="S3682">
        <v>34</v>
      </c>
      <c r="T3682">
        <v>1</v>
      </c>
    </row>
    <row r="3683" spans="18:20" x14ac:dyDescent="0.25">
      <c r="R3683">
        <v>113</v>
      </c>
      <c r="S3683">
        <v>34</v>
      </c>
      <c r="T3683">
        <v>1</v>
      </c>
    </row>
    <row r="3684" spans="18:20" x14ac:dyDescent="0.25">
      <c r="R3684">
        <v>113</v>
      </c>
      <c r="S3684">
        <v>37</v>
      </c>
      <c r="T3684">
        <v>2</v>
      </c>
    </row>
    <row r="3685" spans="18:20" x14ac:dyDescent="0.25">
      <c r="R3685">
        <v>113</v>
      </c>
      <c r="S3685">
        <v>38</v>
      </c>
      <c r="T3685">
        <v>5</v>
      </c>
    </row>
    <row r="3686" spans="18:20" x14ac:dyDescent="0.25">
      <c r="R3686">
        <v>113</v>
      </c>
      <c r="S3686">
        <v>46</v>
      </c>
      <c r="T3686">
        <v>1</v>
      </c>
    </row>
    <row r="3687" spans="18:20" x14ac:dyDescent="0.25">
      <c r="R3687">
        <v>113</v>
      </c>
      <c r="S3687">
        <v>47</v>
      </c>
      <c r="T3687">
        <v>4</v>
      </c>
    </row>
    <row r="3688" spans="18:20" x14ac:dyDescent="0.25">
      <c r="R3688">
        <v>113</v>
      </c>
      <c r="S3688">
        <v>55</v>
      </c>
      <c r="T3688">
        <v>2</v>
      </c>
    </row>
    <row r="3689" spans="18:20" x14ac:dyDescent="0.25">
      <c r="R3689">
        <v>113</v>
      </c>
      <c r="S3689">
        <v>74</v>
      </c>
      <c r="T3689">
        <v>2</v>
      </c>
    </row>
    <row r="3690" spans="18:20" x14ac:dyDescent="0.25">
      <c r="R3690">
        <v>113</v>
      </c>
      <c r="S3690">
        <v>96</v>
      </c>
      <c r="T3690">
        <v>2</v>
      </c>
    </row>
    <row r="3691" spans="18:20" x14ac:dyDescent="0.25">
      <c r="R3691">
        <v>113</v>
      </c>
      <c r="S3691">
        <v>98</v>
      </c>
      <c r="T3691">
        <v>2</v>
      </c>
    </row>
    <row r="3692" spans="18:20" x14ac:dyDescent="0.25">
      <c r="R3692">
        <v>113</v>
      </c>
      <c r="S3692">
        <v>116</v>
      </c>
      <c r="T3692">
        <v>5</v>
      </c>
    </row>
    <row r="3693" spans="18:20" x14ac:dyDescent="0.25">
      <c r="R3693">
        <v>113</v>
      </c>
      <c r="S3693">
        <v>118</v>
      </c>
      <c r="T3693">
        <v>5</v>
      </c>
    </row>
    <row r="3694" spans="18:20" x14ac:dyDescent="0.25">
      <c r="R3694">
        <v>113</v>
      </c>
      <c r="S3694">
        <v>145</v>
      </c>
      <c r="T3694">
        <v>2</v>
      </c>
    </row>
    <row r="3695" spans="18:20" x14ac:dyDescent="0.25">
      <c r="R3695">
        <v>113</v>
      </c>
      <c r="S3695">
        <v>171</v>
      </c>
      <c r="T3695">
        <v>5</v>
      </c>
    </row>
    <row r="3696" spans="18:20" x14ac:dyDescent="0.25">
      <c r="R3696">
        <v>113</v>
      </c>
      <c r="S3696">
        <v>171</v>
      </c>
      <c r="T3696">
        <v>4</v>
      </c>
    </row>
    <row r="3697" spans="18:20" x14ac:dyDescent="0.25">
      <c r="R3697">
        <v>113</v>
      </c>
      <c r="S3697">
        <v>181</v>
      </c>
      <c r="T3697">
        <v>1</v>
      </c>
    </row>
    <row r="3698" spans="18:20" x14ac:dyDescent="0.25">
      <c r="R3698">
        <v>113</v>
      </c>
      <c r="S3698">
        <v>215</v>
      </c>
      <c r="T3698">
        <v>1</v>
      </c>
    </row>
    <row r="3699" spans="18:20" x14ac:dyDescent="0.25">
      <c r="R3699">
        <v>113</v>
      </c>
      <c r="S3699">
        <v>218</v>
      </c>
      <c r="T3699">
        <v>4</v>
      </c>
    </row>
    <row r="3700" spans="18:20" x14ac:dyDescent="0.25">
      <c r="R3700">
        <v>113</v>
      </c>
      <c r="S3700">
        <v>218</v>
      </c>
      <c r="T3700">
        <v>4</v>
      </c>
    </row>
    <row r="3701" spans="18:20" x14ac:dyDescent="0.25">
      <c r="R3701">
        <v>113</v>
      </c>
      <c r="S3701">
        <v>228</v>
      </c>
      <c r="T3701">
        <v>4</v>
      </c>
    </row>
    <row r="3702" spans="18:20" x14ac:dyDescent="0.25">
      <c r="R3702">
        <v>113</v>
      </c>
      <c r="S3702">
        <v>231</v>
      </c>
      <c r="T3702">
        <v>1</v>
      </c>
    </row>
    <row r="3703" spans="18:20" x14ac:dyDescent="0.25">
      <c r="R3703">
        <v>113</v>
      </c>
      <c r="S3703">
        <v>237</v>
      </c>
      <c r="T3703">
        <v>2</v>
      </c>
    </row>
    <row r="3704" spans="18:20" x14ac:dyDescent="0.25">
      <c r="R3704">
        <v>113</v>
      </c>
      <c r="S3704">
        <v>255</v>
      </c>
      <c r="T3704">
        <v>5</v>
      </c>
    </row>
    <row r="3705" spans="18:20" x14ac:dyDescent="0.25">
      <c r="R3705">
        <v>113</v>
      </c>
      <c r="S3705">
        <v>259</v>
      </c>
      <c r="T3705">
        <v>3</v>
      </c>
    </row>
    <row r="3706" spans="18:20" x14ac:dyDescent="0.25">
      <c r="R3706">
        <v>113</v>
      </c>
      <c r="S3706">
        <v>287</v>
      </c>
      <c r="T3706">
        <v>5</v>
      </c>
    </row>
    <row r="3707" spans="18:20" x14ac:dyDescent="0.25">
      <c r="R3707">
        <v>113</v>
      </c>
      <c r="S3707">
        <v>353</v>
      </c>
      <c r="T3707">
        <v>4</v>
      </c>
    </row>
    <row r="3708" spans="18:20" x14ac:dyDescent="0.25">
      <c r="R3708">
        <v>113</v>
      </c>
      <c r="S3708">
        <v>364</v>
      </c>
      <c r="T3708">
        <v>1</v>
      </c>
    </row>
    <row r="3709" spans="18:20" x14ac:dyDescent="0.25">
      <c r="R3709">
        <v>113</v>
      </c>
      <c r="S3709">
        <v>372</v>
      </c>
      <c r="T3709">
        <v>3</v>
      </c>
    </row>
    <row r="3710" spans="18:20" x14ac:dyDescent="0.25">
      <c r="R3710">
        <v>113</v>
      </c>
      <c r="S3710">
        <v>400</v>
      </c>
      <c r="T3710">
        <v>4</v>
      </c>
    </row>
    <row r="3711" spans="18:20" x14ac:dyDescent="0.25">
      <c r="R3711">
        <v>113</v>
      </c>
      <c r="S3711">
        <v>426</v>
      </c>
      <c r="T3711">
        <v>5</v>
      </c>
    </row>
    <row r="3712" spans="18:20" x14ac:dyDescent="0.25">
      <c r="R3712">
        <v>113</v>
      </c>
      <c r="S3712">
        <v>434</v>
      </c>
      <c r="T3712">
        <v>5</v>
      </c>
    </row>
    <row r="3713" spans="18:20" x14ac:dyDescent="0.25">
      <c r="R3713">
        <v>114</v>
      </c>
      <c r="S3713">
        <v>37</v>
      </c>
      <c r="T3713">
        <v>2</v>
      </c>
    </row>
    <row r="3714" spans="18:20" x14ac:dyDescent="0.25">
      <c r="R3714">
        <v>114</v>
      </c>
      <c r="S3714">
        <v>41</v>
      </c>
      <c r="T3714">
        <v>1</v>
      </c>
    </row>
    <row r="3715" spans="18:20" x14ac:dyDescent="0.25">
      <c r="R3715">
        <v>114</v>
      </c>
      <c r="S3715">
        <v>47</v>
      </c>
      <c r="T3715">
        <v>3</v>
      </c>
    </row>
    <row r="3716" spans="18:20" x14ac:dyDescent="0.25">
      <c r="R3716">
        <v>114</v>
      </c>
      <c r="S3716">
        <v>68</v>
      </c>
      <c r="T3716">
        <v>3</v>
      </c>
    </row>
    <row r="3717" spans="18:20" x14ac:dyDescent="0.25">
      <c r="R3717">
        <v>114</v>
      </c>
      <c r="S3717">
        <v>79</v>
      </c>
      <c r="T3717">
        <v>3</v>
      </c>
    </row>
    <row r="3718" spans="18:20" x14ac:dyDescent="0.25">
      <c r="R3718">
        <v>114</v>
      </c>
      <c r="S3718">
        <v>81</v>
      </c>
      <c r="T3718">
        <v>3</v>
      </c>
    </row>
    <row r="3719" spans="18:20" x14ac:dyDescent="0.25">
      <c r="R3719">
        <v>114</v>
      </c>
      <c r="S3719">
        <v>127</v>
      </c>
      <c r="T3719">
        <v>4</v>
      </c>
    </row>
    <row r="3720" spans="18:20" x14ac:dyDescent="0.25">
      <c r="R3720">
        <v>114</v>
      </c>
      <c r="S3720">
        <v>144</v>
      </c>
      <c r="T3720">
        <v>3</v>
      </c>
    </row>
    <row r="3721" spans="18:20" x14ac:dyDescent="0.25">
      <c r="R3721">
        <v>114</v>
      </c>
      <c r="S3721">
        <v>157</v>
      </c>
      <c r="T3721">
        <v>2</v>
      </c>
    </row>
    <row r="3722" spans="18:20" x14ac:dyDescent="0.25">
      <c r="R3722">
        <v>114</v>
      </c>
      <c r="S3722">
        <v>166</v>
      </c>
      <c r="T3722">
        <v>5</v>
      </c>
    </row>
    <row r="3723" spans="18:20" x14ac:dyDescent="0.25">
      <c r="R3723">
        <v>114</v>
      </c>
      <c r="S3723">
        <v>167</v>
      </c>
      <c r="T3723">
        <v>3</v>
      </c>
    </row>
    <row r="3724" spans="18:20" x14ac:dyDescent="0.25">
      <c r="R3724">
        <v>114</v>
      </c>
      <c r="S3724">
        <v>173</v>
      </c>
      <c r="T3724">
        <v>1</v>
      </c>
    </row>
    <row r="3725" spans="18:20" x14ac:dyDescent="0.25">
      <c r="R3725">
        <v>114</v>
      </c>
      <c r="S3725">
        <v>180</v>
      </c>
      <c r="T3725">
        <v>2</v>
      </c>
    </row>
    <row r="3726" spans="18:20" x14ac:dyDescent="0.25">
      <c r="R3726">
        <v>114</v>
      </c>
      <c r="S3726">
        <v>190</v>
      </c>
      <c r="T3726">
        <v>2</v>
      </c>
    </row>
    <row r="3727" spans="18:20" x14ac:dyDescent="0.25">
      <c r="R3727">
        <v>114</v>
      </c>
      <c r="S3727">
        <v>239</v>
      </c>
      <c r="T3727">
        <v>2</v>
      </c>
    </row>
    <row r="3728" spans="18:20" x14ac:dyDescent="0.25">
      <c r="R3728">
        <v>114</v>
      </c>
      <c r="S3728">
        <v>252</v>
      </c>
      <c r="T3728">
        <v>2</v>
      </c>
    </row>
    <row r="3729" spans="18:20" x14ac:dyDescent="0.25">
      <c r="R3729">
        <v>114</v>
      </c>
      <c r="S3729">
        <v>263</v>
      </c>
      <c r="T3729">
        <v>5</v>
      </c>
    </row>
    <row r="3730" spans="18:20" x14ac:dyDescent="0.25">
      <c r="R3730">
        <v>114</v>
      </c>
      <c r="S3730">
        <v>280</v>
      </c>
      <c r="T3730">
        <v>4</v>
      </c>
    </row>
    <row r="3731" spans="18:20" x14ac:dyDescent="0.25">
      <c r="R3731">
        <v>114</v>
      </c>
      <c r="S3731">
        <v>282</v>
      </c>
      <c r="T3731">
        <v>5</v>
      </c>
    </row>
    <row r="3732" spans="18:20" x14ac:dyDescent="0.25">
      <c r="R3732">
        <v>114</v>
      </c>
      <c r="S3732">
        <v>297</v>
      </c>
      <c r="T3732">
        <v>4</v>
      </c>
    </row>
    <row r="3733" spans="18:20" x14ac:dyDescent="0.25">
      <c r="R3733">
        <v>114</v>
      </c>
      <c r="S3733">
        <v>315</v>
      </c>
      <c r="T3733">
        <v>4</v>
      </c>
    </row>
    <row r="3734" spans="18:20" x14ac:dyDescent="0.25">
      <c r="R3734">
        <v>114</v>
      </c>
      <c r="S3734">
        <v>318</v>
      </c>
      <c r="T3734">
        <v>5</v>
      </c>
    </row>
    <row r="3735" spans="18:20" x14ac:dyDescent="0.25">
      <c r="R3735">
        <v>114</v>
      </c>
      <c r="S3735">
        <v>319</v>
      </c>
      <c r="T3735">
        <v>4</v>
      </c>
    </row>
    <row r="3736" spans="18:20" x14ac:dyDescent="0.25">
      <c r="R3736">
        <v>114</v>
      </c>
      <c r="S3736">
        <v>322</v>
      </c>
      <c r="T3736">
        <v>2</v>
      </c>
    </row>
    <row r="3737" spans="18:20" x14ac:dyDescent="0.25">
      <c r="R3737">
        <v>114</v>
      </c>
      <c r="S3737">
        <v>323</v>
      </c>
      <c r="T3737">
        <v>5</v>
      </c>
    </row>
    <row r="3738" spans="18:20" x14ac:dyDescent="0.25">
      <c r="R3738">
        <v>114</v>
      </c>
      <c r="S3738">
        <v>324</v>
      </c>
      <c r="T3738">
        <v>3</v>
      </c>
    </row>
    <row r="3739" spans="18:20" x14ac:dyDescent="0.25">
      <c r="R3739">
        <v>114</v>
      </c>
      <c r="S3739">
        <v>332</v>
      </c>
      <c r="T3739">
        <v>2</v>
      </c>
    </row>
    <row r="3740" spans="18:20" x14ac:dyDescent="0.25">
      <c r="R3740">
        <v>114</v>
      </c>
      <c r="S3740">
        <v>338</v>
      </c>
      <c r="T3740">
        <v>5</v>
      </c>
    </row>
    <row r="3741" spans="18:20" x14ac:dyDescent="0.25">
      <c r="R3741">
        <v>114</v>
      </c>
      <c r="S3741">
        <v>366</v>
      </c>
      <c r="T3741">
        <v>2</v>
      </c>
    </row>
    <row r="3742" spans="18:20" x14ac:dyDescent="0.25">
      <c r="R3742">
        <v>114</v>
      </c>
      <c r="S3742">
        <v>373</v>
      </c>
      <c r="T3742">
        <v>2</v>
      </c>
    </row>
    <row r="3743" spans="18:20" x14ac:dyDescent="0.25">
      <c r="R3743">
        <v>114</v>
      </c>
      <c r="S3743">
        <v>390</v>
      </c>
      <c r="T3743">
        <v>5</v>
      </c>
    </row>
    <row r="3744" spans="18:20" x14ac:dyDescent="0.25">
      <c r="R3744">
        <v>114</v>
      </c>
      <c r="S3744">
        <v>413</v>
      </c>
      <c r="T3744">
        <v>1</v>
      </c>
    </row>
    <row r="3745" spans="18:20" x14ac:dyDescent="0.25">
      <c r="R3745">
        <v>114</v>
      </c>
      <c r="S3745">
        <v>414</v>
      </c>
      <c r="T3745">
        <v>2</v>
      </c>
    </row>
    <row r="3746" spans="18:20" x14ac:dyDescent="0.25">
      <c r="R3746">
        <v>115</v>
      </c>
      <c r="S3746">
        <v>18</v>
      </c>
      <c r="T3746">
        <v>5</v>
      </c>
    </row>
    <row r="3747" spans="18:20" x14ac:dyDescent="0.25">
      <c r="R3747">
        <v>115</v>
      </c>
      <c r="S3747">
        <v>23</v>
      </c>
      <c r="T3747">
        <v>5</v>
      </c>
    </row>
    <row r="3748" spans="18:20" x14ac:dyDescent="0.25">
      <c r="R3748">
        <v>115</v>
      </c>
      <c r="S3748">
        <v>55</v>
      </c>
      <c r="T3748">
        <v>3</v>
      </c>
    </row>
    <row r="3749" spans="18:20" x14ac:dyDescent="0.25">
      <c r="R3749">
        <v>115</v>
      </c>
      <c r="S3749">
        <v>69</v>
      </c>
      <c r="T3749">
        <v>5</v>
      </c>
    </row>
    <row r="3750" spans="18:20" x14ac:dyDescent="0.25">
      <c r="R3750">
        <v>115</v>
      </c>
      <c r="S3750">
        <v>92</v>
      </c>
      <c r="T3750">
        <v>5</v>
      </c>
    </row>
    <row r="3751" spans="18:20" x14ac:dyDescent="0.25">
      <c r="R3751">
        <v>115</v>
      </c>
      <c r="S3751">
        <v>106</v>
      </c>
      <c r="T3751">
        <v>3</v>
      </c>
    </row>
    <row r="3752" spans="18:20" x14ac:dyDescent="0.25">
      <c r="R3752">
        <v>115</v>
      </c>
      <c r="S3752">
        <v>111</v>
      </c>
      <c r="T3752">
        <v>4</v>
      </c>
    </row>
    <row r="3753" spans="18:20" x14ac:dyDescent="0.25">
      <c r="R3753">
        <v>115</v>
      </c>
      <c r="S3753">
        <v>124</v>
      </c>
      <c r="T3753">
        <v>3</v>
      </c>
    </row>
    <row r="3754" spans="18:20" x14ac:dyDescent="0.25">
      <c r="R3754">
        <v>115</v>
      </c>
      <c r="S3754">
        <v>126</v>
      </c>
      <c r="T3754">
        <v>1</v>
      </c>
    </row>
    <row r="3755" spans="18:20" x14ac:dyDescent="0.25">
      <c r="R3755">
        <v>115</v>
      </c>
      <c r="S3755">
        <v>134</v>
      </c>
      <c r="T3755">
        <v>4</v>
      </c>
    </row>
    <row r="3756" spans="18:20" x14ac:dyDescent="0.25">
      <c r="R3756">
        <v>115</v>
      </c>
      <c r="S3756">
        <v>147</v>
      </c>
      <c r="T3756">
        <v>5</v>
      </c>
    </row>
    <row r="3757" spans="18:20" x14ac:dyDescent="0.25">
      <c r="R3757">
        <v>115</v>
      </c>
      <c r="S3757">
        <v>151</v>
      </c>
      <c r="T3757">
        <v>2</v>
      </c>
    </row>
    <row r="3758" spans="18:20" x14ac:dyDescent="0.25">
      <c r="R3758">
        <v>115</v>
      </c>
      <c r="S3758">
        <v>165</v>
      </c>
      <c r="T3758">
        <v>3</v>
      </c>
    </row>
    <row r="3759" spans="18:20" x14ac:dyDescent="0.25">
      <c r="R3759">
        <v>115</v>
      </c>
      <c r="S3759">
        <v>172</v>
      </c>
      <c r="T3759">
        <v>3</v>
      </c>
    </row>
    <row r="3760" spans="18:20" x14ac:dyDescent="0.25">
      <c r="R3760">
        <v>115</v>
      </c>
      <c r="S3760">
        <v>178</v>
      </c>
      <c r="T3760">
        <v>3</v>
      </c>
    </row>
    <row r="3761" spans="18:20" x14ac:dyDescent="0.25">
      <c r="R3761">
        <v>115</v>
      </c>
      <c r="S3761">
        <v>193</v>
      </c>
      <c r="T3761">
        <v>4</v>
      </c>
    </row>
    <row r="3762" spans="18:20" x14ac:dyDescent="0.25">
      <c r="R3762">
        <v>115</v>
      </c>
      <c r="S3762">
        <v>203</v>
      </c>
      <c r="T3762">
        <v>4</v>
      </c>
    </row>
    <row r="3763" spans="18:20" x14ac:dyDescent="0.25">
      <c r="R3763">
        <v>115</v>
      </c>
      <c r="S3763">
        <v>217</v>
      </c>
      <c r="T3763">
        <v>3</v>
      </c>
    </row>
    <row r="3764" spans="18:20" x14ac:dyDescent="0.25">
      <c r="R3764">
        <v>115</v>
      </c>
      <c r="S3764">
        <v>335</v>
      </c>
      <c r="T3764">
        <v>2</v>
      </c>
    </row>
    <row r="3765" spans="18:20" x14ac:dyDescent="0.25">
      <c r="R3765">
        <v>115</v>
      </c>
      <c r="S3765">
        <v>368</v>
      </c>
      <c r="T3765">
        <v>4</v>
      </c>
    </row>
    <row r="3766" spans="18:20" x14ac:dyDescent="0.25">
      <c r="R3766">
        <v>115</v>
      </c>
      <c r="S3766">
        <v>376</v>
      </c>
      <c r="T3766">
        <v>3</v>
      </c>
    </row>
    <row r="3767" spans="18:20" x14ac:dyDescent="0.25">
      <c r="R3767">
        <v>115</v>
      </c>
      <c r="S3767">
        <v>386</v>
      </c>
      <c r="T3767">
        <v>4</v>
      </c>
    </row>
    <row r="3768" spans="18:20" x14ac:dyDescent="0.25">
      <c r="R3768">
        <v>115</v>
      </c>
      <c r="S3768">
        <v>411</v>
      </c>
      <c r="T3768">
        <v>4</v>
      </c>
    </row>
    <row r="3769" spans="18:20" x14ac:dyDescent="0.25">
      <c r="R3769">
        <v>115</v>
      </c>
      <c r="S3769">
        <v>412</v>
      </c>
      <c r="T3769">
        <v>3</v>
      </c>
    </row>
    <row r="3770" spans="18:20" x14ac:dyDescent="0.25">
      <c r="R3770">
        <v>115</v>
      </c>
      <c r="S3770">
        <v>428</v>
      </c>
      <c r="T3770">
        <v>5</v>
      </c>
    </row>
    <row r="3771" spans="18:20" x14ac:dyDescent="0.25">
      <c r="R3771">
        <v>116</v>
      </c>
      <c r="S3771">
        <v>5</v>
      </c>
      <c r="T3771">
        <v>2</v>
      </c>
    </row>
    <row r="3772" spans="18:20" x14ac:dyDescent="0.25">
      <c r="R3772">
        <v>116</v>
      </c>
      <c r="S3772">
        <v>21</v>
      </c>
      <c r="T3772">
        <v>1</v>
      </c>
    </row>
    <row r="3773" spans="18:20" x14ac:dyDescent="0.25">
      <c r="R3773">
        <v>116</v>
      </c>
      <c r="S3773">
        <v>25</v>
      </c>
      <c r="T3773">
        <v>5</v>
      </c>
    </row>
    <row r="3774" spans="18:20" x14ac:dyDescent="0.25">
      <c r="R3774">
        <v>116</v>
      </c>
      <c r="S3774">
        <v>30</v>
      </c>
      <c r="T3774">
        <v>3</v>
      </c>
    </row>
    <row r="3775" spans="18:20" x14ac:dyDescent="0.25">
      <c r="R3775">
        <v>116</v>
      </c>
      <c r="S3775">
        <v>43</v>
      </c>
      <c r="T3775">
        <v>3</v>
      </c>
    </row>
    <row r="3776" spans="18:20" x14ac:dyDescent="0.25">
      <c r="R3776">
        <v>116</v>
      </c>
      <c r="S3776">
        <v>50</v>
      </c>
      <c r="T3776">
        <v>4</v>
      </c>
    </row>
    <row r="3777" spans="18:20" x14ac:dyDescent="0.25">
      <c r="R3777">
        <v>116</v>
      </c>
      <c r="S3777">
        <v>82</v>
      </c>
      <c r="T3777">
        <v>3</v>
      </c>
    </row>
    <row r="3778" spans="18:20" x14ac:dyDescent="0.25">
      <c r="R3778">
        <v>116</v>
      </c>
      <c r="S3778">
        <v>84</v>
      </c>
      <c r="T3778">
        <v>4</v>
      </c>
    </row>
    <row r="3779" spans="18:20" x14ac:dyDescent="0.25">
      <c r="R3779">
        <v>116</v>
      </c>
      <c r="S3779">
        <v>91</v>
      </c>
      <c r="T3779">
        <v>3</v>
      </c>
    </row>
    <row r="3780" spans="18:20" x14ac:dyDescent="0.25">
      <c r="R3780">
        <v>116</v>
      </c>
      <c r="S3780">
        <v>114</v>
      </c>
      <c r="T3780">
        <v>3</v>
      </c>
    </row>
    <row r="3781" spans="18:20" x14ac:dyDescent="0.25">
      <c r="R3781">
        <v>116</v>
      </c>
      <c r="S3781">
        <v>117</v>
      </c>
      <c r="T3781">
        <v>3</v>
      </c>
    </row>
    <row r="3782" spans="18:20" x14ac:dyDescent="0.25">
      <c r="R3782">
        <v>116</v>
      </c>
      <c r="S3782">
        <v>153</v>
      </c>
      <c r="T3782">
        <v>1</v>
      </c>
    </row>
    <row r="3783" spans="18:20" x14ac:dyDescent="0.25">
      <c r="R3783">
        <v>116</v>
      </c>
      <c r="S3783">
        <v>171</v>
      </c>
      <c r="T3783">
        <v>5</v>
      </c>
    </row>
    <row r="3784" spans="18:20" x14ac:dyDescent="0.25">
      <c r="R3784">
        <v>116</v>
      </c>
      <c r="S3784">
        <v>172</v>
      </c>
      <c r="T3784">
        <v>3</v>
      </c>
    </row>
    <row r="3785" spans="18:20" x14ac:dyDescent="0.25">
      <c r="R3785">
        <v>116</v>
      </c>
      <c r="S3785">
        <v>173</v>
      </c>
      <c r="T3785">
        <v>2</v>
      </c>
    </row>
    <row r="3786" spans="18:20" x14ac:dyDescent="0.25">
      <c r="R3786">
        <v>116</v>
      </c>
      <c r="S3786">
        <v>176</v>
      </c>
      <c r="T3786">
        <v>4</v>
      </c>
    </row>
    <row r="3787" spans="18:20" x14ac:dyDescent="0.25">
      <c r="R3787">
        <v>116</v>
      </c>
      <c r="S3787">
        <v>181</v>
      </c>
      <c r="T3787">
        <v>1</v>
      </c>
    </row>
    <row r="3788" spans="18:20" x14ac:dyDescent="0.25">
      <c r="R3788">
        <v>116</v>
      </c>
      <c r="S3788">
        <v>183</v>
      </c>
      <c r="T3788">
        <v>1</v>
      </c>
    </row>
    <row r="3789" spans="18:20" x14ac:dyDescent="0.25">
      <c r="R3789">
        <v>116</v>
      </c>
      <c r="S3789">
        <v>191</v>
      </c>
      <c r="T3789">
        <v>1</v>
      </c>
    </row>
    <row r="3790" spans="18:20" x14ac:dyDescent="0.25">
      <c r="R3790">
        <v>116</v>
      </c>
      <c r="S3790">
        <v>240</v>
      </c>
      <c r="T3790">
        <v>1</v>
      </c>
    </row>
    <row r="3791" spans="18:20" x14ac:dyDescent="0.25">
      <c r="R3791">
        <v>116</v>
      </c>
      <c r="S3791">
        <v>242</v>
      </c>
      <c r="T3791">
        <v>4</v>
      </c>
    </row>
    <row r="3792" spans="18:20" x14ac:dyDescent="0.25">
      <c r="R3792">
        <v>116</v>
      </c>
      <c r="S3792">
        <v>259</v>
      </c>
      <c r="T3792">
        <v>3</v>
      </c>
    </row>
    <row r="3793" spans="18:20" x14ac:dyDescent="0.25">
      <c r="R3793">
        <v>116</v>
      </c>
      <c r="S3793">
        <v>259</v>
      </c>
      <c r="T3793">
        <v>3</v>
      </c>
    </row>
    <row r="3794" spans="18:20" x14ac:dyDescent="0.25">
      <c r="R3794">
        <v>116</v>
      </c>
      <c r="S3794">
        <v>263</v>
      </c>
      <c r="T3794">
        <v>2</v>
      </c>
    </row>
    <row r="3795" spans="18:20" x14ac:dyDescent="0.25">
      <c r="R3795">
        <v>116</v>
      </c>
      <c r="S3795">
        <v>288</v>
      </c>
      <c r="T3795">
        <v>2</v>
      </c>
    </row>
    <row r="3796" spans="18:20" x14ac:dyDescent="0.25">
      <c r="R3796">
        <v>116</v>
      </c>
      <c r="S3796">
        <v>298</v>
      </c>
      <c r="T3796">
        <v>2</v>
      </c>
    </row>
    <row r="3797" spans="18:20" x14ac:dyDescent="0.25">
      <c r="R3797">
        <v>116</v>
      </c>
      <c r="S3797">
        <v>308</v>
      </c>
      <c r="T3797">
        <v>3</v>
      </c>
    </row>
    <row r="3798" spans="18:20" x14ac:dyDescent="0.25">
      <c r="R3798">
        <v>116</v>
      </c>
      <c r="S3798">
        <v>318</v>
      </c>
      <c r="T3798">
        <v>4</v>
      </c>
    </row>
    <row r="3799" spans="18:20" x14ac:dyDescent="0.25">
      <c r="R3799">
        <v>116</v>
      </c>
      <c r="S3799">
        <v>319</v>
      </c>
      <c r="T3799">
        <v>3</v>
      </c>
    </row>
    <row r="3800" spans="18:20" x14ac:dyDescent="0.25">
      <c r="R3800">
        <v>116</v>
      </c>
      <c r="S3800">
        <v>324</v>
      </c>
      <c r="T3800">
        <v>1</v>
      </c>
    </row>
    <row r="3801" spans="18:20" x14ac:dyDescent="0.25">
      <c r="R3801">
        <v>116</v>
      </c>
      <c r="S3801">
        <v>335</v>
      </c>
      <c r="T3801">
        <v>2</v>
      </c>
    </row>
    <row r="3802" spans="18:20" x14ac:dyDescent="0.25">
      <c r="R3802">
        <v>116</v>
      </c>
      <c r="S3802">
        <v>358</v>
      </c>
      <c r="T3802">
        <v>3</v>
      </c>
    </row>
    <row r="3803" spans="18:20" x14ac:dyDescent="0.25">
      <c r="R3803">
        <v>116</v>
      </c>
      <c r="S3803">
        <v>365</v>
      </c>
      <c r="T3803">
        <v>2</v>
      </c>
    </row>
    <row r="3804" spans="18:20" x14ac:dyDescent="0.25">
      <c r="R3804">
        <v>116</v>
      </c>
      <c r="S3804">
        <v>383</v>
      </c>
      <c r="T3804">
        <v>2</v>
      </c>
    </row>
    <row r="3805" spans="18:20" x14ac:dyDescent="0.25">
      <c r="R3805">
        <v>116</v>
      </c>
      <c r="S3805">
        <v>399</v>
      </c>
      <c r="T3805">
        <v>4</v>
      </c>
    </row>
    <row r="3806" spans="18:20" x14ac:dyDescent="0.25">
      <c r="R3806">
        <v>116</v>
      </c>
      <c r="S3806">
        <v>401</v>
      </c>
      <c r="T3806">
        <v>5</v>
      </c>
    </row>
    <row r="3807" spans="18:20" x14ac:dyDescent="0.25">
      <c r="R3807">
        <v>116</v>
      </c>
      <c r="S3807">
        <v>405</v>
      </c>
      <c r="T3807">
        <v>2</v>
      </c>
    </row>
    <row r="3808" spans="18:20" x14ac:dyDescent="0.25">
      <c r="R3808">
        <v>116</v>
      </c>
      <c r="S3808">
        <v>407</v>
      </c>
      <c r="T3808">
        <v>2</v>
      </c>
    </row>
    <row r="3809" spans="18:20" x14ac:dyDescent="0.25">
      <c r="R3809">
        <v>116</v>
      </c>
      <c r="S3809">
        <v>426</v>
      </c>
      <c r="T3809">
        <v>1</v>
      </c>
    </row>
    <row r="3810" spans="18:20" x14ac:dyDescent="0.25">
      <c r="R3810">
        <v>117</v>
      </c>
      <c r="S3810">
        <v>9</v>
      </c>
      <c r="T3810">
        <v>2</v>
      </c>
    </row>
    <row r="3811" spans="18:20" x14ac:dyDescent="0.25">
      <c r="R3811">
        <v>117</v>
      </c>
      <c r="S3811">
        <v>29</v>
      </c>
      <c r="T3811">
        <v>1</v>
      </c>
    </row>
    <row r="3812" spans="18:20" x14ac:dyDescent="0.25">
      <c r="R3812">
        <v>117</v>
      </c>
      <c r="S3812">
        <v>50</v>
      </c>
      <c r="T3812">
        <v>1</v>
      </c>
    </row>
    <row r="3813" spans="18:20" x14ac:dyDescent="0.25">
      <c r="R3813">
        <v>117</v>
      </c>
      <c r="S3813">
        <v>78</v>
      </c>
      <c r="T3813">
        <v>2</v>
      </c>
    </row>
    <row r="3814" spans="18:20" x14ac:dyDescent="0.25">
      <c r="R3814">
        <v>117</v>
      </c>
      <c r="S3814">
        <v>93</v>
      </c>
      <c r="T3814">
        <v>2</v>
      </c>
    </row>
    <row r="3815" spans="18:20" x14ac:dyDescent="0.25">
      <c r="R3815">
        <v>117</v>
      </c>
      <c r="S3815">
        <v>102</v>
      </c>
      <c r="T3815">
        <v>5</v>
      </c>
    </row>
    <row r="3816" spans="18:20" x14ac:dyDescent="0.25">
      <c r="R3816">
        <v>117</v>
      </c>
      <c r="S3816">
        <v>120</v>
      </c>
      <c r="T3816">
        <v>1</v>
      </c>
    </row>
    <row r="3817" spans="18:20" x14ac:dyDescent="0.25">
      <c r="R3817">
        <v>117</v>
      </c>
      <c r="S3817">
        <v>129</v>
      </c>
      <c r="T3817">
        <v>4</v>
      </c>
    </row>
    <row r="3818" spans="18:20" x14ac:dyDescent="0.25">
      <c r="R3818">
        <v>117</v>
      </c>
      <c r="S3818">
        <v>132</v>
      </c>
      <c r="T3818">
        <v>4</v>
      </c>
    </row>
    <row r="3819" spans="18:20" x14ac:dyDescent="0.25">
      <c r="R3819">
        <v>117</v>
      </c>
      <c r="S3819">
        <v>159</v>
      </c>
      <c r="T3819">
        <v>1</v>
      </c>
    </row>
    <row r="3820" spans="18:20" x14ac:dyDescent="0.25">
      <c r="R3820">
        <v>117</v>
      </c>
      <c r="S3820">
        <v>159</v>
      </c>
      <c r="T3820">
        <v>5</v>
      </c>
    </row>
    <row r="3821" spans="18:20" x14ac:dyDescent="0.25">
      <c r="R3821">
        <v>117</v>
      </c>
      <c r="S3821">
        <v>165</v>
      </c>
      <c r="T3821">
        <v>5</v>
      </c>
    </row>
    <row r="3822" spans="18:20" x14ac:dyDescent="0.25">
      <c r="R3822">
        <v>117</v>
      </c>
      <c r="S3822">
        <v>167</v>
      </c>
      <c r="T3822">
        <v>1</v>
      </c>
    </row>
    <row r="3823" spans="18:20" x14ac:dyDescent="0.25">
      <c r="R3823">
        <v>117</v>
      </c>
      <c r="S3823">
        <v>185</v>
      </c>
      <c r="T3823">
        <v>2</v>
      </c>
    </row>
    <row r="3824" spans="18:20" x14ac:dyDescent="0.25">
      <c r="R3824">
        <v>117</v>
      </c>
      <c r="S3824">
        <v>189</v>
      </c>
      <c r="T3824">
        <v>4</v>
      </c>
    </row>
    <row r="3825" spans="18:20" x14ac:dyDescent="0.25">
      <c r="R3825">
        <v>117</v>
      </c>
      <c r="S3825">
        <v>206</v>
      </c>
      <c r="T3825">
        <v>1</v>
      </c>
    </row>
    <row r="3826" spans="18:20" x14ac:dyDescent="0.25">
      <c r="R3826">
        <v>117</v>
      </c>
      <c r="S3826">
        <v>218</v>
      </c>
      <c r="T3826">
        <v>4</v>
      </c>
    </row>
    <row r="3827" spans="18:20" x14ac:dyDescent="0.25">
      <c r="R3827">
        <v>117</v>
      </c>
      <c r="S3827">
        <v>226</v>
      </c>
      <c r="T3827">
        <v>4</v>
      </c>
    </row>
    <row r="3828" spans="18:20" x14ac:dyDescent="0.25">
      <c r="R3828">
        <v>117</v>
      </c>
      <c r="S3828">
        <v>229</v>
      </c>
      <c r="T3828">
        <v>4</v>
      </c>
    </row>
    <row r="3829" spans="18:20" x14ac:dyDescent="0.25">
      <c r="R3829">
        <v>117</v>
      </c>
      <c r="S3829">
        <v>230</v>
      </c>
      <c r="T3829">
        <v>3</v>
      </c>
    </row>
    <row r="3830" spans="18:20" x14ac:dyDescent="0.25">
      <c r="R3830">
        <v>117</v>
      </c>
      <c r="S3830">
        <v>237</v>
      </c>
      <c r="T3830">
        <v>3</v>
      </c>
    </row>
    <row r="3831" spans="18:20" x14ac:dyDescent="0.25">
      <c r="R3831">
        <v>117</v>
      </c>
      <c r="S3831">
        <v>254</v>
      </c>
      <c r="T3831">
        <v>4</v>
      </c>
    </row>
    <row r="3832" spans="18:20" x14ac:dyDescent="0.25">
      <c r="R3832">
        <v>117</v>
      </c>
      <c r="S3832">
        <v>261</v>
      </c>
      <c r="T3832">
        <v>5</v>
      </c>
    </row>
    <row r="3833" spans="18:20" x14ac:dyDescent="0.25">
      <c r="R3833">
        <v>117</v>
      </c>
      <c r="S3833">
        <v>279</v>
      </c>
      <c r="T3833">
        <v>3</v>
      </c>
    </row>
    <row r="3834" spans="18:20" x14ac:dyDescent="0.25">
      <c r="R3834">
        <v>117</v>
      </c>
      <c r="S3834">
        <v>282</v>
      </c>
      <c r="T3834">
        <v>3</v>
      </c>
    </row>
    <row r="3835" spans="18:20" x14ac:dyDescent="0.25">
      <c r="R3835">
        <v>117</v>
      </c>
      <c r="S3835">
        <v>298</v>
      </c>
      <c r="T3835">
        <v>2</v>
      </c>
    </row>
    <row r="3836" spans="18:20" x14ac:dyDescent="0.25">
      <c r="R3836">
        <v>117</v>
      </c>
      <c r="S3836">
        <v>307</v>
      </c>
      <c r="T3836">
        <v>4</v>
      </c>
    </row>
    <row r="3837" spans="18:20" x14ac:dyDescent="0.25">
      <c r="R3837">
        <v>117</v>
      </c>
      <c r="S3837">
        <v>331</v>
      </c>
      <c r="T3837">
        <v>5</v>
      </c>
    </row>
    <row r="3838" spans="18:20" x14ac:dyDescent="0.25">
      <c r="R3838">
        <v>117</v>
      </c>
      <c r="S3838">
        <v>345</v>
      </c>
      <c r="T3838">
        <v>5</v>
      </c>
    </row>
    <row r="3839" spans="18:20" x14ac:dyDescent="0.25">
      <c r="R3839">
        <v>117</v>
      </c>
      <c r="S3839">
        <v>359</v>
      </c>
      <c r="T3839">
        <v>1</v>
      </c>
    </row>
    <row r="3840" spans="18:20" x14ac:dyDescent="0.25">
      <c r="R3840">
        <v>117</v>
      </c>
      <c r="S3840">
        <v>367</v>
      </c>
      <c r="T3840">
        <v>2</v>
      </c>
    </row>
    <row r="3841" spans="18:20" x14ac:dyDescent="0.25">
      <c r="R3841">
        <v>117</v>
      </c>
      <c r="S3841">
        <v>368</v>
      </c>
      <c r="T3841">
        <v>4</v>
      </c>
    </row>
    <row r="3842" spans="18:20" x14ac:dyDescent="0.25">
      <c r="R3842">
        <v>117</v>
      </c>
      <c r="S3842">
        <v>374</v>
      </c>
      <c r="T3842">
        <v>2</v>
      </c>
    </row>
    <row r="3843" spans="18:20" x14ac:dyDescent="0.25">
      <c r="R3843">
        <v>117</v>
      </c>
      <c r="S3843">
        <v>378</v>
      </c>
      <c r="T3843">
        <v>4</v>
      </c>
    </row>
    <row r="3844" spans="18:20" x14ac:dyDescent="0.25">
      <c r="R3844">
        <v>117</v>
      </c>
      <c r="S3844">
        <v>382</v>
      </c>
      <c r="T3844">
        <v>3</v>
      </c>
    </row>
    <row r="3845" spans="18:20" x14ac:dyDescent="0.25">
      <c r="R3845">
        <v>117</v>
      </c>
      <c r="S3845">
        <v>412</v>
      </c>
      <c r="T3845">
        <v>5</v>
      </c>
    </row>
    <row r="3846" spans="18:20" x14ac:dyDescent="0.25">
      <c r="R3846">
        <v>118</v>
      </c>
      <c r="S3846">
        <v>1</v>
      </c>
      <c r="T3846">
        <v>4</v>
      </c>
    </row>
    <row r="3847" spans="18:20" x14ac:dyDescent="0.25">
      <c r="R3847">
        <v>118</v>
      </c>
      <c r="S3847">
        <v>8</v>
      </c>
      <c r="T3847">
        <v>2</v>
      </c>
    </row>
    <row r="3848" spans="18:20" x14ac:dyDescent="0.25">
      <c r="R3848">
        <v>118</v>
      </c>
      <c r="S3848">
        <v>21</v>
      </c>
      <c r="T3848">
        <v>4</v>
      </c>
    </row>
    <row r="3849" spans="18:20" x14ac:dyDescent="0.25">
      <c r="R3849">
        <v>118</v>
      </c>
      <c r="S3849">
        <v>73</v>
      </c>
      <c r="T3849">
        <v>1</v>
      </c>
    </row>
    <row r="3850" spans="18:20" x14ac:dyDescent="0.25">
      <c r="R3850">
        <v>118</v>
      </c>
      <c r="S3850">
        <v>80</v>
      </c>
      <c r="T3850">
        <v>2</v>
      </c>
    </row>
    <row r="3851" spans="18:20" x14ac:dyDescent="0.25">
      <c r="R3851">
        <v>118</v>
      </c>
      <c r="S3851">
        <v>138</v>
      </c>
      <c r="T3851">
        <v>2</v>
      </c>
    </row>
    <row r="3852" spans="18:20" x14ac:dyDescent="0.25">
      <c r="R3852">
        <v>118</v>
      </c>
      <c r="S3852">
        <v>146</v>
      </c>
      <c r="T3852">
        <v>3</v>
      </c>
    </row>
    <row r="3853" spans="18:20" x14ac:dyDescent="0.25">
      <c r="R3853">
        <v>118</v>
      </c>
      <c r="S3853">
        <v>157</v>
      </c>
      <c r="T3853">
        <v>4</v>
      </c>
    </row>
    <row r="3854" spans="18:20" x14ac:dyDescent="0.25">
      <c r="R3854">
        <v>118</v>
      </c>
      <c r="S3854">
        <v>159</v>
      </c>
      <c r="T3854">
        <v>5</v>
      </c>
    </row>
    <row r="3855" spans="18:20" x14ac:dyDescent="0.25">
      <c r="R3855">
        <v>118</v>
      </c>
      <c r="S3855">
        <v>167</v>
      </c>
      <c r="T3855">
        <v>5</v>
      </c>
    </row>
    <row r="3856" spans="18:20" x14ac:dyDescent="0.25">
      <c r="R3856">
        <v>118</v>
      </c>
      <c r="S3856">
        <v>195</v>
      </c>
      <c r="T3856">
        <v>4</v>
      </c>
    </row>
    <row r="3857" spans="18:20" x14ac:dyDescent="0.25">
      <c r="R3857">
        <v>118</v>
      </c>
      <c r="S3857">
        <v>202</v>
      </c>
      <c r="T3857">
        <v>2</v>
      </c>
    </row>
    <row r="3858" spans="18:20" x14ac:dyDescent="0.25">
      <c r="R3858">
        <v>118</v>
      </c>
      <c r="S3858">
        <v>215</v>
      </c>
      <c r="T3858">
        <v>5</v>
      </c>
    </row>
    <row r="3859" spans="18:20" x14ac:dyDescent="0.25">
      <c r="R3859">
        <v>118</v>
      </c>
      <c r="S3859">
        <v>235</v>
      </c>
      <c r="T3859">
        <v>2</v>
      </c>
    </row>
    <row r="3860" spans="18:20" x14ac:dyDescent="0.25">
      <c r="R3860">
        <v>118</v>
      </c>
      <c r="S3860">
        <v>243</v>
      </c>
      <c r="T3860">
        <v>1</v>
      </c>
    </row>
    <row r="3861" spans="18:20" x14ac:dyDescent="0.25">
      <c r="R3861">
        <v>118</v>
      </c>
      <c r="S3861">
        <v>253</v>
      </c>
      <c r="T3861">
        <v>2</v>
      </c>
    </row>
    <row r="3862" spans="18:20" x14ac:dyDescent="0.25">
      <c r="R3862">
        <v>118</v>
      </c>
      <c r="S3862">
        <v>265</v>
      </c>
      <c r="T3862">
        <v>4</v>
      </c>
    </row>
    <row r="3863" spans="18:20" x14ac:dyDescent="0.25">
      <c r="R3863">
        <v>118</v>
      </c>
      <c r="S3863">
        <v>322</v>
      </c>
      <c r="T3863">
        <v>4</v>
      </c>
    </row>
    <row r="3864" spans="18:20" x14ac:dyDescent="0.25">
      <c r="R3864">
        <v>118</v>
      </c>
      <c r="S3864">
        <v>344</v>
      </c>
      <c r="T3864">
        <v>5</v>
      </c>
    </row>
    <row r="3865" spans="18:20" x14ac:dyDescent="0.25">
      <c r="R3865">
        <v>118</v>
      </c>
      <c r="S3865">
        <v>348</v>
      </c>
      <c r="T3865">
        <v>4</v>
      </c>
    </row>
    <row r="3866" spans="18:20" x14ac:dyDescent="0.25">
      <c r="R3866">
        <v>118</v>
      </c>
      <c r="S3866">
        <v>351</v>
      </c>
      <c r="T3866">
        <v>2</v>
      </c>
    </row>
    <row r="3867" spans="18:20" x14ac:dyDescent="0.25">
      <c r="R3867">
        <v>118</v>
      </c>
      <c r="S3867">
        <v>353</v>
      </c>
      <c r="T3867">
        <v>1</v>
      </c>
    </row>
    <row r="3868" spans="18:20" x14ac:dyDescent="0.25">
      <c r="R3868">
        <v>118</v>
      </c>
      <c r="S3868">
        <v>380</v>
      </c>
      <c r="T3868">
        <v>3</v>
      </c>
    </row>
    <row r="3869" spans="18:20" x14ac:dyDescent="0.25">
      <c r="R3869">
        <v>118</v>
      </c>
      <c r="S3869">
        <v>399</v>
      </c>
      <c r="T3869">
        <v>4</v>
      </c>
    </row>
    <row r="3870" spans="18:20" x14ac:dyDescent="0.25">
      <c r="R3870">
        <v>118</v>
      </c>
      <c r="S3870">
        <v>411</v>
      </c>
      <c r="T3870">
        <v>4</v>
      </c>
    </row>
    <row r="3871" spans="18:20" x14ac:dyDescent="0.25">
      <c r="R3871">
        <v>118</v>
      </c>
      <c r="S3871">
        <v>412</v>
      </c>
      <c r="T3871">
        <v>2</v>
      </c>
    </row>
    <row r="3872" spans="18:20" x14ac:dyDescent="0.25">
      <c r="R3872">
        <v>118</v>
      </c>
      <c r="S3872">
        <v>413</v>
      </c>
      <c r="T3872">
        <v>2</v>
      </c>
    </row>
    <row r="3873" spans="18:20" x14ac:dyDescent="0.25">
      <c r="R3873">
        <v>118</v>
      </c>
      <c r="S3873">
        <v>416</v>
      </c>
      <c r="T3873">
        <v>1</v>
      </c>
    </row>
    <row r="3874" spans="18:20" x14ac:dyDescent="0.25">
      <c r="R3874">
        <v>118</v>
      </c>
      <c r="S3874">
        <v>418</v>
      </c>
      <c r="T3874">
        <v>5</v>
      </c>
    </row>
    <row r="3875" spans="18:20" x14ac:dyDescent="0.25">
      <c r="R3875">
        <v>118</v>
      </c>
      <c r="S3875">
        <v>423</v>
      </c>
      <c r="T3875">
        <v>4</v>
      </c>
    </row>
    <row r="3876" spans="18:20" x14ac:dyDescent="0.25">
      <c r="R3876">
        <v>118</v>
      </c>
      <c r="S3876">
        <v>425</v>
      </c>
      <c r="T3876">
        <v>3</v>
      </c>
    </row>
    <row r="3877" spans="18:20" x14ac:dyDescent="0.25">
      <c r="R3877">
        <v>118</v>
      </c>
      <c r="S3877">
        <v>430</v>
      </c>
      <c r="T3877">
        <v>2</v>
      </c>
    </row>
    <row r="3878" spans="18:20" x14ac:dyDescent="0.25">
      <c r="R3878">
        <v>118</v>
      </c>
      <c r="S3878">
        <v>435</v>
      </c>
      <c r="T3878">
        <v>5</v>
      </c>
    </row>
    <row r="3879" spans="18:20" x14ac:dyDescent="0.25">
      <c r="R3879">
        <v>118</v>
      </c>
      <c r="S3879">
        <v>435</v>
      </c>
      <c r="T3879">
        <v>4</v>
      </c>
    </row>
    <row r="3880" spans="18:20" x14ac:dyDescent="0.25">
      <c r="R3880">
        <v>119</v>
      </c>
      <c r="S3880">
        <v>14</v>
      </c>
      <c r="T3880">
        <v>1</v>
      </c>
    </row>
    <row r="3881" spans="18:20" x14ac:dyDescent="0.25">
      <c r="R3881">
        <v>119</v>
      </c>
      <c r="S3881">
        <v>17</v>
      </c>
      <c r="T3881">
        <v>2</v>
      </c>
    </row>
    <row r="3882" spans="18:20" x14ac:dyDescent="0.25">
      <c r="R3882">
        <v>119</v>
      </c>
      <c r="S3882">
        <v>24</v>
      </c>
      <c r="T3882">
        <v>3</v>
      </c>
    </row>
    <row r="3883" spans="18:20" x14ac:dyDescent="0.25">
      <c r="R3883">
        <v>119</v>
      </c>
      <c r="S3883">
        <v>34</v>
      </c>
      <c r="T3883">
        <v>5</v>
      </c>
    </row>
    <row r="3884" spans="18:20" x14ac:dyDescent="0.25">
      <c r="R3884">
        <v>119</v>
      </c>
      <c r="S3884">
        <v>35</v>
      </c>
      <c r="T3884">
        <v>3</v>
      </c>
    </row>
    <row r="3885" spans="18:20" x14ac:dyDescent="0.25">
      <c r="R3885">
        <v>119</v>
      </c>
      <c r="S3885">
        <v>49</v>
      </c>
      <c r="T3885">
        <v>1</v>
      </c>
    </row>
    <row r="3886" spans="18:20" x14ac:dyDescent="0.25">
      <c r="R3886">
        <v>119</v>
      </c>
      <c r="S3886">
        <v>53</v>
      </c>
      <c r="T3886">
        <v>1</v>
      </c>
    </row>
    <row r="3887" spans="18:20" x14ac:dyDescent="0.25">
      <c r="R3887">
        <v>119</v>
      </c>
      <c r="S3887">
        <v>104</v>
      </c>
      <c r="T3887">
        <v>2</v>
      </c>
    </row>
    <row r="3888" spans="18:20" x14ac:dyDescent="0.25">
      <c r="R3888">
        <v>119</v>
      </c>
      <c r="S3888">
        <v>104</v>
      </c>
      <c r="T3888">
        <v>1</v>
      </c>
    </row>
    <row r="3889" spans="18:20" x14ac:dyDescent="0.25">
      <c r="R3889">
        <v>119</v>
      </c>
      <c r="S3889">
        <v>118</v>
      </c>
      <c r="T3889">
        <v>4</v>
      </c>
    </row>
    <row r="3890" spans="18:20" x14ac:dyDescent="0.25">
      <c r="R3890">
        <v>119</v>
      </c>
      <c r="S3890">
        <v>175</v>
      </c>
      <c r="T3890">
        <v>4</v>
      </c>
    </row>
    <row r="3891" spans="18:20" x14ac:dyDescent="0.25">
      <c r="R3891">
        <v>119</v>
      </c>
      <c r="S3891">
        <v>178</v>
      </c>
      <c r="T3891">
        <v>4</v>
      </c>
    </row>
    <row r="3892" spans="18:20" x14ac:dyDescent="0.25">
      <c r="R3892">
        <v>119</v>
      </c>
      <c r="S3892">
        <v>193</v>
      </c>
      <c r="T3892">
        <v>3</v>
      </c>
    </row>
    <row r="3893" spans="18:20" x14ac:dyDescent="0.25">
      <c r="R3893">
        <v>119</v>
      </c>
      <c r="S3893">
        <v>203</v>
      </c>
      <c r="T3893">
        <v>1</v>
      </c>
    </row>
    <row r="3894" spans="18:20" x14ac:dyDescent="0.25">
      <c r="R3894">
        <v>119</v>
      </c>
      <c r="S3894">
        <v>241</v>
      </c>
      <c r="T3894">
        <v>1</v>
      </c>
    </row>
    <row r="3895" spans="18:20" x14ac:dyDescent="0.25">
      <c r="R3895">
        <v>119</v>
      </c>
      <c r="S3895">
        <v>246</v>
      </c>
      <c r="T3895">
        <v>4</v>
      </c>
    </row>
    <row r="3896" spans="18:20" x14ac:dyDescent="0.25">
      <c r="R3896">
        <v>119</v>
      </c>
      <c r="S3896">
        <v>259</v>
      </c>
      <c r="T3896">
        <v>3</v>
      </c>
    </row>
    <row r="3897" spans="18:20" x14ac:dyDescent="0.25">
      <c r="R3897">
        <v>119</v>
      </c>
      <c r="S3897">
        <v>269</v>
      </c>
      <c r="T3897">
        <v>2</v>
      </c>
    </row>
    <row r="3898" spans="18:20" x14ac:dyDescent="0.25">
      <c r="R3898">
        <v>119</v>
      </c>
      <c r="S3898">
        <v>272</v>
      </c>
      <c r="T3898">
        <v>2</v>
      </c>
    </row>
    <row r="3899" spans="18:20" x14ac:dyDescent="0.25">
      <c r="R3899">
        <v>119</v>
      </c>
      <c r="S3899">
        <v>295</v>
      </c>
      <c r="T3899">
        <v>5</v>
      </c>
    </row>
    <row r="3900" spans="18:20" x14ac:dyDescent="0.25">
      <c r="R3900">
        <v>119</v>
      </c>
      <c r="S3900">
        <v>305</v>
      </c>
      <c r="T3900">
        <v>4</v>
      </c>
    </row>
    <row r="3901" spans="18:20" x14ac:dyDescent="0.25">
      <c r="R3901">
        <v>119</v>
      </c>
      <c r="S3901">
        <v>308</v>
      </c>
      <c r="T3901">
        <v>4</v>
      </c>
    </row>
    <row r="3902" spans="18:20" x14ac:dyDescent="0.25">
      <c r="R3902">
        <v>119</v>
      </c>
      <c r="S3902">
        <v>377</v>
      </c>
      <c r="T3902">
        <v>1</v>
      </c>
    </row>
    <row r="3903" spans="18:20" x14ac:dyDescent="0.25">
      <c r="R3903">
        <v>119</v>
      </c>
      <c r="S3903">
        <v>391</v>
      </c>
      <c r="T3903">
        <v>3</v>
      </c>
    </row>
    <row r="3904" spans="18:20" x14ac:dyDescent="0.25">
      <c r="R3904">
        <v>119</v>
      </c>
      <c r="S3904">
        <v>397</v>
      </c>
      <c r="T3904">
        <v>3</v>
      </c>
    </row>
    <row r="3905" spans="18:20" x14ac:dyDescent="0.25">
      <c r="R3905">
        <v>119</v>
      </c>
      <c r="S3905">
        <v>404</v>
      </c>
      <c r="T3905">
        <v>2</v>
      </c>
    </row>
    <row r="3906" spans="18:20" x14ac:dyDescent="0.25">
      <c r="R3906">
        <v>119</v>
      </c>
      <c r="S3906">
        <v>431</v>
      </c>
      <c r="T3906">
        <v>2</v>
      </c>
    </row>
    <row r="3907" spans="18:20" x14ac:dyDescent="0.25">
      <c r="R3907">
        <v>120</v>
      </c>
      <c r="S3907">
        <v>5</v>
      </c>
      <c r="T3907">
        <v>1</v>
      </c>
    </row>
    <row r="3908" spans="18:20" x14ac:dyDescent="0.25">
      <c r="R3908">
        <v>120</v>
      </c>
      <c r="S3908">
        <v>11</v>
      </c>
      <c r="T3908">
        <v>2</v>
      </c>
    </row>
    <row r="3909" spans="18:20" x14ac:dyDescent="0.25">
      <c r="R3909">
        <v>120</v>
      </c>
      <c r="S3909">
        <v>15</v>
      </c>
      <c r="T3909">
        <v>1</v>
      </c>
    </row>
    <row r="3910" spans="18:20" x14ac:dyDescent="0.25">
      <c r="R3910">
        <v>120</v>
      </c>
      <c r="S3910">
        <v>16</v>
      </c>
      <c r="T3910">
        <v>2</v>
      </c>
    </row>
    <row r="3911" spans="18:20" x14ac:dyDescent="0.25">
      <c r="R3911">
        <v>120</v>
      </c>
      <c r="S3911">
        <v>28</v>
      </c>
      <c r="T3911">
        <v>5</v>
      </c>
    </row>
    <row r="3912" spans="18:20" x14ac:dyDescent="0.25">
      <c r="R3912">
        <v>120</v>
      </c>
      <c r="S3912">
        <v>34</v>
      </c>
      <c r="T3912">
        <v>3</v>
      </c>
    </row>
    <row r="3913" spans="18:20" x14ac:dyDescent="0.25">
      <c r="R3913">
        <v>120</v>
      </c>
      <c r="S3913">
        <v>36</v>
      </c>
      <c r="T3913">
        <v>3</v>
      </c>
    </row>
    <row r="3914" spans="18:20" x14ac:dyDescent="0.25">
      <c r="R3914">
        <v>120</v>
      </c>
      <c r="S3914">
        <v>38</v>
      </c>
      <c r="T3914">
        <v>1</v>
      </c>
    </row>
    <row r="3915" spans="18:20" x14ac:dyDescent="0.25">
      <c r="R3915">
        <v>120</v>
      </c>
      <c r="S3915">
        <v>40</v>
      </c>
      <c r="T3915">
        <v>3</v>
      </c>
    </row>
    <row r="3916" spans="18:20" x14ac:dyDescent="0.25">
      <c r="R3916">
        <v>120</v>
      </c>
      <c r="S3916">
        <v>41</v>
      </c>
      <c r="T3916">
        <v>5</v>
      </c>
    </row>
    <row r="3917" spans="18:20" x14ac:dyDescent="0.25">
      <c r="R3917">
        <v>120</v>
      </c>
      <c r="S3917">
        <v>41</v>
      </c>
      <c r="T3917">
        <v>2</v>
      </c>
    </row>
    <row r="3918" spans="18:20" x14ac:dyDescent="0.25">
      <c r="R3918">
        <v>120</v>
      </c>
      <c r="S3918">
        <v>61</v>
      </c>
      <c r="T3918">
        <v>1</v>
      </c>
    </row>
    <row r="3919" spans="18:20" x14ac:dyDescent="0.25">
      <c r="R3919">
        <v>120</v>
      </c>
      <c r="S3919">
        <v>65</v>
      </c>
      <c r="T3919">
        <v>3</v>
      </c>
    </row>
    <row r="3920" spans="18:20" x14ac:dyDescent="0.25">
      <c r="R3920">
        <v>120</v>
      </c>
      <c r="S3920">
        <v>155</v>
      </c>
      <c r="T3920">
        <v>5</v>
      </c>
    </row>
    <row r="3921" spans="18:20" x14ac:dyDescent="0.25">
      <c r="R3921">
        <v>120</v>
      </c>
      <c r="S3921">
        <v>169</v>
      </c>
      <c r="T3921">
        <v>5</v>
      </c>
    </row>
    <row r="3922" spans="18:20" x14ac:dyDescent="0.25">
      <c r="R3922">
        <v>120</v>
      </c>
      <c r="S3922">
        <v>177</v>
      </c>
      <c r="T3922">
        <v>2</v>
      </c>
    </row>
    <row r="3923" spans="18:20" x14ac:dyDescent="0.25">
      <c r="R3923">
        <v>120</v>
      </c>
      <c r="S3923">
        <v>216</v>
      </c>
      <c r="T3923">
        <v>5</v>
      </c>
    </row>
    <row r="3924" spans="18:20" x14ac:dyDescent="0.25">
      <c r="R3924">
        <v>120</v>
      </c>
      <c r="S3924">
        <v>234</v>
      </c>
      <c r="T3924">
        <v>1</v>
      </c>
    </row>
    <row r="3925" spans="18:20" x14ac:dyDescent="0.25">
      <c r="R3925">
        <v>120</v>
      </c>
      <c r="S3925">
        <v>247</v>
      </c>
      <c r="T3925">
        <v>1</v>
      </c>
    </row>
    <row r="3926" spans="18:20" x14ac:dyDescent="0.25">
      <c r="R3926">
        <v>120</v>
      </c>
      <c r="S3926">
        <v>285</v>
      </c>
      <c r="T3926">
        <v>4</v>
      </c>
    </row>
    <row r="3927" spans="18:20" x14ac:dyDescent="0.25">
      <c r="R3927">
        <v>120</v>
      </c>
      <c r="S3927">
        <v>285</v>
      </c>
      <c r="T3927">
        <v>5</v>
      </c>
    </row>
    <row r="3928" spans="18:20" x14ac:dyDescent="0.25">
      <c r="R3928">
        <v>120</v>
      </c>
      <c r="S3928">
        <v>297</v>
      </c>
      <c r="T3928">
        <v>2</v>
      </c>
    </row>
    <row r="3929" spans="18:20" x14ac:dyDescent="0.25">
      <c r="R3929">
        <v>120</v>
      </c>
      <c r="S3929">
        <v>311</v>
      </c>
      <c r="T3929">
        <v>3</v>
      </c>
    </row>
    <row r="3930" spans="18:20" x14ac:dyDescent="0.25">
      <c r="R3930">
        <v>120</v>
      </c>
      <c r="S3930">
        <v>324</v>
      </c>
      <c r="T3930">
        <v>2</v>
      </c>
    </row>
    <row r="3931" spans="18:20" x14ac:dyDescent="0.25">
      <c r="R3931">
        <v>120</v>
      </c>
      <c r="S3931">
        <v>333</v>
      </c>
      <c r="T3931">
        <v>5</v>
      </c>
    </row>
    <row r="3932" spans="18:20" x14ac:dyDescent="0.25">
      <c r="R3932">
        <v>120</v>
      </c>
      <c r="S3932">
        <v>342</v>
      </c>
      <c r="T3932">
        <v>3</v>
      </c>
    </row>
    <row r="3933" spans="18:20" x14ac:dyDescent="0.25">
      <c r="R3933">
        <v>120</v>
      </c>
      <c r="S3933">
        <v>351</v>
      </c>
      <c r="T3933">
        <v>4</v>
      </c>
    </row>
    <row r="3934" spans="18:20" x14ac:dyDescent="0.25">
      <c r="R3934">
        <v>120</v>
      </c>
      <c r="S3934">
        <v>376</v>
      </c>
      <c r="T3934">
        <v>4</v>
      </c>
    </row>
    <row r="3935" spans="18:20" x14ac:dyDescent="0.25">
      <c r="R3935">
        <v>120</v>
      </c>
      <c r="S3935">
        <v>378</v>
      </c>
      <c r="T3935">
        <v>5</v>
      </c>
    </row>
    <row r="3936" spans="18:20" x14ac:dyDescent="0.25">
      <c r="R3936">
        <v>120</v>
      </c>
      <c r="S3936">
        <v>379</v>
      </c>
      <c r="T3936">
        <v>5</v>
      </c>
    </row>
    <row r="3937" spans="18:20" x14ac:dyDescent="0.25">
      <c r="R3937">
        <v>120</v>
      </c>
      <c r="S3937">
        <v>392</v>
      </c>
      <c r="T3937">
        <v>3</v>
      </c>
    </row>
    <row r="3938" spans="18:20" x14ac:dyDescent="0.25">
      <c r="R3938">
        <v>120</v>
      </c>
      <c r="S3938">
        <v>401</v>
      </c>
      <c r="T3938">
        <v>4</v>
      </c>
    </row>
    <row r="3939" spans="18:20" x14ac:dyDescent="0.25">
      <c r="R3939">
        <v>120</v>
      </c>
      <c r="S3939">
        <v>405</v>
      </c>
      <c r="T3939">
        <v>4</v>
      </c>
    </row>
    <row r="3940" spans="18:20" x14ac:dyDescent="0.25">
      <c r="R3940">
        <v>121</v>
      </c>
      <c r="S3940">
        <v>10</v>
      </c>
      <c r="T3940">
        <v>3</v>
      </c>
    </row>
    <row r="3941" spans="18:20" x14ac:dyDescent="0.25">
      <c r="R3941">
        <v>121</v>
      </c>
      <c r="S3941">
        <v>16</v>
      </c>
      <c r="T3941">
        <v>3</v>
      </c>
    </row>
    <row r="3942" spans="18:20" x14ac:dyDescent="0.25">
      <c r="R3942">
        <v>121</v>
      </c>
      <c r="S3942">
        <v>28</v>
      </c>
      <c r="T3942">
        <v>4</v>
      </c>
    </row>
    <row r="3943" spans="18:20" x14ac:dyDescent="0.25">
      <c r="R3943">
        <v>121</v>
      </c>
      <c r="S3943">
        <v>39</v>
      </c>
      <c r="T3943">
        <v>3</v>
      </c>
    </row>
    <row r="3944" spans="18:20" x14ac:dyDescent="0.25">
      <c r="R3944">
        <v>121</v>
      </c>
      <c r="S3944">
        <v>55</v>
      </c>
      <c r="T3944">
        <v>5</v>
      </c>
    </row>
    <row r="3945" spans="18:20" x14ac:dyDescent="0.25">
      <c r="R3945">
        <v>121</v>
      </c>
      <c r="S3945">
        <v>59</v>
      </c>
      <c r="T3945">
        <v>5</v>
      </c>
    </row>
    <row r="3946" spans="18:20" x14ac:dyDescent="0.25">
      <c r="R3946">
        <v>121</v>
      </c>
      <c r="S3946">
        <v>61</v>
      </c>
      <c r="T3946">
        <v>4</v>
      </c>
    </row>
    <row r="3947" spans="18:20" x14ac:dyDescent="0.25">
      <c r="R3947">
        <v>121</v>
      </c>
      <c r="S3947">
        <v>69</v>
      </c>
      <c r="T3947">
        <v>3</v>
      </c>
    </row>
    <row r="3948" spans="18:20" x14ac:dyDescent="0.25">
      <c r="R3948">
        <v>121</v>
      </c>
      <c r="S3948">
        <v>86</v>
      </c>
      <c r="T3948">
        <v>3</v>
      </c>
    </row>
    <row r="3949" spans="18:20" x14ac:dyDescent="0.25">
      <c r="R3949">
        <v>121</v>
      </c>
      <c r="S3949">
        <v>116</v>
      </c>
      <c r="T3949">
        <v>1</v>
      </c>
    </row>
    <row r="3950" spans="18:20" x14ac:dyDescent="0.25">
      <c r="R3950">
        <v>121</v>
      </c>
      <c r="S3950">
        <v>148</v>
      </c>
      <c r="T3950">
        <v>4</v>
      </c>
    </row>
    <row r="3951" spans="18:20" x14ac:dyDescent="0.25">
      <c r="R3951">
        <v>121</v>
      </c>
      <c r="S3951">
        <v>223</v>
      </c>
      <c r="T3951">
        <v>2</v>
      </c>
    </row>
    <row r="3952" spans="18:20" x14ac:dyDescent="0.25">
      <c r="R3952">
        <v>121</v>
      </c>
      <c r="S3952">
        <v>245</v>
      </c>
      <c r="T3952">
        <v>4</v>
      </c>
    </row>
    <row r="3953" spans="18:20" x14ac:dyDescent="0.25">
      <c r="R3953">
        <v>121</v>
      </c>
      <c r="S3953">
        <v>253</v>
      </c>
      <c r="T3953">
        <v>2</v>
      </c>
    </row>
    <row r="3954" spans="18:20" x14ac:dyDescent="0.25">
      <c r="R3954">
        <v>121</v>
      </c>
      <c r="S3954">
        <v>335</v>
      </c>
      <c r="T3954">
        <v>3</v>
      </c>
    </row>
    <row r="3955" spans="18:20" x14ac:dyDescent="0.25">
      <c r="R3955">
        <v>121</v>
      </c>
      <c r="S3955">
        <v>338</v>
      </c>
      <c r="T3955">
        <v>3</v>
      </c>
    </row>
    <row r="3956" spans="18:20" x14ac:dyDescent="0.25">
      <c r="R3956">
        <v>121</v>
      </c>
      <c r="S3956">
        <v>339</v>
      </c>
      <c r="T3956">
        <v>3</v>
      </c>
    </row>
    <row r="3957" spans="18:20" x14ac:dyDescent="0.25">
      <c r="R3957">
        <v>121</v>
      </c>
      <c r="S3957">
        <v>347</v>
      </c>
      <c r="T3957">
        <v>5</v>
      </c>
    </row>
    <row r="3958" spans="18:20" x14ac:dyDescent="0.25">
      <c r="R3958">
        <v>121</v>
      </c>
      <c r="S3958">
        <v>361</v>
      </c>
      <c r="T3958">
        <v>1</v>
      </c>
    </row>
    <row r="3959" spans="18:20" x14ac:dyDescent="0.25">
      <c r="R3959">
        <v>121</v>
      </c>
      <c r="S3959">
        <v>365</v>
      </c>
      <c r="T3959">
        <v>3</v>
      </c>
    </row>
    <row r="3960" spans="18:20" x14ac:dyDescent="0.25">
      <c r="R3960">
        <v>121</v>
      </c>
      <c r="S3960">
        <v>374</v>
      </c>
      <c r="T3960">
        <v>1</v>
      </c>
    </row>
    <row r="3961" spans="18:20" x14ac:dyDescent="0.25">
      <c r="R3961">
        <v>121</v>
      </c>
      <c r="S3961">
        <v>379</v>
      </c>
      <c r="T3961">
        <v>3</v>
      </c>
    </row>
    <row r="3962" spans="18:20" x14ac:dyDescent="0.25">
      <c r="R3962">
        <v>121</v>
      </c>
      <c r="S3962">
        <v>382</v>
      </c>
      <c r="T3962">
        <v>2</v>
      </c>
    </row>
    <row r="3963" spans="18:20" x14ac:dyDescent="0.25">
      <c r="R3963">
        <v>121</v>
      </c>
      <c r="S3963">
        <v>382</v>
      </c>
      <c r="T3963">
        <v>1</v>
      </c>
    </row>
    <row r="3964" spans="18:20" x14ac:dyDescent="0.25">
      <c r="R3964">
        <v>121</v>
      </c>
      <c r="S3964">
        <v>387</v>
      </c>
      <c r="T3964">
        <v>1</v>
      </c>
    </row>
    <row r="3965" spans="18:20" x14ac:dyDescent="0.25">
      <c r="R3965">
        <v>121</v>
      </c>
      <c r="S3965">
        <v>395</v>
      </c>
      <c r="T3965">
        <v>3</v>
      </c>
    </row>
    <row r="3966" spans="18:20" x14ac:dyDescent="0.25">
      <c r="R3966">
        <v>121</v>
      </c>
      <c r="S3966">
        <v>396</v>
      </c>
      <c r="T3966">
        <v>3</v>
      </c>
    </row>
    <row r="3967" spans="18:20" x14ac:dyDescent="0.25">
      <c r="R3967">
        <v>121</v>
      </c>
      <c r="S3967">
        <v>418</v>
      </c>
      <c r="T3967">
        <v>2</v>
      </c>
    </row>
    <row r="3968" spans="18:20" x14ac:dyDescent="0.25">
      <c r="R3968">
        <v>121</v>
      </c>
      <c r="S3968">
        <v>429</v>
      </c>
      <c r="T3968">
        <v>5</v>
      </c>
    </row>
    <row r="3969" spans="18:20" x14ac:dyDescent="0.25">
      <c r="R3969">
        <v>122</v>
      </c>
      <c r="S3969">
        <v>10</v>
      </c>
      <c r="T3969">
        <v>3</v>
      </c>
    </row>
    <row r="3970" spans="18:20" x14ac:dyDescent="0.25">
      <c r="R3970">
        <v>122</v>
      </c>
      <c r="S3970">
        <v>48</v>
      </c>
      <c r="T3970">
        <v>4</v>
      </c>
    </row>
    <row r="3971" spans="18:20" x14ac:dyDescent="0.25">
      <c r="R3971">
        <v>122</v>
      </c>
      <c r="S3971">
        <v>79</v>
      </c>
      <c r="T3971">
        <v>5</v>
      </c>
    </row>
    <row r="3972" spans="18:20" x14ac:dyDescent="0.25">
      <c r="R3972">
        <v>122</v>
      </c>
      <c r="S3972">
        <v>116</v>
      </c>
      <c r="T3972">
        <v>5</v>
      </c>
    </row>
    <row r="3973" spans="18:20" x14ac:dyDescent="0.25">
      <c r="R3973">
        <v>122</v>
      </c>
      <c r="S3973">
        <v>134</v>
      </c>
      <c r="T3973">
        <v>4</v>
      </c>
    </row>
    <row r="3974" spans="18:20" x14ac:dyDescent="0.25">
      <c r="R3974">
        <v>122</v>
      </c>
      <c r="S3974">
        <v>180</v>
      </c>
      <c r="T3974">
        <v>5</v>
      </c>
    </row>
    <row r="3975" spans="18:20" x14ac:dyDescent="0.25">
      <c r="R3975">
        <v>122</v>
      </c>
      <c r="S3975">
        <v>194</v>
      </c>
      <c r="T3975">
        <v>1</v>
      </c>
    </row>
    <row r="3976" spans="18:20" x14ac:dyDescent="0.25">
      <c r="R3976">
        <v>122</v>
      </c>
      <c r="S3976">
        <v>206</v>
      </c>
      <c r="T3976">
        <v>4</v>
      </c>
    </row>
    <row r="3977" spans="18:20" x14ac:dyDescent="0.25">
      <c r="R3977">
        <v>122</v>
      </c>
      <c r="S3977">
        <v>207</v>
      </c>
      <c r="T3977">
        <v>4</v>
      </c>
    </row>
    <row r="3978" spans="18:20" x14ac:dyDescent="0.25">
      <c r="R3978">
        <v>122</v>
      </c>
      <c r="S3978">
        <v>226</v>
      </c>
      <c r="T3978">
        <v>2</v>
      </c>
    </row>
    <row r="3979" spans="18:20" x14ac:dyDescent="0.25">
      <c r="R3979">
        <v>122</v>
      </c>
      <c r="S3979">
        <v>230</v>
      </c>
      <c r="T3979">
        <v>2</v>
      </c>
    </row>
    <row r="3980" spans="18:20" x14ac:dyDescent="0.25">
      <c r="R3980">
        <v>122</v>
      </c>
      <c r="S3980">
        <v>252</v>
      </c>
      <c r="T3980">
        <v>1</v>
      </c>
    </row>
    <row r="3981" spans="18:20" x14ac:dyDescent="0.25">
      <c r="R3981">
        <v>122</v>
      </c>
      <c r="S3981">
        <v>254</v>
      </c>
      <c r="T3981">
        <v>5</v>
      </c>
    </row>
    <row r="3982" spans="18:20" x14ac:dyDescent="0.25">
      <c r="R3982">
        <v>122</v>
      </c>
      <c r="S3982">
        <v>257</v>
      </c>
      <c r="T3982">
        <v>4</v>
      </c>
    </row>
    <row r="3983" spans="18:20" x14ac:dyDescent="0.25">
      <c r="R3983">
        <v>122</v>
      </c>
      <c r="S3983">
        <v>265</v>
      </c>
      <c r="T3983">
        <v>1</v>
      </c>
    </row>
    <row r="3984" spans="18:20" x14ac:dyDescent="0.25">
      <c r="R3984">
        <v>122</v>
      </c>
      <c r="S3984">
        <v>278</v>
      </c>
      <c r="T3984">
        <v>3</v>
      </c>
    </row>
    <row r="3985" spans="18:20" x14ac:dyDescent="0.25">
      <c r="R3985">
        <v>122</v>
      </c>
      <c r="S3985">
        <v>288</v>
      </c>
      <c r="T3985">
        <v>3</v>
      </c>
    </row>
    <row r="3986" spans="18:20" x14ac:dyDescent="0.25">
      <c r="R3986">
        <v>122</v>
      </c>
      <c r="S3986">
        <v>291</v>
      </c>
      <c r="T3986">
        <v>2</v>
      </c>
    </row>
    <row r="3987" spans="18:20" x14ac:dyDescent="0.25">
      <c r="R3987">
        <v>122</v>
      </c>
      <c r="S3987">
        <v>292</v>
      </c>
      <c r="T3987">
        <v>2</v>
      </c>
    </row>
    <row r="3988" spans="18:20" x14ac:dyDescent="0.25">
      <c r="R3988">
        <v>122</v>
      </c>
      <c r="S3988">
        <v>302</v>
      </c>
      <c r="T3988">
        <v>2</v>
      </c>
    </row>
    <row r="3989" spans="18:20" x14ac:dyDescent="0.25">
      <c r="R3989">
        <v>122</v>
      </c>
      <c r="S3989">
        <v>322</v>
      </c>
      <c r="T3989">
        <v>3</v>
      </c>
    </row>
    <row r="3990" spans="18:20" x14ac:dyDescent="0.25">
      <c r="R3990">
        <v>122</v>
      </c>
      <c r="S3990">
        <v>340</v>
      </c>
      <c r="T3990">
        <v>4</v>
      </c>
    </row>
    <row r="3991" spans="18:20" x14ac:dyDescent="0.25">
      <c r="R3991">
        <v>122</v>
      </c>
      <c r="S3991">
        <v>351</v>
      </c>
      <c r="T3991">
        <v>5</v>
      </c>
    </row>
    <row r="3992" spans="18:20" x14ac:dyDescent="0.25">
      <c r="R3992">
        <v>122</v>
      </c>
      <c r="S3992">
        <v>356</v>
      </c>
      <c r="T3992">
        <v>1</v>
      </c>
    </row>
    <row r="3993" spans="18:20" x14ac:dyDescent="0.25">
      <c r="R3993">
        <v>122</v>
      </c>
      <c r="S3993">
        <v>358</v>
      </c>
      <c r="T3993">
        <v>4</v>
      </c>
    </row>
    <row r="3994" spans="18:20" x14ac:dyDescent="0.25">
      <c r="R3994">
        <v>122</v>
      </c>
      <c r="S3994">
        <v>364</v>
      </c>
      <c r="T3994">
        <v>4</v>
      </c>
    </row>
    <row r="3995" spans="18:20" x14ac:dyDescent="0.25">
      <c r="R3995">
        <v>122</v>
      </c>
      <c r="S3995">
        <v>379</v>
      </c>
      <c r="T3995">
        <v>1</v>
      </c>
    </row>
    <row r="3996" spans="18:20" x14ac:dyDescent="0.25">
      <c r="R3996">
        <v>122</v>
      </c>
      <c r="S3996">
        <v>403</v>
      </c>
      <c r="T3996">
        <v>4</v>
      </c>
    </row>
    <row r="3997" spans="18:20" x14ac:dyDescent="0.25">
      <c r="R3997">
        <v>122</v>
      </c>
      <c r="S3997">
        <v>414</v>
      </c>
      <c r="T3997">
        <v>1</v>
      </c>
    </row>
    <row r="3998" spans="18:20" x14ac:dyDescent="0.25">
      <c r="R3998">
        <v>122</v>
      </c>
      <c r="S3998">
        <v>430</v>
      </c>
      <c r="T3998">
        <v>2</v>
      </c>
    </row>
    <row r="3999" spans="18:20" x14ac:dyDescent="0.25">
      <c r="R3999">
        <v>122</v>
      </c>
      <c r="S3999">
        <v>432</v>
      </c>
      <c r="T3999">
        <v>4</v>
      </c>
    </row>
    <row r="4000" spans="18:20" x14ac:dyDescent="0.25">
      <c r="R4000">
        <v>123</v>
      </c>
      <c r="S4000">
        <v>7</v>
      </c>
      <c r="T4000">
        <v>4</v>
      </c>
    </row>
    <row r="4001" spans="18:20" x14ac:dyDescent="0.25">
      <c r="R4001">
        <v>123</v>
      </c>
      <c r="S4001">
        <v>17</v>
      </c>
      <c r="T4001">
        <v>4</v>
      </c>
    </row>
    <row r="4002" spans="18:20" x14ac:dyDescent="0.25">
      <c r="R4002">
        <v>123</v>
      </c>
      <c r="S4002">
        <v>19</v>
      </c>
      <c r="T4002">
        <v>1</v>
      </c>
    </row>
    <row r="4003" spans="18:20" x14ac:dyDescent="0.25">
      <c r="R4003">
        <v>123</v>
      </c>
      <c r="S4003">
        <v>63</v>
      </c>
      <c r="T4003">
        <v>2</v>
      </c>
    </row>
    <row r="4004" spans="18:20" x14ac:dyDescent="0.25">
      <c r="R4004">
        <v>123</v>
      </c>
      <c r="S4004">
        <v>66</v>
      </c>
      <c r="T4004">
        <v>1</v>
      </c>
    </row>
    <row r="4005" spans="18:20" x14ac:dyDescent="0.25">
      <c r="R4005">
        <v>123</v>
      </c>
      <c r="S4005">
        <v>68</v>
      </c>
      <c r="T4005">
        <v>1</v>
      </c>
    </row>
    <row r="4006" spans="18:20" x14ac:dyDescent="0.25">
      <c r="R4006">
        <v>123</v>
      </c>
      <c r="S4006">
        <v>74</v>
      </c>
      <c r="T4006">
        <v>1</v>
      </c>
    </row>
    <row r="4007" spans="18:20" x14ac:dyDescent="0.25">
      <c r="R4007">
        <v>123</v>
      </c>
      <c r="S4007">
        <v>76</v>
      </c>
      <c r="T4007">
        <v>5</v>
      </c>
    </row>
    <row r="4008" spans="18:20" x14ac:dyDescent="0.25">
      <c r="R4008">
        <v>123</v>
      </c>
      <c r="S4008">
        <v>83</v>
      </c>
      <c r="T4008">
        <v>1</v>
      </c>
    </row>
    <row r="4009" spans="18:20" x14ac:dyDescent="0.25">
      <c r="R4009">
        <v>123</v>
      </c>
      <c r="S4009">
        <v>101</v>
      </c>
      <c r="T4009">
        <v>1</v>
      </c>
    </row>
    <row r="4010" spans="18:20" x14ac:dyDescent="0.25">
      <c r="R4010">
        <v>123</v>
      </c>
      <c r="S4010">
        <v>102</v>
      </c>
      <c r="T4010">
        <v>1</v>
      </c>
    </row>
    <row r="4011" spans="18:20" x14ac:dyDescent="0.25">
      <c r="R4011">
        <v>123</v>
      </c>
      <c r="S4011">
        <v>111</v>
      </c>
      <c r="T4011">
        <v>2</v>
      </c>
    </row>
    <row r="4012" spans="18:20" x14ac:dyDescent="0.25">
      <c r="R4012">
        <v>123</v>
      </c>
      <c r="S4012">
        <v>145</v>
      </c>
      <c r="T4012">
        <v>2</v>
      </c>
    </row>
    <row r="4013" spans="18:20" x14ac:dyDescent="0.25">
      <c r="R4013">
        <v>123</v>
      </c>
      <c r="S4013">
        <v>176</v>
      </c>
      <c r="T4013">
        <v>2</v>
      </c>
    </row>
    <row r="4014" spans="18:20" x14ac:dyDescent="0.25">
      <c r="R4014">
        <v>123</v>
      </c>
      <c r="S4014">
        <v>192</v>
      </c>
      <c r="T4014">
        <v>1</v>
      </c>
    </row>
    <row r="4015" spans="18:20" x14ac:dyDescent="0.25">
      <c r="R4015">
        <v>123</v>
      </c>
      <c r="S4015">
        <v>211</v>
      </c>
      <c r="T4015">
        <v>1</v>
      </c>
    </row>
    <row r="4016" spans="18:20" x14ac:dyDescent="0.25">
      <c r="R4016">
        <v>123</v>
      </c>
      <c r="S4016">
        <v>212</v>
      </c>
      <c r="T4016">
        <v>1</v>
      </c>
    </row>
    <row r="4017" spans="18:20" x14ac:dyDescent="0.25">
      <c r="R4017">
        <v>123</v>
      </c>
      <c r="S4017">
        <v>226</v>
      </c>
      <c r="T4017">
        <v>5</v>
      </c>
    </row>
    <row r="4018" spans="18:20" x14ac:dyDescent="0.25">
      <c r="R4018">
        <v>123</v>
      </c>
      <c r="S4018">
        <v>232</v>
      </c>
      <c r="T4018">
        <v>2</v>
      </c>
    </row>
    <row r="4019" spans="18:20" x14ac:dyDescent="0.25">
      <c r="R4019">
        <v>123</v>
      </c>
      <c r="S4019">
        <v>233</v>
      </c>
      <c r="T4019">
        <v>4</v>
      </c>
    </row>
    <row r="4020" spans="18:20" x14ac:dyDescent="0.25">
      <c r="R4020">
        <v>123</v>
      </c>
      <c r="S4020">
        <v>241</v>
      </c>
      <c r="T4020">
        <v>2</v>
      </c>
    </row>
    <row r="4021" spans="18:20" x14ac:dyDescent="0.25">
      <c r="R4021">
        <v>123</v>
      </c>
      <c r="S4021">
        <v>279</v>
      </c>
      <c r="T4021">
        <v>1</v>
      </c>
    </row>
    <row r="4022" spans="18:20" x14ac:dyDescent="0.25">
      <c r="R4022">
        <v>123</v>
      </c>
      <c r="S4022">
        <v>284</v>
      </c>
      <c r="T4022">
        <v>4</v>
      </c>
    </row>
    <row r="4023" spans="18:20" x14ac:dyDescent="0.25">
      <c r="R4023">
        <v>123</v>
      </c>
      <c r="S4023">
        <v>289</v>
      </c>
      <c r="T4023">
        <v>1</v>
      </c>
    </row>
    <row r="4024" spans="18:20" x14ac:dyDescent="0.25">
      <c r="R4024">
        <v>123</v>
      </c>
      <c r="S4024">
        <v>291</v>
      </c>
      <c r="T4024">
        <v>3</v>
      </c>
    </row>
    <row r="4025" spans="18:20" x14ac:dyDescent="0.25">
      <c r="R4025">
        <v>123</v>
      </c>
      <c r="S4025">
        <v>294</v>
      </c>
      <c r="T4025">
        <v>3</v>
      </c>
    </row>
    <row r="4026" spans="18:20" x14ac:dyDescent="0.25">
      <c r="R4026">
        <v>123</v>
      </c>
      <c r="S4026">
        <v>295</v>
      </c>
      <c r="T4026">
        <v>3</v>
      </c>
    </row>
    <row r="4027" spans="18:20" x14ac:dyDescent="0.25">
      <c r="R4027">
        <v>123</v>
      </c>
      <c r="S4027">
        <v>299</v>
      </c>
      <c r="T4027">
        <v>1</v>
      </c>
    </row>
    <row r="4028" spans="18:20" x14ac:dyDescent="0.25">
      <c r="R4028">
        <v>123</v>
      </c>
      <c r="S4028">
        <v>380</v>
      </c>
      <c r="T4028">
        <v>1</v>
      </c>
    </row>
    <row r="4029" spans="18:20" x14ac:dyDescent="0.25">
      <c r="R4029">
        <v>123</v>
      </c>
      <c r="S4029">
        <v>384</v>
      </c>
      <c r="T4029">
        <v>2</v>
      </c>
    </row>
    <row r="4030" spans="18:20" x14ac:dyDescent="0.25">
      <c r="R4030">
        <v>123</v>
      </c>
      <c r="S4030">
        <v>420</v>
      </c>
      <c r="T4030">
        <v>1</v>
      </c>
    </row>
    <row r="4031" spans="18:20" x14ac:dyDescent="0.25">
      <c r="R4031">
        <v>123</v>
      </c>
      <c r="S4031">
        <v>420</v>
      </c>
      <c r="T4031">
        <v>1</v>
      </c>
    </row>
    <row r="4032" spans="18:20" x14ac:dyDescent="0.25">
      <c r="R4032">
        <v>123</v>
      </c>
      <c r="S4032">
        <v>427</v>
      </c>
      <c r="T4032">
        <v>5</v>
      </c>
    </row>
    <row r="4033" spans="18:20" x14ac:dyDescent="0.25">
      <c r="R4033">
        <v>123</v>
      </c>
      <c r="S4033">
        <v>431</v>
      </c>
      <c r="T4033">
        <v>4</v>
      </c>
    </row>
    <row r="4034" spans="18:20" x14ac:dyDescent="0.25">
      <c r="R4034">
        <v>124</v>
      </c>
      <c r="S4034">
        <v>9</v>
      </c>
      <c r="T4034">
        <v>5</v>
      </c>
    </row>
    <row r="4035" spans="18:20" x14ac:dyDescent="0.25">
      <c r="R4035">
        <v>124</v>
      </c>
      <c r="S4035">
        <v>45</v>
      </c>
      <c r="T4035">
        <v>3</v>
      </c>
    </row>
    <row r="4036" spans="18:20" x14ac:dyDescent="0.25">
      <c r="R4036">
        <v>124</v>
      </c>
      <c r="S4036">
        <v>45</v>
      </c>
      <c r="T4036">
        <v>1</v>
      </c>
    </row>
    <row r="4037" spans="18:20" x14ac:dyDescent="0.25">
      <c r="R4037">
        <v>124</v>
      </c>
      <c r="S4037">
        <v>51</v>
      </c>
      <c r="T4037">
        <v>1</v>
      </c>
    </row>
    <row r="4038" spans="18:20" x14ac:dyDescent="0.25">
      <c r="R4038">
        <v>124</v>
      </c>
      <c r="S4038">
        <v>97</v>
      </c>
      <c r="T4038">
        <v>3</v>
      </c>
    </row>
    <row r="4039" spans="18:20" x14ac:dyDescent="0.25">
      <c r="R4039">
        <v>124</v>
      </c>
      <c r="S4039">
        <v>106</v>
      </c>
      <c r="T4039">
        <v>5</v>
      </c>
    </row>
    <row r="4040" spans="18:20" x14ac:dyDescent="0.25">
      <c r="R4040">
        <v>124</v>
      </c>
      <c r="S4040">
        <v>128</v>
      </c>
      <c r="T4040">
        <v>2</v>
      </c>
    </row>
    <row r="4041" spans="18:20" x14ac:dyDescent="0.25">
      <c r="R4041">
        <v>124</v>
      </c>
      <c r="S4041">
        <v>150</v>
      </c>
      <c r="T4041">
        <v>2</v>
      </c>
    </row>
    <row r="4042" spans="18:20" x14ac:dyDescent="0.25">
      <c r="R4042">
        <v>124</v>
      </c>
      <c r="S4042">
        <v>155</v>
      </c>
      <c r="T4042">
        <v>2</v>
      </c>
    </row>
    <row r="4043" spans="18:20" x14ac:dyDescent="0.25">
      <c r="R4043">
        <v>124</v>
      </c>
      <c r="S4043">
        <v>156</v>
      </c>
      <c r="T4043">
        <v>5</v>
      </c>
    </row>
    <row r="4044" spans="18:20" x14ac:dyDescent="0.25">
      <c r="R4044">
        <v>124</v>
      </c>
      <c r="S4044">
        <v>157</v>
      </c>
      <c r="T4044">
        <v>2</v>
      </c>
    </row>
    <row r="4045" spans="18:20" x14ac:dyDescent="0.25">
      <c r="R4045">
        <v>124</v>
      </c>
      <c r="S4045">
        <v>158</v>
      </c>
      <c r="T4045">
        <v>3</v>
      </c>
    </row>
    <row r="4046" spans="18:20" x14ac:dyDescent="0.25">
      <c r="R4046">
        <v>124</v>
      </c>
      <c r="S4046">
        <v>171</v>
      </c>
      <c r="T4046">
        <v>2</v>
      </c>
    </row>
    <row r="4047" spans="18:20" x14ac:dyDescent="0.25">
      <c r="R4047">
        <v>124</v>
      </c>
      <c r="S4047">
        <v>178</v>
      </c>
      <c r="T4047">
        <v>5</v>
      </c>
    </row>
    <row r="4048" spans="18:20" x14ac:dyDescent="0.25">
      <c r="R4048">
        <v>124</v>
      </c>
      <c r="S4048">
        <v>211</v>
      </c>
      <c r="T4048">
        <v>3</v>
      </c>
    </row>
    <row r="4049" spans="18:20" x14ac:dyDescent="0.25">
      <c r="R4049">
        <v>124</v>
      </c>
      <c r="S4049">
        <v>211</v>
      </c>
      <c r="T4049">
        <v>2</v>
      </c>
    </row>
    <row r="4050" spans="18:20" x14ac:dyDescent="0.25">
      <c r="R4050">
        <v>124</v>
      </c>
      <c r="S4050">
        <v>221</v>
      </c>
      <c r="T4050">
        <v>1</v>
      </c>
    </row>
    <row r="4051" spans="18:20" x14ac:dyDescent="0.25">
      <c r="R4051">
        <v>124</v>
      </c>
      <c r="S4051">
        <v>227</v>
      </c>
      <c r="T4051">
        <v>1</v>
      </c>
    </row>
    <row r="4052" spans="18:20" x14ac:dyDescent="0.25">
      <c r="R4052">
        <v>124</v>
      </c>
      <c r="S4052">
        <v>231</v>
      </c>
      <c r="T4052">
        <v>4</v>
      </c>
    </row>
    <row r="4053" spans="18:20" x14ac:dyDescent="0.25">
      <c r="R4053">
        <v>124</v>
      </c>
      <c r="S4053">
        <v>237</v>
      </c>
      <c r="T4053">
        <v>2</v>
      </c>
    </row>
    <row r="4054" spans="18:20" x14ac:dyDescent="0.25">
      <c r="R4054">
        <v>124</v>
      </c>
      <c r="S4054">
        <v>253</v>
      </c>
      <c r="T4054">
        <v>3</v>
      </c>
    </row>
    <row r="4055" spans="18:20" x14ac:dyDescent="0.25">
      <c r="R4055">
        <v>124</v>
      </c>
      <c r="S4055">
        <v>269</v>
      </c>
      <c r="T4055">
        <v>2</v>
      </c>
    </row>
    <row r="4056" spans="18:20" x14ac:dyDescent="0.25">
      <c r="R4056">
        <v>124</v>
      </c>
      <c r="S4056">
        <v>296</v>
      </c>
      <c r="T4056">
        <v>4</v>
      </c>
    </row>
    <row r="4057" spans="18:20" x14ac:dyDescent="0.25">
      <c r="R4057">
        <v>124</v>
      </c>
      <c r="S4057">
        <v>302</v>
      </c>
      <c r="T4057">
        <v>1</v>
      </c>
    </row>
    <row r="4058" spans="18:20" x14ac:dyDescent="0.25">
      <c r="R4058">
        <v>124</v>
      </c>
      <c r="S4058">
        <v>318</v>
      </c>
      <c r="T4058">
        <v>3</v>
      </c>
    </row>
    <row r="4059" spans="18:20" x14ac:dyDescent="0.25">
      <c r="R4059">
        <v>124</v>
      </c>
      <c r="S4059">
        <v>328</v>
      </c>
      <c r="T4059">
        <v>4</v>
      </c>
    </row>
    <row r="4060" spans="18:20" x14ac:dyDescent="0.25">
      <c r="R4060">
        <v>124</v>
      </c>
      <c r="S4060">
        <v>329</v>
      </c>
      <c r="T4060">
        <v>2</v>
      </c>
    </row>
    <row r="4061" spans="18:20" x14ac:dyDescent="0.25">
      <c r="R4061">
        <v>124</v>
      </c>
      <c r="S4061">
        <v>330</v>
      </c>
      <c r="T4061">
        <v>4</v>
      </c>
    </row>
    <row r="4062" spans="18:20" x14ac:dyDescent="0.25">
      <c r="R4062">
        <v>124</v>
      </c>
      <c r="S4062">
        <v>335</v>
      </c>
      <c r="T4062">
        <v>4</v>
      </c>
    </row>
    <row r="4063" spans="18:20" x14ac:dyDescent="0.25">
      <c r="R4063">
        <v>124</v>
      </c>
      <c r="S4063">
        <v>340</v>
      </c>
      <c r="T4063">
        <v>3</v>
      </c>
    </row>
    <row r="4064" spans="18:20" x14ac:dyDescent="0.25">
      <c r="R4064">
        <v>124</v>
      </c>
      <c r="S4064">
        <v>344</v>
      </c>
      <c r="T4064">
        <v>2</v>
      </c>
    </row>
    <row r="4065" spans="18:20" x14ac:dyDescent="0.25">
      <c r="R4065">
        <v>124</v>
      </c>
      <c r="S4065">
        <v>349</v>
      </c>
      <c r="T4065">
        <v>2</v>
      </c>
    </row>
    <row r="4066" spans="18:20" x14ac:dyDescent="0.25">
      <c r="R4066">
        <v>124</v>
      </c>
      <c r="S4066">
        <v>374</v>
      </c>
      <c r="T4066">
        <v>2</v>
      </c>
    </row>
    <row r="4067" spans="18:20" x14ac:dyDescent="0.25">
      <c r="R4067">
        <v>124</v>
      </c>
      <c r="S4067">
        <v>375</v>
      </c>
      <c r="T4067">
        <v>5</v>
      </c>
    </row>
    <row r="4068" spans="18:20" x14ac:dyDescent="0.25">
      <c r="R4068">
        <v>124</v>
      </c>
      <c r="S4068">
        <v>409</v>
      </c>
      <c r="T4068">
        <v>5</v>
      </c>
    </row>
    <row r="4069" spans="18:20" x14ac:dyDescent="0.25">
      <c r="R4069">
        <v>124</v>
      </c>
      <c r="S4069">
        <v>412</v>
      </c>
      <c r="T4069">
        <v>3</v>
      </c>
    </row>
    <row r="4070" spans="18:20" x14ac:dyDescent="0.25">
      <c r="R4070">
        <v>124</v>
      </c>
      <c r="S4070">
        <v>421</v>
      </c>
      <c r="T4070">
        <v>1</v>
      </c>
    </row>
    <row r="4071" spans="18:20" x14ac:dyDescent="0.25">
      <c r="R4071">
        <v>124</v>
      </c>
      <c r="S4071">
        <v>421</v>
      </c>
      <c r="T4071">
        <v>5</v>
      </c>
    </row>
    <row r="4072" spans="18:20" x14ac:dyDescent="0.25">
      <c r="R4072">
        <v>124</v>
      </c>
      <c r="S4072">
        <v>430</v>
      </c>
      <c r="T4072">
        <v>5</v>
      </c>
    </row>
    <row r="4073" spans="18:20" x14ac:dyDescent="0.25">
      <c r="R4073">
        <v>125</v>
      </c>
      <c r="S4073">
        <v>13</v>
      </c>
      <c r="T4073">
        <v>1</v>
      </c>
    </row>
    <row r="4074" spans="18:20" x14ac:dyDescent="0.25">
      <c r="R4074">
        <v>125</v>
      </c>
      <c r="S4074">
        <v>21</v>
      </c>
      <c r="T4074">
        <v>2</v>
      </c>
    </row>
    <row r="4075" spans="18:20" x14ac:dyDescent="0.25">
      <c r="R4075">
        <v>125</v>
      </c>
      <c r="S4075">
        <v>37</v>
      </c>
      <c r="T4075">
        <v>3</v>
      </c>
    </row>
    <row r="4076" spans="18:20" x14ac:dyDescent="0.25">
      <c r="R4076">
        <v>125</v>
      </c>
      <c r="S4076">
        <v>38</v>
      </c>
      <c r="T4076">
        <v>3</v>
      </c>
    </row>
    <row r="4077" spans="18:20" x14ac:dyDescent="0.25">
      <c r="R4077">
        <v>125</v>
      </c>
      <c r="S4077">
        <v>42</v>
      </c>
      <c r="T4077">
        <v>1</v>
      </c>
    </row>
    <row r="4078" spans="18:20" x14ac:dyDescent="0.25">
      <c r="R4078">
        <v>125</v>
      </c>
      <c r="S4078">
        <v>64</v>
      </c>
      <c r="T4078">
        <v>2</v>
      </c>
    </row>
    <row r="4079" spans="18:20" x14ac:dyDescent="0.25">
      <c r="R4079">
        <v>125</v>
      </c>
      <c r="S4079">
        <v>72</v>
      </c>
      <c r="T4079">
        <v>4</v>
      </c>
    </row>
    <row r="4080" spans="18:20" x14ac:dyDescent="0.25">
      <c r="R4080">
        <v>125</v>
      </c>
      <c r="S4080">
        <v>84</v>
      </c>
      <c r="T4080">
        <v>5</v>
      </c>
    </row>
    <row r="4081" spans="18:20" x14ac:dyDescent="0.25">
      <c r="R4081">
        <v>125</v>
      </c>
      <c r="S4081">
        <v>90</v>
      </c>
      <c r="T4081">
        <v>3</v>
      </c>
    </row>
    <row r="4082" spans="18:20" x14ac:dyDescent="0.25">
      <c r="R4082">
        <v>125</v>
      </c>
      <c r="S4082">
        <v>101</v>
      </c>
      <c r="T4082">
        <v>4</v>
      </c>
    </row>
    <row r="4083" spans="18:20" x14ac:dyDescent="0.25">
      <c r="R4083">
        <v>125</v>
      </c>
      <c r="S4083">
        <v>126</v>
      </c>
      <c r="T4083">
        <v>3</v>
      </c>
    </row>
    <row r="4084" spans="18:20" x14ac:dyDescent="0.25">
      <c r="R4084">
        <v>125</v>
      </c>
      <c r="S4084">
        <v>141</v>
      </c>
      <c r="T4084">
        <v>4</v>
      </c>
    </row>
    <row r="4085" spans="18:20" x14ac:dyDescent="0.25">
      <c r="R4085">
        <v>125</v>
      </c>
      <c r="S4085">
        <v>162</v>
      </c>
      <c r="T4085">
        <v>4</v>
      </c>
    </row>
    <row r="4086" spans="18:20" x14ac:dyDescent="0.25">
      <c r="R4086">
        <v>125</v>
      </c>
      <c r="S4086">
        <v>170</v>
      </c>
      <c r="T4086">
        <v>5</v>
      </c>
    </row>
    <row r="4087" spans="18:20" x14ac:dyDescent="0.25">
      <c r="R4087">
        <v>125</v>
      </c>
      <c r="S4087">
        <v>171</v>
      </c>
      <c r="T4087">
        <v>5</v>
      </c>
    </row>
    <row r="4088" spans="18:20" x14ac:dyDescent="0.25">
      <c r="R4088">
        <v>125</v>
      </c>
      <c r="S4088">
        <v>202</v>
      </c>
      <c r="T4088">
        <v>1</v>
      </c>
    </row>
    <row r="4089" spans="18:20" x14ac:dyDescent="0.25">
      <c r="R4089">
        <v>125</v>
      </c>
      <c r="S4089">
        <v>219</v>
      </c>
      <c r="T4089">
        <v>5</v>
      </c>
    </row>
    <row r="4090" spans="18:20" x14ac:dyDescent="0.25">
      <c r="R4090">
        <v>125</v>
      </c>
      <c r="S4090">
        <v>244</v>
      </c>
      <c r="T4090">
        <v>2</v>
      </c>
    </row>
    <row r="4091" spans="18:20" x14ac:dyDescent="0.25">
      <c r="R4091">
        <v>125</v>
      </c>
      <c r="S4091">
        <v>248</v>
      </c>
      <c r="T4091">
        <v>3</v>
      </c>
    </row>
    <row r="4092" spans="18:20" x14ac:dyDescent="0.25">
      <c r="R4092">
        <v>125</v>
      </c>
      <c r="S4092">
        <v>250</v>
      </c>
      <c r="T4092">
        <v>1</v>
      </c>
    </row>
    <row r="4093" spans="18:20" x14ac:dyDescent="0.25">
      <c r="R4093">
        <v>125</v>
      </c>
      <c r="S4093">
        <v>253</v>
      </c>
      <c r="T4093">
        <v>5</v>
      </c>
    </row>
    <row r="4094" spans="18:20" x14ac:dyDescent="0.25">
      <c r="R4094">
        <v>125</v>
      </c>
      <c r="S4094">
        <v>273</v>
      </c>
      <c r="T4094">
        <v>1</v>
      </c>
    </row>
    <row r="4095" spans="18:20" x14ac:dyDescent="0.25">
      <c r="R4095">
        <v>125</v>
      </c>
      <c r="S4095">
        <v>286</v>
      </c>
      <c r="T4095">
        <v>1</v>
      </c>
    </row>
    <row r="4096" spans="18:20" x14ac:dyDescent="0.25">
      <c r="R4096">
        <v>125</v>
      </c>
      <c r="S4096">
        <v>309</v>
      </c>
      <c r="T4096">
        <v>5</v>
      </c>
    </row>
    <row r="4097" spans="18:20" x14ac:dyDescent="0.25">
      <c r="R4097">
        <v>125</v>
      </c>
      <c r="S4097">
        <v>315</v>
      </c>
      <c r="T4097">
        <v>1</v>
      </c>
    </row>
    <row r="4098" spans="18:20" x14ac:dyDescent="0.25">
      <c r="R4098">
        <v>125</v>
      </c>
      <c r="S4098">
        <v>325</v>
      </c>
      <c r="T4098">
        <v>1</v>
      </c>
    </row>
    <row r="4099" spans="18:20" x14ac:dyDescent="0.25">
      <c r="R4099">
        <v>125</v>
      </c>
      <c r="S4099">
        <v>375</v>
      </c>
      <c r="T4099">
        <v>2</v>
      </c>
    </row>
    <row r="4100" spans="18:20" x14ac:dyDescent="0.25">
      <c r="R4100">
        <v>125</v>
      </c>
      <c r="S4100">
        <v>380</v>
      </c>
      <c r="T4100">
        <v>5</v>
      </c>
    </row>
    <row r="4101" spans="18:20" x14ac:dyDescent="0.25">
      <c r="R4101">
        <v>125</v>
      </c>
      <c r="S4101">
        <v>391</v>
      </c>
      <c r="T4101">
        <v>5</v>
      </c>
    </row>
    <row r="4102" spans="18:20" x14ac:dyDescent="0.25">
      <c r="R4102">
        <v>125</v>
      </c>
      <c r="S4102">
        <v>410</v>
      </c>
      <c r="T4102">
        <v>1</v>
      </c>
    </row>
    <row r="4103" spans="18:20" x14ac:dyDescent="0.25">
      <c r="R4103">
        <v>125</v>
      </c>
      <c r="S4103">
        <v>429</v>
      </c>
      <c r="T4103">
        <v>4</v>
      </c>
    </row>
    <row r="4104" spans="18:20" x14ac:dyDescent="0.25">
      <c r="R4104">
        <v>125</v>
      </c>
      <c r="S4104">
        <v>433</v>
      </c>
      <c r="T4104">
        <v>1</v>
      </c>
    </row>
    <row r="4105" spans="18:20" x14ac:dyDescent="0.25">
      <c r="R4105">
        <v>126</v>
      </c>
      <c r="S4105">
        <v>7</v>
      </c>
      <c r="T4105">
        <v>4</v>
      </c>
    </row>
    <row r="4106" spans="18:20" x14ac:dyDescent="0.25">
      <c r="R4106">
        <v>126</v>
      </c>
      <c r="S4106">
        <v>10</v>
      </c>
      <c r="T4106">
        <v>5</v>
      </c>
    </row>
    <row r="4107" spans="18:20" x14ac:dyDescent="0.25">
      <c r="R4107">
        <v>126</v>
      </c>
      <c r="S4107">
        <v>43</v>
      </c>
      <c r="T4107">
        <v>1</v>
      </c>
    </row>
    <row r="4108" spans="18:20" x14ac:dyDescent="0.25">
      <c r="R4108">
        <v>126</v>
      </c>
      <c r="S4108">
        <v>54</v>
      </c>
      <c r="T4108">
        <v>1</v>
      </c>
    </row>
    <row r="4109" spans="18:20" x14ac:dyDescent="0.25">
      <c r="R4109">
        <v>126</v>
      </c>
      <c r="S4109">
        <v>58</v>
      </c>
      <c r="T4109">
        <v>2</v>
      </c>
    </row>
    <row r="4110" spans="18:20" x14ac:dyDescent="0.25">
      <c r="R4110">
        <v>126</v>
      </c>
      <c r="S4110">
        <v>59</v>
      </c>
      <c r="T4110">
        <v>2</v>
      </c>
    </row>
    <row r="4111" spans="18:20" x14ac:dyDescent="0.25">
      <c r="R4111">
        <v>126</v>
      </c>
      <c r="S4111">
        <v>69</v>
      </c>
      <c r="T4111">
        <v>2</v>
      </c>
    </row>
    <row r="4112" spans="18:20" x14ac:dyDescent="0.25">
      <c r="R4112">
        <v>126</v>
      </c>
      <c r="S4112">
        <v>89</v>
      </c>
      <c r="T4112">
        <v>2</v>
      </c>
    </row>
    <row r="4113" spans="18:20" x14ac:dyDescent="0.25">
      <c r="R4113">
        <v>126</v>
      </c>
      <c r="S4113">
        <v>107</v>
      </c>
      <c r="T4113">
        <v>5</v>
      </c>
    </row>
    <row r="4114" spans="18:20" x14ac:dyDescent="0.25">
      <c r="R4114">
        <v>126</v>
      </c>
      <c r="S4114">
        <v>111</v>
      </c>
      <c r="T4114">
        <v>4</v>
      </c>
    </row>
    <row r="4115" spans="18:20" x14ac:dyDescent="0.25">
      <c r="R4115">
        <v>126</v>
      </c>
      <c r="S4115">
        <v>118</v>
      </c>
      <c r="T4115">
        <v>5</v>
      </c>
    </row>
    <row r="4116" spans="18:20" x14ac:dyDescent="0.25">
      <c r="R4116">
        <v>126</v>
      </c>
      <c r="S4116">
        <v>118</v>
      </c>
      <c r="T4116">
        <v>5</v>
      </c>
    </row>
    <row r="4117" spans="18:20" x14ac:dyDescent="0.25">
      <c r="R4117">
        <v>126</v>
      </c>
      <c r="S4117">
        <v>125</v>
      </c>
      <c r="T4117">
        <v>5</v>
      </c>
    </row>
    <row r="4118" spans="18:20" x14ac:dyDescent="0.25">
      <c r="R4118">
        <v>126</v>
      </c>
      <c r="S4118">
        <v>135</v>
      </c>
      <c r="T4118">
        <v>3</v>
      </c>
    </row>
    <row r="4119" spans="18:20" x14ac:dyDescent="0.25">
      <c r="R4119">
        <v>126</v>
      </c>
      <c r="S4119">
        <v>145</v>
      </c>
      <c r="T4119">
        <v>4</v>
      </c>
    </row>
    <row r="4120" spans="18:20" x14ac:dyDescent="0.25">
      <c r="R4120">
        <v>126</v>
      </c>
      <c r="S4120">
        <v>147</v>
      </c>
      <c r="T4120">
        <v>1</v>
      </c>
    </row>
    <row r="4121" spans="18:20" x14ac:dyDescent="0.25">
      <c r="R4121">
        <v>126</v>
      </c>
      <c r="S4121">
        <v>150</v>
      </c>
      <c r="T4121">
        <v>1</v>
      </c>
    </row>
    <row r="4122" spans="18:20" x14ac:dyDescent="0.25">
      <c r="R4122">
        <v>126</v>
      </c>
      <c r="S4122">
        <v>169</v>
      </c>
      <c r="T4122">
        <v>5</v>
      </c>
    </row>
    <row r="4123" spans="18:20" x14ac:dyDescent="0.25">
      <c r="R4123">
        <v>126</v>
      </c>
      <c r="S4123">
        <v>174</v>
      </c>
      <c r="T4123">
        <v>1</v>
      </c>
    </row>
    <row r="4124" spans="18:20" x14ac:dyDescent="0.25">
      <c r="R4124">
        <v>126</v>
      </c>
      <c r="S4124">
        <v>178</v>
      </c>
      <c r="T4124">
        <v>1</v>
      </c>
    </row>
    <row r="4125" spans="18:20" x14ac:dyDescent="0.25">
      <c r="R4125">
        <v>126</v>
      </c>
      <c r="S4125">
        <v>186</v>
      </c>
      <c r="T4125">
        <v>3</v>
      </c>
    </row>
    <row r="4126" spans="18:20" x14ac:dyDescent="0.25">
      <c r="R4126">
        <v>126</v>
      </c>
      <c r="S4126">
        <v>193</v>
      </c>
      <c r="T4126">
        <v>2</v>
      </c>
    </row>
    <row r="4127" spans="18:20" x14ac:dyDescent="0.25">
      <c r="R4127">
        <v>126</v>
      </c>
      <c r="S4127">
        <v>195</v>
      </c>
      <c r="T4127">
        <v>5</v>
      </c>
    </row>
    <row r="4128" spans="18:20" x14ac:dyDescent="0.25">
      <c r="R4128">
        <v>126</v>
      </c>
      <c r="S4128">
        <v>206</v>
      </c>
      <c r="T4128">
        <v>5</v>
      </c>
    </row>
    <row r="4129" spans="18:20" x14ac:dyDescent="0.25">
      <c r="R4129">
        <v>126</v>
      </c>
      <c r="S4129">
        <v>215</v>
      </c>
      <c r="T4129">
        <v>4</v>
      </c>
    </row>
    <row r="4130" spans="18:20" x14ac:dyDescent="0.25">
      <c r="R4130">
        <v>126</v>
      </c>
      <c r="S4130">
        <v>216</v>
      </c>
      <c r="T4130">
        <v>1</v>
      </c>
    </row>
    <row r="4131" spans="18:20" x14ac:dyDescent="0.25">
      <c r="R4131">
        <v>126</v>
      </c>
      <c r="S4131">
        <v>233</v>
      </c>
      <c r="T4131">
        <v>4</v>
      </c>
    </row>
    <row r="4132" spans="18:20" x14ac:dyDescent="0.25">
      <c r="R4132">
        <v>126</v>
      </c>
      <c r="S4132">
        <v>253</v>
      </c>
      <c r="T4132">
        <v>4</v>
      </c>
    </row>
    <row r="4133" spans="18:20" x14ac:dyDescent="0.25">
      <c r="R4133">
        <v>126</v>
      </c>
      <c r="S4133">
        <v>282</v>
      </c>
      <c r="T4133">
        <v>3</v>
      </c>
    </row>
    <row r="4134" spans="18:20" x14ac:dyDescent="0.25">
      <c r="R4134">
        <v>126</v>
      </c>
      <c r="S4134">
        <v>307</v>
      </c>
      <c r="T4134">
        <v>4</v>
      </c>
    </row>
    <row r="4135" spans="18:20" x14ac:dyDescent="0.25">
      <c r="R4135">
        <v>126</v>
      </c>
      <c r="S4135">
        <v>321</v>
      </c>
      <c r="T4135">
        <v>4</v>
      </c>
    </row>
    <row r="4136" spans="18:20" x14ac:dyDescent="0.25">
      <c r="R4136">
        <v>126</v>
      </c>
      <c r="S4136">
        <v>321</v>
      </c>
      <c r="T4136">
        <v>5</v>
      </c>
    </row>
    <row r="4137" spans="18:20" x14ac:dyDescent="0.25">
      <c r="R4137">
        <v>126</v>
      </c>
      <c r="S4137">
        <v>324</v>
      </c>
      <c r="T4137">
        <v>5</v>
      </c>
    </row>
    <row r="4138" spans="18:20" x14ac:dyDescent="0.25">
      <c r="R4138">
        <v>126</v>
      </c>
      <c r="S4138">
        <v>336</v>
      </c>
      <c r="T4138">
        <v>2</v>
      </c>
    </row>
    <row r="4139" spans="18:20" x14ac:dyDescent="0.25">
      <c r="R4139">
        <v>126</v>
      </c>
      <c r="S4139">
        <v>348</v>
      </c>
      <c r="T4139">
        <v>5</v>
      </c>
    </row>
    <row r="4140" spans="18:20" x14ac:dyDescent="0.25">
      <c r="R4140">
        <v>126</v>
      </c>
      <c r="S4140">
        <v>368</v>
      </c>
      <c r="T4140">
        <v>4</v>
      </c>
    </row>
    <row r="4141" spans="18:20" x14ac:dyDescent="0.25">
      <c r="R4141">
        <v>126</v>
      </c>
      <c r="S4141">
        <v>368</v>
      </c>
      <c r="T4141">
        <v>3</v>
      </c>
    </row>
    <row r="4142" spans="18:20" x14ac:dyDescent="0.25">
      <c r="R4142">
        <v>126</v>
      </c>
      <c r="S4142">
        <v>382</v>
      </c>
      <c r="T4142">
        <v>2</v>
      </c>
    </row>
    <row r="4143" spans="18:20" x14ac:dyDescent="0.25">
      <c r="R4143">
        <v>126</v>
      </c>
      <c r="S4143">
        <v>390</v>
      </c>
      <c r="T4143">
        <v>4</v>
      </c>
    </row>
    <row r="4144" spans="18:20" x14ac:dyDescent="0.25">
      <c r="R4144">
        <v>126</v>
      </c>
      <c r="S4144">
        <v>401</v>
      </c>
      <c r="T4144">
        <v>1</v>
      </c>
    </row>
    <row r="4145" spans="18:20" x14ac:dyDescent="0.25">
      <c r="R4145">
        <v>126</v>
      </c>
      <c r="S4145">
        <v>430</v>
      </c>
      <c r="T4145">
        <v>5</v>
      </c>
    </row>
    <row r="4146" spans="18:20" x14ac:dyDescent="0.25">
      <c r="R4146">
        <v>127</v>
      </c>
      <c r="S4146">
        <v>4</v>
      </c>
      <c r="T4146">
        <v>4</v>
      </c>
    </row>
    <row r="4147" spans="18:20" x14ac:dyDescent="0.25">
      <c r="R4147">
        <v>127</v>
      </c>
      <c r="S4147">
        <v>5</v>
      </c>
      <c r="T4147">
        <v>2</v>
      </c>
    </row>
    <row r="4148" spans="18:20" x14ac:dyDescent="0.25">
      <c r="R4148">
        <v>127</v>
      </c>
      <c r="S4148">
        <v>9</v>
      </c>
      <c r="T4148">
        <v>4</v>
      </c>
    </row>
    <row r="4149" spans="18:20" x14ac:dyDescent="0.25">
      <c r="R4149">
        <v>127</v>
      </c>
      <c r="S4149">
        <v>33</v>
      </c>
      <c r="T4149">
        <v>3</v>
      </c>
    </row>
    <row r="4150" spans="18:20" x14ac:dyDescent="0.25">
      <c r="R4150">
        <v>127</v>
      </c>
      <c r="S4150">
        <v>48</v>
      </c>
      <c r="T4150">
        <v>3</v>
      </c>
    </row>
    <row r="4151" spans="18:20" x14ac:dyDescent="0.25">
      <c r="R4151">
        <v>127</v>
      </c>
      <c r="S4151">
        <v>49</v>
      </c>
      <c r="T4151">
        <v>1</v>
      </c>
    </row>
    <row r="4152" spans="18:20" x14ac:dyDescent="0.25">
      <c r="R4152">
        <v>127</v>
      </c>
      <c r="S4152">
        <v>60</v>
      </c>
      <c r="T4152">
        <v>3</v>
      </c>
    </row>
    <row r="4153" spans="18:20" x14ac:dyDescent="0.25">
      <c r="R4153">
        <v>127</v>
      </c>
      <c r="S4153">
        <v>97</v>
      </c>
      <c r="T4153">
        <v>3</v>
      </c>
    </row>
    <row r="4154" spans="18:20" x14ac:dyDescent="0.25">
      <c r="R4154">
        <v>127</v>
      </c>
      <c r="S4154">
        <v>103</v>
      </c>
      <c r="T4154">
        <v>2</v>
      </c>
    </row>
    <row r="4155" spans="18:20" x14ac:dyDescent="0.25">
      <c r="R4155">
        <v>127</v>
      </c>
      <c r="S4155">
        <v>113</v>
      </c>
      <c r="T4155">
        <v>2</v>
      </c>
    </row>
    <row r="4156" spans="18:20" x14ac:dyDescent="0.25">
      <c r="R4156">
        <v>127</v>
      </c>
      <c r="S4156">
        <v>128</v>
      </c>
      <c r="T4156">
        <v>4</v>
      </c>
    </row>
    <row r="4157" spans="18:20" x14ac:dyDescent="0.25">
      <c r="R4157">
        <v>127</v>
      </c>
      <c r="S4157">
        <v>129</v>
      </c>
      <c r="T4157">
        <v>1</v>
      </c>
    </row>
    <row r="4158" spans="18:20" x14ac:dyDescent="0.25">
      <c r="R4158">
        <v>127</v>
      </c>
      <c r="S4158">
        <v>149</v>
      </c>
      <c r="T4158">
        <v>3</v>
      </c>
    </row>
    <row r="4159" spans="18:20" x14ac:dyDescent="0.25">
      <c r="R4159">
        <v>127</v>
      </c>
      <c r="S4159">
        <v>155</v>
      </c>
      <c r="T4159">
        <v>4</v>
      </c>
    </row>
    <row r="4160" spans="18:20" x14ac:dyDescent="0.25">
      <c r="R4160">
        <v>127</v>
      </c>
      <c r="S4160">
        <v>157</v>
      </c>
      <c r="T4160">
        <v>4</v>
      </c>
    </row>
    <row r="4161" spans="18:20" x14ac:dyDescent="0.25">
      <c r="R4161">
        <v>127</v>
      </c>
      <c r="S4161">
        <v>162</v>
      </c>
      <c r="T4161">
        <v>5</v>
      </c>
    </row>
    <row r="4162" spans="18:20" x14ac:dyDescent="0.25">
      <c r="R4162">
        <v>127</v>
      </c>
      <c r="S4162">
        <v>169</v>
      </c>
      <c r="T4162">
        <v>1</v>
      </c>
    </row>
    <row r="4163" spans="18:20" x14ac:dyDescent="0.25">
      <c r="R4163">
        <v>127</v>
      </c>
      <c r="S4163">
        <v>173</v>
      </c>
      <c r="T4163">
        <v>2</v>
      </c>
    </row>
    <row r="4164" spans="18:20" x14ac:dyDescent="0.25">
      <c r="R4164">
        <v>127</v>
      </c>
      <c r="S4164">
        <v>174</v>
      </c>
      <c r="T4164">
        <v>5</v>
      </c>
    </row>
    <row r="4165" spans="18:20" x14ac:dyDescent="0.25">
      <c r="R4165">
        <v>127</v>
      </c>
      <c r="S4165">
        <v>179</v>
      </c>
      <c r="T4165">
        <v>4</v>
      </c>
    </row>
    <row r="4166" spans="18:20" x14ac:dyDescent="0.25">
      <c r="R4166">
        <v>127</v>
      </c>
      <c r="S4166">
        <v>179</v>
      </c>
      <c r="T4166">
        <v>3</v>
      </c>
    </row>
    <row r="4167" spans="18:20" x14ac:dyDescent="0.25">
      <c r="R4167">
        <v>127</v>
      </c>
      <c r="S4167">
        <v>189</v>
      </c>
      <c r="T4167">
        <v>5</v>
      </c>
    </row>
    <row r="4168" spans="18:20" x14ac:dyDescent="0.25">
      <c r="R4168">
        <v>127</v>
      </c>
      <c r="S4168">
        <v>203</v>
      </c>
      <c r="T4168">
        <v>1</v>
      </c>
    </row>
    <row r="4169" spans="18:20" x14ac:dyDescent="0.25">
      <c r="R4169">
        <v>127</v>
      </c>
      <c r="S4169">
        <v>222</v>
      </c>
      <c r="T4169">
        <v>4</v>
      </c>
    </row>
    <row r="4170" spans="18:20" x14ac:dyDescent="0.25">
      <c r="R4170">
        <v>127</v>
      </c>
      <c r="S4170">
        <v>245</v>
      </c>
      <c r="T4170">
        <v>1</v>
      </c>
    </row>
    <row r="4171" spans="18:20" x14ac:dyDescent="0.25">
      <c r="R4171">
        <v>127</v>
      </c>
      <c r="S4171">
        <v>252</v>
      </c>
      <c r="T4171">
        <v>4</v>
      </c>
    </row>
    <row r="4172" spans="18:20" x14ac:dyDescent="0.25">
      <c r="R4172">
        <v>127</v>
      </c>
      <c r="S4172">
        <v>274</v>
      </c>
      <c r="T4172">
        <v>3</v>
      </c>
    </row>
    <row r="4173" spans="18:20" x14ac:dyDescent="0.25">
      <c r="R4173">
        <v>127</v>
      </c>
      <c r="S4173">
        <v>279</v>
      </c>
      <c r="T4173">
        <v>4</v>
      </c>
    </row>
    <row r="4174" spans="18:20" x14ac:dyDescent="0.25">
      <c r="R4174">
        <v>127</v>
      </c>
      <c r="S4174">
        <v>300</v>
      </c>
      <c r="T4174">
        <v>4</v>
      </c>
    </row>
    <row r="4175" spans="18:20" x14ac:dyDescent="0.25">
      <c r="R4175">
        <v>127</v>
      </c>
      <c r="S4175">
        <v>333</v>
      </c>
      <c r="T4175">
        <v>2</v>
      </c>
    </row>
    <row r="4176" spans="18:20" x14ac:dyDescent="0.25">
      <c r="R4176">
        <v>127</v>
      </c>
      <c r="S4176">
        <v>377</v>
      </c>
      <c r="T4176">
        <v>2</v>
      </c>
    </row>
    <row r="4177" spans="18:20" x14ac:dyDescent="0.25">
      <c r="R4177">
        <v>127</v>
      </c>
      <c r="S4177">
        <v>388</v>
      </c>
      <c r="T4177">
        <v>2</v>
      </c>
    </row>
    <row r="4178" spans="18:20" x14ac:dyDescent="0.25">
      <c r="R4178">
        <v>127</v>
      </c>
      <c r="S4178">
        <v>412</v>
      </c>
      <c r="T4178">
        <v>4</v>
      </c>
    </row>
    <row r="4179" spans="18:20" x14ac:dyDescent="0.25">
      <c r="R4179">
        <v>127</v>
      </c>
      <c r="S4179">
        <v>417</v>
      </c>
      <c r="T4179">
        <v>2</v>
      </c>
    </row>
    <row r="4180" spans="18:20" x14ac:dyDescent="0.25">
      <c r="R4180">
        <v>128</v>
      </c>
      <c r="S4180">
        <v>28</v>
      </c>
      <c r="T4180">
        <v>5</v>
      </c>
    </row>
    <row r="4181" spans="18:20" x14ac:dyDescent="0.25">
      <c r="R4181">
        <v>128</v>
      </c>
      <c r="S4181">
        <v>29</v>
      </c>
      <c r="T4181">
        <v>3</v>
      </c>
    </row>
    <row r="4182" spans="18:20" x14ac:dyDescent="0.25">
      <c r="R4182">
        <v>128</v>
      </c>
      <c r="S4182">
        <v>38</v>
      </c>
      <c r="T4182">
        <v>1</v>
      </c>
    </row>
    <row r="4183" spans="18:20" x14ac:dyDescent="0.25">
      <c r="R4183">
        <v>128</v>
      </c>
      <c r="S4183">
        <v>45</v>
      </c>
      <c r="T4183">
        <v>1</v>
      </c>
    </row>
    <row r="4184" spans="18:20" x14ac:dyDescent="0.25">
      <c r="R4184">
        <v>128</v>
      </c>
      <c r="S4184">
        <v>64</v>
      </c>
      <c r="T4184">
        <v>4</v>
      </c>
    </row>
    <row r="4185" spans="18:20" x14ac:dyDescent="0.25">
      <c r="R4185">
        <v>128</v>
      </c>
      <c r="S4185">
        <v>108</v>
      </c>
      <c r="T4185">
        <v>5</v>
      </c>
    </row>
    <row r="4186" spans="18:20" x14ac:dyDescent="0.25">
      <c r="R4186">
        <v>128</v>
      </c>
      <c r="S4186">
        <v>129</v>
      </c>
      <c r="T4186">
        <v>3</v>
      </c>
    </row>
    <row r="4187" spans="18:20" x14ac:dyDescent="0.25">
      <c r="R4187">
        <v>128</v>
      </c>
      <c r="S4187">
        <v>149</v>
      </c>
      <c r="T4187">
        <v>4</v>
      </c>
    </row>
    <row r="4188" spans="18:20" x14ac:dyDescent="0.25">
      <c r="R4188">
        <v>128</v>
      </c>
      <c r="S4188">
        <v>175</v>
      </c>
      <c r="T4188">
        <v>1</v>
      </c>
    </row>
    <row r="4189" spans="18:20" x14ac:dyDescent="0.25">
      <c r="R4189">
        <v>128</v>
      </c>
      <c r="S4189">
        <v>192</v>
      </c>
      <c r="T4189">
        <v>2</v>
      </c>
    </row>
    <row r="4190" spans="18:20" x14ac:dyDescent="0.25">
      <c r="R4190">
        <v>128</v>
      </c>
      <c r="S4190">
        <v>194</v>
      </c>
      <c r="T4190">
        <v>4</v>
      </c>
    </row>
    <row r="4191" spans="18:20" x14ac:dyDescent="0.25">
      <c r="R4191">
        <v>128</v>
      </c>
      <c r="S4191">
        <v>196</v>
      </c>
      <c r="T4191">
        <v>4</v>
      </c>
    </row>
    <row r="4192" spans="18:20" x14ac:dyDescent="0.25">
      <c r="R4192">
        <v>128</v>
      </c>
      <c r="S4192">
        <v>207</v>
      </c>
      <c r="T4192">
        <v>1</v>
      </c>
    </row>
    <row r="4193" spans="18:20" x14ac:dyDescent="0.25">
      <c r="R4193">
        <v>128</v>
      </c>
      <c r="S4193">
        <v>224</v>
      </c>
      <c r="T4193">
        <v>4</v>
      </c>
    </row>
    <row r="4194" spans="18:20" x14ac:dyDescent="0.25">
      <c r="R4194">
        <v>128</v>
      </c>
      <c r="S4194">
        <v>233</v>
      </c>
      <c r="T4194">
        <v>4</v>
      </c>
    </row>
    <row r="4195" spans="18:20" x14ac:dyDescent="0.25">
      <c r="R4195">
        <v>128</v>
      </c>
      <c r="S4195">
        <v>241</v>
      </c>
      <c r="T4195">
        <v>2</v>
      </c>
    </row>
    <row r="4196" spans="18:20" x14ac:dyDescent="0.25">
      <c r="R4196">
        <v>128</v>
      </c>
      <c r="S4196">
        <v>270</v>
      </c>
      <c r="T4196">
        <v>2</v>
      </c>
    </row>
    <row r="4197" spans="18:20" x14ac:dyDescent="0.25">
      <c r="R4197">
        <v>128</v>
      </c>
      <c r="S4197">
        <v>286</v>
      </c>
      <c r="T4197">
        <v>1</v>
      </c>
    </row>
    <row r="4198" spans="18:20" x14ac:dyDescent="0.25">
      <c r="R4198">
        <v>128</v>
      </c>
      <c r="S4198">
        <v>294</v>
      </c>
      <c r="T4198">
        <v>2</v>
      </c>
    </row>
    <row r="4199" spans="18:20" x14ac:dyDescent="0.25">
      <c r="R4199">
        <v>128</v>
      </c>
      <c r="S4199">
        <v>300</v>
      </c>
      <c r="T4199">
        <v>4</v>
      </c>
    </row>
    <row r="4200" spans="18:20" x14ac:dyDescent="0.25">
      <c r="R4200">
        <v>128</v>
      </c>
      <c r="S4200">
        <v>302</v>
      </c>
      <c r="T4200">
        <v>3</v>
      </c>
    </row>
    <row r="4201" spans="18:20" x14ac:dyDescent="0.25">
      <c r="R4201">
        <v>128</v>
      </c>
      <c r="S4201">
        <v>305</v>
      </c>
      <c r="T4201">
        <v>4</v>
      </c>
    </row>
    <row r="4202" spans="18:20" x14ac:dyDescent="0.25">
      <c r="R4202">
        <v>128</v>
      </c>
      <c r="S4202">
        <v>309</v>
      </c>
      <c r="T4202">
        <v>3</v>
      </c>
    </row>
    <row r="4203" spans="18:20" x14ac:dyDescent="0.25">
      <c r="R4203">
        <v>128</v>
      </c>
      <c r="S4203">
        <v>333</v>
      </c>
      <c r="T4203">
        <v>2</v>
      </c>
    </row>
    <row r="4204" spans="18:20" x14ac:dyDescent="0.25">
      <c r="R4204">
        <v>128</v>
      </c>
      <c r="S4204">
        <v>341</v>
      </c>
      <c r="T4204">
        <v>5</v>
      </c>
    </row>
    <row r="4205" spans="18:20" x14ac:dyDescent="0.25">
      <c r="R4205">
        <v>128</v>
      </c>
      <c r="S4205">
        <v>341</v>
      </c>
      <c r="T4205">
        <v>2</v>
      </c>
    </row>
    <row r="4206" spans="18:20" x14ac:dyDescent="0.25">
      <c r="R4206">
        <v>128</v>
      </c>
      <c r="S4206">
        <v>347</v>
      </c>
      <c r="T4206">
        <v>1</v>
      </c>
    </row>
    <row r="4207" spans="18:20" x14ac:dyDescent="0.25">
      <c r="R4207">
        <v>128</v>
      </c>
      <c r="S4207">
        <v>357</v>
      </c>
      <c r="T4207">
        <v>4</v>
      </c>
    </row>
    <row r="4208" spans="18:20" x14ac:dyDescent="0.25">
      <c r="R4208">
        <v>128</v>
      </c>
      <c r="S4208">
        <v>370</v>
      </c>
      <c r="T4208">
        <v>1</v>
      </c>
    </row>
    <row r="4209" spans="18:20" x14ac:dyDescent="0.25">
      <c r="R4209">
        <v>128</v>
      </c>
      <c r="S4209">
        <v>395</v>
      </c>
      <c r="T4209">
        <v>4</v>
      </c>
    </row>
    <row r="4210" spans="18:20" x14ac:dyDescent="0.25">
      <c r="R4210">
        <v>128</v>
      </c>
      <c r="S4210">
        <v>398</v>
      </c>
      <c r="T4210">
        <v>5</v>
      </c>
    </row>
    <row r="4211" spans="18:20" x14ac:dyDescent="0.25">
      <c r="R4211">
        <v>128</v>
      </c>
      <c r="S4211">
        <v>421</v>
      </c>
      <c r="T4211">
        <v>5</v>
      </c>
    </row>
    <row r="4212" spans="18:20" x14ac:dyDescent="0.25">
      <c r="R4212">
        <v>128</v>
      </c>
      <c r="S4212">
        <v>436</v>
      </c>
      <c r="T4212">
        <v>3</v>
      </c>
    </row>
    <row r="4213" spans="18:20" x14ac:dyDescent="0.25">
      <c r="R4213">
        <v>129</v>
      </c>
      <c r="S4213">
        <v>6</v>
      </c>
      <c r="T4213">
        <v>3</v>
      </c>
    </row>
    <row r="4214" spans="18:20" x14ac:dyDescent="0.25">
      <c r="R4214">
        <v>129</v>
      </c>
      <c r="S4214">
        <v>7</v>
      </c>
      <c r="T4214">
        <v>3</v>
      </c>
    </row>
    <row r="4215" spans="18:20" x14ac:dyDescent="0.25">
      <c r="R4215">
        <v>129</v>
      </c>
      <c r="S4215">
        <v>29</v>
      </c>
      <c r="T4215">
        <v>3</v>
      </c>
    </row>
    <row r="4216" spans="18:20" x14ac:dyDescent="0.25">
      <c r="R4216">
        <v>129</v>
      </c>
      <c r="S4216">
        <v>43</v>
      </c>
      <c r="T4216">
        <v>5</v>
      </c>
    </row>
    <row r="4217" spans="18:20" x14ac:dyDescent="0.25">
      <c r="R4217">
        <v>129</v>
      </c>
      <c r="S4217">
        <v>55</v>
      </c>
      <c r="T4217">
        <v>2</v>
      </c>
    </row>
    <row r="4218" spans="18:20" x14ac:dyDescent="0.25">
      <c r="R4218">
        <v>129</v>
      </c>
      <c r="S4218">
        <v>80</v>
      </c>
      <c r="T4218">
        <v>2</v>
      </c>
    </row>
    <row r="4219" spans="18:20" x14ac:dyDescent="0.25">
      <c r="R4219">
        <v>129</v>
      </c>
      <c r="S4219">
        <v>108</v>
      </c>
      <c r="T4219">
        <v>2</v>
      </c>
    </row>
    <row r="4220" spans="18:20" x14ac:dyDescent="0.25">
      <c r="R4220">
        <v>129</v>
      </c>
      <c r="S4220">
        <v>141</v>
      </c>
      <c r="T4220">
        <v>2</v>
      </c>
    </row>
    <row r="4221" spans="18:20" x14ac:dyDescent="0.25">
      <c r="R4221">
        <v>129</v>
      </c>
      <c r="S4221">
        <v>147</v>
      </c>
      <c r="T4221">
        <v>4</v>
      </c>
    </row>
    <row r="4222" spans="18:20" x14ac:dyDescent="0.25">
      <c r="R4222">
        <v>129</v>
      </c>
      <c r="S4222">
        <v>148</v>
      </c>
      <c r="T4222">
        <v>3</v>
      </c>
    </row>
    <row r="4223" spans="18:20" x14ac:dyDescent="0.25">
      <c r="R4223">
        <v>129</v>
      </c>
      <c r="S4223">
        <v>150</v>
      </c>
      <c r="T4223">
        <v>5</v>
      </c>
    </row>
    <row r="4224" spans="18:20" x14ac:dyDescent="0.25">
      <c r="R4224">
        <v>129</v>
      </c>
      <c r="S4224">
        <v>155</v>
      </c>
      <c r="T4224">
        <v>5</v>
      </c>
    </row>
    <row r="4225" spans="18:20" x14ac:dyDescent="0.25">
      <c r="R4225">
        <v>129</v>
      </c>
      <c r="S4225">
        <v>161</v>
      </c>
      <c r="T4225">
        <v>2</v>
      </c>
    </row>
    <row r="4226" spans="18:20" x14ac:dyDescent="0.25">
      <c r="R4226">
        <v>129</v>
      </c>
      <c r="S4226">
        <v>163</v>
      </c>
      <c r="T4226">
        <v>1</v>
      </c>
    </row>
    <row r="4227" spans="18:20" x14ac:dyDescent="0.25">
      <c r="R4227">
        <v>129</v>
      </c>
      <c r="S4227">
        <v>169</v>
      </c>
      <c r="T4227">
        <v>4</v>
      </c>
    </row>
    <row r="4228" spans="18:20" x14ac:dyDescent="0.25">
      <c r="R4228">
        <v>129</v>
      </c>
      <c r="S4228">
        <v>193</v>
      </c>
      <c r="T4228">
        <v>2</v>
      </c>
    </row>
    <row r="4229" spans="18:20" x14ac:dyDescent="0.25">
      <c r="R4229">
        <v>129</v>
      </c>
      <c r="S4229">
        <v>211</v>
      </c>
      <c r="T4229">
        <v>4</v>
      </c>
    </row>
    <row r="4230" spans="18:20" x14ac:dyDescent="0.25">
      <c r="R4230">
        <v>129</v>
      </c>
      <c r="S4230">
        <v>223</v>
      </c>
      <c r="T4230">
        <v>3</v>
      </c>
    </row>
    <row r="4231" spans="18:20" x14ac:dyDescent="0.25">
      <c r="R4231">
        <v>129</v>
      </c>
      <c r="S4231">
        <v>261</v>
      </c>
      <c r="T4231">
        <v>4</v>
      </c>
    </row>
    <row r="4232" spans="18:20" x14ac:dyDescent="0.25">
      <c r="R4232">
        <v>129</v>
      </c>
      <c r="S4232">
        <v>272</v>
      </c>
      <c r="T4232">
        <v>5</v>
      </c>
    </row>
    <row r="4233" spans="18:20" x14ac:dyDescent="0.25">
      <c r="R4233">
        <v>129</v>
      </c>
      <c r="S4233">
        <v>295</v>
      </c>
      <c r="T4233">
        <v>5</v>
      </c>
    </row>
    <row r="4234" spans="18:20" x14ac:dyDescent="0.25">
      <c r="R4234">
        <v>129</v>
      </c>
      <c r="S4234">
        <v>318</v>
      </c>
      <c r="T4234">
        <v>3</v>
      </c>
    </row>
    <row r="4235" spans="18:20" x14ac:dyDescent="0.25">
      <c r="R4235">
        <v>129</v>
      </c>
      <c r="S4235">
        <v>332</v>
      </c>
      <c r="T4235">
        <v>2</v>
      </c>
    </row>
    <row r="4236" spans="18:20" x14ac:dyDescent="0.25">
      <c r="R4236">
        <v>129</v>
      </c>
      <c r="S4236">
        <v>335</v>
      </c>
      <c r="T4236">
        <v>5</v>
      </c>
    </row>
    <row r="4237" spans="18:20" x14ac:dyDescent="0.25">
      <c r="R4237">
        <v>129</v>
      </c>
      <c r="S4237">
        <v>355</v>
      </c>
      <c r="T4237">
        <v>5</v>
      </c>
    </row>
    <row r="4238" spans="18:20" x14ac:dyDescent="0.25">
      <c r="R4238">
        <v>129</v>
      </c>
      <c r="S4238">
        <v>365</v>
      </c>
      <c r="T4238">
        <v>2</v>
      </c>
    </row>
    <row r="4239" spans="18:20" x14ac:dyDescent="0.25">
      <c r="R4239">
        <v>129</v>
      </c>
      <c r="S4239">
        <v>370</v>
      </c>
      <c r="T4239">
        <v>2</v>
      </c>
    </row>
    <row r="4240" spans="18:20" x14ac:dyDescent="0.25">
      <c r="R4240">
        <v>129</v>
      </c>
      <c r="S4240">
        <v>390</v>
      </c>
      <c r="T4240">
        <v>4</v>
      </c>
    </row>
    <row r="4241" spans="18:20" x14ac:dyDescent="0.25">
      <c r="R4241">
        <v>129</v>
      </c>
      <c r="S4241">
        <v>394</v>
      </c>
      <c r="T4241">
        <v>2</v>
      </c>
    </row>
    <row r="4242" spans="18:20" x14ac:dyDescent="0.25">
      <c r="R4242">
        <v>129</v>
      </c>
      <c r="S4242">
        <v>396</v>
      </c>
      <c r="T4242">
        <v>5</v>
      </c>
    </row>
    <row r="4243" spans="18:20" x14ac:dyDescent="0.25">
      <c r="R4243">
        <v>129</v>
      </c>
      <c r="S4243">
        <v>418</v>
      </c>
      <c r="T4243">
        <v>5</v>
      </c>
    </row>
    <row r="4244" spans="18:20" x14ac:dyDescent="0.25">
      <c r="R4244">
        <v>129</v>
      </c>
      <c r="S4244">
        <v>436</v>
      </c>
      <c r="T4244">
        <v>4</v>
      </c>
    </row>
    <row r="4245" spans="18:20" x14ac:dyDescent="0.25">
      <c r="R4245">
        <v>130</v>
      </c>
      <c r="S4245">
        <v>13</v>
      </c>
      <c r="T4245">
        <v>5</v>
      </c>
    </row>
    <row r="4246" spans="18:20" x14ac:dyDescent="0.25">
      <c r="R4246">
        <v>130</v>
      </c>
      <c r="S4246">
        <v>43</v>
      </c>
      <c r="T4246">
        <v>2</v>
      </c>
    </row>
    <row r="4247" spans="18:20" x14ac:dyDescent="0.25">
      <c r="R4247">
        <v>130</v>
      </c>
      <c r="S4247">
        <v>44</v>
      </c>
      <c r="T4247">
        <v>3</v>
      </c>
    </row>
    <row r="4248" spans="18:20" x14ac:dyDescent="0.25">
      <c r="R4248">
        <v>130</v>
      </c>
      <c r="S4248">
        <v>50</v>
      </c>
      <c r="T4248">
        <v>5</v>
      </c>
    </row>
    <row r="4249" spans="18:20" x14ac:dyDescent="0.25">
      <c r="R4249">
        <v>130</v>
      </c>
      <c r="S4249">
        <v>52</v>
      </c>
      <c r="T4249">
        <v>5</v>
      </c>
    </row>
    <row r="4250" spans="18:20" x14ac:dyDescent="0.25">
      <c r="R4250">
        <v>130</v>
      </c>
      <c r="S4250">
        <v>63</v>
      </c>
      <c r="T4250">
        <v>2</v>
      </c>
    </row>
    <row r="4251" spans="18:20" x14ac:dyDescent="0.25">
      <c r="R4251">
        <v>130</v>
      </c>
      <c r="S4251">
        <v>111</v>
      </c>
      <c r="T4251">
        <v>3</v>
      </c>
    </row>
    <row r="4252" spans="18:20" x14ac:dyDescent="0.25">
      <c r="R4252">
        <v>130</v>
      </c>
      <c r="S4252">
        <v>148</v>
      </c>
      <c r="T4252">
        <v>5</v>
      </c>
    </row>
    <row r="4253" spans="18:20" x14ac:dyDescent="0.25">
      <c r="R4253">
        <v>130</v>
      </c>
      <c r="S4253">
        <v>180</v>
      </c>
      <c r="T4253">
        <v>2</v>
      </c>
    </row>
    <row r="4254" spans="18:20" x14ac:dyDescent="0.25">
      <c r="R4254">
        <v>130</v>
      </c>
      <c r="S4254">
        <v>183</v>
      </c>
      <c r="T4254">
        <v>4</v>
      </c>
    </row>
    <row r="4255" spans="18:20" x14ac:dyDescent="0.25">
      <c r="R4255">
        <v>130</v>
      </c>
      <c r="S4255">
        <v>190</v>
      </c>
      <c r="T4255">
        <v>2</v>
      </c>
    </row>
    <row r="4256" spans="18:20" x14ac:dyDescent="0.25">
      <c r="R4256">
        <v>130</v>
      </c>
      <c r="S4256">
        <v>206</v>
      </c>
      <c r="T4256">
        <v>5</v>
      </c>
    </row>
    <row r="4257" spans="18:20" x14ac:dyDescent="0.25">
      <c r="R4257">
        <v>130</v>
      </c>
      <c r="S4257">
        <v>222</v>
      </c>
      <c r="T4257">
        <v>1</v>
      </c>
    </row>
    <row r="4258" spans="18:20" x14ac:dyDescent="0.25">
      <c r="R4258">
        <v>130</v>
      </c>
      <c r="S4258">
        <v>230</v>
      </c>
      <c r="T4258">
        <v>5</v>
      </c>
    </row>
    <row r="4259" spans="18:20" x14ac:dyDescent="0.25">
      <c r="R4259">
        <v>130</v>
      </c>
      <c r="S4259">
        <v>231</v>
      </c>
      <c r="T4259">
        <v>1</v>
      </c>
    </row>
    <row r="4260" spans="18:20" x14ac:dyDescent="0.25">
      <c r="R4260">
        <v>130</v>
      </c>
      <c r="S4260">
        <v>271</v>
      </c>
      <c r="T4260">
        <v>4</v>
      </c>
    </row>
    <row r="4261" spans="18:20" x14ac:dyDescent="0.25">
      <c r="R4261">
        <v>130</v>
      </c>
      <c r="S4261">
        <v>276</v>
      </c>
      <c r="T4261">
        <v>2</v>
      </c>
    </row>
    <row r="4262" spans="18:20" x14ac:dyDescent="0.25">
      <c r="R4262">
        <v>130</v>
      </c>
      <c r="S4262">
        <v>279</v>
      </c>
      <c r="T4262">
        <v>3</v>
      </c>
    </row>
    <row r="4263" spans="18:20" x14ac:dyDescent="0.25">
      <c r="R4263">
        <v>130</v>
      </c>
      <c r="S4263">
        <v>299</v>
      </c>
      <c r="T4263">
        <v>3</v>
      </c>
    </row>
    <row r="4264" spans="18:20" x14ac:dyDescent="0.25">
      <c r="R4264">
        <v>130</v>
      </c>
      <c r="S4264">
        <v>303</v>
      </c>
      <c r="T4264">
        <v>2</v>
      </c>
    </row>
    <row r="4265" spans="18:20" x14ac:dyDescent="0.25">
      <c r="R4265">
        <v>130</v>
      </c>
      <c r="S4265">
        <v>353</v>
      </c>
      <c r="T4265">
        <v>4</v>
      </c>
    </row>
    <row r="4266" spans="18:20" x14ac:dyDescent="0.25">
      <c r="R4266">
        <v>130</v>
      </c>
      <c r="S4266">
        <v>367</v>
      </c>
      <c r="T4266">
        <v>5</v>
      </c>
    </row>
    <row r="4267" spans="18:20" x14ac:dyDescent="0.25">
      <c r="R4267">
        <v>130</v>
      </c>
      <c r="S4267">
        <v>374</v>
      </c>
      <c r="T4267">
        <v>5</v>
      </c>
    </row>
    <row r="4268" spans="18:20" x14ac:dyDescent="0.25">
      <c r="R4268">
        <v>130</v>
      </c>
      <c r="S4268">
        <v>416</v>
      </c>
      <c r="T4268">
        <v>4</v>
      </c>
    </row>
    <row r="4269" spans="18:20" x14ac:dyDescent="0.25">
      <c r="R4269">
        <v>130</v>
      </c>
      <c r="S4269">
        <v>417</v>
      </c>
      <c r="T4269">
        <v>4</v>
      </c>
    </row>
    <row r="4270" spans="18:20" x14ac:dyDescent="0.25">
      <c r="R4270">
        <v>130</v>
      </c>
      <c r="S4270">
        <v>421</v>
      </c>
      <c r="T4270">
        <v>5</v>
      </c>
    </row>
    <row r="4271" spans="18:20" x14ac:dyDescent="0.25">
      <c r="R4271">
        <v>130</v>
      </c>
      <c r="S4271">
        <v>430</v>
      </c>
      <c r="T4271">
        <v>4</v>
      </c>
    </row>
    <row r="4272" spans="18:20" x14ac:dyDescent="0.25">
      <c r="R4272">
        <v>130</v>
      </c>
      <c r="S4272">
        <v>433</v>
      </c>
      <c r="T4272">
        <v>2</v>
      </c>
    </row>
    <row r="4273" spans="18:20" x14ac:dyDescent="0.25">
      <c r="R4273">
        <v>131</v>
      </c>
      <c r="S4273">
        <v>15</v>
      </c>
      <c r="T4273">
        <v>1</v>
      </c>
    </row>
    <row r="4274" spans="18:20" x14ac:dyDescent="0.25">
      <c r="R4274">
        <v>131</v>
      </c>
      <c r="S4274">
        <v>19</v>
      </c>
      <c r="T4274">
        <v>1</v>
      </c>
    </row>
    <row r="4275" spans="18:20" x14ac:dyDescent="0.25">
      <c r="R4275">
        <v>131</v>
      </c>
      <c r="S4275">
        <v>22</v>
      </c>
      <c r="T4275">
        <v>2</v>
      </c>
    </row>
    <row r="4276" spans="18:20" x14ac:dyDescent="0.25">
      <c r="R4276">
        <v>131</v>
      </c>
      <c r="S4276">
        <v>25</v>
      </c>
      <c r="T4276">
        <v>1</v>
      </c>
    </row>
    <row r="4277" spans="18:20" x14ac:dyDescent="0.25">
      <c r="R4277">
        <v>131</v>
      </c>
      <c r="S4277">
        <v>26</v>
      </c>
      <c r="T4277">
        <v>1</v>
      </c>
    </row>
    <row r="4278" spans="18:20" x14ac:dyDescent="0.25">
      <c r="R4278">
        <v>131</v>
      </c>
      <c r="S4278">
        <v>83</v>
      </c>
      <c r="T4278">
        <v>4</v>
      </c>
    </row>
    <row r="4279" spans="18:20" x14ac:dyDescent="0.25">
      <c r="R4279">
        <v>131</v>
      </c>
      <c r="S4279">
        <v>99</v>
      </c>
      <c r="T4279">
        <v>5</v>
      </c>
    </row>
    <row r="4280" spans="18:20" x14ac:dyDescent="0.25">
      <c r="R4280">
        <v>131</v>
      </c>
      <c r="S4280">
        <v>111</v>
      </c>
      <c r="T4280">
        <v>4</v>
      </c>
    </row>
    <row r="4281" spans="18:20" x14ac:dyDescent="0.25">
      <c r="R4281">
        <v>131</v>
      </c>
      <c r="S4281">
        <v>113</v>
      </c>
      <c r="T4281">
        <v>4</v>
      </c>
    </row>
    <row r="4282" spans="18:20" x14ac:dyDescent="0.25">
      <c r="R4282">
        <v>131</v>
      </c>
      <c r="S4282">
        <v>114</v>
      </c>
      <c r="T4282">
        <v>4</v>
      </c>
    </row>
    <row r="4283" spans="18:20" x14ac:dyDescent="0.25">
      <c r="R4283">
        <v>131</v>
      </c>
      <c r="S4283">
        <v>118</v>
      </c>
      <c r="T4283">
        <v>1</v>
      </c>
    </row>
    <row r="4284" spans="18:20" x14ac:dyDescent="0.25">
      <c r="R4284">
        <v>131</v>
      </c>
      <c r="S4284">
        <v>121</v>
      </c>
      <c r="T4284">
        <v>4</v>
      </c>
    </row>
    <row r="4285" spans="18:20" x14ac:dyDescent="0.25">
      <c r="R4285">
        <v>131</v>
      </c>
      <c r="S4285">
        <v>138</v>
      </c>
      <c r="T4285">
        <v>1</v>
      </c>
    </row>
    <row r="4286" spans="18:20" x14ac:dyDescent="0.25">
      <c r="R4286">
        <v>131</v>
      </c>
      <c r="S4286">
        <v>157</v>
      </c>
      <c r="T4286">
        <v>4</v>
      </c>
    </row>
    <row r="4287" spans="18:20" x14ac:dyDescent="0.25">
      <c r="R4287">
        <v>131</v>
      </c>
      <c r="S4287">
        <v>158</v>
      </c>
      <c r="T4287">
        <v>2</v>
      </c>
    </row>
    <row r="4288" spans="18:20" x14ac:dyDescent="0.25">
      <c r="R4288">
        <v>131</v>
      </c>
      <c r="S4288">
        <v>169</v>
      </c>
      <c r="T4288">
        <v>2</v>
      </c>
    </row>
    <row r="4289" spans="18:20" x14ac:dyDescent="0.25">
      <c r="R4289">
        <v>131</v>
      </c>
      <c r="S4289">
        <v>219</v>
      </c>
      <c r="T4289">
        <v>2</v>
      </c>
    </row>
    <row r="4290" spans="18:20" x14ac:dyDescent="0.25">
      <c r="R4290">
        <v>131</v>
      </c>
      <c r="S4290">
        <v>239</v>
      </c>
      <c r="T4290">
        <v>2</v>
      </c>
    </row>
    <row r="4291" spans="18:20" x14ac:dyDescent="0.25">
      <c r="R4291">
        <v>131</v>
      </c>
      <c r="S4291">
        <v>244</v>
      </c>
      <c r="T4291">
        <v>4</v>
      </c>
    </row>
    <row r="4292" spans="18:20" x14ac:dyDescent="0.25">
      <c r="R4292">
        <v>131</v>
      </c>
      <c r="S4292">
        <v>244</v>
      </c>
      <c r="T4292">
        <v>4</v>
      </c>
    </row>
    <row r="4293" spans="18:20" x14ac:dyDescent="0.25">
      <c r="R4293">
        <v>131</v>
      </c>
      <c r="S4293">
        <v>293</v>
      </c>
      <c r="T4293">
        <v>2</v>
      </c>
    </row>
    <row r="4294" spans="18:20" x14ac:dyDescent="0.25">
      <c r="R4294">
        <v>131</v>
      </c>
      <c r="S4294">
        <v>297</v>
      </c>
      <c r="T4294">
        <v>4</v>
      </c>
    </row>
    <row r="4295" spans="18:20" x14ac:dyDescent="0.25">
      <c r="R4295">
        <v>131</v>
      </c>
      <c r="S4295">
        <v>301</v>
      </c>
      <c r="T4295">
        <v>2</v>
      </c>
    </row>
    <row r="4296" spans="18:20" x14ac:dyDescent="0.25">
      <c r="R4296">
        <v>131</v>
      </c>
      <c r="S4296">
        <v>302</v>
      </c>
      <c r="T4296">
        <v>2</v>
      </c>
    </row>
    <row r="4297" spans="18:20" x14ac:dyDescent="0.25">
      <c r="R4297">
        <v>131</v>
      </c>
      <c r="S4297">
        <v>303</v>
      </c>
      <c r="T4297">
        <v>5</v>
      </c>
    </row>
    <row r="4298" spans="18:20" x14ac:dyDescent="0.25">
      <c r="R4298">
        <v>131</v>
      </c>
      <c r="S4298">
        <v>312</v>
      </c>
      <c r="T4298">
        <v>1</v>
      </c>
    </row>
    <row r="4299" spans="18:20" x14ac:dyDescent="0.25">
      <c r="R4299">
        <v>131</v>
      </c>
      <c r="S4299">
        <v>324</v>
      </c>
      <c r="T4299">
        <v>4</v>
      </c>
    </row>
    <row r="4300" spans="18:20" x14ac:dyDescent="0.25">
      <c r="R4300">
        <v>131</v>
      </c>
      <c r="S4300">
        <v>328</v>
      </c>
      <c r="T4300">
        <v>3</v>
      </c>
    </row>
    <row r="4301" spans="18:20" x14ac:dyDescent="0.25">
      <c r="R4301">
        <v>131</v>
      </c>
      <c r="S4301">
        <v>334</v>
      </c>
      <c r="T4301">
        <v>1</v>
      </c>
    </row>
    <row r="4302" spans="18:20" x14ac:dyDescent="0.25">
      <c r="R4302">
        <v>131</v>
      </c>
      <c r="S4302">
        <v>368</v>
      </c>
      <c r="T4302">
        <v>2</v>
      </c>
    </row>
    <row r="4303" spans="18:20" x14ac:dyDescent="0.25">
      <c r="R4303">
        <v>131</v>
      </c>
      <c r="S4303">
        <v>379</v>
      </c>
      <c r="T4303">
        <v>3</v>
      </c>
    </row>
    <row r="4304" spans="18:20" x14ac:dyDescent="0.25">
      <c r="R4304">
        <v>131</v>
      </c>
      <c r="S4304">
        <v>386</v>
      </c>
      <c r="T4304">
        <v>5</v>
      </c>
    </row>
    <row r="4305" spans="18:20" x14ac:dyDescent="0.25">
      <c r="R4305">
        <v>131</v>
      </c>
      <c r="S4305">
        <v>388</v>
      </c>
      <c r="T4305">
        <v>2</v>
      </c>
    </row>
    <row r="4306" spans="18:20" x14ac:dyDescent="0.25">
      <c r="R4306">
        <v>131</v>
      </c>
      <c r="S4306">
        <v>392</v>
      </c>
      <c r="T4306">
        <v>3</v>
      </c>
    </row>
    <row r="4307" spans="18:20" x14ac:dyDescent="0.25">
      <c r="R4307">
        <v>131</v>
      </c>
      <c r="S4307">
        <v>392</v>
      </c>
      <c r="T4307">
        <v>4</v>
      </c>
    </row>
    <row r="4308" spans="18:20" x14ac:dyDescent="0.25">
      <c r="R4308">
        <v>131</v>
      </c>
      <c r="S4308">
        <v>406</v>
      </c>
      <c r="T4308">
        <v>5</v>
      </c>
    </row>
    <row r="4309" spans="18:20" x14ac:dyDescent="0.25">
      <c r="R4309">
        <v>131</v>
      </c>
      <c r="S4309">
        <v>407</v>
      </c>
      <c r="T4309">
        <v>2</v>
      </c>
    </row>
    <row r="4310" spans="18:20" x14ac:dyDescent="0.25">
      <c r="R4310">
        <v>131</v>
      </c>
      <c r="S4310">
        <v>417</v>
      </c>
      <c r="T4310">
        <v>4</v>
      </c>
    </row>
    <row r="4311" spans="18:20" x14ac:dyDescent="0.25">
      <c r="R4311">
        <v>131</v>
      </c>
      <c r="S4311">
        <v>425</v>
      </c>
      <c r="T4311">
        <v>1</v>
      </c>
    </row>
    <row r="4312" spans="18:20" x14ac:dyDescent="0.25">
      <c r="R4312">
        <v>132</v>
      </c>
      <c r="S4312">
        <v>24</v>
      </c>
      <c r="T4312">
        <v>3</v>
      </c>
    </row>
    <row r="4313" spans="18:20" x14ac:dyDescent="0.25">
      <c r="R4313">
        <v>132</v>
      </c>
      <c r="S4313">
        <v>35</v>
      </c>
      <c r="T4313">
        <v>5</v>
      </c>
    </row>
    <row r="4314" spans="18:20" x14ac:dyDescent="0.25">
      <c r="R4314">
        <v>132</v>
      </c>
      <c r="S4314">
        <v>42</v>
      </c>
      <c r="T4314">
        <v>3</v>
      </c>
    </row>
    <row r="4315" spans="18:20" x14ac:dyDescent="0.25">
      <c r="R4315">
        <v>132</v>
      </c>
      <c r="S4315">
        <v>55</v>
      </c>
      <c r="T4315">
        <v>3</v>
      </c>
    </row>
    <row r="4316" spans="18:20" x14ac:dyDescent="0.25">
      <c r="R4316">
        <v>132</v>
      </c>
      <c r="S4316">
        <v>65</v>
      </c>
      <c r="T4316">
        <v>3</v>
      </c>
    </row>
    <row r="4317" spans="18:20" x14ac:dyDescent="0.25">
      <c r="R4317">
        <v>132</v>
      </c>
      <c r="S4317">
        <v>76</v>
      </c>
      <c r="T4317">
        <v>1</v>
      </c>
    </row>
    <row r="4318" spans="18:20" x14ac:dyDescent="0.25">
      <c r="R4318">
        <v>132</v>
      </c>
      <c r="S4318">
        <v>85</v>
      </c>
      <c r="T4318">
        <v>3</v>
      </c>
    </row>
    <row r="4319" spans="18:20" x14ac:dyDescent="0.25">
      <c r="R4319">
        <v>132</v>
      </c>
      <c r="S4319">
        <v>118</v>
      </c>
      <c r="T4319">
        <v>1</v>
      </c>
    </row>
    <row r="4320" spans="18:20" x14ac:dyDescent="0.25">
      <c r="R4320">
        <v>132</v>
      </c>
      <c r="S4320">
        <v>135</v>
      </c>
      <c r="T4320">
        <v>1</v>
      </c>
    </row>
    <row r="4321" spans="18:20" x14ac:dyDescent="0.25">
      <c r="R4321">
        <v>132</v>
      </c>
      <c r="S4321">
        <v>172</v>
      </c>
      <c r="T4321">
        <v>5</v>
      </c>
    </row>
    <row r="4322" spans="18:20" x14ac:dyDescent="0.25">
      <c r="R4322">
        <v>132</v>
      </c>
      <c r="S4322">
        <v>177</v>
      </c>
      <c r="T4322">
        <v>1</v>
      </c>
    </row>
    <row r="4323" spans="18:20" x14ac:dyDescent="0.25">
      <c r="R4323">
        <v>132</v>
      </c>
      <c r="S4323">
        <v>201</v>
      </c>
      <c r="T4323">
        <v>5</v>
      </c>
    </row>
    <row r="4324" spans="18:20" x14ac:dyDescent="0.25">
      <c r="R4324">
        <v>132</v>
      </c>
      <c r="S4324">
        <v>213</v>
      </c>
      <c r="T4324">
        <v>4</v>
      </c>
    </row>
    <row r="4325" spans="18:20" x14ac:dyDescent="0.25">
      <c r="R4325">
        <v>132</v>
      </c>
      <c r="S4325">
        <v>221</v>
      </c>
      <c r="T4325">
        <v>1</v>
      </c>
    </row>
    <row r="4326" spans="18:20" x14ac:dyDescent="0.25">
      <c r="R4326">
        <v>132</v>
      </c>
      <c r="S4326">
        <v>252</v>
      </c>
      <c r="T4326">
        <v>3</v>
      </c>
    </row>
    <row r="4327" spans="18:20" x14ac:dyDescent="0.25">
      <c r="R4327">
        <v>132</v>
      </c>
      <c r="S4327">
        <v>273</v>
      </c>
      <c r="T4327">
        <v>2</v>
      </c>
    </row>
    <row r="4328" spans="18:20" x14ac:dyDescent="0.25">
      <c r="R4328">
        <v>132</v>
      </c>
      <c r="S4328">
        <v>304</v>
      </c>
      <c r="T4328">
        <v>3</v>
      </c>
    </row>
    <row r="4329" spans="18:20" x14ac:dyDescent="0.25">
      <c r="R4329">
        <v>132</v>
      </c>
      <c r="S4329">
        <v>315</v>
      </c>
      <c r="T4329">
        <v>4</v>
      </c>
    </row>
    <row r="4330" spans="18:20" x14ac:dyDescent="0.25">
      <c r="R4330">
        <v>132</v>
      </c>
      <c r="S4330">
        <v>346</v>
      </c>
      <c r="T4330">
        <v>1</v>
      </c>
    </row>
    <row r="4331" spans="18:20" x14ac:dyDescent="0.25">
      <c r="R4331">
        <v>132</v>
      </c>
      <c r="S4331">
        <v>349</v>
      </c>
      <c r="T4331">
        <v>3</v>
      </c>
    </row>
    <row r="4332" spans="18:20" x14ac:dyDescent="0.25">
      <c r="R4332">
        <v>132</v>
      </c>
      <c r="S4332">
        <v>363</v>
      </c>
      <c r="T4332">
        <v>2</v>
      </c>
    </row>
    <row r="4333" spans="18:20" x14ac:dyDescent="0.25">
      <c r="R4333">
        <v>132</v>
      </c>
      <c r="S4333">
        <v>366</v>
      </c>
      <c r="T4333">
        <v>5</v>
      </c>
    </row>
    <row r="4334" spans="18:20" x14ac:dyDescent="0.25">
      <c r="R4334">
        <v>132</v>
      </c>
      <c r="S4334">
        <v>367</v>
      </c>
      <c r="T4334">
        <v>3</v>
      </c>
    </row>
    <row r="4335" spans="18:20" x14ac:dyDescent="0.25">
      <c r="R4335">
        <v>132</v>
      </c>
      <c r="S4335">
        <v>380</v>
      </c>
      <c r="T4335">
        <v>2</v>
      </c>
    </row>
    <row r="4336" spans="18:20" x14ac:dyDescent="0.25">
      <c r="R4336">
        <v>132</v>
      </c>
      <c r="S4336">
        <v>383</v>
      </c>
      <c r="T4336">
        <v>4</v>
      </c>
    </row>
    <row r="4337" spans="18:20" x14ac:dyDescent="0.25">
      <c r="R4337">
        <v>132</v>
      </c>
      <c r="S4337">
        <v>391</v>
      </c>
      <c r="T4337">
        <v>2</v>
      </c>
    </row>
    <row r="4338" spans="18:20" x14ac:dyDescent="0.25">
      <c r="R4338">
        <v>132</v>
      </c>
      <c r="S4338">
        <v>409</v>
      </c>
      <c r="T4338">
        <v>5</v>
      </c>
    </row>
    <row r="4339" spans="18:20" x14ac:dyDescent="0.25">
      <c r="R4339">
        <v>132</v>
      </c>
      <c r="S4339">
        <v>424</v>
      </c>
      <c r="T4339">
        <v>5</v>
      </c>
    </row>
    <row r="4340" spans="18:20" x14ac:dyDescent="0.25">
      <c r="R4340">
        <v>133</v>
      </c>
      <c r="S4340">
        <v>39</v>
      </c>
      <c r="T4340">
        <v>4</v>
      </c>
    </row>
    <row r="4341" spans="18:20" x14ac:dyDescent="0.25">
      <c r="R4341">
        <v>133</v>
      </c>
      <c r="S4341">
        <v>47</v>
      </c>
      <c r="T4341">
        <v>3</v>
      </c>
    </row>
    <row r="4342" spans="18:20" x14ac:dyDescent="0.25">
      <c r="R4342">
        <v>133</v>
      </c>
      <c r="S4342">
        <v>48</v>
      </c>
      <c r="T4342">
        <v>2</v>
      </c>
    </row>
    <row r="4343" spans="18:20" x14ac:dyDescent="0.25">
      <c r="R4343">
        <v>133</v>
      </c>
      <c r="S4343">
        <v>66</v>
      </c>
      <c r="T4343">
        <v>1</v>
      </c>
    </row>
    <row r="4344" spans="18:20" x14ac:dyDescent="0.25">
      <c r="R4344">
        <v>133</v>
      </c>
      <c r="S4344">
        <v>102</v>
      </c>
      <c r="T4344">
        <v>1</v>
      </c>
    </row>
    <row r="4345" spans="18:20" x14ac:dyDescent="0.25">
      <c r="R4345">
        <v>133</v>
      </c>
      <c r="S4345">
        <v>104</v>
      </c>
      <c r="T4345">
        <v>3</v>
      </c>
    </row>
    <row r="4346" spans="18:20" x14ac:dyDescent="0.25">
      <c r="R4346">
        <v>133</v>
      </c>
      <c r="S4346">
        <v>114</v>
      </c>
      <c r="T4346">
        <v>1</v>
      </c>
    </row>
    <row r="4347" spans="18:20" x14ac:dyDescent="0.25">
      <c r="R4347">
        <v>133</v>
      </c>
      <c r="S4347">
        <v>147</v>
      </c>
      <c r="T4347">
        <v>3</v>
      </c>
    </row>
    <row r="4348" spans="18:20" x14ac:dyDescent="0.25">
      <c r="R4348">
        <v>133</v>
      </c>
      <c r="S4348">
        <v>180</v>
      </c>
      <c r="T4348">
        <v>1</v>
      </c>
    </row>
    <row r="4349" spans="18:20" x14ac:dyDescent="0.25">
      <c r="R4349">
        <v>133</v>
      </c>
      <c r="S4349">
        <v>191</v>
      </c>
      <c r="T4349">
        <v>5</v>
      </c>
    </row>
    <row r="4350" spans="18:20" x14ac:dyDescent="0.25">
      <c r="R4350">
        <v>133</v>
      </c>
      <c r="S4350">
        <v>205</v>
      </c>
      <c r="T4350">
        <v>5</v>
      </c>
    </row>
    <row r="4351" spans="18:20" x14ac:dyDescent="0.25">
      <c r="R4351">
        <v>133</v>
      </c>
      <c r="S4351">
        <v>208</v>
      </c>
      <c r="T4351">
        <v>2</v>
      </c>
    </row>
    <row r="4352" spans="18:20" x14ac:dyDescent="0.25">
      <c r="R4352">
        <v>133</v>
      </c>
      <c r="S4352">
        <v>208</v>
      </c>
      <c r="T4352">
        <v>4</v>
      </c>
    </row>
    <row r="4353" spans="18:20" x14ac:dyDescent="0.25">
      <c r="R4353">
        <v>133</v>
      </c>
      <c r="S4353">
        <v>213</v>
      </c>
      <c r="T4353">
        <v>4</v>
      </c>
    </row>
    <row r="4354" spans="18:20" x14ac:dyDescent="0.25">
      <c r="R4354">
        <v>133</v>
      </c>
      <c r="S4354">
        <v>225</v>
      </c>
      <c r="T4354">
        <v>2</v>
      </c>
    </row>
    <row r="4355" spans="18:20" x14ac:dyDescent="0.25">
      <c r="R4355">
        <v>133</v>
      </c>
      <c r="S4355">
        <v>237</v>
      </c>
      <c r="T4355">
        <v>2</v>
      </c>
    </row>
    <row r="4356" spans="18:20" x14ac:dyDescent="0.25">
      <c r="R4356">
        <v>133</v>
      </c>
      <c r="S4356">
        <v>252</v>
      </c>
      <c r="T4356">
        <v>5</v>
      </c>
    </row>
    <row r="4357" spans="18:20" x14ac:dyDescent="0.25">
      <c r="R4357">
        <v>133</v>
      </c>
      <c r="S4357">
        <v>258</v>
      </c>
      <c r="T4357">
        <v>4</v>
      </c>
    </row>
    <row r="4358" spans="18:20" x14ac:dyDescent="0.25">
      <c r="R4358">
        <v>133</v>
      </c>
      <c r="S4358">
        <v>272</v>
      </c>
      <c r="T4358">
        <v>3</v>
      </c>
    </row>
    <row r="4359" spans="18:20" x14ac:dyDescent="0.25">
      <c r="R4359">
        <v>133</v>
      </c>
      <c r="S4359">
        <v>273</v>
      </c>
      <c r="T4359">
        <v>1</v>
      </c>
    </row>
    <row r="4360" spans="18:20" x14ac:dyDescent="0.25">
      <c r="R4360">
        <v>133</v>
      </c>
      <c r="S4360">
        <v>279</v>
      </c>
      <c r="T4360">
        <v>5</v>
      </c>
    </row>
    <row r="4361" spans="18:20" x14ac:dyDescent="0.25">
      <c r="R4361">
        <v>133</v>
      </c>
      <c r="S4361">
        <v>280</v>
      </c>
      <c r="T4361">
        <v>3</v>
      </c>
    </row>
    <row r="4362" spans="18:20" x14ac:dyDescent="0.25">
      <c r="R4362">
        <v>133</v>
      </c>
      <c r="S4362">
        <v>295</v>
      </c>
      <c r="T4362">
        <v>1</v>
      </c>
    </row>
    <row r="4363" spans="18:20" x14ac:dyDescent="0.25">
      <c r="R4363">
        <v>133</v>
      </c>
      <c r="S4363">
        <v>307</v>
      </c>
      <c r="T4363">
        <v>4</v>
      </c>
    </row>
    <row r="4364" spans="18:20" x14ac:dyDescent="0.25">
      <c r="R4364">
        <v>133</v>
      </c>
      <c r="S4364">
        <v>307</v>
      </c>
      <c r="T4364">
        <v>4</v>
      </c>
    </row>
    <row r="4365" spans="18:20" x14ac:dyDescent="0.25">
      <c r="R4365">
        <v>133</v>
      </c>
      <c r="S4365">
        <v>314</v>
      </c>
      <c r="T4365">
        <v>5</v>
      </c>
    </row>
    <row r="4366" spans="18:20" x14ac:dyDescent="0.25">
      <c r="R4366">
        <v>133</v>
      </c>
      <c r="S4366">
        <v>356</v>
      </c>
      <c r="T4366">
        <v>5</v>
      </c>
    </row>
    <row r="4367" spans="18:20" x14ac:dyDescent="0.25">
      <c r="R4367">
        <v>133</v>
      </c>
      <c r="S4367">
        <v>369</v>
      </c>
      <c r="T4367">
        <v>3</v>
      </c>
    </row>
    <row r="4368" spans="18:20" x14ac:dyDescent="0.25">
      <c r="R4368">
        <v>133</v>
      </c>
      <c r="S4368">
        <v>370</v>
      </c>
      <c r="T4368">
        <v>1</v>
      </c>
    </row>
    <row r="4369" spans="18:20" x14ac:dyDescent="0.25">
      <c r="R4369">
        <v>133</v>
      </c>
      <c r="S4369">
        <v>378</v>
      </c>
      <c r="T4369">
        <v>4</v>
      </c>
    </row>
    <row r="4370" spans="18:20" x14ac:dyDescent="0.25">
      <c r="R4370">
        <v>133</v>
      </c>
      <c r="S4370">
        <v>391</v>
      </c>
      <c r="T4370">
        <v>3</v>
      </c>
    </row>
    <row r="4371" spans="18:20" x14ac:dyDescent="0.25">
      <c r="R4371">
        <v>133</v>
      </c>
      <c r="S4371">
        <v>396</v>
      </c>
      <c r="T4371">
        <v>2</v>
      </c>
    </row>
    <row r="4372" spans="18:20" x14ac:dyDescent="0.25">
      <c r="R4372">
        <v>133</v>
      </c>
      <c r="S4372">
        <v>399</v>
      </c>
      <c r="T4372">
        <v>2</v>
      </c>
    </row>
    <row r="4373" spans="18:20" x14ac:dyDescent="0.25">
      <c r="R4373">
        <v>133</v>
      </c>
      <c r="S4373">
        <v>424</v>
      </c>
      <c r="T4373">
        <v>4</v>
      </c>
    </row>
    <row r="4374" spans="18:20" x14ac:dyDescent="0.25">
      <c r="R4374">
        <v>134</v>
      </c>
      <c r="S4374">
        <v>2</v>
      </c>
      <c r="T4374">
        <v>3</v>
      </c>
    </row>
    <row r="4375" spans="18:20" x14ac:dyDescent="0.25">
      <c r="R4375">
        <v>134</v>
      </c>
      <c r="S4375">
        <v>7</v>
      </c>
      <c r="T4375">
        <v>5</v>
      </c>
    </row>
    <row r="4376" spans="18:20" x14ac:dyDescent="0.25">
      <c r="R4376">
        <v>134</v>
      </c>
      <c r="S4376">
        <v>16</v>
      </c>
      <c r="T4376">
        <v>4</v>
      </c>
    </row>
    <row r="4377" spans="18:20" x14ac:dyDescent="0.25">
      <c r="R4377">
        <v>134</v>
      </c>
      <c r="S4377">
        <v>36</v>
      </c>
      <c r="T4377">
        <v>5</v>
      </c>
    </row>
    <row r="4378" spans="18:20" x14ac:dyDescent="0.25">
      <c r="R4378">
        <v>134</v>
      </c>
      <c r="S4378">
        <v>53</v>
      </c>
      <c r="T4378">
        <v>2</v>
      </c>
    </row>
    <row r="4379" spans="18:20" x14ac:dyDescent="0.25">
      <c r="R4379">
        <v>134</v>
      </c>
      <c r="S4379">
        <v>62</v>
      </c>
      <c r="T4379">
        <v>1</v>
      </c>
    </row>
    <row r="4380" spans="18:20" x14ac:dyDescent="0.25">
      <c r="R4380">
        <v>134</v>
      </c>
      <c r="S4380">
        <v>84</v>
      </c>
      <c r="T4380">
        <v>4</v>
      </c>
    </row>
    <row r="4381" spans="18:20" x14ac:dyDescent="0.25">
      <c r="R4381">
        <v>134</v>
      </c>
      <c r="S4381">
        <v>86</v>
      </c>
      <c r="T4381">
        <v>1</v>
      </c>
    </row>
    <row r="4382" spans="18:20" x14ac:dyDescent="0.25">
      <c r="R4382">
        <v>134</v>
      </c>
      <c r="S4382">
        <v>107</v>
      </c>
      <c r="T4382">
        <v>3</v>
      </c>
    </row>
    <row r="4383" spans="18:20" x14ac:dyDescent="0.25">
      <c r="R4383">
        <v>134</v>
      </c>
      <c r="S4383">
        <v>107</v>
      </c>
      <c r="T4383">
        <v>4</v>
      </c>
    </row>
    <row r="4384" spans="18:20" x14ac:dyDescent="0.25">
      <c r="R4384">
        <v>134</v>
      </c>
      <c r="S4384">
        <v>112</v>
      </c>
      <c r="T4384">
        <v>4</v>
      </c>
    </row>
    <row r="4385" spans="18:20" x14ac:dyDescent="0.25">
      <c r="R4385">
        <v>134</v>
      </c>
      <c r="S4385">
        <v>113</v>
      </c>
      <c r="T4385">
        <v>5</v>
      </c>
    </row>
    <row r="4386" spans="18:20" x14ac:dyDescent="0.25">
      <c r="R4386">
        <v>134</v>
      </c>
      <c r="S4386">
        <v>121</v>
      </c>
      <c r="T4386">
        <v>3</v>
      </c>
    </row>
    <row r="4387" spans="18:20" x14ac:dyDescent="0.25">
      <c r="R4387">
        <v>134</v>
      </c>
      <c r="S4387">
        <v>122</v>
      </c>
      <c r="T4387">
        <v>2</v>
      </c>
    </row>
    <row r="4388" spans="18:20" x14ac:dyDescent="0.25">
      <c r="R4388">
        <v>134</v>
      </c>
      <c r="S4388">
        <v>128</v>
      </c>
      <c r="T4388">
        <v>5</v>
      </c>
    </row>
    <row r="4389" spans="18:20" x14ac:dyDescent="0.25">
      <c r="R4389">
        <v>134</v>
      </c>
      <c r="S4389">
        <v>141</v>
      </c>
      <c r="T4389">
        <v>3</v>
      </c>
    </row>
    <row r="4390" spans="18:20" x14ac:dyDescent="0.25">
      <c r="R4390">
        <v>134</v>
      </c>
      <c r="S4390">
        <v>162</v>
      </c>
      <c r="T4390">
        <v>2</v>
      </c>
    </row>
    <row r="4391" spans="18:20" x14ac:dyDescent="0.25">
      <c r="R4391">
        <v>134</v>
      </c>
      <c r="S4391">
        <v>169</v>
      </c>
      <c r="T4391">
        <v>2</v>
      </c>
    </row>
    <row r="4392" spans="18:20" x14ac:dyDescent="0.25">
      <c r="R4392">
        <v>134</v>
      </c>
      <c r="S4392">
        <v>175</v>
      </c>
      <c r="T4392">
        <v>3</v>
      </c>
    </row>
    <row r="4393" spans="18:20" x14ac:dyDescent="0.25">
      <c r="R4393">
        <v>134</v>
      </c>
      <c r="S4393">
        <v>179</v>
      </c>
      <c r="T4393">
        <v>2</v>
      </c>
    </row>
    <row r="4394" spans="18:20" x14ac:dyDescent="0.25">
      <c r="R4394">
        <v>134</v>
      </c>
      <c r="S4394">
        <v>195</v>
      </c>
      <c r="T4394">
        <v>5</v>
      </c>
    </row>
    <row r="4395" spans="18:20" x14ac:dyDescent="0.25">
      <c r="R4395">
        <v>134</v>
      </c>
      <c r="S4395">
        <v>198</v>
      </c>
      <c r="T4395">
        <v>3</v>
      </c>
    </row>
    <row r="4396" spans="18:20" x14ac:dyDescent="0.25">
      <c r="R4396">
        <v>134</v>
      </c>
      <c r="S4396">
        <v>206</v>
      </c>
      <c r="T4396">
        <v>3</v>
      </c>
    </row>
    <row r="4397" spans="18:20" x14ac:dyDescent="0.25">
      <c r="R4397">
        <v>134</v>
      </c>
      <c r="S4397">
        <v>215</v>
      </c>
      <c r="T4397">
        <v>3</v>
      </c>
    </row>
    <row r="4398" spans="18:20" x14ac:dyDescent="0.25">
      <c r="R4398">
        <v>134</v>
      </c>
      <c r="S4398">
        <v>228</v>
      </c>
      <c r="T4398">
        <v>3</v>
      </c>
    </row>
    <row r="4399" spans="18:20" x14ac:dyDescent="0.25">
      <c r="R4399">
        <v>134</v>
      </c>
      <c r="S4399">
        <v>232</v>
      </c>
      <c r="T4399">
        <v>1</v>
      </c>
    </row>
    <row r="4400" spans="18:20" x14ac:dyDescent="0.25">
      <c r="R4400">
        <v>134</v>
      </c>
      <c r="S4400">
        <v>271</v>
      </c>
      <c r="T4400">
        <v>3</v>
      </c>
    </row>
    <row r="4401" spans="18:20" x14ac:dyDescent="0.25">
      <c r="R4401">
        <v>134</v>
      </c>
      <c r="S4401">
        <v>290</v>
      </c>
      <c r="T4401">
        <v>2</v>
      </c>
    </row>
    <row r="4402" spans="18:20" x14ac:dyDescent="0.25">
      <c r="R4402">
        <v>134</v>
      </c>
      <c r="S4402">
        <v>298</v>
      </c>
      <c r="T4402">
        <v>1</v>
      </c>
    </row>
    <row r="4403" spans="18:20" x14ac:dyDescent="0.25">
      <c r="R4403">
        <v>134</v>
      </c>
      <c r="S4403">
        <v>347</v>
      </c>
      <c r="T4403">
        <v>1</v>
      </c>
    </row>
    <row r="4404" spans="18:20" x14ac:dyDescent="0.25">
      <c r="R4404">
        <v>134</v>
      </c>
      <c r="S4404">
        <v>352</v>
      </c>
      <c r="T4404">
        <v>4</v>
      </c>
    </row>
    <row r="4405" spans="18:20" x14ac:dyDescent="0.25">
      <c r="R4405">
        <v>134</v>
      </c>
      <c r="S4405">
        <v>359</v>
      </c>
      <c r="T4405">
        <v>4</v>
      </c>
    </row>
    <row r="4406" spans="18:20" x14ac:dyDescent="0.25">
      <c r="R4406">
        <v>134</v>
      </c>
      <c r="S4406">
        <v>372</v>
      </c>
      <c r="T4406">
        <v>4</v>
      </c>
    </row>
    <row r="4407" spans="18:20" x14ac:dyDescent="0.25">
      <c r="R4407">
        <v>134</v>
      </c>
      <c r="S4407">
        <v>380</v>
      </c>
      <c r="T4407">
        <v>2</v>
      </c>
    </row>
    <row r="4408" spans="18:20" x14ac:dyDescent="0.25">
      <c r="R4408">
        <v>134</v>
      </c>
      <c r="S4408">
        <v>410</v>
      </c>
      <c r="T4408">
        <v>5</v>
      </c>
    </row>
    <row r="4409" spans="18:20" x14ac:dyDescent="0.25">
      <c r="R4409">
        <v>134</v>
      </c>
      <c r="S4409">
        <v>423</v>
      </c>
      <c r="T4409">
        <v>3</v>
      </c>
    </row>
    <row r="4410" spans="18:20" x14ac:dyDescent="0.25">
      <c r="R4410">
        <v>134</v>
      </c>
      <c r="S4410">
        <v>426</v>
      </c>
      <c r="T4410">
        <v>4</v>
      </c>
    </row>
    <row r="4411" spans="18:20" x14ac:dyDescent="0.25">
      <c r="R4411">
        <v>135</v>
      </c>
      <c r="S4411">
        <v>11</v>
      </c>
      <c r="T4411">
        <v>2</v>
      </c>
    </row>
    <row r="4412" spans="18:20" x14ac:dyDescent="0.25">
      <c r="R4412">
        <v>135</v>
      </c>
      <c r="S4412">
        <v>22</v>
      </c>
      <c r="T4412">
        <v>5</v>
      </c>
    </row>
    <row r="4413" spans="18:20" x14ac:dyDescent="0.25">
      <c r="R4413">
        <v>135</v>
      </c>
      <c r="S4413">
        <v>29</v>
      </c>
      <c r="T4413">
        <v>4</v>
      </c>
    </row>
    <row r="4414" spans="18:20" x14ac:dyDescent="0.25">
      <c r="R4414">
        <v>135</v>
      </c>
      <c r="S4414">
        <v>56</v>
      </c>
      <c r="T4414">
        <v>4</v>
      </c>
    </row>
    <row r="4415" spans="18:20" x14ac:dyDescent="0.25">
      <c r="R4415">
        <v>135</v>
      </c>
      <c r="S4415">
        <v>82</v>
      </c>
      <c r="T4415">
        <v>4</v>
      </c>
    </row>
    <row r="4416" spans="18:20" x14ac:dyDescent="0.25">
      <c r="R4416">
        <v>135</v>
      </c>
      <c r="S4416">
        <v>92</v>
      </c>
      <c r="T4416">
        <v>1</v>
      </c>
    </row>
    <row r="4417" spans="18:20" x14ac:dyDescent="0.25">
      <c r="R4417">
        <v>135</v>
      </c>
      <c r="S4417">
        <v>93</v>
      </c>
      <c r="T4417">
        <v>2</v>
      </c>
    </row>
    <row r="4418" spans="18:20" x14ac:dyDescent="0.25">
      <c r="R4418">
        <v>135</v>
      </c>
      <c r="S4418">
        <v>96</v>
      </c>
      <c r="T4418">
        <v>5</v>
      </c>
    </row>
    <row r="4419" spans="18:20" x14ac:dyDescent="0.25">
      <c r="R4419">
        <v>135</v>
      </c>
      <c r="S4419">
        <v>102</v>
      </c>
      <c r="T4419">
        <v>4</v>
      </c>
    </row>
    <row r="4420" spans="18:20" x14ac:dyDescent="0.25">
      <c r="R4420">
        <v>135</v>
      </c>
      <c r="S4420">
        <v>108</v>
      </c>
      <c r="T4420">
        <v>2</v>
      </c>
    </row>
    <row r="4421" spans="18:20" x14ac:dyDescent="0.25">
      <c r="R4421">
        <v>135</v>
      </c>
      <c r="S4421">
        <v>126</v>
      </c>
      <c r="T4421">
        <v>4</v>
      </c>
    </row>
    <row r="4422" spans="18:20" x14ac:dyDescent="0.25">
      <c r="R4422">
        <v>135</v>
      </c>
      <c r="S4422">
        <v>132</v>
      </c>
      <c r="T4422">
        <v>5</v>
      </c>
    </row>
    <row r="4423" spans="18:20" x14ac:dyDescent="0.25">
      <c r="R4423">
        <v>135</v>
      </c>
      <c r="S4423">
        <v>145</v>
      </c>
      <c r="T4423">
        <v>2</v>
      </c>
    </row>
    <row r="4424" spans="18:20" x14ac:dyDescent="0.25">
      <c r="R4424">
        <v>135</v>
      </c>
      <c r="S4424">
        <v>165</v>
      </c>
      <c r="T4424">
        <v>2</v>
      </c>
    </row>
    <row r="4425" spans="18:20" x14ac:dyDescent="0.25">
      <c r="R4425">
        <v>135</v>
      </c>
      <c r="S4425">
        <v>174</v>
      </c>
      <c r="T4425">
        <v>3</v>
      </c>
    </row>
    <row r="4426" spans="18:20" x14ac:dyDescent="0.25">
      <c r="R4426">
        <v>135</v>
      </c>
      <c r="S4426">
        <v>178</v>
      </c>
      <c r="T4426">
        <v>2</v>
      </c>
    </row>
    <row r="4427" spans="18:20" x14ac:dyDescent="0.25">
      <c r="R4427">
        <v>135</v>
      </c>
      <c r="S4427">
        <v>196</v>
      </c>
      <c r="T4427">
        <v>2</v>
      </c>
    </row>
    <row r="4428" spans="18:20" x14ac:dyDescent="0.25">
      <c r="R4428">
        <v>135</v>
      </c>
      <c r="S4428">
        <v>209</v>
      </c>
      <c r="T4428">
        <v>1</v>
      </c>
    </row>
    <row r="4429" spans="18:20" x14ac:dyDescent="0.25">
      <c r="R4429">
        <v>135</v>
      </c>
      <c r="S4429">
        <v>211</v>
      </c>
      <c r="T4429">
        <v>1</v>
      </c>
    </row>
    <row r="4430" spans="18:20" x14ac:dyDescent="0.25">
      <c r="R4430">
        <v>135</v>
      </c>
      <c r="S4430">
        <v>216</v>
      </c>
      <c r="T4430">
        <v>2</v>
      </c>
    </row>
    <row r="4431" spans="18:20" x14ac:dyDescent="0.25">
      <c r="R4431">
        <v>135</v>
      </c>
      <c r="S4431">
        <v>231</v>
      </c>
      <c r="T4431">
        <v>3</v>
      </c>
    </row>
    <row r="4432" spans="18:20" x14ac:dyDescent="0.25">
      <c r="R4432">
        <v>135</v>
      </c>
      <c r="S4432">
        <v>252</v>
      </c>
      <c r="T4432">
        <v>1</v>
      </c>
    </row>
    <row r="4433" spans="18:20" x14ac:dyDescent="0.25">
      <c r="R4433">
        <v>135</v>
      </c>
      <c r="S4433">
        <v>292</v>
      </c>
      <c r="T4433">
        <v>5</v>
      </c>
    </row>
    <row r="4434" spans="18:20" x14ac:dyDescent="0.25">
      <c r="R4434">
        <v>135</v>
      </c>
      <c r="S4434">
        <v>307</v>
      </c>
      <c r="T4434">
        <v>2</v>
      </c>
    </row>
    <row r="4435" spans="18:20" x14ac:dyDescent="0.25">
      <c r="R4435">
        <v>135</v>
      </c>
      <c r="S4435">
        <v>313</v>
      </c>
      <c r="T4435">
        <v>3</v>
      </c>
    </row>
    <row r="4436" spans="18:20" x14ac:dyDescent="0.25">
      <c r="R4436">
        <v>135</v>
      </c>
      <c r="S4436">
        <v>323</v>
      </c>
      <c r="T4436">
        <v>3</v>
      </c>
    </row>
    <row r="4437" spans="18:20" x14ac:dyDescent="0.25">
      <c r="R4437">
        <v>135</v>
      </c>
      <c r="S4437">
        <v>336</v>
      </c>
      <c r="T4437">
        <v>4</v>
      </c>
    </row>
    <row r="4438" spans="18:20" x14ac:dyDescent="0.25">
      <c r="R4438">
        <v>135</v>
      </c>
      <c r="S4438">
        <v>357</v>
      </c>
      <c r="T4438">
        <v>3</v>
      </c>
    </row>
    <row r="4439" spans="18:20" x14ac:dyDescent="0.25">
      <c r="R4439">
        <v>135</v>
      </c>
      <c r="S4439">
        <v>360</v>
      </c>
      <c r="T4439">
        <v>1</v>
      </c>
    </row>
    <row r="4440" spans="18:20" x14ac:dyDescent="0.25">
      <c r="R4440">
        <v>135</v>
      </c>
      <c r="S4440">
        <v>362</v>
      </c>
      <c r="T4440">
        <v>4</v>
      </c>
    </row>
    <row r="4441" spans="18:20" x14ac:dyDescent="0.25">
      <c r="R4441">
        <v>135</v>
      </c>
      <c r="S4441">
        <v>367</v>
      </c>
      <c r="T4441">
        <v>3</v>
      </c>
    </row>
    <row r="4442" spans="18:20" x14ac:dyDescent="0.25">
      <c r="R4442">
        <v>135</v>
      </c>
      <c r="S4442">
        <v>367</v>
      </c>
      <c r="T4442">
        <v>5</v>
      </c>
    </row>
    <row r="4443" spans="18:20" x14ac:dyDescent="0.25">
      <c r="R4443">
        <v>135</v>
      </c>
      <c r="S4443">
        <v>373</v>
      </c>
      <c r="T4443">
        <v>5</v>
      </c>
    </row>
    <row r="4444" spans="18:20" x14ac:dyDescent="0.25">
      <c r="R4444">
        <v>135</v>
      </c>
      <c r="S4444">
        <v>391</v>
      </c>
      <c r="T4444">
        <v>5</v>
      </c>
    </row>
    <row r="4445" spans="18:20" x14ac:dyDescent="0.25">
      <c r="R4445">
        <v>136</v>
      </c>
      <c r="S4445">
        <v>10</v>
      </c>
      <c r="T4445">
        <v>2</v>
      </c>
    </row>
    <row r="4446" spans="18:20" x14ac:dyDescent="0.25">
      <c r="R4446">
        <v>136</v>
      </c>
      <c r="S4446">
        <v>20</v>
      </c>
      <c r="T4446">
        <v>4</v>
      </c>
    </row>
    <row r="4447" spans="18:20" x14ac:dyDescent="0.25">
      <c r="R4447">
        <v>136</v>
      </c>
      <c r="S4447">
        <v>25</v>
      </c>
      <c r="T4447">
        <v>1</v>
      </c>
    </row>
    <row r="4448" spans="18:20" x14ac:dyDescent="0.25">
      <c r="R4448">
        <v>136</v>
      </c>
      <c r="S4448">
        <v>36</v>
      </c>
      <c r="T4448">
        <v>1</v>
      </c>
    </row>
    <row r="4449" spans="18:20" x14ac:dyDescent="0.25">
      <c r="R4449">
        <v>136</v>
      </c>
      <c r="S4449">
        <v>58</v>
      </c>
      <c r="T4449">
        <v>3</v>
      </c>
    </row>
    <row r="4450" spans="18:20" x14ac:dyDescent="0.25">
      <c r="R4450">
        <v>136</v>
      </c>
      <c r="S4450">
        <v>67</v>
      </c>
      <c r="T4450">
        <v>4</v>
      </c>
    </row>
    <row r="4451" spans="18:20" x14ac:dyDescent="0.25">
      <c r="R4451">
        <v>136</v>
      </c>
      <c r="S4451">
        <v>70</v>
      </c>
      <c r="T4451">
        <v>4</v>
      </c>
    </row>
    <row r="4452" spans="18:20" x14ac:dyDescent="0.25">
      <c r="R4452">
        <v>136</v>
      </c>
      <c r="S4452">
        <v>72</v>
      </c>
      <c r="T4452">
        <v>2</v>
      </c>
    </row>
    <row r="4453" spans="18:20" x14ac:dyDescent="0.25">
      <c r="R4453">
        <v>136</v>
      </c>
      <c r="S4453">
        <v>75</v>
      </c>
      <c r="T4453">
        <v>3</v>
      </c>
    </row>
    <row r="4454" spans="18:20" x14ac:dyDescent="0.25">
      <c r="R4454">
        <v>136</v>
      </c>
      <c r="S4454">
        <v>81</v>
      </c>
      <c r="T4454">
        <v>2</v>
      </c>
    </row>
    <row r="4455" spans="18:20" x14ac:dyDescent="0.25">
      <c r="R4455">
        <v>136</v>
      </c>
      <c r="S4455">
        <v>89</v>
      </c>
      <c r="T4455">
        <v>2</v>
      </c>
    </row>
    <row r="4456" spans="18:20" x14ac:dyDescent="0.25">
      <c r="R4456">
        <v>136</v>
      </c>
      <c r="S4456">
        <v>116</v>
      </c>
      <c r="T4456">
        <v>2</v>
      </c>
    </row>
    <row r="4457" spans="18:20" x14ac:dyDescent="0.25">
      <c r="R4457">
        <v>136</v>
      </c>
      <c r="S4457">
        <v>136</v>
      </c>
      <c r="T4457">
        <v>1</v>
      </c>
    </row>
    <row r="4458" spans="18:20" x14ac:dyDescent="0.25">
      <c r="R4458">
        <v>136</v>
      </c>
      <c r="S4458">
        <v>143</v>
      </c>
      <c r="T4458">
        <v>2</v>
      </c>
    </row>
    <row r="4459" spans="18:20" x14ac:dyDescent="0.25">
      <c r="R4459">
        <v>136</v>
      </c>
      <c r="S4459">
        <v>187</v>
      </c>
      <c r="T4459">
        <v>2</v>
      </c>
    </row>
    <row r="4460" spans="18:20" x14ac:dyDescent="0.25">
      <c r="R4460">
        <v>136</v>
      </c>
      <c r="S4460">
        <v>188</v>
      </c>
      <c r="T4460">
        <v>2</v>
      </c>
    </row>
    <row r="4461" spans="18:20" x14ac:dyDescent="0.25">
      <c r="R4461">
        <v>136</v>
      </c>
      <c r="S4461">
        <v>190</v>
      </c>
      <c r="T4461">
        <v>4</v>
      </c>
    </row>
    <row r="4462" spans="18:20" x14ac:dyDescent="0.25">
      <c r="R4462">
        <v>136</v>
      </c>
      <c r="S4462">
        <v>201</v>
      </c>
      <c r="T4462">
        <v>2</v>
      </c>
    </row>
    <row r="4463" spans="18:20" x14ac:dyDescent="0.25">
      <c r="R4463">
        <v>136</v>
      </c>
      <c r="S4463">
        <v>254</v>
      </c>
      <c r="T4463">
        <v>2</v>
      </c>
    </row>
    <row r="4464" spans="18:20" x14ac:dyDescent="0.25">
      <c r="R4464">
        <v>136</v>
      </c>
      <c r="S4464">
        <v>256</v>
      </c>
      <c r="T4464">
        <v>4</v>
      </c>
    </row>
    <row r="4465" spans="18:20" x14ac:dyDescent="0.25">
      <c r="R4465">
        <v>136</v>
      </c>
      <c r="S4465">
        <v>261</v>
      </c>
      <c r="T4465">
        <v>3</v>
      </c>
    </row>
    <row r="4466" spans="18:20" x14ac:dyDescent="0.25">
      <c r="R4466">
        <v>136</v>
      </c>
      <c r="S4466">
        <v>272</v>
      </c>
      <c r="T4466">
        <v>1</v>
      </c>
    </row>
    <row r="4467" spans="18:20" x14ac:dyDescent="0.25">
      <c r="R4467">
        <v>136</v>
      </c>
      <c r="S4467">
        <v>274</v>
      </c>
      <c r="T4467">
        <v>2</v>
      </c>
    </row>
    <row r="4468" spans="18:20" x14ac:dyDescent="0.25">
      <c r="R4468">
        <v>136</v>
      </c>
      <c r="S4468">
        <v>276</v>
      </c>
      <c r="T4468">
        <v>3</v>
      </c>
    </row>
    <row r="4469" spans="18:20" x14ac:dyDescent="0.25">
      <c r="R4469">
        <v>136</v>
      </c>
      <c r="S4469">
        <v>279</v>
      </c>
      <c r="T4469">
        <v>2</v>
      </c>
    </row>
    <row r="4470" spans="18:20" x14ac:dyDescent="0.25">
      <c r="R4470">
        <v>136</v>
      </c>
      <c r="S4470">
        <v>280</v>
      </c>
      <c r="T4470">
        <v>4</v>
      </c>
    </row>
    <row r="4471" spans="18:20" x14ac:dyDescent="0.25">
      <c r="R4471">
        <v>136</v>
      </c>
      <c r="S4471">
        <v>281</v>
      </c>
      <c r="T4471">
        <v>5</v>
      </c>
    </row>
    <row r="4472" spans="18:20" x14ac:dyDescent="0.25">
      <c r="R4472">
        <v>136</v>
      </c>
      <c r="S4472">
        <v>287</v>
      </c>
      <c r="T4472">
        <v>4</v>
      </c>
    </row>
    <row r="4473" spans="18:20" x14ac:dyDescent="0.25">
      <c r="R4473">
        <v>136</v>
      </c>
      <c r="S4473">
        <v>336</v>
      </c>
      <c r="T4473">
        <v>1</v>
      </c>
    </row>
    <row r="4474" spans="18:20" x14ac:dyDescent="0.25">
      <c r="R4474">
        <v>136</v>
      </c>
      <c r="S4474">
        <v>353</v>
      </c>
      <c r="T4474">
        <v>3</v>
      </c>
    </row>
    <row r="4475" spans="18:20" x14ac:dyDescent="0.25">
      <c r="R4475">
        <v>136</v>
      </c>
      <c r="S4475">
        <v>355</v>
      </c>
      <c r="T4475">
        <v>1</v>
      </c>
    </row>
    <row r="4476" spans="18:20" x14ac:dyDescent="0.25">
      <c r="R4476">
        <v>136</v>
      </c>
      <c r="S4476">
        <v>361</v>
      </c>
      <c r="T4476">
        <v>4</v>
      </c>
    </row>
    <row r="4477" spans="18:20" x14ac:dyDescent="0.25">
      <c r="R4477">
        <v>136</v>
      </c>
      <c r="S4477">
        <v>400</v>
      </c>
      <c r="T4477">
        <v>4</v>
      </c>
    </row>
    <row r="4478" spans="18:20" x14ac:dyDescent="0.25">
      <c r="R4478">
        <v>136</v>
      </c>
      <c r="S4478">
        <v>410</v>
      </c>
      <c r="T4478">
        <v>1</v>
      </c>
    </row>
    <row r="4479" spans="18:20" x14ac:dyDescent="0.25">
      <c r="R4479">
        <v>136</v>
      </c>
      <c r="S4479">
        <v>411</v>
      </c>
      <c r="T4479">
        <v>5</v>
      </c>
    </row>
    <row r="4480" spans="18:20" x14ac:dyDescent="0.25">
      <c r="R4480">
        <v>136</v>
      </c>
      <c r="S4480">
        <v>421</v>
      </c>
      <c r="T4480">
        <v>2</v>
      </c>
    </row>
    <row r="4481" spans="18:20" x14ac:dyDescent="0.25">
      <c r="R4481">
        <v>136</v>
      </c>
      <c r="S4481">
        <v>421</v>
      </c>
      <c r="T4481">
        <v>1</v>
      </c>
    </row>
    <row r="4482" spans="18:20" x14ac:dyDescent="0.25">
      <c r="R4482">
        <v>136</v>
      </c>
      <c r="S4482">
        <v>432</v>
      </c>
      <c r="T4482">
        <v>2</v>
      </c>
    </row>
    <row r="4483" spans="18:20" x14ac:dyDescent="0.25">
      <c r="R4483">
        <v>137</v>
      </c>
      <c r="S4483">
        <v>2</v>
      </c>
      <c r="T4483">
        <v>1</v>
      </c>
    </row>
    <row r="4484" spans="18:20" x14ac:dyDescent="0.25">
      <c r="R4484">
        <v>137</v>
      </c>
      <c r="S4484">
        <v>21</v>
      </c>
      <c r="T4484">
        <v>4</v>
      </c>
    </row>
    <row r="4485" spans="18:20" x14ac:dyDescent="0.25">
      <c r="R4485">
        <v>137</v>
      </c>
      <c r="S4485">
        <v>27</v>
      </c>
      <c r="T4485">
        <v>5</v>
      </c>
    </row>
    <row r="4486" spans="18:20" x14ac:dyDescent="0.25">
      <c r="R4486">
        <v>137</v>
      </c>
      <c r="S4486">
        <v>27</v>
      </c>
      <c r="T4486">
        <v>5</v>
      </c>
    </row>
    <row r="4487" spans="18:20" x14ac:dyDescent="0.25">
      <c r="R4487">
        <v>137</v>
      </c>
      <c r="S4487">
        <v>36</v>
      </c>
      <c r="T4487">
        <v>3</v>
      </c>
    </row>
    <row r="4488" spans="18:20" x14ac:dyDescent="0.25">
      <c r="R4488">
        <v>137</v>
      </c>
      <c r="S4488">
        <v>53</v>
      </c>
      <c r="T4488">
        <v>4</v>
      </c>
    </row>
    <row r="4489" spans="18:20" x14ac:dyDescent="0.25">
      <c r="R4489">
        <v>137</v>
      </c>
      <c r="S4489">
        <v>66</v>
      </c>
      <c r="T4489">
        <v>4</v>
      </c>
    </row>
    <row r="4490" spans="18:20" x14ac:dyDescent="0.25">
      <c r="R4490">
        <v>137</v>
      </c>
      <c r="S4490">
        <v>66</v>
      </c>
      <c r="T4490">
        <v>2</v>
      </c>
    </row>
    <row r="4491" spans="18:20" x14ac:dyDescent="0.25">
      <c r="R4491">
        <v>137</v>
      </c>
      <c r="S4491">
        <v>79</v>
      </c>
      <c r="T4491">
        <v>5</v>
      </c>
    </row>
    <row r="4492" spans="18:20" x14ac:dyDescent="0.25">
      <c r="R4492">
        <v>137</v>
      </c>
      <c r="S4492">
        <v>81</v>
      </c>
      <c r="T4492">
        <v>1</v>
      </c>
    </row>
    <row r="4493" spans="18:20" x14ac:dyDescent="0.25">
      <c r="R4493">
        <v>137</v>
      </c>
      <c r="S4493">
        <v>98</v>
      </c>
      <c r="T4493">
        <v>2</v>
      </c>
    </row>
    <row r="4494" spans="18:20" x14ac:dyDescent="0.25">
      <c r="R4494">
        <v>137</v>
      </c>
      <c r="S4494">
        <v>99</v>
      </c>
      <c r="T4494">
        <v>4</v>
      </c>
    </row>
    <row r="4495" spans="18:20" x14ac:dyDescent="0.25">
      <c r="R4495">
        <v>137</v>
      </c>
      <c r="S4495">
        <v>141</v>
      </c>
      <c r="T4495">
        <v>2</v>
      </c>
    </row>
    <row r="4496" spans="18:20" x14ac:dyDescent="0.25">
      <c r="R4496">
        <v>137</v>
      </c>
      <c r="S4496">
        <v>141</v>
      </c>
      <c r="T4496">
        <v>1</v>
      </c>
    </row>
    <row r="4497" spans="18:20" x14ac:dyDescent="0.25">
      <c r="R4497">
        <v>137</v>
      </c>
      <c r="S4497">
        <v>149</v>
      </c>
      <c r="T4497">
        <v>1</v>
      </c>
    </row>
    <row r="4498" spans="18:20" x14ac:dyDescent="0.25">
      <c r="R4498">
        <v>137</v>
      </c>
      <c r="S4498">
        <v>168</v>
      </c>
      <c r="T4498">
        <v>3</v>
      </c>
    </row>
    <row r="4499" spans="18:20" x14ac:dyDescent="0.25">
      <c r="R4499">
        <v>137</v>
      </c>
      <c r="S4499">
        <v>170</v>
      </c>
      <c r="T4499">
        <v>1</v>
      </c>
    </row>
    <row r="4500" spans="18:20" x14ac:dyDescent="0.25">
      <c r="R4500">
        <v>137</v>
      </c>
      <c r="S4500">
        <v>185</v>
      </c>
      <c r="T4500">
        <v>3</v>
      </c>
    </row>
    <row r="4501" spans="18:20" x14ac:dyDescent="0.25">
      <c r="R4501">
        <v>137</v>
      </c>
      <c r="S4501">
        <v>234</v>
      </c>
      <c r="T4501">
        <v>1</v>
      </c>
    </row>
    <row r="4502" spans="18:20" x14ac:dyDescent="0.25">
      <c r="R4502">
        <v>137</v>
      </c>
      <c r="S4502">
        <v>252</v>
      </c>
      <c r="T4502">
        <v>5</v>
      </c>
    </row>
    <row r="4503" spans="18:20" x14ac:dyDescent="0.25">
      <c r="R4503">
        <v>137</v>
      </c>
      <c r="S4503">
        <v>258</v>
      </c>
      <c r="T4503">
        <v>3</v>
      </c>
    </row>
    <row r="4504" spans="18:20" x14ac:dyDescent="0.25">
      <c r="R4504">
        <v>137</v>
      </c>
      <c r="S4504">
        <v>288</v>
      </c>
      <c r="T4504">
        <v>4</v>
      </c>
    </row>
    <row r="4505" spans="18:20" x14ac:dyDescent="0.25">
      <c r="R4505">
        <v>137</v>
      </c>
      <c r="S4505">
        <v>288</v>
      </c>
      <c r="T4505">
        <v>3</v>
      </c>
    </row>
    <row r="4506" spans="18:20" x14ac:dyDescent="0.25">
      <c r="R4506">
        <v>137</v>
      </c>
      <c r="S4506">
        <v>289</v>
      </c>
      <c r="T4506">
        <v>4</v>
      </c>
    </row>
    <row r="4507" spans="18:20" x14ac:dyDescent="0.25">
      <c r="R4507">
        <v>137</v>
      </c>
      <c r="S4507">
        <v>295</v>
      </c>
      <c r="T4507">
        <v>5</v>
      </c>
    </row>
    <row r="4508" spans="18:20" x14ac:dyDescent="0.25">
      <c r="R4508">
        <v>137</v>
      </c>
      <c r="S4508">
        <v>306</v>
      </c>
      <c r="T4508">
        <v>1</v>
      </c>
    </row>
    <row r="4509" spans="18:20" x14ac:dyDescent="0.25">
      <c r="R4509">
        <v>137</v>
      </c>
      <c r="S4509">
        <v>320</v>
      </c>
      <c r="T4509">
        <v>5</v>
      </c>
    </row>
    <row r="4510" spans="18:20" x14ac:dyDescent="0.25">
      <c r="R4510">
        <v>137</v>
      </c>
      <c r="S4510">
        <v>342</v>
      </c>
      <c r="T4510">
        <v>2</v>
      </c>
    </row>
    <row r="4511" spans="18:20" x14ac:dyDescent="0.25">
      <c r="R4511">
        <v>137</v>
      </c>
      <c r="S4511">
        <v>343</v>
      </c>
      <c r="T4511">
        <v>4</v>
      </c>
    </row>
    <row r="4512" spans="18:20" x14ac:dyDescent="0.25">
      <c r="R4512">
        <v>137</v>
      </c>
      <c r="S4512">
        <v>349</v>
      </c>
      <c r="T4512">
        <v>4</v>
      </c>
    </row>
    <row r="4513" spans="18:20" x14ac:dyDescent="0.25">
      <c r="R4513">
        <v>137</v>
      </c>
      <c r="S4513">
        <v>369</v>
      </c>
      <c r="T4513">
        <v>5</v>
      </c>
    </row>
    <row r="4514" spans="18:20" x14ac:dyDescent="0.25">
      <c r="R4514">
        <v>137</v>
      </c>
      <c r="S4514">
        <v>370</v>
      </c>
      <c r="T4514">
        <v>5</v>
      </c>
    </row>
    <row r="4515" spans="18:20" x14ac:dyDescent="0.25">
      <c r="R4515">
        <v>137</v>
      </c>
      <c r="S4515">
        <v>392</v>
      </c>
      <c r="T4515">
        <v>1</v>
      </c>
    </row>
    <row r="4516" spans="18:20" x14ac:dyDescent="0.25">
      <c r="R4516">
        <v>137</v>
      </c>
      <c r="S4516">
        <v>423</v>
      </c>
      <c r="T4516">
        <v>3</v>
      </c>
    </row>
    <row r="4517" spans="18:20" x14ac:dyDescent="0.25">
      <c r="R4517">
        <v>137</v>
      </c>
      <c r="S4517">
        <v>427</v>
      </c>
      <c r="T4517">
        <v>5</v>
      </c>
    </row>
    <row r="4518" spans="18:20" x14ac:dyDescent="0.25">
      <c r="R4518">
        <v>138</v>
      </c>
      <c r="S4518">
        <v>18</v>
      </c>
      <c r="T4518">
        <v>3</v>
      </c>
    </row>
    <row r="4519" spans="18:20" x14ac:dyDescent="0.25">
      <c r="R4519">
        <v>138</v>
      </c>
      <c r="S4519">
        <v>48</v>
      </c>
      <c r="T4519">
        <v>1</v>
      </c>
    </row>
    <row r="4520" spans="18:20" x14ac:dyDescent="0.25">
      <c r="R4520">
        <v>138</v>
      </c>
      <c r="S4520">
        <v>69</v>
      </c>
      <c r="T4520">
        <v>3</v>
      </c>
    </row>
    <row r="4521" spans="18:20" x14ac:dyDescent="0.25">
      <c r="R4521">
        <v>138</v>
      </c>
      <c r="S4521">
        <v>81</v>
      </c>
      <c r="T4521">
        <v>4</v>
      </c>
    </row>
    <row r="4522" spans="18:20" x14ac:dyDescent="0.25">
      <c r="R4522">
        <v>138</v>
      </c>
      <c r="S4522">
        <v>86</v>
      </c>
      <c r="T4522">
        <v>1</v>
      </c>
    </row>
    <row r="4523" spans="18:20" x14ac:dyDescent="0.25">
      <c r="R4523">
        <v>138</v>
      </c>
      <c r="S4523">
        <v>107</v>
      </c>
      <c r="T4523">
        <v>4</v>
      </c>
    </row>
    <row r="4524" spans="18:20" x14ac:dyDescent="0.25">
      <c r="R4524">
        <v>138</v>
      </c>
      <c r="S4524">
        <v>112</v>
      </c>
      <c r="T4524">
        <v>3</v>
      </c>
    </row>
    <row r="4525" spans="18:20" x14ac:dyDescent="0.25">
      <c r="R4525">
        <v>138</v>
      </c>
      <c r="S4525">
        <v>115</v>
      </c>
      <c r="T4525">
        <v>5</v>
      </c>
    </row>
    <row r="4526" spans="18:20" x14ac:dyDescent="0.25">
      <c r="R4526">
        <v>138</v>
      </c>
      <c r="S4526">
        <v>134</v>
      </c>
      <c r="T4526">
        <v>3</v>
      </c>
    </row>
    <row r="4527" spans="18:20" x14ac:dyDescent="0.25">
      <c r="R4527">
        <v>138</v>
      </c>
      <c r="S4527">
        <v>146</v>
      </c>
      <c r="T4527">
        <v>1</v>
      </c>
    </row>
    <row r="4528" spans="18:20" x14ac:dyDescent="0.25">
      <c r="R4528">
        <v>138</v>
      </c>
      <c r="S4528">
        <v>161</v>
      </c>
      <c r="T4528">
        <v>1</v>
      </c>
    </row>
    <row r="4529" spans="18:20" x14ac:dyDescent="0.25">
      <c r="R4529">
        <v>138</v>
      </c>
      <c r="S4529">
        <v>177</v>
      </c>
      <c r="T4529">
        <v>2</v>
      </c>
    </row>
    <row r="4530" spans="18:20" x14ac:dyDescent="0.25">
      <c r="R4530">
        <v>138</v>
      </c>
      <c r="S4530">
        <v>180</v>
      </c>
      <c r="T4530">
        <v>2</v>
      </c>
    </row>
    <row r="4531" spans="18:20" x14ac:dyDescent="0.25">
      <c r="R4531">
        <v>138</v>
      </c>
      <c r="S4531">
        <v>182</v>
      </c>
      <c r="T4531">
        <v>1</v>
      </c>
    </row>
    <row r="4532" spans="18:20" x14ac:dyDescent="0.25">
      <c r="R4532">
        <v>138</v>
      </c>
      <c r="S4532">
        <v>198</v>
      </c>
      <c r="T4532">
        <v>2</v>
      </c>
    </row>
    <row r="4533" spans="18:20" x14ac:dyDescent="0.25">
      <c r="R4533">
        <v>138</v>
      </c>
      <c r="S4533">
        <v>226</v>
      </c>
      <c r="T4533">
        <v>5</v>
      </c>
    </row>
    <row r="4534" spans="18:20" x14ac:dyDescent="0.25">
      <c r="R4534">
        <v>138</v>
      </c>
      <c r="S4534">
        <v>227</v>
      </c>
      <c r="T4534">
        <v>5</v>
      </c>
    </row>
    <row r="4535" spans="18:20" x14ac:dyDescent="0.25">
      <c r="R4535">
        <v>138</v>
      </c>
      <c r="S4535">
        <v>239</v>
      </c>
      <c r="T4535">
        <v>2</v>
      </c>
    </row>
    <row r="4536" spans="18:20" x14ac:dyDescent="0.25">
      <c r="R4536">
        <v>138</v>
      </c>
      <c r="S4536">
        <v>239</v>
      </c>
      <c r="T4536">
        <v>1</v>
      </c>
    </row>
    <row r="4537" spans="18:20" x14ac:dyDescent="0.25">
      <c r="R4537">
        <v>138</v>
      </c>
      <c r="S4537">
        <v>241</v>
      </c>
      <c r="T4537">
        <v>4</v>
      </c>
    </row>
    <row r="4538" spans="18:20" x14ac:dyDescent="0.25">
      <c r="R4538">
        <v>138</v>
      </c>
      <c r="S4538">
        <v>246</v>
      </c>
      <c r="T4538">
        <v>3</v>
      </c>
    </row>
    <row r="4539" spans="18:20" x14ac:dyDescent="0.25">
      <c r="R4539">
        <v>138</v>
      </c>
      <c r="S4539">
        <v>246</v>
      </c>
      <c r="T4539">
        <v>1</v>
      </c>
    </row>
    <row r="4540" spans="18:20" x14ac:dyDescent="0.25">
      <c r="R4540">
        <v>138</v>
      </c>
      <c r="S4540">
        <v>248</v>
      </c>
      <c r="T4540">
        <v>4</v>
      </c>
    </row>
    <row r="4541" spans="18:20" x14ac:dyDescent="0.25">
      <c r="R4541">
        <v>138</v>
      </c>
      <c r="S4541">
        <v>288</v>
      </c>
      <c r="T4541">
        <v>5</v>
      </c>
    </row>
    <row r="4542" spans="18:20" x14ac:dyDescent="0.25">
      <c r="R4542">
        <v>138</v>
      </c>
      <c r="S4542">
        <v>310</v>
      </c>
      <c r="T4542">
        <v>3</v>
      </c>
    </row>
    <row r="4543" spans="18:20" x14ac:dyDescent="0.25">
      <c r="R4543">
        <v>138</v>
      </c>
      <c r="S4543">
        <v>314</v>
      </c>
      <c r="T4543">
        <v>5</v>
      </c>
    </row>
    <row r="4544" spans="18:20" x14ac:dyDescent="0.25">
      <c r="R4544">
        <v>138</v>
      </c>
      <c r="S4544">
        <v>317</v>
      </c>
      <c r="T4544">
        <v>4</v>
      </c>
    </row>
    <row r="4545" spans="18:20" x14ac:dyDescent="0.25">
      <c r="R4545">
        <v>138</v>
      </c>
      <c r="S4545">
        <v>336</v>
      </c>
      <c r="T4545">
        <v>2</v>
      </c>
    </row>
    <row r="4546" spans="18:20" x14ac:dyDescent="0.25">
      <c r="R4546">
        <v>138</v>
      </c>
      <c r="S4546">
        <v>339</v>
      </c>
      <c r="T4546">
        <v>5</v>
      </c>
    </row>
    <row r="4547" spans="18:20" x14ac:dyDescent="0.25">
      <c r="R4547">
        <v>138</v>
      </c>
      <c r="S4547">
        <v>339</v>
      </c>
      <c r="T4547">
        <v>4</v>
      </c>
    </row>
    <row r="4548" spans="18:20" x14ac:dyDescent="0.25">
      <c r="R4548">
        <v>138</v>
      </c>
      <c r="S4548">
        <v>356</v>
      </c>
      <c r="T4548">
        <v>5</v>
      </c>
    </row>
    <row r="4549" spans="18:20" x14ac:dyDescent="0.25">
      <c r="R4549">
        <v>138</v>
      </c>
      <c r="S4549">
        <v>358</v>
      </c>
      <c r="T4549">
        <v>2</v>
      </c>
    </row>
    <row r="4550" spans="18:20" x14ac:dyDescent="0.25">
      <c r="R4550">
        <v>138</v>
      </c>
      <c r="S4550">
        <v>379</v>
      </c>
      <c r="T4550">
        <v>5</v>
      </c>
    </row>
    <row r="4551" spans="18:20" x14ac:dyDescent="0.25">
      <c r="R4551">
        <v>138</v>
      </c>
      <c r="S4551">
        <v>419</v>
      </c>
      <c r="T4551">
        <v>2</v>
      </c>
    </row>
    <row r="4552" spans="18:20" x14ac:dyDescent="0.25">
      <c r="R4552">
        <v>138</v>
      </c>
      <c r="S4552">
        <v>433</v>
      </c>
      <c r="T4552">
        <v>4</v>
      </c>
    </row>
    <row r="4553" spans="18:20" x14ac:dyDescent="0.25">
      <c r="R4553">
        <v>139</v>
      </c>
      <c r="S4553">
        <v>5</v>
      </c>
      <c r="T4553">
        <v>5</v>
      </c>
    </row>
    <row r="4554" spans="18:20" x14ac:dyDescent="0.25">
      <c r="R4554">
        <v>139</v>
      </c>
      <c r="S4554">
        <v>37</v>
      </c>
      <c r="T4554">
        <v>5</v>
      </c>
    </row>
    <row r="4555" spans="18:20" x14ac:dyDescent="0.25">
      <c r="R4555">
        <v>139</v>
      </c>
      <c r="S4555">
        <v>98</v>
      </c>
      <c r="T4555">
        <v>2</v>
      </c>
    </row>
    <row r="4556" spans="18:20" x14ac:dyDescent="0.25">
      <c r="R4556">
        <v>139</v>
      </c>
      <c r="S4556">
        <v>103</v>
      </c>
      <c r="T4556">
        <v>2</v>
      </c>
    </row>
    <row r="4557" spans="18:20" x14ac:dyDescent="0.25">
      <c r="R4557">
        <v>139</v>
      </c>
      <c r="S4557">
        <v>114</v>
      </c>
      <c r="T4557">
        <v>5</v>
      </c>
    </row>
    <row r="4558" spans="18:20" x14ac:dyDescent="0.25">
      <c r="R4558">
        <v>139</v>
      </c>
      <c r="S4558">
        <v>114</v>
      </c>
      <c r="T4558">
        <v>4</v>
      </c>
    </row>
    <row r="4559" spans="18:20" x14ac:dyDescent="0.25">
      <c r="R4559">
        <v>139</v>
      </c>
      <c r="S4559">
        <v>141</v>
      </c>
      <c r="T4559">
        <v>4</v>
      </c>
    </row>
    <row r="4560" spans="18:20" x14ac:dyDescent="0.25">
      <c r="R4560">
        <v>139</v>
      </c>
      <c r="S4560">
        <v>142</v>
      </c>
      <c r="T4560">
        <v>2</v>
      </c>
    </row>
    <row r="4561" spans="18:20" x14ac:dyDescent="0.25">
      <c r="R4561">
        <v>139</v>
      </c>
      <c r="S4561">
        <v>143</v>
      </c>
      <c r="T4561">
        <v>1</v>
      </c>
    </row>
    <row r="4562" spans="18:20" x14ac:dyDescent="0.25">
      <c r="R4562">
        <v>139</v>
      </c>
      <c r="S4562">
        <v>145</v>
      </c>
      <c r="T4562">
        <v>5</v>
      </c>
    </row>
    <row r="4563" spans="18:20" x14ac:dyDescent="0.25">
      <c r="R4563">
        <v>139</v>
      </c>
      <c r="S4563">
        <v>154</v>
      </c>
      <c r="T4563">
        <v>1</v>
      </c>
    </row>
    <row r="4564" spans="18:20" x14ac:dyDescent="0.25">
      <c r="R4564">
        <v>139</v>
      </c>
      <c r="S4564">
        <v>154</v>
      </c>
      <c r="T4564">
        <v>4</v>
      </c>
    </row>
    <row r="4565" spans="18:20" x14ac:dyDescent="0.25">
      <c r="R4565">
        <v>139</v>
      </c>
      <c r="S4565">
        <v>168</v>
      </c>
      <c r="T4565">
        <v>4</v>
      </c>
    </row>
    <row r="4566" spans="18:20" x14ac:dyDescent="0.25">
      <c r="R4566">
        <v>139</v>
      </c>
      <c r="S4566">
        <v>171</v>
      </c>
      <c r="T4566">
        <v>4</v>
      </c>
    </row>
    <row r="4567" spans="18:20" x14ac:dyDescent="0.25">
      <c r="R4567">
        <v>139</v>
      </c>
      <c r="S4567">
        <v>172</v>
      </c>
      <c r="T4567">
        <v>2</v>
      </c>
    </row>
    <row r="4568" spans="18:20" x14ac:dyDescent="0.25">
      <c r="R4568">
        <v>139</v>
      </c>
      <c r="S4568">
        <v>178</v>
      </c>
      <c r="T4568">
        <v>5</v>
      </c>
    </row>
    <row r="4569" spans="18:20" x14ac:dyDescent="0.25">
      <c r="R4569">
        <v>139</v>
      </c>
      <c r="S4569">
        <v>209</v>
      </c>
      <c r="T4569">
        <v>1</v>
      </c>
    </row>
    <row r="4570" spans="18:20" x14ac:dyDescent="0.25">
      <c r="R4570">
        <v>139</v>
      </c>
      <c r="S4570">
        <v>214</v>
      </c>
      <c r="T4570">
        <v>2</v>
      </c>
    </row>
    <row r="4571" spans="18:20" x14ac:dyDescent="0.25">
      <c r="R4571">
        <v>139</v>
      </c>
      <c r="S4571">
        <v>223</v>
      </c>
      <c r="T4571">
        <v>1</v>
      </c>
    </row>
    <row r="4572" spans="18:20" x14ac:dyDescent="0.25">
      <c r="R4572">
        <v>139</v>
      </c>
      <c r="S4572">
        <v>224</v>
      </c>
      <c r="T4572">
        <v>5</v>
      </c>
    </row>
    <row r="4573" spans="18:20" x14ac:dyDescent="0.25">
      <c r="R4573">
        <v>139</v>
      </c>
      <c r="S4573">
        <v>250</v>
      </c>
      <c r="T4573">
        <v>2</v>
      </c>
    </row>
    <row r="4574" spans="18:20" x14ac:dyDescent="0.25">
      <c r="R4574">
        <v>139</v>
      </c>
      <c r="S4574">
        <v>278</v>
      </c>
      <c r="T4574">
        <v>2</v>
      </c>
    </row>
    <row r="4575" spans="18:20" x14ac:dyDescent="0.25">
      <c r="R4575">
        <v>139</v>
      </c>
      <c r="S4575">
        <v>279</v>
      </c>
      <c r="T4575">
        <v>5</v>
      </c>
    </row>
    <row r="4576" spans="18:20" x14ac:dyDescent="0.25">
      <c r="R4576">
        <v>139</v>
      </c>
      <c r="S4576">
        <v>282</v>
      </c>
      <c r="T4576">
        <v>4</v>
      </c>
    </row>
    <row r="4577" spans="18:20" x14ac:dyDescent="0.25">
      <c r="R4577">
        <v>139</v>
      </c>
      <c r="S4577">
        <v>283</v>
      </c>
      <c r="T4577">
        <v>3</v>
      </c>
    </row>
    <row r="4578" spans="18:20" x14ac:dyDescent="0.25">
      <c r="R4578">
        <v>139</v>
      </c>
      <c r="S4578">
        <v>298</v>
      </c>
      <c r="T4578">
        <v>5</v>
      </c>
    </row>
    <row r="4579" spans="18:20" x14ac:dyDescent="0.25">
      <c r="R4579">
        <v>139</v>
      </c>
      <c r="S4579">
        <v>307</v>
      </c>
      <c r="T4579">
        <v>1</v>
      </c>
    </row>
    <row r="4580" spans="18:20" x14ac:dyDescent="0.25">
      <c r="R4580">
        <v>139</v>
      </c>
      <c r="S4580">
        <v>330</v>
      </c>
      <c r="T4580">
        <v>1</v>
      </c>
    </row>
    <row r="4581" spans="18:20" x14ac:dyDescent="0.25">
      <c r="R4581">
        <v>139</v>
      </c>
      <c r="S4581">
        <v>334</v>
      </c>
      <c r="T4581">
        <v>2</v>
      </c>
    </row>
    <row r="4582" spans="18:20" x14ac:dyDescent="0.25">
      <c r="R4582">
        <v>139</v>
      </c>
      <c r="S4582">
        <v>346</v>
      </c>
      <c r="T4582">
        <v>5</v>
      </c>
    </row>
    <row r="4583" spans="18:20" x14ac:dyDescent="0.25">
      <c r="R4583">
        <v>139</v>
      </c>
      <c r="S4583">
        <v>361</v>
      </c>
      <c r="T4583">
        <v>3</v>
      </c>
    </row>
    <row r="4584" spans="18:20" x14ac:dyDescent="0.25">
      <c r="R4584">
        <v>139</v>
      </c>
      <c r="S4584">
        <v>363</v>
      </c>
      <c r="T4584">
        <v>4</v>
      </c>
    </row>
    <row r="4585" spans="18:20" x14ac:dyDescent="0.25">
      <c r="R4585">
        <v>139</v>
      </c>
      <c r="S4585">
        <v>411</v>
      </c>
      <c r="T4585">
        <v>3</v>
      </c>
    </row>
    <row r="4586" spans="18:20" x14ac:dyDescent="0.25">
      <c r="R4586">
        <v>139</v>
      </c>
      <c r="S4586">
        <v>433</v>
      </c>
      <c r="T4586">
        <v>2</v>
      </c>
    </row>
    <row r="4587" spans="18:20" x14ac:dyDescent="0.25">
      <c r="R4587">
        <v>139</v>
      </c>
      <c r="S4587">
        <v>436</v>
      </c>
      <c r="T4587">
        <v>2</v>
      </c>
    </row>
    <row r="4588" spans="18:20" x14ac:dyDescent="0.25">
      <c r="R4588">
        <v>140</v>
      </c>
      <c r="S4588">
        <v>9</v>
      </c>
      <c r="T4588">
        <v>1</v>
      </c>
    </row>
    <row r="4589" spans="18:20" x14ac:dyDescent="0.25">
      <c r="R4589">
        <v>140</v>
      </c>
      <c r="S4589">
        <v>13</v>
      </c>
      <c r="T4589">
        <v>4</v>
      </c>
    </row>
    <row r="4590" spans="18:20" x14ac:dyDescent="0.25">
      <c r="R4590">
        <v>140</v>
      </c>
      <c r="S4590">
        <v>46</v>
      </c>
      <c r="T4590">
        <v>4</v>
      </c>
    </row>
    <row r="4591" spans="18:20" x14ac:dyDescent="0.25">
      <c r="R4591">
        <v>140</v>
      </c>
      <c r="S4591">
        <v>51</v>
      </c>
      <c r="T4591">
        <v>1</v>
      </c>
    </row>
    <row r="4592" spans="18:20" x14ac:dyDescent="0.25">
      <c r="R4592">
        <v>140</v>
      </c>
      <c r="S4592">
        <v>64</v>
      </c>
      <c r="T4592">
        <v>2</v>
      </c>
    </row>
    <row r="4593" spans="18:20" x14ac:dyDescent="0.25">
      <c r="R4593">
        <v>140</v>
      </c>
      <c r="S4593">
        <v>65</v>
      </c>
      <c r="T4593">
        <v>2</v>
      </c>
    </row>
    <row r="4594" spans="18:20" x14ac:dyDescent="0.25">
      <c r="R4594">
        <v>140</v>
      </c>
      <c r="S4594">
        <v>68</v>
      </c>
      <c r="T4594">
        <v>5</v>
      </c>
    </row>
    <row r="4595" spans="18:20" x14ac:dyDescent="0.25">
      <c r="R4595">
        <v>140</v>
      </c>
      <c r="S4595">
        <v>75</v>
      </c>
      <c r="T4595">
        <v>1</v>
      </c>
    </row>
    <row r="4596" spans="18:20" x14ac:dyDescent="0.25">
      <c r="R4596">
        <v>140</v>
      </c>
      <c r="S4596">
        <v>76</v>
      </c>
      <c r="T4596">
        <v>1</v>
      </c>
    </row>
    <row r="4597" spans="18:20" x14ac:dyDescent="0.25">
      <c r="R4597">
        <v>140</v>
      </c>
      <c r="S4597">
        <v>85</v>
      </c>
      <c r="T4597">
        <v>3</v>
      </c>
    </row>
    <row r="4598" spans="18:20" x14ac:dyDescent="0.25">
      <c r="R4598">
        <v>140</v>
      </c>
      <c r="S4598">
        <v>87</v>
      </c>
      <c r="T4598">
        <v>1</v>
      </c>
    </row>
    <row r="4599" spans="18:20" x14ac:dyDescent="0.25">
      <c r="R4599">
        <v>140</v>
      </c>
      <c r="S4599">
        <v>119</v>
      </c>
      <c r="T4599">
        <v>5</v>
      </c>
    </row>
    <row r="4600" spans="18:20" x14ac:dyDescent="0.25">
      <c r="R4600">
        <v>140</v>
      </c>
      <c r="S4600">
        <v>128</v>
      </c>
      <c r="T4600">
        <v>1</v>
      </c>
    </row>
    <row r="4601" spans="18:20" x14ac:dyDescent="0.25">
      <c r="R4601">
        <v>140</v>
      </c>
      <c r="S4601">
        <v>136</v>
      </c>
      <c r="T4601">
        <v>4</v>
      </c>
    </row>
    <row r="4602" spans="18:20" x14ac:dyDescent="0.25">
      <c r="R4602">
        <v>140</v>
      </c>
      <c r="S4602">
        <v>143</v>
      </c>
      <c r="T4602">
        <v>5</v>
      </c>
    </row>
    <row r="4603" spans="18:20" x14ac:dyDescent="0.25">
      <c r="R4603">
        <v>140</v>
      </c>
      <c r="S4603">
        <v>157</v>
      </c>
      <c r="T4603">
        <v>5</v>
      </c>
    </row>
    <row r="4604" spans="18:20" x14ac:dyDescent="0.25">
      <c r="R4604">
        <v>140</v>
      </c>
      <c r="S4604">
        <v>159</v>
      </c>
      <c r="T4604">
        <v>5</v>
      </c>
    </row>
    <row r="4605" spans="18:20" x14ac:dyDescent="0.25">
      <c r="R4605">
        <v>140</v>
      </c>
      <c r="S4605">
        <v>182</v>
      </c>
      <c r="T4605">
        <v>5</v>
      </c>
    </row>
    <row r="4606" spans="18:20" x14ac:dyDescent="0.25">
      <c r="R4606">
        <v>140</v>
      </c>
      <c r="S4606">
        <v>187</v>
      </c>
      <c r="T4606">
        <v>3</v>
      </c>
    </row>
    <row r="4607" spans="18:20" x14ac:dyDescent="0.25">
      <c r="R4607">
        <v>140</v>
      </c>
      <c r="S4607">
        <v>227</v>
      </c>
      <c r="T4607">
        <v>4</v>
      </c>
    </row>
    <row r="4608" spans="18:20" x14ac:dyDescent="0.25">
      <c r="R4608">
        <v>140</v>
      </c>
      <c r="S4608">
        <v>234</v>
      </c>
      <c r="T4608">
        <v>1</v>
      </c>
    </row>
    <row r="4609" spans="18:20" x14ac:dyDescent="0.25">
      <c r="R4609">
        <v>140</v>
      </c>
      <c r="S4609">
        <v>262</v>
      </c>
      <c r="T4609">
        <v>1</v>
      </c>
    </row>
    <row r="4610" spans="18:20" x14ac:dyDescent="0.25">
      <c r="R4610">
        <v>140</v>
      </c>
      <c r="S4610">
        <v>277</v>
      </c>
      <c r="T4610">
        <v>5</v>
      </c>
    </row>
    <row r="4611" spans="18:20" x14ac:dyDescent="0.25">
      <c r="R4611">
        <v>140</v>
      </c>
      <c r="S4611">
        <v>304</v>
      </c>
      <c r="T4611">
        <v>3</v>
      </c>
    </row>
    <row r="4612" spans="18:20" x14ac:dyDescent="0.25">
      <c r="R4612">
        <v>140</v>
      </c>
      <c r="S4612">
        <v>314</v>
      </c>
      <c r="T4612">
        <v>3</v>
      </c>
    </row>
    <row r="4613" spans="18:20" x14ac:dyDescent="0.25">
      <c r="R4613">
        <v>140</v>
      </c>
      <c r="S4613">
        <v>329</v>
      </c>
      <c r="T4613">
        <v>5</v>
      </c>
    </row>
    <row r="4614" spans="18:20" x14ac:dyDescent="0.25">
      <c r="R4614">
        <v>140</v>
      </c>
      <c r="S4614">
        <v>330</v>
      </c>
      <c r="T4614">
        <v>1</v>
      </c>
    </row>
    <row r="4615" spans="18:20" x14ac:dyDescent="0.25">
      <c r="R4615">
        <v>140</v>
      </c>
      <c r="S4615">
        <v>388</v>
      </c>
      <c r="T4615">
        <v>5</v>
      </c>
    </row>
    <row r="4616" spans="18:20" x14ac:dyDescent="0.25">
      <c r="R4616">
        <v>140</v>
      </c>
      <c r="S4616">
        <v>396</v>
      </c>
      <c r="T4616">
        <v>2</v>
      </c>
    </row>
    <row r="4617" spans="18:20" x14ac:dyDescent="0.25">
      <c r="R4617">
        <v>140</v>
      </c>
      <c r="S4617">
        <v>420</v>
      </c>
      <c r="T4617">
        <v>4</v>
      </c>
    </row>
    <row r="4618" spans="18:20" x14ac:dyDescent="0.25">
      <c r="R4618">
        <v>140</v>
      </c>
      <c r="S4618">
        <v>428</v>
      </c>
      <c r="T4618">
        <v>5</v>
      </c>
    </row>
    <row r="4619" spans="18:20" x14ac:dyDescent="0.25">
      <c r="R4619">
        <v>141</v>
      </c>
      <c r="S4619">
        <v>51</v>
      </c>
      <c r="T4619">
        <v>5</v>
      </c>
    </row>
    <row r="4620" spans="18:20" x14ac:dyDescent="0.25">
      <c r="R4620">
        <v>141</v>
      </c>
      <c r="S4620">
        <v>58</v>
      </c>
      <c r="T4620">
        <v>3</v>
      </c>
    </row>
    <row r="4621" spans="18:20" x14ac:dyDescent="0.25">
      <c r="R4621">
        <v>141</v>
      </c>
      <c r="S4621">
        <v>66</v>
      </c>
      <c r="T4621">
        <v>5</v>
      </c>
    </row>
    <row r="4622" spans="18:20" x14ac:dyDescent="0.25">
      <c r="R4622">
        <v>141</v>
      </c>
      <c r="S4622">
        <v>84</v>
      </c>
      <c r="T4622">
        <v>2</v>
      </c>
    </row>
    <row r="4623" spans="18:20" x14ac:dyDescent="0.25">
      <c r="R4623">
        <v>141</v>
      </c>
      <c r="S4623">
        <v>95</v>
      </c>
      <c r="T4623">
        <v>5</v>
      </c>
    </row>
    <row r="4624" spans="18:20" x14ac:dyDescent="0.25">
      <c r="R4624">
        <v>141</v>
      </c>
      <c r="S4624">
        <v>120</v>
      </c>
      <c r="T4624">
        <v>5</v>
      </c>
    </row>
    <row r="4625" spans="18:20" x14ac:dyDescent="0.25">
      <c r="R4625">
        <v>141</v>
      </c>
      <c r="S4625">
        <v>121</v>
      </c>
      <c r="T4625">
        <v>3</v>
      </c>
    </row>
    <row r="4626" spans="18:20" x14ac:dyDescent="0.25">
      <c r="R4626">
        <v>141</v>
      </c>
      <c r="S4626">
        <v>143</v>
      </c>
      <c r="T4626">
        <v>3</v>
      </c>
    </row>
    <row r="4627" spans="18:20" x14ac:dyDescent="0.25">
      <c r="R4627">
        <v>141</v>
      </c>
      <c r="S4627">
        <v>149</v>
      </c>
      <c r="T4627">
        <v>4</v>
      </c>
    </row>
    <row r="4628" spans="18:20" x14ac:dyDescent="0.25">
      <c r="R4628">
        <v>141</v>
      </c>
      <c r="S4628">
        <v>186</v>
      </c>
      <c r="T4628">
        <v>4</v>
      </c>
    </row>
    <row r="4629" spans="18:20" x14ac:dyDescent="0.25">
      <c r="R4629">
        <v>141</v>
      </c>
      <c r="S4629">
        <v>196</v>
      </c>
      <c r="T4629">
        <v>2</v>
      </c>
    </row>
    <row r="4630" spans="18:20" x14ac:dyDescent="0.25">
      <c r="R4630">
        <v>141</v>
      </c>
      <c r="S4630">
        <v>226</v>
      </c>
      <c r="T4630">
        <v>3</v>
      </c>
    </row>
    <row r="4631" spans="18:20" x14ac:dyDescent="0.25">
      <c r="R4631">
        <v>141</v>
      </c>
      <c r="S4631">
        <v>226</v>
      </c>
      <c r="T4631">
        <v>2</v>
      </c>
    </row>
    <row r="4632" spans="18:20" x14ac:dyDescent="0.25">
      <c r="R4632">
        <v>141</v>
      </c>
      <c r="S4632">
        <v>235</v>
      </c>
      <c r="T4632">
        <v>3</v>
      </c>
    </row>
    <row r="4633" spans="18:20" x14ac:dyDescent="0.25">
      <c r="R4633">
        <v>141</v>
      </c>
      <c r="S4633">
        <v>241</v>
      </c>
      <c r="T4633">
        <v>1</v>
      </c>
    </row>
    <row r="4634" spans="18:20" x14ac:dyDescent="0.25">
      <c r="R4634">
        <v>141</v>
      </c>
      <c r="S4634">
        <v>254</v>
      </c>
      <c r="T4634">
        <v>2</v>
      </c>
    </row>
    <row r="4635" spans="18:20" x14ac:dyDescent="0.25">
      <c r="R4635">
        <v>141</v>
      </c>
      <c r="S4635">
        <v>258</v>
      </c>
      <c r="T4635">
        <v>3</v>
      </c>
    </row>
    <row r="4636" spans="18:20" x14ac:dyDescent="0.25">
      <c r="R4636">
        <v>141</v>
      </c>
      <c r="S4636">
        <v>259</v>
      </c>
      <c r="T4636">
        <v>4</v>
      </c>
    </row>
    <row r="4637" spans="18:20" x14ac:dyDescent="0.25">
      <c r="R4637">
        <v>141</v>
      </c>
      <c r="S4637">
        <v>262</v>
      </c>
      <c r="T4637">
        <v>4</v>
      </c>
    </row>
    <row r="4638" spans="18:20" x14ac:dyDescent="0.25">
      <c r="R4638">
        <v>141</v>
      </c>
      <c r="S4638">
        <v>264</v>
      </c>
      <c r="T4638">
        <v>4</v>
      </c>
    </row>
    <row r="4639" spans="18:20" x14ac:dyDescent="0.25">
      <c r="R4639">
        <v>141</v>
      </c>
      <c r="S4639">
        <v>292</v>
      </c>
      <c r="T4639">
        <v>5</v>
      </c>
    </row>
    <row r="4640" spans="18:20" x14ac:dyDescent="0.25">
      <c r="R4640">
        <v>141</v>
      </c>
      <c r="S4640">
        <v>304</v>
      </c>
      <c r="T4640">
        <v>3</v>
      </c>
    </row>
    <row r="4641" spans="18:20" x14ac:dyDescent="0.25">
      <c r="R4641">
        <v>141</v>
      </c>
      <c r="S4641">
        <v>319</v>
      </c>
      <c r="T4641">
        <v>1</v>
      </c>
    </row>
    <row r="4642" spans="18:20" x14ac:dyDescent="0.25">
      <c r="R4642">
        <v>141</v>
      </c>
      <c r="S4642">
        <v>343</v>
      </c>
      <c r="T4642">
        <v>1</v>
      </c>
    </row>
    <row r="4643" spans="18:20" x14ac:dyDescent="0.25">
      <c r="R4643">
        <v>141</v>
      </c>
      <c r="S4643">
        <v>354</v>
      </c>
      <c r="T4643">
        <v>3</v>
      </c>
    </row>
    <row r="4644" spans="18:20" x14ac:dyDescent="0.25">
      <c r="R4644">
        <v>141</v>
      </c>
      <c r="S4644">
        <v>365</v>
      </c>
      <c r="T4644">
        <v>5</v>
      </c>
    </row>
    <row r="4645" spans="18:20" x14ac:dyDescent="0.25">
      <c r="R4645">
        <v>141</v>
      </c>
      <c r="S4645">
        <v>398</v>
      </c>
      <c r="T4645">
        <v>5</v>
      </c>
    </row>
    <row r="4646" spans="18:20" x14ac:dyDescent="0.25">
      <c r="R4646">
        <v>141</v>
      </c>
      <c r="S4646">
        <v>403</v>
      </c>
      <c r="T4646">
        <v>2</v>
      </c>
    </row>
    <row r="4647" spans="18:20" x14ac:dyDescent="0.25">
      <c r="R4647">
        <v>142</v>
      </c>
      <c r="S4647">
        <v>7</v>
      </c>
      <c r="T4647">
        <v>3</v>
      </c>
    </row>
    <row r="4648" spans="18:20" x14ac:dyDescent="0.25">
      <c r="R4648">
        <v>142</v>
      </c>
      <c r="S4648">
        <v>15</v>
      </c>
      <c r="T4648">
        <v>2</v>
      </c>
    </row>
    <row r="4649" spans="18:20" x14ac:dyDescent="0.25">
      <c r="R4649">
        <v>142</v>
      </c>
      <c r="S4649">
        <v>19</v>
      </c>
      <c r="T4649">
        <v>1</v>
      </c>
    </row>
    <row r="4650" spans="18:20" x14ac:dyDescent="0.25">
      <c r="R4650">
        <v>142</v>
      </c>
      <c r="S4650">
        <v>19</v>
      </c>
      <c r="T4650">
        <v>3</v>
      </c>
    </row>
    <row r="4651" spans="18:20" x14ac:dyDescent="0.25">
      <c r="R4651">
        <v>142</v>
      </c>
      <c r="S4651">
        <v>26</v>
      </c>
      <c r="T4651">
        <v>3</v>
      </c>
    </row>
    <row r="4652" spans="18:20" x14ac:dyDescent="0.25">
      <c r="R4652">
        <v>142</v>
      </c>
      <c r="S4652">
        <v>46</v>
      </c>
      <c r="T4652">
        <v>3</v>
      </c>
    </row>
    <row r="4653" spans="18:20" x14ac:dyDescent="0.25">
      <c r="R4653">
        <v>142</v>
      </c>
      <c r="S4653">
        <v>51</v>
      </c>
      <c r="T4653">
        <v>3</v>
      </c>
    </row>
    <row r="4654" spans="18:20" x14ac:dyDescent="0.25">
      <c r="R4654">
        <v>142</v>
      </c>
      <c r="S4654">
        <v>55</v>
      </c>
      <c r="T4654">
        <v>5</v>
      </c>
    </row>
    <row r="4655" spans="18:20" x14ac:dyDescent="0.25">
      <c r="R4655">
        <v>142</v>
      </c>
      <c r="S4655">
        <v>58</v>
      </c>
      <c r="T4655">
        <v>5</v>
      </c>
    </row>
    <row r="4656" spans="18:20" x14ac:dyDescent="0.25">
      <c r="R4656">
        <v>142</v>
      </c>
      <c r="S4656">
        <v>87</v>
      </c>
      <c r="T4656">
        <v>3</v>
      </c>
    </row>
    <row r="4657" spans="18:20" x14ac:dyDescent="0.25">
      <c r="R4657">
        <v>142</v>
      </c>
      <c r="S4657">
        <v>106</v>
      </c>
      <c r="T4657">
        <v>4</v>
      </c>
    </row>
    <row r="4658" spans="18:20" x14ac:dyDescent="0.25">
      <c r="R4658">
        <v>142</v>
      </c>
      <c r="S4658">
        <v>114</v>
      </c>
      <c r="T4658">
        <v>4</v>
      </c>
    </row>
    <row r="4659" spans="18:20" x14ac:dyDescent="0.25">
      <c r="R4659">
        <v>142</v>
      </c>
      <c r="S4659">
        <v>116</v>
      </c>
      <c r="T4659">
        <v>1</v>
      </c>
    </row>
    <row r="4660" spans="18:20" x14ac:dyDescent="0.25">
      <c r="R4660">
        <v>142</v>
      </c>
      <c r="S4660">
        <v>135</v>
      </c>
      <c r="T4660">
        <v>2</v>
      </c>
    </row>
    <row r="4661" spans="18:20" x14ac:dyDescent="0.25">
      <c r="R4661">
        <v>142</v>
      </c>
      <c r="S4661">
        <v>143</v>
      </c>
      <c r="T4661">
        <v>3</v>
      </c>
    </row>
    <row r="4662" spans="18:20" x14ac:dyDescent="0.25">
      <c r="R4662">
        <v>142</v>
      </c>
      <c r="S4662">
        <v>154</v>
      </c>
      <c r="T4662">
        <v>3</v>
      </c>
    </row>
    <row r="4663" spans="18:20" x14ac:dyDescent="0.25">
      <c r="R4663">
        <v>142</v>
      </c>
      <c r="S4663">
        <v>169</v>
      </c>
      <c r="T4663">
        <v>1</v>
      </c>
    </row>
    <row r="4664" spans="18:20" x14ac:dyDescent="0.25">
      <c r="R4664">
        <v>142</v>
      </c>
      <c r="S4664">
        <v>179</v>
      </c>
      <c r="T4664">
        <v>2</v>
      </c>
    </row>
    <row r="4665" spans="18:20" x14ac:dyDescent="0.25">
      <c r="R4665">
        <v>142</v>
      </c>
      <c r="S4665">
        <v>184</v>
      </c>
      <c r="T4665">
        <v>1</v>
      </c>
    </row>
    <row r="4666" spans="18:20" x14ac:dyDescent="0.25">
      <c r="R4666">
        <v>142</v>
      </c>
      <c r="S4666">
        <v>199</v>
      </c>
      <c r="T4666">
        <v>2</v>
      </c>
    </row>
    <row r="4667" spans="18:20" x14ac:dyDescent="0.25">
      <c r="R4667">
        <v>142</v>
      </c>
      <c r="S4667">
        <v>204</v>
      </c>
      <c r="T4667">
        <v>5</v>
      </c>
    </row>
    <row r="4668" spans="18:20" x14ac:dyDescent="0.25">
      <c r="R4668">
        <v>142</v>
      </c>
      <c r="S4668">
        <v>205</v>
      </c>
      <c r="T4668">
        <v>2</v>
      </c>
    </row>
    <row r="4669" spans="18:20" x14ac:dyDescent="0.25">
      <c r="R4669">
        <v>142</v>
      </c>
      <c r="S4669">
        <v>221</v>
      </c>
      <c r="T4669">
        <v>5</v>
      </c>
    </row>
    <row r="4670" spans="18:20" x14ac:dyDescent="0.25">
      <c r="R4670">
        <v>142</v>
      </c>
      <c r="S4670">
        <v>244</v>
      </c>
      <c r="T4670">
        <v>1</v>
      </c>
    </row>
    <row r="4671" spans="18:20" x14ac:dyDescent="0.25">
      <c r="R4671">
        <v>142</v>
      </c>
      <c r="S4671">
        <v>256</v>
      </c>
      <c r="T4671">
        <v>2</v>
      </c>
    </row>
    <row r="4672" spans="18:20" x14ac:dyDescent="0.25">
      <c r="R4672">
        <v>142</v>
      </c>
      <c r="S4672">
        <v>268</v>
      </c>
      <c r="T4672">
        <v>2</v>
      </c>
    </row>
    <row r="4673" spans="18:20" x14ac:dyDescent="0.25">
      <c r="R4673">
        <v>142</v>
      </c>
      <c r="S4673">
        <v>282</v>
      </c>
      <c r="T4673">
        <v>4</v>
      </c>
    </row>
    <row r="4674" spans="18:20" x14ac:dyDescent="0.25">
      <c r="R4674">
        <v>142</v>
      </c>
      <c r="S4674">
        <v>294</v>
      </c>
      <c r="T4674">
        <v>1</v>
      </c>
    </row>
    <row r="4675" spans="18:20" x14ac:dyDescent="0.25">
      <c r="R4675">
        <v>142</v>
      </c>
      <c r="S4675">
        <v>319</v>
      </c>
      <c r="T4675">
        <v>3</v>
      </c>
    </row>
    <row r="4676" spans="18:20" x14ac:dyDescent="0.25">
      <c r="R4676">
        <v>142</v>
      </c>
      <c r="S4676">
        <v>328</v>
      </c>
      <c r="T4676">
        <v>2</v>
      </c>
    </row>
    <row r="4677" spans="18:20" x14ac:dyDescent="0.25">
      <c r="R4677">
        <v>142</v>
      </c>
      <c r="S4677">
        <v>330</v>
      </c>
      <c r="T4677">
        <v>1</v>
      </c>
    </row>
    <row r="4678" spans="18:20" x14ac:dyDescent="0.25">
      <c r="R4678">
        <v>142</v>
      </c>
      <c r="S4678">
        <v>348</v>
      </c>
      <c r="T4678">
        <v>2</v>
      </c>
    </row>
    <row r="4679" spans="18:20" x14ac:dyDescent="0.25">
      <c r="R4679">
        <v>142</v>
      </c>
      <c r="S4679">
        <v>352</v>
      </c>
      <c r="T4679">
        <v>3</v>
      </c>
    </row>
    <row r="4680" spans="18:20" x14ac:dyDescent="0.25">
      <c r="R4680">
        <v>142</v>
      </c>
      <c r="S4680">
        <v>352</v>
      </c>
      <c r="T4680">
        <v>4</v>
      </c>
    </row>
    <row r="4681" spans="18:20" x14ac:dyDescent="0.25">
      <c r="R4681">
        <v>142</v>
      </c>
      <c r="S4681">
        <v>365</v>
      </c>
      <c r="T4681">
        <v>2</v>
      </c>
    </row>
    <row r="4682" spans="18:20" x14ac:dyDescent="0.25">
      <c r="R4682">
        <v>142</v>
      </c>
      <c r="S4682">
        <v>365</v>
      </c>
      <c r="T4682">
        <v>1</v>
      </c>
    </row>
    <row r="4683" spans="18:20" x14ac:dyDescent="0.25">
      <c r="R4683">
        <v>142</v>
      </c>
      <c r="S4683">
        <v>374</v>
      </c>
      <c r="T4683">
        <v>4</v>
      </c>
    </row>
    <row r="4684" spans="18:20" x14ac:dyDescent="0.25">
      <c r="R4684">
        <v>142</v>
      </c>
      <c r="S4684">
        <v>375</v>
      </c>
      <c r="T4684">
        <v>1</v>
      </c>
    </row>
    <row r="4685" spans="18:20" x14ac:dyDescent="0.25">
      <c r="R4685">
        <v>142</v>
      </c>
      <c r="S4685">
        <v>376</v>
      </c>
      <c r="T4685">
        <v>4</v>
      </c>
    </row>
    <row r="4686" spans="18:20" x14ac:dyDescent="0.25">
      <c r="R4686">
        <v>142</v>
      </c>
      <c r="S4686">
        <v>380</v>
      </c>
      <c r="T4686">
        <v>1</v>
      </c>
    </row>
    <row r="4687" spans="18:20" x14ac:dyDescent="0.25">
      <c r="R4687">
        <v>142</v>
      </c>
      <c r="S4687">
        <v>400</v>
      </c>
      <c r="T4687">
        <v>3</v>
      </c>
    </row>
    <row r="4688" spans="18:20" x14ac:dyDescent="0.25">
      <c r="R4688">
        <v>142</v>
      </c>
      <c r="S4688">
        <v>403</v>
      </c>
      <c r="T4688">
        <v>4</v>
      </c>
    </row>
    <row r="4689" spans="18:20" x14ac:dyDescent="0.25">
      <c r="R4689">
        <v>142</v>
      </c>
      <c r="S4689">
        <v>405</v>
      </c>
      <c r="T4689">
        <v>1</v>
      </c>
    </row>
    <row r="4690" spans="18:20" x14ac:dyDescent="0.25">
      <c r="R4690">
        <v>142</v>
      </c>
      <c r="S4690">
        <v>428</v>
      </c>
      <c r="T4690">
        <v>4</v>
      </c>
    </row>
    <row r="4691" spans="18:20" x14ac:dyDescent="0.25">
      <c r="R4691">
        <v>142</v>
      </c>
      <c r="S4691">
        <v>433</v>
      </c>
      <c r="T4691">
        <v>3</v>
      </c>
    </row>
    <row r="4692" spans="18:20" x14ac:dyDescent="0.25">
      <c r="R4692">
        <v>142</v>
      </c>
      <c r="S4692">
        <v>435</v>
      </c>
      <c r="T4692">
        <v>5</v>
      </c>
    </row>
    <row r="4693" spans="18:20" x14ac:dyDescent="0.25">
      <c r="R4693">
        <v>143</v>
      </c>
      <c r="S4693">
        <v>4</v>
      </c>
      <c r="T4693">
        <v>5</v>
      </c>
    </row>
    <row r="4694" spans="18:20" x14ac:dyDescent="0.25">
      <c r="R4694">
        <v>143</v>
      </c>
      <c r="S4694">
        <v>33</v>
      </c>
      <c r="T4694">
        <v>2</v>
      </c>
    </row>
    <row r="4695" spans="18:20" x14ac:dyDescent="0.25">
      <c r="R4695">
        <v>143</v>
      </c>
      <c r="S4695">
        <v>42</v>
      </c>
      <c r="T4695">
        <v>3</v>
      </c>
    </row>
    <row r="4696" spans="18:20" x14ac:dyDescent="0.25">
      <c r="R4696">
        <v>143</v>
      </c>
      <c r="S4696">
        <v>57</v>
      </c>
      <c r="T4696">
        <v>5</v>
      </c>
    </row>
    <row r="4697" spans="18:20" x14ac:dyDescent="0.25">
      <c r="R4697">
        <v>143</v>
      </c>
      <c r="S4697">
        <v>73</v>
      </c>
      <c r="T4697">
        <v>1</v>
      </c>
    </row>
    <row r="4698" spans="18:20" x14ac:dyDescent="0.25">
      <c r="R4698">
        <v>143</v>
      </c>
      <c r="S4698">
        <v>91</v>
      </c>
      <c r="T4698">
        <v>1</v>
      </c>
    </row>
    <row r="4699" spans="18:20" x14ac:dyDescent="0.25">
      <c r="R4699">
        <v>143</v>
      </c>
      <c r="S4699">
        <v>91</v>
      </c>
      <c r="T4699">
        <v>2</v>
      </c>
    </row>
    <row r="4700" spans="18:20" x14ac:dyDescent="0.25">
      <c r="R4700">
        <v>143</v>
      </c>
      <c r="S4700">
        <v>92</v>
      </c>
      <c r="T4700">
        <v>5</v>
      </c>
    </row>
    <row r="4701" spans="18:20" x14ac:dyDescent="0.25">
      <c r="R4701">
        <v>143</v>
      </c>
      <c r="S4701">
        <v>93</v>
      </c>
      <c r="T4701">
        <v>3</v>
      </c>
    </row>
    <row r="4702" spans="18:20" x14ac:dyDescent="0.25">
      <c r="R4702">
        <v>143</v>
      </c>
      <c r="S4702">
        <v>96</v>
      </c>
      <c r="T4702">
        <v>1</v>
      </c>
    </row>
    <row r="4703" spans="18:20" x14ac:dyDescent="0.25">
      <c r="R4703">
        <v>143</v>
      </c>
      <c r="S4703">
        <v>100</v>
      </c>
      <c r="T4703">
        <v>5</v>
      </c>
    </row>
    <row r="4704" spans="18:20" x14ac:dyDescent="0.25">
      <c r="R4704">
        <v>143</v>
      </c>
      <c r="S4704">
        <v>108</v>
      </c>
      <c r="T4704">
        <v>5</v>
      </c>
    </row>
    <row r="4705" spans="18:20" x14ac:dyDescent="0.25">
      <c r="R4705">
        <v>143</v>
      </c>
      <c r="S4705">
        <v>127</v>
      </c>
      <c r="T4705">
        <v>5</v>
      </c>
    </row>
    <row r="4706" spans="18:20" x14ac:dyDescent="0.25">
      <c r="R4706">
        <v>143</v>
      </c>
      <c r="S4706">
        <v>127</v>
      </c>
      <c r="T4706">
        <v>5</v>
      </c>
    </row>
    <row r="4707" spans="18:20" x14ac:dyDescent="0.25">
      <c r="R4707">
        <v>143</v>
      </c>
      <c r="S4707">
        <v>131</v>
      </c>
      <c r="T4707">
        <v>2</v>
      </c>
    </row>
    <row r="4708" spans="18:20" x14ac:dyDescent="0.25">
      <c r="R4708">
        <v>143</v>
      </c>
      <c r="S4708">
        <v>132</v>
      </c>
      <c r="T4708">
        <v>5</v>
      </c>
    </row>
    <row r="4709" spans="18:20" x14ac:dyDescent="0.25">
      <c r="R4709">
        <v>143</v>
      </c>
      <c r="S4709">
        <v>148</v>
      </c>
      <c r="T4709">
        <v>1</v>
      </c>
    </row>
    <row r="4710" spans="18:20" x14ac:dyDescent="0.25">
      <c r="R4710">
        <v>143</v>
      </c>
      <c r="S4710">
        <v>151</v>
      </c>
      <c r="T4710">
        <v>2</v>
      </c>
    </row>
    <row r="4711" spans="18:20" x14ac:dyDescent="0.25">
      <c r="R4711">
        <v>143</v>
      </c>
      <c r="S4711">
        <v>155</v>
      </c>
      <c r="T4711">
        <v>2</v>
      </c>
    </row>
    <row r="4712" spans="18:20" x14ac:dyDescent="0.25">
      <c r="R4712">
        <v>143</v>
      </c>
      <c r="S4712">
        <v>160</v>
      </c>
      <c r="T4712">
        <v>3</v>
      </c>
    </row>
    <row r="4713" spans="18:20" x14ac:dyDescent="0.25">
      <c r="R4713">
        <v>143</v>
      </c>
      <c r="S4713">
        <v>162</v>
      </c>
      <c r="T4713">
        <v>2</v>
      </c>
    </row>
    <row r="4714" spans="18:20" x14ac:dyDescent="0.25">
      <c r="R4714">
        <v>143</v>
      </c>
      <c r="S4714">
        <v>194</v>
      </c>
      <c r="T4714">
        <v>5</v>
      </c>
    </row>
    <row r="4715" spans="18:20" x14ac:dyDescent="0.25">
      <c r="R4715">
        <v>143</v>
      </c>
      <c r="S4715">
        <v>196</v>
      </c>
      <c r="T4715">
        <v>2</v>
      </c>
    </row>
    <row r="4716" spans="18:20" x14ac:dyDescent="0.25">
      <c r="R4716">
        <v>143</v>
      </c>
      <c r="S4716">
        <v>218</v>
      </c>
      <c r="T4716">
        <v>1</v>
      </c>
    </row>
    <row r="4717" spans="18:20" x14ac:dyDescent="0.25">
      <c r="R4717">
        <v>143</v>
      </c>
      <c r="S4717">
        <v>232</v>
      </c>
      <c r="T4717">
        <v>4</v>
      </c>
    </row>
    <row r="4718" spans="18:20" x14ac:dyDescent="0.25">
      <c r="R4718">
        <v>143</v>
      </c>
      <c r="S4718">
        <v>234</v>
      </c>
      <c r="T4718">
        <v>4</v>
      </c>
    </row>
    <row r="4719" spans="18:20" x14ac:dyDescent="0.25">
      <c r="R4719">
        <v>143</v>
      </c>
      <c r="S4719">
        <v>241</v>
      </c>
      <c r="T4719">
        <v>5</v>
      </c>
    </row>
    <row r="4720" spans="18:20" x14ac:dyDescent="0.25">
      <c r="R4720">
        <v>143</v>
      </c>
      <c r="S4720">
        <v>275</v>
      </c>
      <c r="T4720">
        <v>4</v>
      </c>
    </row>
    <row r="4721" spans="18:20" x14ac:dyDescent="0.25">
      <c r="R4721">
        <v>143</v>
      </c>
      <c r="S4721">
        <v>276</v>
      </c>
      <c r="T4721">
        <v>4</v>
      </c>
    </row>
    <row r="4722" spans="18:20" x14ac:dyDescent="0.25">
      <c r="R4722">
        <v>143</v>
      </c>
      <c r="S4722">
        <v>287</v>
      </c>
      <c r="T4722">
        <v>3</v>
      </c>
    </row>
    <row r="4723" spans="18:20" x14ac:dyDescent="0.25">
      <c r="R4723">
        <v>143</v>
      </c>
      <c r="S4723">
        <v>288</v>
      </c>
      <c r="T4723">
        <v>2</v>
      </c>
    </row>
    <row r="4724" spans="18:20" x14ac:dyDescent="0.25">
      <c r="R4724">
        <v>143</v>
      </c>
      <c r="S4724">
        <v>290</v>
      </c>
      <c r="T4724">
        <v>3</v>
      </c>
    </row>
    <row r="4725" spans="18:20" x14ac:dyDescent="0.25">
      <c r="R4725">
        <v>143</v>
      </c>
      <c r="S4725">
        <v>300</v>
      </c>
      <c r="T4725">
        <v>1</v>
      </c>
    </row>
    <row r="4726" spans="18:20" x14ac:dyDescent="0.25">
      <c r="R4726">
        <v>143</v>
      </c>
      <c r="S4726">
        <v>302</v>
      </c>
      <c r="T4726">
        <v>2</v>
      </c>
    </row>
    <row r="4727" spans="18:20" x14ac:dyDescent="0.25">
      <c r="R4727">
        <v>143</v>
      </c>
      <c r="S4727">
        <v>313</v>
      </c>
      <c r="T4727">
        <v>5</v>
      </c>
    </row>
    <row r="4728" spans="18:20" x14ac:dyDescent="0.25">
      <c r="R4728">
        <v>143</v>
      </c>
      <c r="S4728">
        <v>314</v>
      </c>
      <c r="T4728">
        <v>5</v>
      </c>
    </row>
    <row r="4729" spans="18:20" x14ac:dyDescent="0.25">
      <c r="R4729">
        <v>143</v>
      </c>
      <c r="S4729">
        <v>339</v>
      </c>
      <c r="T4729">
        <v>4</v>
      </c>
    </row>
    <row r="4730" spans="18:20" x14ac:dyDescent="0.25">
      <c r="R4730">
        <v>143</v>
      </c>
      <c r="S4730">
        <v>345</v>
      </c>
      <c r="T4730">
        <v>2</v>
      </c>
    </row>
    <row r="4731" spans="18:20" x14ac:dyDescent="0.25">
      <c r="R4731">
        <v>143</v>
      </c>
      <c r="S4731">
        <v>350</v>
      </c>
      <c r="T4731">
        <v>5</v>
      </c>
    </row>
    <row r="4732" spans="18:20" x14ac:dyDescent="0.25">
      <c r="R4732">
        <v>143</v>
      </c>
      <c r="S4732">
        <v>354</v>
      </c>
      <c r="T4732">
        <v>1</v>
      </c>
    </row>
    <row r="4733" spans="18:20" x14ac:dyDescent="0.25">
      <c r="R4733">
        <v>143</v>
      </c>
      <c r="S4733">
        <v>362</v>
      </c>
      <c r="T4733">
        <v>4</v>
      </c>
    </row>
    <row r="4734" spans="18:20" x14ac:dyDescent="0.25">
      <c r="R4734">
        <v>143</v>
      </c>
      <c r="S4734">
        <v>371</v>
      </c>
      <c r="T4734">
        <v>4</v>
      </c>
    </row>
    <row r="4735" spans="18:20" x14ac:dyDescent="0.25">
      <c r="R4735">
        <v>143</v>
      </c>
      <c r="S4735">
        <v>375</v>
      </c>
      <c r="T4735">
        <v>5</v>
      </c>
    </row>
    <row r="4736" spans="18:20" x14ac:dyDescent="0.25">
      <c r="R4736">
        <v>143</v>
      </c>
      <c r="S4736">
        <v>377</v>
      </c>
      <c r="T4736">
        <v>2</v>
      </c>
    </row>
    <row r="4737" spans="18:20" x14ac:dyDescent="0.25">
      <c r="R4737">
        <v>143</v>
      </c>
      <c r="S4737">
        <v>417</v>
      </c>
      <c r="T4737">
        <v>5</v>
      </c>
    </row>
    <row r="4738" spans="18:20" x14ac:dyDescent="0.25">
      <c r="R4738">
        <v>143</v>
      </c>
      <c r="S4738">
        <v>423</v>
      </c>
      <c r="T4738">
        <v>2</v>
      </c>
    </row>
    <row r="4739" spans="18:20" x14ac:dyDescent="0.25">
      <c r="R4739">
        <v>143</v>
      </c>
      <c r="S4739">
        <v>425</v>
      </c>
      <c r="T4739">
        <v>3</v>
      </c>
    </row>
    <row r="4740" spans="18:20" x14ac:dyDescent="0.25">
      <c r="R4740">
        <v>144</v>
      </c>
      <c r="S4740">
        <v>27</v>
      </c>
      <c r="T4740">
        <v>5</v>
      </c>
    </row>
    <row r="4741" spans="18:20" x14ac:dyDescent="0.25">
      <c r="R4741">
        <v>144</v>
      </c>
      <c r="S4741">
        <v>38</v>
      </c>
      <c r="T4741">
        <v>5</v>
      </c>
    </row>
    <row r="4742" spans="18:20" x14ac:dyDescent="0.25">
      <c r="R4742">
        <v>144</v>
      </c>
      <c r="S4742">
        <v>38</v>
      </c>
      <c r="T4742">
        <v>4</v>
      </c>
    </row>
    <row r="4743" spans="18:20" x14ac:dyDescent="0.25">
      <c r="R4743">
        <v>144</v>
      </c>
      <c r="S4743">
        <v>40</v>
      </c>
      <c r="T4743">
        <v>3</v>
      </c>
    </row>
    <row r="4744" spans="18:20" x14ac:dyDescent="0.25">
      <c r="R4744">
        <v>144</v>
      </c>
      <c r="S4744">
        <v>54</v>
      </c>
      <c r="T4744">
        <v>3</v>
      </c>
    </row>
    <row r="4745" spans="18:20" x14ac:dyDescent="0.25">
      <c r="R4745">
        <v>144</v>
      </c>
      <c r="S4745">
        <v>63</v>
      </c>
      <c r="T4745">
        <v>4</v>
      </c>
    </row>
    <row r="4746" spans="18:20" x14ac:dyDescent="0.25">
      <c r="R4746">
        <v>144</v>
      </c>
      <c r="S4746">
        <v>64</v>
      </c>
      <c r="T4746">
        <v>1</v>
      </c>
    </row>
    <row r="4747" spans="18:20" x14ac:dyDescent="0.25">
      <c r="R4747">
        <v>144</v>
      </c>
      <c r="S4747">
        <v>67</v>
      </c>
      <c r="T4747">
        <v>2</v>
      </c>
    </row>
    <row r="4748" spans="18:20" x14ac:dyDescent="0.25">
      <c r="R4748">
        <v>144</v>
      </c>
      <c r="S4748">
        <v>111</v>
      </c>
      <c r="T4748">
        <v>4</v>
      </c>
    </row>
    <row r="4749" spans="18:20" x14ac:dyDescent="0.25">
      <c r="R4749">
        <v>144</v>
      </c>
      <c r="S4749">
        <v>112</v>
      </c>
      <c r="T4749">
        <v>5</v>
      </c>
    </row>
    <row r="4750" spans="18:20" x14ac:dyDescent="0.25">
      <c r="R4750">
        <v>144</v>
      </c>
      <c r="S4750">
        <v>119</v>
      </c>
      <c r="T4750">
        <v>3</v>
      </c>
    </row>
    <row r="4751" spans="18:20" x14ac:dyDescent="0.25">
      <c r="R4751">
        <v>144</v>
      </c>
      <c r="S4751">
        <v>126</v>
      </c>
      <c r="T4751">
        <v>4</v>
      </c>
    </row>
    <row r="4752" spans="18:20" x14ac:dyDescent="0.25">
      <c r="R4752">
        <v>144</v>
      </c>
      <c r="S4752">
        <v>136</v>
      </c>
      <c r="T4752">
        <v>2</v>
      </c>
    </row>
    <row r="4753" spans="18:20" x14ac:dyDescent="0.25">
      <c r="R4753">
        <v>144</v>
      </c>
      <c r="S4753">
        <v>143</v>
      </c>
      <c r="T4753">
        <v>2</v>
      </c>
    </row>
    <row r="4754" spans="18:20" x14ac:dyDescent="0.25">
      <c r="R4754">
        <v>144</v>
      </c>
      <c r="S4754">
        <v>146</v>
      </c>
      <c r="T4754">
        <v>5</v>
      </c>
    </row>
    <row r="4755" spans="18:20" x14ac:dyDescent="0.25">
      <c r="R4755">
        <v>144</v>
      </c>
      <c r="S4755">
        <v>167</v>
      </c>
      <c r="T4755">
        <v>5</v>
      </c>
    </row>
    <row r="4756" spans="18:20" x14ac:dyDescent="0.25">
      <c r="R4756">
        <v>144</v>
      </c>
      <c r="S4756">
        <v>186</v>
      </c>
      <c r="T4756">
        <v>1</v>
      </c>
    </row>
    <row r="4757" spans="18:20" x14ac:dyDescent="0.25">
      <c r="R4757">
        <v>144</v>
      </c>
      <c r="S4757">
        <v>193</v>
      </c>
      <c r="T4757">
        <v>1</v>
      </c>
    </row>
    <row r="4758" spans="18:20" x14ac:dyDescent="0.25">
      <c r="R4758">
        <v>144</v>
      </c>
      <c r="S4758">
        <v>201</v>
      </c>
      <c r="T4758">
        <v>2</v>
      </c>
    </row>
    <row r="4759" spans="18:20" x14ac:dyDescent="0.25">
      <c r="R4759">
        <v>144</v>
      </c>
      <c r="S4759">
        <v>201</v>
      </c>
      <c r="T4759">
        <v>2</v>
      </c>
    </row>
    <row r="4760" spans="18:20" x14ac:dyDescent="0.25">
      <c r="R4760">
        <v>144</v>
      </c>
      <c r="S4760">
        <v>206</v>
      </c>
      <c r="T4760">
        <v>2</v>
      </c>
    </row>
    <row r="4761" spans="18:20" x14ac:dyDescent="0.25">
      <c r="R4761">
        <v>144</v>
      </c>
      <c r="S4761">
        <v>213</v>
      </c>
      <c r="T4761">
        <v>2</v>
      </c>
    </row>
    <row r="4762" spans="18:20" x14ac:dyDescent="0.25">
      <c r="R4762">
        <v>144</v>
      </c>
      <c r="S4762">
        <v>216</v>
      </c>
      <c r="T4762">
        <v>5</v>
      </c>
    </row>
    <row r="4763" spans="18:20" x14ac:dyDescent="0.25">
      <c r="R4763">
        <v>144</v>
      </c>
      <c r="S4763">
        <v>250</v>
      </c>
      <c r="T4763">
        <v>2</v>
      </c>
    </row>
    <row r="4764" spans="18:20" x14ac:dyDescent="0.25">
      <c r="R4764">
        <v>144</v>
      </c>
      <c r="S4764">
        <v>250</v>
      </c>
      <c r="T4764">
        <v>2</v>
      </c>
    </row>
    <row r="4765" spans="18:20" x14ac:dyDescent="0.25">
      <c r="R4765">
        <v>144</v>
      </c>
      <c r="S4765">
        <v>276</v>
      </c>
      <c r="T4765">
        <v>4</v>
      </c>
    </row>
    <row r="4766" spans="18:20" x14ac:dyDescent="0.25">
      <c r="R4766">
        <v>144</v>
      </c>
      <c r="S4766">
        <v>284</v>
      </c>
      <c r="T4766">
        <v>2</v>
      </c>
    </row>
    <row r="4767" spans="18:20" x14ac:dyDescent="0.25">
      <c r="R4767">
        <v>144</v>
      </c>
      <c r="S4767">
        <v>294</v>
      </c>
      <c r="T4767">
        <v>3</v>
      </c>
    </row>
    <row r="4768" spans="18:20" x14ac:dyDescent="0.25">
      <c r="R4768">
        <v>144</v>
      </c>
      <c r="S4768">
        <v>301</v>
      </c>
      <c r="T4768">
        <v>2</v>
      </c>
    </row>
    <row r="4769" spans="18:20" x14ac:dyDescent="0.25">
      <c r="R4769">
        <v>144</v>
      </c>
      <c r="S4769">
        <v>329</v>
      </c>
      <c r="T4769">
        <v>5</v>
      </c>
    </row>
    <row r="4770" spans="18:20" x14ac:dyDescent="0.25">
      <c r="R4770">
        <v>144</v>
      </c>
      <c r="S4770">
        <v>341</v>
      </c>
      <c r="T4770">
        <v>2</v>
      </c>
    </row>
    <row r="4771" spans="18:20" x14ac:dyDescent="0.25">
      <c r="R4771">
        <v>144</v>
      </c>
      <c r="S4771">
        <v>343</v>
      </c>
      <c r="T4771">
        <v>5</v>
      </c>
    </row>
    <row r="4772" spans="18:20" x14ac:dyDescent="0.25">
      <c r="R4772">
        <v>144</v>
      </c>
      <c r="S4772">
        <v>350</v>
      </c>
      <c r="T4772">
        <v>3</v>
      </c>
    </row>
    <row r="4773" spans="18:20" x14ac:dyDescent="0.25">
      <c r="R4773">
        <v>144</v>
      </c>
      <c r="S4773">
        <v>355</v>
      </c>
      <c r="T4773">
        <v>3</v>
      </c>
    </row>
    <row r="4774" spans="18:20" x14ac:dyDescent="0.25">
      <c r="R4774">
        <v>144</v>
      </c>
      <c r="S4774">
        <v>366</v>
      </c>
      <c r="T4774">
        <v>5</v>
      </c>
    </row>
    <row r="4775" spans="18:20" x14ac:dyDescent="0.25">
      <c r="R4775">
        <v>144</v>
      </c>
      <c r="S4775">
        <v>367</v>
      </c>
      <c r="T4775">
        <v>3</v>
      </c>
    </row>
    <row r="4776" spans="18:20" x14ac:dyDescent="0.25">
      <c r="R4776">
        <v>144</v>
      </c>
      <c r="S4776">
        <v>367</v>
      </c>
      <c r="T4776">
        <v>4</v>
      </c>
    </row>
    <row r="4777" spans="18:20" x14ac:dyDescent="0.25">
      <c r="R4777">
        <v>144</v>
      </c>
      <c r="S4777">
        <v>374</v>
      </c>
      <c r="T4777">
        <v>3</v>
      </c>
    </row>
    <row r="4778" spans="18:20" x14ac:dyDescent="0.25">
      <c r="R4778">
        <v>144</v>
      </c>
      <c r="S4778">
        <v>380</v>
      </c>
      <c r="T4778">
        <v>1</v>
      </c>
    </row>
    <row r="4779" spans="18:20" x14ac:dyDescent="0.25">
      <c r="R4779">
        <v>144</v>
      </c>
      <c r="S4779">
        <v>384</v>
      </c>
      <c r="T4779">
        <v>2</v>
      </c>
    </row>
    <row r="4780" spans="18:20" x14ac:dyDescent="0.25">
      <c r="R4780">
        <v>144</v>
      </c>
      <c r="S4780">
        <v>401</v>
      </c>
      <c r="T4780">
        <v>4</v>
      </c>
    </row>
    <row r="4781" spans="18:20" x14ac:dyDescent="0.25">
      <c r="R4781">
        <v>145</v>
      </c>
      <c r="S4781">
        <v>27</v>
      </c>
      <c r="T4781">
        <v>4</v>
      </c>
    </row>
    <row r="4782" spans="18:20" x14ac:dyDescent="0.25">
      <c r="R4782">
        <v>145</v>
      </c>
      <c r="S4782">
        <v>53</v>
      </c>
      <c r="T4782">
        <v>3</v>
      </c>
    </row>
    <row r="4783" spans="18:20" x14ac:dyDescent="0.25">
      <c r="R4783">
        <v>145</v>
      </c>
      <c r="S4783">
        <v>53</v>
      </c>
      <c r="T4783">
        <v>2</v>
      </c>
    </row>
    <row r="4784" spans="18:20" x14ac:dyDescent="0.25">
      <c r="R4784">
        <v>145</v>
      </c>
      <c r="S4784">
        <v>70</v>
      </c>
      <c r="T4784">
        <v>1</v>
      </c>
    </row>
    <row r="4785" spans="18:20" x14ac:dyDescent="0.25">
      <c r="R4785">
        <v>145</v>
      </c>
      <c r="S4785">
        <v>78</v>
      </c>
      <c r="T4785">
        <v>2</v>
      </c>
    </row>
    <row r="4786" spans="18:20" x14ac:dyDescent="0.25">
      <c r="R4786">
        <v>145</v>
      </c>
      <c r="S4786">
        <v>91</v>
      </c>
      <c r="T4786">
        <v>2</v>
      </c>
    </row>
    <row r="4787" spans="18:20" x14ac:dyDescent="0.25">
      <c r="R4787">
        <v>145</v>
      </c>
      <c r="S4787">
        <v>94</v>
      </c>
      <c r="T4787">
        <v>5</v>
      </c>
    </row>
    <row r="4788" spans="18:20" x14ac:dyDescent="0.25">
      <c r="R4788">
        <v>145</v>
      </c>
      <c r="S4788">
        <v>111</v>
      </c>
      <c r="T4788">
        <v>1</v>
      </c>
    </row>
    <row r="4789" spans="18:20" x14ac:dyDescent="0.25">
      <c r="R4789">
        <v>145</v>
      </c>
      <c r="S4789">
        <v>117</v>
      </c>
      <c r="T4789">
        <v>3</v>
      </c>
    </row>
    <row r="4790" spans="18:20" x14ac:dyDescent="0.25">
      <c r="R4790">
        <v>145</v>
      </c>
      <c r="S4790">
        <v>130</v>
      </c>
      <c r="T4790">
        <v>4</v>
      </c>
    </row>
    <row r="4791" spans="18:20" x14ac:dyDescent="0.25">
      <c r="R4791">
        <v>145</v>
      </c>
      <c r="S4791">
        <v>163</v>
      </c>
      <c r="T4791">
        <v>5</v>
      </c>
    </row>
    <row r="4792" spans="18:20" x14ac:dyDescent="0.25">
      <c r="R4792">
        <v>145</v>
      </c>
      <c r="S4792">
        <v>177</v>
      </c>
      <c r="T4792">
        <v>3</v>
      </c>
    </row>
    <row r="4793" spans="18:20" x14ac:dyDescent="0.25">
      <c r="R4793">
        <v>145</v>
      </c>
      <c r="S4793">
        <v>183</v>
      </c>
      <c r="T4793">
        <v>4</v>
      </c>
    </row>
    <row r="4794" spans="18:20" x14ac:dyDescent="0.25">
      <c r="R4794">
        <v>145</v>
      </c>
      <c r="S4794">
        <v>201</v>
      </c>
      <c r="T4794">
        <v>2</v>
      </c>
    </row>
    <row r="4795" spans="18:20" x14ac:dyDescent="0.25">
      <c r="R4795">
        <v>145</v>
      </c>
      <c r="S4795">
        <v>216</v>
      </c>
      <c r="T4795">
        <v>3</v>
      </c>
    </row>
    <row r="4796" spans="18:20" x14ac:dyDescent="0.25">
      <c r="R4796">
        <v>145</v>
      </c>
      <c r="S4796">
        <v>218</v>
      </c>
      <c r="T4796">
        <v>2</v>
      </c>
    </row>
    <row r="4797" spans="18:20" x14ac:dyDescent="0.25">
      <c r="R4797">
        <v>145</v>
      </c>
      <c r="S4797">
        <v>224</v>
      </c>
      <c r="T4797">
        <v>5</v>
      </c>
    </row>
    <row r="4798" spans="18:20" x14ac:dyDescent="0.25">
      <c r="R4798">
        <v>145</v>
      </c>
      <c r="S4798">
        <v>227</v>
      </c>
      <c r="T4798">
        <v>3</v>
      </c>
    </row>
    <row r="4799" spans="18:20" x14ac:dyDescent="0.25">
      <c r="R4799">
        <v>145</v>
      </c>
      <c r="S4799">
        <v>229</v>
      </c>
      <c r="T4799">
        <v>3</v>
      </c>
    </row>
    <row r="4800" spans="18:20" x14ac:dyDescent="0.25">
      <c r="R4800">
        <v>145</v>
      </c>
      <c r="S4800">
        <v>245</v>
      </c>
      <c r="T4800">
        <v>3</v>
      </c>
    </row>
    <row r="4801" spans="18:20" x14ac:dyDescent="0.25">
      <c r="R4801">
        <v>145</v>
      </c>
      <c r="S4801">
        <v>247</v>
      </c>
      <c r="T4801">
        <v>3</v>
      </c>
    </row>
    <row r="4802" spans="18:20" x14ac:dyDescent="0.25">
      <c r="R4802">
        <v>145</v>
      </c>
      <c r="S4802">
        <v>276</v>
      </c>
      <c r="T4802">
        <v>4</v>
      </c>
    </row>
    <row r="4803" spans="18:20" x14ac:dyDescent="0.25">
      <c r="R4803">
        <v>145</v>
      </c>
      <c r="S4803">
        <v>278</v>
      </c>
      <c r="T4803">
        <v>1</v>
      </c>
    </row>
    <row r="4804" spans="18:20" x14ac:dyDescent="0.25">
      <c r="R4804">
        <v>145</v>
      </c>
      <c r="S4804">
        <v>280</v>
      </c>
      <c r="T4804">
        <v>2</v>
      </c>
    </row>
    <row r="4805" spans="18:20" x14ac:dyDescent="0.25">
      <c r="R4805">
        <v>145</v>
      </c>
      <c r="S4805">
        <v>286</v>
      </c>
      <c r="T4805">
        <v>4</v>
      </c>
    </row>
    <row r="4806" spans="18:20" x14ac:dyDescent="0.25">
      <c r="R4806">
        <v>145</v>
      </c>
      <c r="S4806">
        <v>301</v>
      </c>
      <c r="T4806">
        <v>4</v>
      </c>
    </row>
    <row r="4807" spans="18:20" x14ac:dyDescent="0.25">
      <c r="R4807">
        <v>145</v>
      </c>
      <c r="S4807">
        <v>316</v>
      </c>
      <c r="T4807">
        <v>2</v>
      </c>
    </row>
    <row r="4808" spans="18:20" x14ac:dyDescent="0.25">
      <c r="R4808">
        <v>145</v>
      </c>
      <c r="S4808">
        <v>322</v>
      </c>
      <c r="T4808">
        <v>3</v>
      </c>
    </row>
    <row r="4809" spans="18:20" x14ac:dyDescent="0.25">
      <c r="R4809">
        <v>145</v>
      </c>
      <c r="S4809">
        <v>328</v>
      </c>
      <c r="T4809">
        <v>1</v>
      </c>
    </row>
    <row r="4810" spans="18:20" x14ac:dyDescent="0.25">
      <c r="R4810">
        <v>145</v>
      </c>
      <c r="S4810">
        <v>329</v>
      </c>
      <c r="T4810">
        <v>5</v>
      </c>
    </row>
    <row r="4811" spans="18:20" x14ac:dyDescent="0.25">
      <c r="R4811">
        <v>145</v>
      </c>
      <c r="S4811">
        <v>342</v>
      </c>
      <c r="T4811">
        <v>1</v>
      </c>
    </row>
    <row r="4812" spans="18:20" x14ac:dyDescent="0.25">
      <c r="R4812">
        <v>145</v>
      </c>
      <c r="S4812">
        <v>344</v>
      </c>
      <c r="T4812">
        <v>3</v>
      </c>
    </row>
    <row r="4813" spans="18:20" x14ac:dyDescent="0.25">
      <c r="R4813">
        <v>145</v>
      </c>
      <c r="S4813">
        <v>368</v>
      </c>
      <c r="T4813">
        <v>2</v>
      </c>
    </row>
    <row r="4814" spans="18:20" x14ac:dyDescent="0.25">
      <c r="R4814">
        <v>145</v>
      </c>
      <c r="S4814">
        <v>379</v>
      </c>
      <c r="T4814">
        <v>1</v>
      </c>
    </row>
    <row r="4815" spans="18:20" x14ac:dyDescent="0.25">
      <c r="R4815">
        <v>145</v>
      </c>
      <c r="S4815">
        <v>387</v>
      </c>
      <c r="T4815">
        <v>2</v>
      </c>
    </row>
    <row r="4816" spans="18:20" x14ac:dyDescent="0.25">
      <c r="R4816">
        <v>145</v>
      </c>
      <c r="S4816">
        <v>412</v>
      </c>
      <c r="T4816">
        <v>3</v>
      </c>
    </row>
    <row r="4817" spans="18:20" x14ac:dyDescent="0.25">
      <c r="R4817">
        <v>145</v>
      </c>
      <c r="S4817">
        <v>415</v>
      </c>
      <c r="T4817">
        <v>5</v>
      </c>
    </row>
    <row r="4818" spans="18:20" x14ac:dyDescent="0.25">
      <c r="R4818">
        <v>146</v>
      </c>
      <c r="S4818">
        <v>7</v>
      </c>
      <c r="T4818">
        <v>2</v>
      </c>
    </row>
    <row r="4819" spans="18:20" x14ac:dyDescent="0.25">
      <c r="R4819">
        <v>146</v>
      </c>
      <c r="S4819">
        <v>13</v>
      </c>
      <c r="T4819">
        <v>1</v>
      </c>
    </row>
    <row r="4820" spans="18:20" x14ac:dyDescent="0.25">
      <c r="R4820">
        <v>146</v>
      </c>
      <c r="S4820">
        <v>25</v>
      </c>
      <c r="T4820">
        <v>1</v>
      </c>
    </row>
    <row r="4821" spans="18:20" x14ac:dyDescent="0.25">
      <c r="R4821">
        <v>146</v>
      </c>
      <c r="S4821">
        <v>38</v>
      </c>
      <c r="T4821">
        <v>2</v>
      </c>
    </row>
    <row r="4822" spans="18:20" x14ac:dyDescent="0.25">
      <c r="R4822">
        <v>146</v>
      </c>
      <c r="S4822">
        <v>44</v>
      </c>
      <c r="T4822">
        <v>5</v>
      </c>
    </row>
    <row r="4823" spans="18:20" x14ac:dyDescent="0.25">
      <c r="R4823">
        <v>146</v>
      </c>
      <c r="S4823">
        <v>61</v>
      </c>
      <c r="T4823">
        <v>2</v>
      </c>
    </row>
    <row r="4824" spans="18:20" x14ac:dyDescent="0.25">
      <c r="R4824">
        <v>146</v>
      </c>
      <c r="S4824">
        <v>74</v>
      </c>
      <c r="T4824">
        <v>3</v>
      </c>
    </row>
    <row r="4825" spans="18:20" x14ac:dyDescent="0.25">
      <c r="R4825">
        <v>146</v>
      </c>
      <c r="S4825">
        <v>107</v>
      </c>
      <c r="T4825">
        <v>2</v>
      </c>
    </row>
    <row r="4826" spans="18:20" x14ac:dyDescent="0.25">
      <c r="R4826">
        <v>146</v>
      </c>
      <c r="S4826">
        <v>108</v>
      </c>
      <c r="T4826">
        <v>3</v>
      </c>
    </row>
    <row r="4827" spans="18:20" x14ac:dyDescent="0.25">
      <c r="R4827">
        <v>146</v>
      </c>
      <c r="S4827">
        <v>122</v>
      </c>
      <c r="T4827">
        <v>5</v>
      </c>
    </row>
    <row r="4828" spans="18:20" x14ac:dyDescent="0.25">
      <c r="R4828">
        <v>146</v>
      </c>
      <c r="S4828">
        <v>137</v>
      </c>
      <c r="T4828">
        <v>5</v>
      </c>
    </row>
    <row r="4829" spans="18:20" x14ac:dyDescent="0.25">
      <c r="R4829">
        <v>146</v>
      </c>
      <c r="S4829">
        <v>153</v>
      </c>
      <c r="T4829">
        <v>1</v>
      </c>
    </row>
    <row r="4830" spans="18:20" x14ac:dyDescent="0.25">
      <c r="R4830">
        <v>146</v>
      </c>
      <c r="S4830">
        <v>159</v>
      </c>
      <c r="T4830">
        <v>5</v>
      </c>
    </row>
    <row r="4831" spans="18:20" x14ac:dyDescent="0.25">
      <c r="R4831">
        <v>146</v>
      </c>
      <c r="S4831">
        <v>167</v>
      </c>
      <c r="T4831">
        <v>2</v>
      </c>
    </row>
    <row r="4832" spans="18:20" x14ac:dyDescent="0.25">
      <c r="R4832">
        <v>146</v>
      </c>
      <c r="S4832">
        <v>169</v>
      </c>
      <c r="T4832">
        <v>4</v>
      </c>
    </row>
    <row r="4833" spans="18:20" x14ac:dyDescent="0.25">
      <c r="R4833">
        <v>146</v>
      </c>
      <c r="S4833">
        <v>194</v>
      </c>
      <c r="T4833">
        <v>3</v>
      </c>
    </row>
    <row r="4834" spans="18:20" x14ac:dyDescent="0.25">
      <c r="R4834">
        <v>146</v>
      </c>
      <c r="S4834">
        <v>203</v>
      </c>
      <c r="T4834">
        <v>1</v>
      </c>
    </row>
    <row r="4835" spans="18:20" x14ac:dyDescent="0.25">
      <c r="R4835">
        <v>146</v>
      </c>
      <c r="S4835">
        <v>204</v>
      </c>
      <c r="T4835">
        <v>1</v>
      </c>
    </row>
    <row r="4836" spans="18:20" x14ac:dyDescent="0.25">
      <c r="R4836">
        <v>146</v>
      </c>
      <c r="S4836">
        <v>250</v>
      </c>
      <c r="T4836">
        <v>5</v>
      </c>
    </row>
    <row r="4837" spans="18:20" x14ac:dyDescent="0.25">
      <c r="R4837">
        <v>146</v>
      </c>
      <c r="S4837">
        <v>263</v>
      </c>
      <c r="T4837">
        <v>4</v>
      </c>
    </row>
    <row r="4838" spans="18:20" x14ac:dyDescent="0.25">
      <c r="R4838">
        <v>146</v>
      </c>
      <c r="S4838">
        <v>273</v>
      </c>
      <c r="T4838">
        <v>2</v>
      </c>
    </row>
    <row r="4839" spans="18:20" x14ac:dyDescent="0.25">
      <c r="R4839">
        <v>146</v>
      </c>
      <c r="S4839">
        <v>275</v>
      </c>
      <c r="T4839">
        <v>3</v>
      </c>
    </row>
    <row r="4840" spans="18:20" x14ac:dyDescent="0.25">
      <c r="R4840">
        <v>146</v>
      </c>
      <c r="S4840">
        <v>280</v>
      </c>
      <c r="T4840">
        <v>1</v>
      </c>
    </row>
    <row r="4841" spans="18:20" x14ac:dyDescent="0.25">
      <c r="R4841">
        <v>146</v>
      </c>
      <c r="S4841">
        <v>285</v>
      </c>
      <c r="T4841">
        <v>1</v>
      </c>
    </row>
    <row r="4842" spans="18:20" x14ac:dyDescent="0.25">
      <c r="R4842">
        <v>146</v>
      </c>
      <c r="S4842">
        <v>291</v>
      </c>
      <c r="T4842">
        <v>2</v>
      </c>
    </row>
    <row r="4843" spans="18:20" x14ac:dyDescent="0.25">
      <c r="R4843">
        <v>146</v>
      </c>
      <c r="S4843">
        <v>291</v>
      </c>
      <c r="T4843">
        <v>2</v>
      </c>
    </row>
    <row r="4844" spans="18:20" x14ac:dyDescent="0.25">
      <c r="R4844">
        <v>146</v>
      </c>
      <c r="S4844">
        <v>293</v>
      </c>
      <c r="T4844">
        <v>4</v>
      </c>
    </row>
    <row r="4845" spans="18:20" x14ac:dyDescent="0.25">
      <c r="R4845">
        <v>146</v>
      </c>
      <c r="S4845">
        <v>312</v>
      </c>
      <c r="T4845">
        <v>1</v>
      </c>
    </row>
    <row r="4846" spans="18:20" x14ac:dyDescent="0.25">
      <c r="R4846">
        <v>146</v>
      </c>
      <c r="S4846">
        <v>324</v>
      </c>
      <c r="T4846">
        <v>5</v>
      </c>
    </row>
    <row r="4847" spans="18:20" x14ac:dyDescent="0.25">
      <c r="R4847">
        <v>146</v>
      </c>
      <c r="S4847">
        <v>340</v>
      </c>
      <c r="T4847">
        <v>2</v>
      </c>
    </row>
    <row r="4848" spans="18:20" x14ac:dyDescent="0.25">
      <c r="R4848">
        <v>146</v>
      </c>
      <c r="S4848">
        <v>350</v>
      </c>
      <c r="T4848">
        <v>2</v>
      </c>
    </row>
    <row r="4849" spans="18:20" x14ac:dyDescent="0.25">
      <c r="R4849">
        <v>146</v>
      </c>
      <c r="S4849">
        <v>362</v>
      </c>
      <c r="T4849">
        <v>1</v>
      </c>
    </row>
    <row r="4850" spans="18:20" x14ac:dyDescent="0.25">
      <c r="R4850">
        <v>146</v>
      </c>
      <c r="S4850">
        <v>371</v>
      </c>
      <c r="T4850">
        <v>2</v>
      </c>
    </row>
    <row r="4851" spans="18:20" x14ac:dyDescent="0.25">
      <c r="R4851">
        <v>146</v>
      </c>
      <c r="S4851">
        <v>376</v>
      </c>
      <c r="T4851">
        <v>3</v>
      </c>
    </row>
    <row r="4852" spans="18:20" x14ac:dyDescent="0.25">
      <c r="R4852">
        <v>146</v>
      </c>
      <c r="S4852">
        <v>384</v>
      </c>
      <c r="T4852">
        <v>5</v>
      </c>
    </row>
    <row r="4853" spans="18:20" x14ac:dyDescent="0.25">
      <c r="R4853">
        <v>146</v>
      </c>
      <c r="S4853">
        <v>399</v>
      </c>
      <c r="T4853">
        <v>2</v>
      </c>
    </row>
    <row r="4854" spans="18:20" x14ac:dyDescent="0.25">
      <c r="R4854">
        <v>146</v>
      </c>
      <c r="S4854">
        <v>404</v>
      </c>
      <c r="T4854">
        <v>2</v>
      </c>
    </row>
    <row r="4855" spans="18:20" x14ac:dyDescent="0.25">
      <c r="R4855">
        <v>146</v>
      </c>
      <c r="S4855">
        <v>407</v>
      </c>
      <c r="T4855">
        <v>3</v>
      </c>
    </row>
    <row r="4856" spans="18:20" x14ac:dyDescent="0.25">
      <c r="R4856">
        <v>146</v>
      </c>
      <c r="S4856">
        <v>420</v>
      </c>
      <c r="T4856">
        <v>3</v>
      </c>
    </row>
    <row r="4857" spans="18:20" x14ac:dyDescent="0.25">
      <c r="R4857">
        <v>146</v>
      </c>
      <c r="S4857">
        <v>422</v>
      </c>
      <c r="T4857">
        <v>1</v>
      </c>
    </row>
    <row r="4858" spans="18:20" x14ac:dyDescent="0.25">
      <c r="R4858">
        <v>147</v>
      </c>
      <c r="S4858">
        <v>15</v>
      </c>
      <c r="T4858">
        <v>1</v>
      </c>
    </row>
    <row r="4859" spans="18:20" x14ac:dyDescent="0.25">
      <c r="R4859">
        <v>147</v>
      </c>
      <c r="S4859">
        <v>29</v>
      </c>
      <c r="T4859">
        <v>2</v>
      </c>
    </row>
    <row r="4860" spans="18:20" x14ac:dyDescent="0.25">
      <c r="R4860">
        <v>147</v>
      </c>
      <c r="S4860">
        <v>38</v>
      </c>
      <c r="T4860">
        <v>4</v>
      </c>
    </row>
    <row r="4861" spans="18:20" x14ac:dyDescent="0.25">
      <c r="R4861">
        <v>147</v>
      </c>
      <c r="S4861">
        <v>46</v>
      </c>
      <c r="T4861">
        <v>1</v>
      </c>
    </row>
    <row r="4862" spans="18:20" x14ac:dyDescent="0.25">
      <c r="R4862">
        <v>147</v>
      </c>
      <c r="S4862">
        <v>55</v>
      </c>
      <c r="T4862">
        <v>4</v>
      </c>
    </row>
    <row r="4863" spans="18:20" x14ac:dyDescent="0.25">
      <c r="R4863">
        <v>147</v>
      </c>
      <c r="S4863">
        <v>78</v>
      </c>
      <c r="T4863">
        <v>3</v>
      </c>
    </row>
    <row r="4864" spans="18:20" x14ac:dyDescent="0.25">
      <c r="R4864">
        <v>147</v>
      </c>
      <c r="S4864">
        <v>99</v>
      </c>
      <c r="T4864">
        <v>1</v>
      </c>
    </row>
    <row r="4865" spans="18:20" x14ac:dyDescent="0.25">
      <c r="R4865">
        <v>147</v>
      </c>
      <c r="S4865">
        <v>113</v>
      </c>
      <c r="T4865">
        <v>4</v>
      </c>
    </row>
    <row r="4866" spans="18:20" x14ac:dyDescent="0.25">
      <c r="R4866">
        <v>147</v>
      </c>
      <c r="S4866">
        <v>116</v>
      </c>
      <c r="T4866">
        <v>2</v>
      </c>
    </row>
    <row r="4867" spans="18:20" x14ac:dyDescent="0.25">
      <c r="R4867">
        <v>147</v>
      </c>
      <c r="S4867">
        <v>156</v>
      </c>
      <c r="T4867">
        <v>5</v>
      </c>
    </row>
    <row r="4868" spans="18:20" x14ac:dyDescent="0.25">
      <c r="R4868">
        <v>147</v>
      </c>
      <c r="S4868">
        <v>162</v>
      </c>
      <c r="T4868">
        <v>4</v>
      </c>
    </row>
    <row r="4869" spans="18:20" x14ac:dyDescent="0.25">
      <c r="R4869">
        <v>147</v>
      </c>
      <c r="S4869">
        <v>171</v>
      </c>
      <c r="T4869">
        <v>4</v>
      </c>
    </row>
    <row r="4870" spans="18:20" x14ac:dyDescent="0.25">
      <c r="R4870">
        <v>147</v>
      </c>
      <c r="S4870">
        <v>219</v>
      </c>
      <c r="T4870">
        <v>4</v>
      </c>
    </row>
    <row r="4871" spans="18:20" x14ac:dyDescent="0.25">
      <c r="R4871">
        <v>147</v>
      </c>
      <c r="S4871">
        <v>224</v>
      </c>
      <c r="T4871">
        <v>2</v>
      </c>
    </row>
    <row r="4872" spans="18:20" x14ac:dyDescent="0.25">
      <c r="R4872">
        <v>147</v>
      </c>
      <c r="S4872">
        <v>245</v>
      </c>
      <c r="T4872">
        <v>5</v>
      </c>
    </row>
    <row r="4873" spans="18:20" x14ac:dyDescent="0.25">
      <c r="R4873">
        <v>147</v>
      </c>
      <c r="S4873">
        <v>257</v>
      </c>
      <c r="T4873">
        <v>5</v>
      </c>
    </row>
    <row r="4874" spans="18:20" x14ac:dyDescent="0.25">
      <c r="R4874">
        <v>147</v>
      </c>
      <c r="S4874">
        <v>257</v>
      </c>
      <c r="T4874">
        <v>2</v>
      </c>
    </row>
    <row r="4875" spans="18:20" x14ac:dyDescent="0.25">
      <c r="R4875">
        <v>147</v>
      </c>
      <c r="S4875">
        <v>297</v>
      </c>
      <c r="T4875">
        <v>2</v>
      </c>
    </row>
    <row r="4876" spans="18:20" x14ac:dyDescent="0.25">
      <c r="R4876">
        <v>147</v>
      </c>
      <c r="S4876">
        <v>298</v>
      </c>
      <c r="T4876">
        <v>2</v>
      </c>
    </row>
    <row r="4877" spans="18:20" x14ac:dyDescent="0.25">
      <c r="R4877">
        <v>147</v>
      </c>
      <c r="S4877">
        <v>305</v>
      </c>
      <c r="T4877">
        <v>5</v>
      </c>
    </row>
    <row r="4878" spans="18:20" x14ac:dyDescent="0.25">
      <c r="R4878">
        <v>147</v>
      </c>
      <c r="S4878">
        <v>311</v>
      </c>
      <c r="T4878">
        <v>2</v>
      </c>
    </row>
    <row r="4879" spans="18:20" x14ac:dyDescent="0.25">
      <c r="R4879">
        <v>147</v>
      </c>
      <c r="S4879">
        <v>313</v>
      </c>
      <c r="T4879">
        <v>4</v>
      </c>
    </row>
    <row r="4880" spans="18:20" x14ac:dyDescent="0.25">
      <c r="R4880">
        <v>147</v>
      </c>
      <c r="S4880">
        <v>318</v>
      </c>
      <c r="T4880">
        <v>2</v>
      </c>
    </row>
    <row r="4881" spans="18:20" x14ac:dyDescent="0.25">
      <c r="R4881">
        <v>147</v>
      </c>
      <c r="S4881">
        <v>332</v>
      </c>
      <c r="T4881">
        <v>4</v>
      </c>
    </row>
    <row r="4882" spans="18:20" x14ac:dyDescent="0.25">
      <c r="R4882">
        <v>147</v>
      </c>
      <c r="S4882">
        <v>344</v>
      </c>
      <c r="T4882">
        <v>2</v>
      </c>
    </row>
    <row r="4883" spans="18:20" x14ac:dyDescent="0.25">
      <c r="R4883">
        <v>147</v>
      </c>
      <c r="S4883">
        <v>358</v>
      </c>
      <c r="T4883">
        <v>3</v>
      </c>
    </row>
    <row r="4884" spans="18:20" x14ac:dyDescent="0.25">
      <c r="R4884">
        <v>147</v>
      </c>
      <c r="S4884">
        <v>362</v>
      </c>
      <c r="T4884">
        <v>5</v>
      </c>
    </row>
    <row r="4885" spans="18:20" x14ac:dyDescent="0.25">
      <c r="R4885">
        <v>147</v>
      </c>
      <c r="S4885">
        <v>387</v>
      </c>
      <c r="T4885">
        <v>1</v>
      </c>
    </row>
    <row r="4886" spans="18:20" x14ac:dyDescent="0.25">
      <c r="R4886">
        <v>147</v>
      </c>
      <c r="S4886">
        <v>387</v>
      </c>
      <c r="T4886">
        <v>4</v>
      </c>
    </row>
    <row r="4887" spans="18:20" x14ac:dyDescent="0.25">
      <c r="R4887">
        <v>147</v>
      </c>
      <c r="S4887">
        <v>399</v>
      </c>
      <c r="T4887">
        <v>2</v>
      </c>
    </row>
    <row r="4888" spans="18:20" x14ac:dyDescent="0.25">
      <c r="R4888">
        <v>147</v>
      </c>
      <c r="S4888">
        <v>404</v>
      </c>
      <c r="T4888">
        <v>1</v>
      </c>
    </row>
    <row r="4889" spans="18:20" x14ac:dyDescent="0.25">
      <c r="R4889">
        <v>147</v>
      </c>
      <c r="S4889">
        <v>411</v>
      </c>
      <c r="T4889">
        <v>4</v>
      </c>
    </row>
    <row r="4890" spans="18:20" x14ac:dyDescent="0.25">
      <c r="R4890">
        <v>147</v>
      </c>
      <c r="S4890">
        <v>417</v>
      </c>
      <c r="T4890">
        <v>1</v>
      </c>
    </row>
    <row r="4891" spans="18:20" x14ac:dyDescent="0.25">
      <c r="R4891">
        <v>148</v>
      </c>
      <c r="S4891">
        <v>7</v>
      </c>
      <c r="T4891">
        <v>3</v>
      </c>
    </row>
    <row r="4892" spans="18:20" x14ac:dyDescent="0.25">
      <c r="R4892">
        <v>148</v>
      </c>
      <c r="S4892">
        <v>8</v>
      </c>
      <c r="T4892">
        <v>1</v>
      </c>
    </row>
    <row r="4893" spans="18:20" x14ac:dyDescent="0.25">
      <c r="R4893">
        <v>148</v>
      </c>
      <c r="S4893">
        <v>26</v>
      </c>
      <c r="T4893">
        <v>2</v>
      </c>
    </row>
    <row r="4894" spans="18:20" x14ac:dyDescent="0.25">
      <c r="R4894">
        <v>148</v>
      </c>
      <c r="S4894">
        <v>59</v>
      </c>
      <c r="T4894">
        <v>1</v>
      </c>
    </row>
    <row r="4895" spans="18:20" x14ac:dyDescent="0.25">
      <c r="R4895">
        <v>148</v>
      </c>
      <c r="S4895">
        <v>89</v>
      </c>
      <c r="T4895">
        <v>3</v>
      </c>
    </row>
    <row r="4896" spans="18:20" x14ac:dyDescent="0.25">
      <c r="R4896">
        <v>148</v>
      </c>
      <c r="S4896">
        <v>91</v>
      </c>
      <c r="T4896">
        <v>1</v>
      </c>
    </row>
    <row r="4897" spans="18:20" x14ac:dyDescent="0.25">
      <c r="R4897">
        <v>148</v>
      </c>
      <c r="S4897">
        <v>103</v>
      </c>
      <c r="T4897">
        <v>3</v>
      </c>
    </row>
    <row r="4898" spans="18:20" x14ac:dyDescent="0.25">
      <c r="R4898">
        <v>148</v>
      </c>
      <c r="S4898">
        <v>135</v>
      </c>
      <c r="T4898">
        <v>3</v>
      </c>
    </row>
    <row r="4899" spans="18:20" x14ac:dyDescent="0.25">
      <c r="R4899">
        <v>148</v>
      </c>
      <c r="S4899">
        <v>137</v>
      </c>
      <c r="T4899">
        <v>4</v>
      </c>
    </row>
    <row r="4900" spans="18:20" x14ac:dyDescent="0.25">
      <c r="R4900">
        <v>148</v>
      </c>
      <c r="S4900">
        <v>147</v>
      </c>
      <c r="T4900">
        <v>2</v>
      </c>
    </row>
    <row r="4901" spans="18:20" x14ac:dyDescent="0.25">
      <c r="R4901">
        <v>148</v>
      </c>
      <c r="S4901">
        <v>153</v>
      </c>
      <c r="T4901">
        <v>1</v>
      </c>
    </row>
    <row r="4902" spans="18:20" x14ac:dyDescent="0.25">
      <c r="R4902">
        <v>148</v>
      </c>
      <c r="S4902">
        <v>154</v>
      </c>
      <c r="T4902">
        <v>1</v>
      </c>
    </row>
    <row r="4903" spans="18:20" x14ac:dyDescent="0.25">
      <c r="R4903">
        <v>148</v>
      </c>
      <c r="S4903">
        <v>158</v>
      </c>
      <c r="T4903">
        <v>1</v>
      </c>
    </row>
    <row r="4904" spans="18:20" x14ac:dyDescent="0.25">
      <c r="R4904">
        <v>148</v>
      </c>
      <c r="S4904">
        <v>189</v>
      </c>
      <c r="T4904">
        <v>3</v>
      </c>
    </row>
    <row r="4905" spans="18:20" x14ac:dyDescent="0.25">
      <c r="R4905">
        <v>148</v>
      </c>
      <c r="S4905">
        <v>193</v>
      </c>
      <c r="T4905">
        <v>3</v>
      </c>
    </row>
    <row r="4906" spans="18:20" x14ac:dyDescent="0.25">
      <c r="R4906">
        <v>148</v>
      </c>
      <c r="S4906">
        <v>196</v>
      </c>
      <c r="T4906">
        <v>4</v>
      </c>
    </row>
    <row r="4907" spans="18:20" x14ac:dyDescent="0.25">
      <c r="R4907">
        <v>148</v>
      </c>
      <c r="S4907">
        <v>198</v>
      </c>
      <c r="T4907">
        <v>5</v>
      </c>
    </row>
    <row r="4908" spans="18:20" x14ac:dyDescent="0.25">
      <c r="R4908">
        <v>148</v>
      </c>
      <c r="S4908">
        <v>198</v>
      </c>
      <c r="T4908">
        <v>2</v>
      </c>
    </row>
    <row r="4909" spans="18:20" x14ac:dyDescent="0.25">
      <c r="R4909">
        <v>148</v>
      </c>
      <c r="S4909">
        <v>217</v>
      </c>
      <c r="T4909">
        <v>3</v>
      </c>
    </row>
    <row r="4910" spans="18:20" x14ac:dyDescent="0.25">
      <c r="R4910">
        <v>148</v>
      </c>
      <c r="S4910">
        <v>224</v>
      </c>
      <c r="T4910">
        <v>4</v>
      </c>
    </row>
    <row r="4911" spans="18:20" x14ac:dyDescent="0.25">
      <c r="R4911">
        <v>148</v>
      </c>
      <c r="S4911">
        <v>242</v>
      </c>
      <c r="T4911">
        <v>3</v>
      </c>
    </row>
    <row r="4912" spans="18:20" x14ac:dyDescent="0.25">
      <c r="R4912">
        <v>148</v>
      </c>
      <c r="S4912">
        <v>248</v>
      </c>
      <c r="T4912">
        <v>5</v>
      </c>
    </row>
    <row r="4913" spans="18:20" x14ac:dyDescent="0.25">
      <c r="R4913">
        <v>148</v>
      </c>
      <c r="S4913">
        <v>253</v>
      </c>
      <c r="T4913">
        <v>4</v>
      </c>
    </row>
    <row r="4914" spans="18:20" x14ac:dyDescent="0.25">
      <c r="R4914">
        <v>148</v>
      </c>
      <c r="S4914">
        <v>274</v>
      </c>
      <c r="T4914">
        <v>4</v>
      </c>
    </row>
    <row r="4915" spans="18:20" x14ac:dyDescent="0.25">
      <c r="R4915">
        <v>148</v>
      </c>
      <c r="S4915">
        <v>280</v>
      </c>
      <c r="T4915">
        <v>5</v>
      </c>
    </row>
    <row r="4916" spans="18:20" x14ac:dyDescent="0.25">
      <c r="R4916">
        <v>148</v>
      </c>
      <c r="S4916">
        <v>328</v>
      </c>
      <c r="T4916">
        <v>5</v>
      </c>
    </row>
    <row r="4917" spans="18:20" x14ac:dyDescent="0.25">
      <c r="R4917">
        <v>148</v>
      </c>
      <c r="S4917">
        <v>372</v>
      </c>
      <c r="T4917">
        <v>2</v>
      </c>
    </row>
    <row r="4918" spans="18:20" x14ac:dyDescent="0.25">
      <c r="R4918">
        <v>148</v>
      </c>
      <c r="S4918">
        <v>376</v>
      </c>
      <c r="T4918">
        <v>2</v>
      </c>
    </row>
    <row r="4919" spans="18:20" x14ac:dyDescent="0.25">
      <c r="R4919">
        <v>148</v>
      </c>
      <c r="S4919">
        <v>423</v>
      </c>
      <c r="T4919">
        <v>3</v>
      </c>
    </row>
    <row r="4920" spans="18:20" x14ac:dyDescent="0.25">
      <c r="R4920">
        <v>148</v>
      </c>
      <c r="S4920">
        <v>434</v>
      </c>
      <c r="T4920">
        <v>5</v>
      </c>
    </row>
    <row r="4921" spans="18:20" x14ac:dyDescent="0.25">
      <c r="R4921">
        <v>149</v>
      </c>
      <c r="S4921">
        <v>11</v>
      </c>
      <c r="T4921">
        <v>1</v>
      </c>
    </row>
    <row r="4922" spans="18:20" x14ac:dyDescent="0.25">
      <c r="R4922">
        <v>149</v>
      </c>
      <c r="S4922">
        <v>29</v>
      </c>
      <c r="T4922">
        <v>5</v>
      </c>
    </row>
    <row r="4923" spans="18:20" x14ac:dyDescent="0.25">
      <c r="R4923">
        <v>149</v>
      </c>
      <c r="S4923">
        <v>45</v>
      </c>
      <c r="T4923">
        <v>3</v>
      </c>
    </row>
    <row r="4924" spans="18:20" x14ac:dyDescent="0.25">
      <c r="R4924">
        <v>149</v>
      </c>
      <c r="S4924">
        <v>60</v>
      </c>
      <c r="T4924">
        <v>2</v>
      </c>
    </row>
    <row r="4925" spans="18:20" x14ac:dyDescent="0.25">
      <c r="R4925">
        <v>149</v>
      </c>
      <c r="S4925">
        <v>73</v>
      </c>
      <c r="T4925">
        <v>2</v>
      </c>
    </row>
    <row r="4926" spans="18:20" x14ac:dyDescent="0.25">
      <c r="R4926">
        <v>149</v>
      </c>
      <c r="S4926">
        <v>73</v>
      </c>
      <c r="T4926">
        <v>2</v>
      </c>
    </row>
    <row r="4927" spans="18:20" x14ac:dyDescent="0.25">
      <c r="R4927">
        <v>149</v>
      </c>
      <c r="S4927">
        <v>77</v>
      </c>
      <c r="T4927">
        <v>2</v>
      </c>
    </row>
    <row r="4928" spans="18:20" x14ac:dyDescent="0.25">
      <c r="R4928">
        <v>149</v>
      </c>
      <c r="S4928">
        <v>106</v>
      </c>
      <c r="T4928">
        <v>1</v>
      </c>
    </row>
    <row r="4929" spans="18:20" x14ac:dyDescent="0.25">
      <c r="R4929">
        <v>149</v>
      </c>
      <c r="S4929">
        <v>107</v>
      </c>
      <c r="T4929">
        <v>1</v>
      </c>
    </row>
    <row r="4930" spans="18:20" x14ac:dyDescent="0.25">
      <c r="R4930">
        <v>149</v>
      </c>
      <c r="S4930">
        <v>131</v>
      </c>
      <c r="T4930">
        <v>5</v>
      </c>
    </row>
    <row r="4931" spans="18:20" x14ac:dyDescent="0.25">
      <c r="R4931">
        <v>149</v>
      </c>
      <c r="S4931">
        <v>149</v>
      </c>
      <c r="T4931">
        <v>2</v>
      </c>
    </row>
    <row r="4932" spans="18:20" x14ac:dyDescent="0.25">
      <c r="R4932">
        <v>149</v>
      </c>
      <c r="S4932">
        <v>157</v>
      </c>
      <c r="T4932">
        <v>5</v>
      </c>
    </row>
    <row r="4933" spans="18:20" x14ac:dyDescent="0.25">
      <c r="R4933">
        <v>149</v>
      </c>
      <c r="S4933">
        <v>160</v>
      </c>
      <c r="T4933">
        <v>4</v>
      </c>
    </row>
    <row r="4934" spans="18:20" x14ac:dyDescent="0.25">
      <c r="R4934">
        <v>149</v>
      </c>
      <c r="S4934">
        <v>171</v>
      </c>
      <c r="T4934">
        <v>2</v>
      </c>
    </row>
    <row r="4935" spans="18:20" x14ac:dyDescent="0.25">
      <c r="R4935">
        <v>149</v>
      </c>
      <c r="S4935">
        <v>183</v>
      </c>
      <c r="T4935">
        <v>3</v>
      </c>
    </row>
    <row r="4936" spans="18:20" x14ac:dyDescent="0.25">
      <c r="R4936">
        <v>149</v>
      </c>
      <c r="S4936">
        <v>185</v>
      </c>
      <c r="T4936">
        <v>2</v>
      </c>
    </row>
    <row r="4937" spans="18:20" x14ac:dyDescent="0.25">
      <c r="R4937">
        <v>149</v>
      </c>
      <c r="S4937">
        <v>185</v>
      </c>
      <c r="T4937">
        <v>4</v>
      </c>
    </row>
    <row r="4938" spans="18:20" x14ac:dyDescent="0.25">
      <c r="R4938">
        <v>149</v>
      </c>
      <c r="S4938">
        <v>198</v>
      </c>
      <c r="T4938">
        <v>2</v>
      </c>
    </row>
    <row r="4939" spans="18:20" x14ac:dyDescent="0.25">
      <c r="R4939">
        <v>149</v>
      </c>
      <c r="S4939">
        <v>213</v>
      </c>
      <c r="T4939">
        <v>5</v>
      </c>
    </row>
    <row r="4940" spans="18:20" x14ac:dyDescent="0.25">
      <c r="R4940">
        <v>149</v>
      </c>
      <c r="S4940">
        <v>232</v>
      </c>
      <c r="T4940">
        <v>1</v>
      </c>
    </row>
    <row r="4941" spans="18:20" x14ac:dyDescent="0.25">
      <c r="R4941">
        <v>149</v>
      </c>
      <c r="S4941">
        <v>233</v>
      </c>
      <c r="T4941">
        <v>2</v>
      </c>
    </row>
    <row r="4942" spans="18:20" x14ac:dyDescent="0.25">
      <c r="R4942">
        <v>149</v>
      </c>
      <c r="S4942">
        <v>244</v>
      </c>
      <c r="T4942">
        <v>5</v>
      </c>
    </row>
    <row r="4943" spans="18:20" x14ac:dyDescent="0.25">
      <c r="R4943">
        <v>149</v>
      </c>
      <c r="S4943">
        <v>249</v>
      </c>
      <c r="T4943">
        <v>1</v>
      </c>
    </row>
    <row r="4944" spans="18:20" x14ac:dyDescent="0.25">
      <c r="R4944">
        <v>149</v>
      </c>
      <c r="S4944">
        <v>285</v>
      </c>
      <c r="T4944">
        <v>1</v>
      </c>
    </row>
    <row r="4945" spans="18:20" x14ac:dyDescent="0.25">
      <c r="R4945">
        <v>149</v>
      </c>
      <c r="S4945">
        <v>287</v>
      </c>
      <c r="T4945">
        <v>4</v>
      </c>
    </row>
    <row r="4946" spans="18:20" x14ac:dyDescent="0.25">
      <c r="R4946">
        <v>149</v>
      </c>
      <c r="S4946">
        <v>294</v>
      </c>
      <c r="T4946">
        <v>5</v>
      </c>
    </row>
    <row r="4947" spans="18:20" x14ac:dyDescent="0.25">
      <c r="R4947">
        <v>149</v>
      </c>
      <c r="S4947">
        <v>316</v>
      </c>
      <c r="T4947">
        <v>5</v>
      </c>
    </row>
    <row r="4948" spans="18:20" x14ac:dyDescent="0.25">
      <c r="R4948">
        <v>149</v>
      </c>
      <c r="S4948">
        <v>341</v>
      </c>
      <c r="T4948">
        <v>3</v>
      </c>
    </row>
    <row r="4949" spans="18:20" x14ac:dyDescent="0.25">
      <c r="R4949">
        <v>149</v>
      </c>
      <c r="S4949">
        <v>349</v>
      </c>
      <c r="T4949">
        <v>3</v>
      </c>
    </row>
    <row r="4950" spans="18:20" x14ac:dyDescent="0.25">
      <c r="R4950">
        <v>149</v>
      </c>
      <c r="S4950">
        <v>351</v>
      </c>
      <c r="T4950">
        <v>3</v>
      </c>
    </row>
    <row r="4951" spans="18:20" x14ac:dyDescent="0.25">
      <c r="R4951">
        <v>149</v>
      </c>
      <c r="S4951">
        <v>393</v>
      </c>
      <c r="T4951">
        <v>4</v>
      </c>
    </row>
    <row r="4952" spans="18:20" x14ac:dyDescent="0.25">
      <c r="R4952">
        <v>149</v>
      </c>
      <c r="S4952">
        <v>410</v>
      </c>
      <c r="T4952">
        <v>2</v>
      </c>
    </row>
    <row r="4953" spans="18:20" x14ac:dyDescent="0.25">
      <c r="R4953">
        <v>149</v>
      </c>
      <c r="S4953">
        <v>413</v>
      </c>
      <c r="T4953">
        <v>1</v>
      </c>
    </row>
    <row r="4954" spans="18:20" x14ac:dyDescent="0.25">
      <c r="R4954">
        <v>149</v>
      </c>
      <c r="S4954">
        <v>424</v>
      </c>
      <c r="T4954">
        <v>2</v>
      </c>
    </row>
    <row r="4955" spans="18:20" x14ac:dyDescent="0.25">
      <c r="R4955">
        <v>149</v>
      </c>
      <c r="S4955">
        <v>429</v>
      </c>
      <c r="T4955">
        <v>4</v>
      </c>
    </row>
    <row r="4956" spans="18:20" x14ac:dyDescent="0.25">
      <c r="R4956">
        <v>149</v>
      </c>
      <c r="S4956">
        <v>430</v>
      </c>
      <c r="T4956">
        <v>5</v>
      </c>
    </row>
    <row r="4957" spans="18:20" x14ac:dyDescent="0.25">
      <c r="R4957">
        <v>150</v>
      </c>
      <c r="S4957">
        <v>4</v>
      </c>
      <c r="T4957">
        <v>4</v>
      </c>
    </row>
    <row r="4958" spans="18:20" x14ac:dyDescent="0.25">
      <c r="R4958">
        <v>150</v>
      </c>
      <c r="S4958">
        <v>14</v>
      </c>
      <c r="T4958">
        <v>4</v>
      </c>
    </row>
    <row r="4959" spans="18:20" x14ac:dyDescent="0.25">
      <c r="R4959">
        <v>150</v>
      </c>
      <c r="S4959">
        <v>28</v>
      </c>
      <c r="T4959">
        <v>4</v>
      </c>
    </row>
    <row r="4960" spans="18:20" x14ac:dyDescent="0.25">
      <c r="R4960">
        <v>150</v>
      </c>
      <c r="S4960">
        <v>28</v>
      </c>
      <c r="T4960">
        <v>4</v>
      </c>
    </row>
    <row r="4961" spans="18:20" x14ac:dyDescent="0.25">
      <c r="R4961">
        <v>150</v>
      </c>
      <c r="S4961">
        <v>44</v>
      </c>
      <c r="T4961">
        <v>3</v>
      </c>
    </row>
    <row r="4962" spans="18:20" x14ac:dyDescent="0.25">
      <c r="R4962">
        <v>150</v>
      </c>
      <c r="S4962">
        <v>51</v>
      </c>
      <c r="T4962">
        <v>5</v>
      </c>
    </row>
    <row r="4963" spans="18:20" x14ac:dyDescent="0.25">
      <c r="R4963">
        <v>150</v>
      </c>
      <c r="S4963">
        <v>67</v>
      </c>
      <c r="T4963">
        <v>3</v>
      </c>
    </row>
    <row r="4964" spans="18:20" x14ac:dyDescent="0.25">
      <c r="R4964">
        <v>150</v>
      </c>
      <c r="S4964">
        <v>81</v>
      </c>
      <c r="T4964">
        <v>4</v>
      </c>
    </row>
    <row r="4965" spans="18:20" x14ac:dyDescent="0.25">
      <c r="R4965">
        <v>150</v>
      </c>
      <c r="S4965">
        <v>83</v>
      </c>
      <c r="T4965">
        <v>5</v>
      </c>
    </row>
    <row r="4966" spans="18:20" x14ac:dyDescent="0.25">
      <c r="R4966">
        <v>150</v>
      </c>
      <c r="S4966">
        <v>122</v>
      </c>
      <c r="T4966">
        <v>1</v>
      </c>
    </row>
    <row r="4967" spans="18:20" x14ac:dyDescent="0.25">
      <c r="R4967">
        <v>150</v>
      </c>
      <c r="S4967">
        <v>156</v>
      </c>
      <c r="T4967">
        <v>3</v>
      </c>
    </row>
    <row r="4968" spans="18:20" x14ac:dyDescent="0.25">
      <c r="R4968">
        <v>150</v>
      </c>
      <c r="S4968">
        <v>165</v>
      </c>
      <c r="T4968">
        <v>2</v>
      </c>
    </row>
    <row r="4969" spans="18:20" x14ac:dyDescent="0.25">
      <c r="R4969">
        <v>150</v>
      </c>
      <c r="S4969">
        <v>166</v>
      </c>
      <c r="T4969">
        <v>2</v>
      </c>
    </row>
    <row r="4970" spans="18:20" x14ac:dyDescent="0.25">
      <c r="R4970">
        <v>150</v>
      </c>
      <c r="S4970">
        <v>180</v>
      </c>
      <c r="T4970">
        <v>1</v>
      </c>
    </row>
    <row r="4971" spans="18:20" x14ac:dyDescent="0.25">
      <c r="R4971">
        <v>150</v>
      </c>
      <c r="S4971">
        <v>189</v>
      </c>
      <c r="T4971">
        <v>2</v>
      </c>
    </row>
    <row r="4972" spans="18:20" x14ac:dyDescent="0.25">
      <c r="R4972">
        <v>150</v>
      </c>
      <c r="S4972">
        <v>217</v>
      </c>
      <c r="T4972">
        <v>3</v>
      </c>
    </row>
    <row r="4973" spans="18:20" x14ac:dyDescent="0.25">
      <c r="R4973">
        <v>150</v>
      </c>
      <c r="S4973">
        <v>220</v>
      </c>
      <c r="T4973">
        <v>5</v>
      </c>
    </row>
    <row r="4974" spans="18:20" x14ac:dyDescent="0.25">
      <c r="R4974">
        <v>150</v>
      </c>
      <c r="S4974">
        <v>239</v>
      </c>
      <c r="T4974">
        <v>5</v>
      </c>
    </row>
    <row r="4975" spans="18:20" x14ac:dyDescent="0.25">
      <c r="R4975">
        <v>150</v>
      </c>
      <c r="S4975">
        <v>292</v>
      </c>
      <c r="T4975">
        <v>4</v>
      </c>
    </row>
    <row r="4976" spans="18:20" x14ac:dyDescent="0.25">
      <c r="R4976">
        <v>150</v>
      </c>
      <c r="S4976">
        <v>311</v>
      </c>
      <c r="T4976">
        <v>4</v>
      </c>
    </row>
    <row r="4977" spans="18:20" x14ac:dyDescent="0.25">
      <c r="R4977">
        <v>150</v>
      </c>
      <c r="S4977">
        <v>319</v>
      </c>
      <c r="T4977">
        <v>4</v>
      </c>
    </row>
    <row r="4978" spans="18:20" x14ac:dyDescent="0.25">
      <c r="R4978">
        <v>150</v>
      </c>
      <c r="S4978">
        <v>331</v>
      </c>
      <c r="T4978">
        <v>5</v>
      </c>
    </row>
    <row r="4979" spans="18:20" x14ac:dyDescent="0.25">
      <c r="R4979">
        <v>150</v>
      </c>
      <c r="S4979">
        <v>332</v>
      </c>
      <c r="T4979">
        <v>4</v>
      </c>
    </row>
    <row r="4980" spans="18:20" x14ac:dyDescent="0.25">
      <c r="R4980">
        <v>150</v>
      </c>
      <c r="S4980">
        <v>337</v>
      </c>
      <c r="T4980">
        <v>3</v>
      </c>
    </row>
    <row r="4981" spans="18:20" x14ac:dyDescent="0.25">
      <c r="R4981">
        <v>150</v>
      </c>
      <c r="S4981">
        <v>340</v>
      </c>
      <c r="T4981">
        <v>4</v>
      </c>
    </row>
    <row r="4982" spans="18:20" x14ac:dyDescent="0.25">
      <c r="R4982">
        <v>150</v>
      </c>
      <c r="S4982">
        <v>368</v>
      </c>
      <c r="T4982">
        <v>2</v>
      </c>
    </row>
    <row r="4983" spans="18:20" x14ac:dyDescent="0.25">
      <c r="R4983">
        <v>150</v>
      </c>
      <c r="S4983">
        <v>370</v>
      </c>
      <c r="T4983">
        <v>5</v>
      </c>
    </row>
    <row r="4984" spans="18:20" x14ac:dyDescent="0.25">
      <c r="R4984">
        <v>150</v>
      </c>
      <c r="S4984">
        <v>387</v>
      </c>
      <c r="T4984">
        <v>2</v>
      </c>
    </row>
    <row r="4985" spans="18:20" x14ac:dyDescent="0.25">
      <c r="R4985">
        <v>150</v>
      </c>
      <c r="S4985">
        <v>399</v>
      </c>
      <c r="T4985">
        <v>2</v>
      </c>
    </row>
    <row r="4986" spans="18:20" x14ac:dyDescent="0.25">
      <c r="R4986">
        <v>150</v>
      </c>
      <c r="S4986">
        <v>410</v>
      </c>
      <c r="T4986">
        <v>4</v>
      </c>
    </row>
    <row r="4987" spans="18:20" x14ac:dyDescent="0.25">
      <c r="R4987">
        <v>150</v>
      </c>
      <c r="S4987">
        <v>426</v>
      </c>
      <c r="T4987">
        <v>5</v>
      </c>
    </row>
    <row r="4988" spans="18:20" x14ac:dyDescent="0.25">
      <c r="R4988">
        <v>150</v>
      </c>
      <c r="S4988">
        <v>433</v>
      </c>
      <c r="T4988">
        <v>2</v>
      </c>
    </row>
    <row r="4989" spans="18:20" x14ac:dyDescent="0.25">
      <c r="R4989">
        <v>151</v>
      </c>
      <c r="S4989">
        <v>14</v>
      </c>
      <c r="T4989">
        <v>5</v>
      </c>
    </row>
    <row r="4990" spans="18:20" x14ac:dyDescent="0.25">
      <c r="R4990">
        <v>151</v>
      </c>
      <c r="S4990">
        <v>19</v>
      </c>
      <c r="T4990">
        <v>1</v>
      </c>
    </row>
    <row r="4991" spans="18:20" x14ac:dyDescent="0.25">
      <c r="R4991">
        <v>151</v>
      </c>
      <c r="S4991">
        <v>80</v>
      </c>
      <c r="T4991">
        <v>1</v>
      </c>
    </row>
    <row r="4992" spans="18:20" x14ac:dyDescent="0.25">
      <c r="R4992">
        <v>151</v>
      </c>
      <c r="S4992">
        <v>96</v>
      </c>
      <c r="T4992">
        <v>4</v>
      </c>
    </row>
    <row r="4993" spans="18:20" x14ac:dyDescent="0.25">
      <c r="R4993">
        <v>151</v>
      </c>
      <c r="S4993">
        <v>105</v>
      </c>
      <c r="T4993">
        <v>4</v>
      </c>
    </row>
    <row r="4994" spans="18:20" x14ac:dyDescent="0.25">
      <c r="R4994">
        <v>151</v>
      </c>
      <c r="S4994">
        <v>121</v>
      </c>
      <c r="T4994">
        <v>1</v>
      </c>
    </row>
    <row r="4995" spans="18:20" x14ac:dyDescent="0.25">
      <c r="R4995">
        <v>151</v>
      </c>
      <c r="S4995">
        <v>129</v>
      </c>
      <c r="T4995">
        <v>1</v>
      </c>
    </row>
    <row r="4996" spans="18:20" x14ac:dyDescent="0.25">
      <c r="R4996">
        <v>151</v>
      </c>
      <c r="S4996">
        <v>178</v>
      </c>
      <c r="T4996">
        <v>5</v>
      </c>
    </row>
    <row r="4997" spans="18:20" x14ac:dyDescent="0.25">
      <c r="R4997">
        <v>151</v>
      </c>
      <c r="S4997">
        <v>179</v>
      </c>
      <c r="T4997">
        <v>2</v>
      </c>
    </row>
    <row r="4998" spans="18:20" x14ac:dyDescent="0.25">
      <c r="R4998">
        <v>151</v>
      </c>
      <c r="S4998">
        <v>180</v>
      </c>
      <c r="T4998">
        <v>5</v>
      </c>
    </row>
    <row r="4999" spans="18:20" x14ac:dyDescent="0.25">
      <c r="R4999">
        <v>151</v>
      </c>
      <c r="S4999">
        <v>213</v>
      </c>
      <c r="T4999">
        <v>3</v>
      </c>
    </row>
    <row r="5000" spans="18:20" x14ac:dyDescent="0.25">
      <c r="R5000">
        <v>151</v>
      </c>
      <c r="S5000">
        <v>217</v>
      </c>
      <c r="T5000">
        <v>5</v>
      </c>
    </row>
    <row r="5001" spans="18:20" x14ac:dyDescent="0.25">
      <c r="R5001">
        <v>151</v>
      </c>
      <c r="S5001">
        <v>227</v>
      </c>
      <c r="T5001">
        <v>5</v>
      </c>
    </row>
    <row r="5002" spans="18:20" x14ac:dyDescent="0.25">
      <c r="R5002">
        <v>151</v>
      </c>
      <c r="S5002">
        <v>238</v>
      </c>
      <c r="T5002">
        <v>3</v>
      </c>
    </row>
    <row r="5003" spans="18:20" x14ac:dyDescent="0.25">
      <c r="R5003">
        <v>151</v>
      </c>
      <c r="S5003">
        <v>259</v>
      </c>
      <c r="T5003">
        <v>3</v>
      </c>
    </row>
    <row r="5004" spans="18:20" x14ac:dyDescent="0.25">
      <c r="R5004">
        <v>151</v>
      </c>
      <c r="S5004">
        <v>331</v>
      </c>
      <c r="T5004">
        <v>3</v>
      </c>
    </row>
    <row r="5005" spans="18:20" x14ac:dyDescent="0.25">
      <c r="R5005">
        <v>151</v>
      </c>
      <c r="S5005">
        <v>357</v>
      </c>
      <c r="T5005">
        <v>5</v>
      </c>
    </row>
    <row r="5006" spans="18:20" x14ac:dyDescent="0.25">
      <c r="R5006">
        <v>151</v>
      </c>
      <c r="S5006">
        <v>361</v>
      </c>
      <c r="T5006">
        <v>5</v>
      </c>
    </row>
    <row r="5007" spans="18:20" x14ac:dyDescent="0.25">
      <c r="R5007">
        <v>151</v>
      </c>
      <c r="S5007">
        <v>380</v>
      </c>
      <c r="T5007">
        <v>4</v>
      </c>
    </row>
    <row r="5008" spans="18:20" x14ac:dyDescent="0.25">
      <c r="R5008">
        <v>151</v>
      </c>
      <c r="S5008">
        <v>386</v>
      </c>
      <c r="T5008">
        <v>3</v>
      </c>
    </row>
    <row r="5009" spans="18:20" x14ac:dyDescent="0.25">
      <c r="R5009">
        <v>151</v>
      </c>
      <c r="S5009">
        <v>391</v>
      </c>
      <c r="T5009">
        <v>2</v>
      </c>
    </row>
    <row r="5010" spans="18:20" x14ac:dyDescent="0.25">
      <c r="R5010">
        <v>151</v>
      </c>
      <c r="S5010">
        <v>396</v>
      </c>
      <c r="T5010">
        <v>4</v>
      </c>
    </row>
    <row r="5011" spans="18:20" x14ac:dyDescent="0.25">
      <c r="R5011">
        <v>152</v>
      </c>
      <c r="S5011">
        <v>17</v>
      </c>
      <c r="T5011">
        <v>4</v>
      </c>
    </row>
    <row r="5012" spans="18:20" x14ac:dyDescent="0.25">
      <c r="R5012">
        <v>152</v>
      </c>
      <c r="S5012">
        <v>115</v>
      </c>
      <c r="T5012">
        <v>1</v>
      </c>
    </row>
    <row r="5013" spans="18:20" x14ac:dyDescent="0.25">
      <c r="R5013">
        <v>152</v>
      </c>
      <c r="S5013">
        <v>117</v>
      </c>
      <c r="T5013">
        <v>5</v>
      </c>
    </row>
    <row r="5014" spans="18:20" x14ac:dyDescent="0.25">
      <c r="R5014">
        <v>152</v>
      </c>
      <c r="S5014">
        <v>122</v>
      </c>
      <c r="T5014">
        <v>2</v>
      </c>
    </row>
    <row r="5015" spans="18:20" x14ac:dyDescent="0.25">
      <c r="R5015">
        <v>152</v>
      </c>
      <c r="S5015">
        <v>132</v>
      </c>
      <c r="T5015">
        <v>3</v>
      </c>
    </row>
    <row r="5016" spans="18:20" x14ac:dyDescent="0.25">
      <c r="R5016">
        <v>152</v>
      </c>
      <c r="S5016">
        <v>142</v>
      </c>
      <c r="T5016">
        <v>3</v>
      </c>
    </row>
    <row r="5017" spans="18:20" x14ac:dyDescent="0.25">
      <c r="R5017">
        <v>152</v>
      </c>
      <c r="S5017">
        <v>177</v>
      </c>
      <c r="T5017">
        <v>3</v>
      </c>
    </row>
    <row r="5018" spans="18:20" x14ac:dyDescent="0.25">
      <c r="R5018">
        <v>152</v>
      </c>
      <c r="S5018">
        <v>186</v>
      </c>
      <c r="T5018">
        <v>5</v>
      </c>
    </row>
    <row r="5019" spans="18:20" x14ac:dyDescent="0.25">
      <c r="R5019">
        <v>152</v>
      </c>
      <c r="S5019">
        <v>204</v>
      </c>
      <c r="T5019">
        <v>3</v>
      </c>
    </row>
    <row r="5020" spans="18:20" x14ac:dyDescent="0.25">
      <c r="R5020">
        <v>152</v>
      </c>
      <c r="S5020">
        <v>207</v>
      </c>
      <c r="T5020">
        <v>5</v>
      </c>
    </row>
    <row r="5021" spans="18:20" x14ac:dyDescent="0.25">
      <c r="R5021">
        <v>152</v>
      </c>
      <c r="S5021">
        <v>208</v>
      </c>
      <c r="T5021">
        <v>2</v>
      </c>
    </row>
    <row r="5022" spans="18:20" x14ac:dyDescent="0.25">
      <c r="R5022">
        <v>152</v>
      </c>
      <c r="S5022">
        <v>217</v>
      </c>
      <c r="T5022">
        <v>5</v>
      </c>
    </row>
    <row r="5023" spans="18:20" x14ac:dyDescent="0.25">
      <c r="R5023">
        <v>152</v>
      </c>
      <c r="S5023">
        <v>224</v>
      </c>
      <c r="T5023">
        <v>1</v>
      </c>
    </row>
    <row r="5024" spans="18:20" x14ac:dyDescent="0.25">
      <c r="R5024">
        <v>152</v>
      </c>
      <c r="S5024">
        <v>233</v>
      </c>
      <c r="T5024">
        <v>2</v>
      </c>
    </row>
    <row r="5025" spans="18:20" x14ac:dyDescent="0.25">
      <c r="R5025">
        <v>152</v>
      </c>
      <c r="S5025">
        <v>240</v>
      </c>
      <c r="T5025">
        <v>5</v>
      </c>
    </row>
    <row r="5026" spans="18:20" x14ac:dyDescent="0.25">
      <c r="R5026">
        <v>152</v>
      </c>
      <c r="S5026">
        <v>255</v>
      </c>
      <c r="T5026">
        <v>3</v>
      </c>
    </row>
    <row r="5027" spans="18:20" x14ac:dyDescent="0.25">
      <c r="R5027">
        <v>152</v>
      </c>
      <c r="S5027">
        <v>259</v>
      </c>
      <c r="T5027">
        <v>5</v>
      </c>
    </row>
    <row r="5028" spans="18:20" x14ac:dyDescent="0.25">
      <c r="R5028">
        <v>152</v>
      </c>
      <c r="S5028">
        <v>259</v>
      </c>
      <c r="T5028">
        <v>1</v>
      </c>
    </row>
    <row r="5029" spans="18:20" x14ac:dyDescent="0.25">
      <c r="R5029">
        <v>152</v>
      </c>
      <c r="S5029">
        <v>273</v>
      </c>
      <c r="T5029">
        <v>3</v>
      </c>
    </row>
    <row r="5030" spans="18:20" x14ac:dyDescent="0.25">
      <c r="R5030">
        <v>152</v>
      </c>
      <c r="S5030">
        <v>291</v>
      </c>
      <c r="T5030">
        <v>1</v>
      </c>
    </row>
    <row r="5031" spans="18:20" x14ac:dyDescent="0.25">
      <c r="R5031">
        <v>152</v>
      </c>
      <c r="S5031">
        <v>312</v>
      </c>
      <c r="T5031">
        <v>5</v>
      </c>
    </row>
    <row r="5032" spans="18:20" x14ac:dyDescent="0.25">
      <c r="R5032">
        <v>152</v>
      </c>
      <c r="S5032">
        <v>321</v>
      </c>
      <c r="T5032">
        <v>3</v>
      </c>
    </row>
    <row r="5033" spans="18:20" x14ac:dyDescent="0.25">
      <c r="R5033">
        <v>152</v>
      </c>
      <c r="S5033">
        <v>321</v>
      </c>
      <c r="T5033">
        <v>3</v>
      </c>
    </row>
    <row r="5034" spans="18:20" x14ac:dyDescent="0.25">
      <c r="R5034">
        <v>152</v>
      </c>
      <c r="S5034">
        <v>331</v>
      </c>
      <c r="T5034">
        <v>2</v>
      </c>
    </row>
    <row r="5035" spans="18:20" x14ac:dyDescent="0.25">
      <c r="R5035">
        <v>152</v>
      </c>
      <c r="S5035">
        <v>342</v>
      </c>
      <c r="T5035">
        <v>2</v>
      </c>
    </row>
    <row r="5036" spans="18:20" x14ac:dyDescent="0.25">
      <c r="R5036">
        <v>152</v>
      </c>
      <c r="S5036">
        <v>368</v>
      </c>
      <c r="T5036">
        <v>3</v>
      </c>
    </row>
    <row r="5037" spans="18:20" x14ac:dyDescent="0.25">
      <c r="R5037">
        <v>152</v>
      </c>
      <c r="S5037">
        <v>371</v>
      </c>
      <c r="T5037">
        <v>2</v>
      </c>
    </row>
    <row r="5038" spans="18:20" x14ac:dyDescent="0.25">
      <c r="R5038">
        <v>152</v>
      </c>
      <c r="S5038">
        <v>372</v>
      </c>
      <c r="T5038">
        <v>5</v>
      </c>
    </row>
    <row r="5039" spans="18:20" x14ac:dyDescent="0.25">
      <c r="R5039">
        <v>152</v>
      </c>
      <c r="S5039">
        <v>384</v>
      </c>
      <c r="T5039">
        <v>2</v>
      </c>
    </row>
    <row r="5040" spans="18:20" x14ac:dyDescent="0.25">
      <c r="R5040">
        <v>152</v>
      </c>
      <c r="S5040">
        <v>400</v>
      </c>
      <c r="T5040">
        <v>2</v>
      </c>
    </row>
    <row r="5041" spans="18:20" x14ac:dyDescent="0.25">
      <c r="R5041">
        <v>153</v>
      </c>
      <c r="S5041">
        <v>16</v>
      </c>
      <c r="T5041">
        <v>1</v>
      </c>
    </row>
    <row r="5042" spans="18:20" x14ac:dyDescent="0.25">
      <c r="R5042">
        <v>153</v>
      </c>
      <c r="S5042">
        <v>18</v>
      </c>
      <c r="T5042">
        <v>2</v>
      </c>
    </row>
    <row r="5043" spans="18:20" x14ac:dyDescent="0.25">
      <c r="R5043">
        <v>153</v>
      </c>
      <c r="S5043">
        <v>20</v>
      </c>
      <c r="T5043">
        <v>4</v>
      </c>
    </row>
    <row r="5044" spans="18:20" x14ac:dyDescent="0.25">
      <c r="R5044">
        <v>153</v>
      </c>
      <c r="S5044">
        <v>30</v>
      </c>
      <c r="T5044">
        <v>4</v>
      </c>
    </row>
    <row r="5045" spans="18:20" x14ac:dyDescent="0.25">
      <c r="R5045">
        <v>153</v>
      </c>
      <c r="S5045">
        <v>51</v>
      </c>
      <c r="T5045">
        <v>3</v>
      </c>
    </row>
    <row r="5046" spans="18:20" x14ac:dyDescent="0.25">
      <c r="R5046">
        <v>153</v>
      </c>
      <c r="S5046">
        <v>59</v>
      </c>
      <c r="T5046">
        <v>1</v>
      </c>
    </row>
    <row r="5047" spans="18:20" x14ac:dyDescent="0.25">
      <c r="R5047">
        <v>153</v>
      </c>
      <c r="S5047">
        <v>60</v>
      </c>
      <c r="T5047">
        <v>3</v>
      </c>
    </row>
    <row r="5048" spans="18:20" x14ac:dyDescent="0.25">
      <c r="R5048">
        <v>153</v>
      </c>
      <c r="S5048">
        <v>96</v>
      </c>
      <c r="T5048">
        <v>2</v>
      </c>
    </row>
    <row r="5049" spans="18:20" x14ac:dyDescent="0.25">
      <c r="R5049">
        <v>153</v>
      </c>
      <c r="S5049">
        <v>139</v>
      </c>
      <c r="T5049">
        <v>5</v>
      </c>
    </row>
    <row r="5050" spans="18:20" x14ac:dyDescent="0.25">
      <c r="R5050">
        <v>153</v>
      </c>
      <c r="S5050">
        <v>150</v>
      </c>
      <c r="T5050">
        <v>5</v>
      </c>
    </row>
    <row r="5051" spans="18:20" x14ac:dyDescent="0.25">
      <c r="R5051">
        <v>153</v>
      </c>
      <c r="S5051">
        <v>156</v>
      </c>
      <c r="T5051">
        <v>3</v>
      </c>
    </row>
    <row r="5052" spans="18:20" x14ac:dyDescent="0.25">
      <c r="R5052">
        <v>153</v>
      </c>
      <c r="S5052">
        <v>176</v>
      </c>
      <c r="T5052">
        <v>1</v>
      </c>
    </row>
    <row r="5053" spans="18:20" x14ac:dyDescent="0.25">
      <c r="R5053">
        <v>153</v>
      </c>
      <c r="S5053">
        <v>183</v>
      </c>
      <c r="T5053">
        <v>4</v>
      </c>
    </row>
    <row r="5054" spans="18:20" x14ac:dyDescent="0.25">
      <c r="R5054">
        <v>153</v>
      </c>
      <c r="S5054">
        <v>183</v>
      </c>
      <c r="T5054">
        <v>5</v>
      </c>
    </row>
    <row r="5055" spans="18:20" x14ac:dyDescent="0.25">
      <c r="R5055">
        <v>153</v>
      </c>
      <c r="S5055">
        <v>222</v>
      </c>
      <c r="T5055">
        <v>1</v>
      </c>
    </row>
    <row r="5056" spans="18:20" x14ac:dyDescent="0.25">
      <c r="R5056">
        <v>153</v>
      </c>
      <c r="S5056">
        <v>227</v>
      </c>
      <c r="T5056">
        <v>3</v>
      </c>
    </row>
    <row r="5057" spans="18:20" x14ac:dyDescent="0.25">
      <c r="R5057">
        <v>153</v>
      </c>
      <c r="S5057">
        <v>264</v>
      </c>
      <c r="T5057">
        <v>3</v>
      </c>
    </row>
    <row r="5058" spans="18:20" x14ac:dyDescent="0.25">
      <c r="R5058">
        <v>153</v>
      </c>
      <c r="S5058">
        <v>269</v>
      </c>
      <c r="T5058">
        <v>3</v>
      </c>
    </row>
    <row r="5059" spans="18:20" x14ac:dyDescent="0.25">
      <c r="R5059">
        <v>153</v>
      </c>
      <c r="S5059">
        <v>271</v>
      </c>
      <c r="T5059">
        <v>5</v>
      </c>
    </row>
    <row r="5060" spans="18:20" x14ac:dyDescent="0.25">
      <c r="R5060">
        <v>153</v>
      </c>
      <c r="S5060">
        <v>343</v>
      </c>
      <c r="T5060">
        <v>1</v>
      </c>
    </row>
    <row r="5061" spans="18:20" x14ac:dyDescent="0.25">
      <c r="R5061">
        <v>153</v>
      </c>
      <c r="S5061">
        <v>346</v>
      </c>
      <c r="T5061">
        <v>1</v>
      </c>
    </row>
    <row r="5062" spans="18:20" x14ac:dyDescent="0.25">
      <c r="R5062">
        <v>153</v>
      </c>
      <c r="S5062">
        <v>385</v>
      </c>
      <c r="T5062">
        <v>1</v>
      </c>
    </row>
    <row r="5063" spans="18:20" x14ac:dyDescent="0.25">
      <c r="R5063">
        <v>153</v>
      </c>
      <c r="S5063">
        <v>418</v>
      </c>
      <c r="T5063">
        <v>1</v>
      </c>
    </row>
    <row r="5064" spans="18:20" x14ac:dyDescent="0.25">
      <c r="R5064">
        <v>153</v>
      </c>
      <c r="S5064">
        <v>419</v>
      </c>
      <c r="T5064">
        <v>4</v>
      </c>
    </row>
    <row r="5065" spans="18:20" x14ac:dyDescent="0.25">
      <c r="R5065">
        <v>153</v>
      </c>
      <c r="S5065">
        <v>426</v>
      </c>
      <c r="T5065">
        <v>1</v>
      </c>
    </row>
    <row r="5066" spans="18:20" x14ac:dyDescent="0.25">
      <c r="R5066">
        <v>154</v>
      </c>
      <c r="S5066">
        <v>2</v>
      </c>
      <c r="T5066">
        <v>3</v>
      </c>
    </row>
    <row r="5067" spans="18:20" x14ac:dyDescent="0.25">
      <c r="R5067">
        <v>154</v>
      </c>
      <c r="S5067">
        <v>32</v>
      </c>
      <c r="T5067">
        <v>4</v>
      </c>
    </row>
    <row r="5068" spans="18:20" x14ac:dyDescent="0.25">
      <c r="R5068">
        <v>154</v>
      </c>
      <c r="S5068">
        <v>68</v>
      </c>
      <c r="T5068">
        <v>3</v>
      </c>
    </row>
    <row r="5069" spans="18:20" x14ac:dyDescent="0.25">
      <c r="R5069">
        <v>154</v>
      </c>
      <c r="S5069">
        <v>72</v>
      </c>
      <c r="T5069">
        <v>5</v>
      </c>
    </row>
    <row r="5070" spans="18:20" x14ac:dyDescent="0.25">
      <c r="R5070">
        <v>154</v>
      </c>
      <c r="S5070">
        <v>88</v>
      </c>
      <c r="T5070">
        <v>3</v>
      </c>
    </row>
    <row r="5071" spans="18:20" x14ac:dyDescent="0.25">
      <c r="R5071">
        <v>154</v>
      </c>
      <c r="S5071">
        <v>136</v>
      </c>
      <c r="T5071">
        <v>4</v>
      </c>
    </row>
    <row r="5072" spans="18:20" x14ac:dyDescent="0.25">
      <c r="R5072">
        <v>154</v>
      </c>
      <c r="S5072">
        <v>147</v>
      </c>
      <c r="T5072">
        <v>1</v>
      </c>
    </row>
    <row r="5073" spans="18:20" x14ac:dyDescent="0.25">
      <c r="R5073">
        <v>154</v>
      </c>
      <c r="S5073">
        <v>157</v>
      </c>
      <c r="T5073">
        <v>5</v>
      </c>
    </row>
    <row r="5074" spans="18:20" x14ac:dyDescent="0.25">
      <c r="R5074">
        <v>154</v>
      </c>
      <c r="S5074">
        <v>160</v>
      </c>
      <c r="T5074">
        <v>4</v>
      </c>
    </row>
    <row r="5075" spans="18:20" x14ac:dyDescent="0.25">
      <c r="R5075">
        <v>154</v>
      </c>
      <c r="S5075">
        <v>165</v>
      </c>
      <c r="T5075">
        <v>5</v>
      </c>
    </row>
    <row r="5076" spans="18:20" x14ac:dyDescent="0.25">
      <c r="R5076">
        <v>154</v>
      </c>
      <c r="S5076">
        <v>210</v>
      </c>
      <c r="T5076">
        <v>5</v>
      </c>
    </row>
    <row r="5077" spans="18:20" x14ac:dyDescent="0.25">
      <c r="R5077">
        <v>154</v>
      </c>
      <c r="S5077">
        <v>224</v>
      </c>
      <c r="T5077">
        <v>4</v>
      </c>
    </row>
    <row r="5078" spans="18:20" x14ac:dyDescent="0.25">
      <c r="R5078">
        <v>154</v>
      </c>
      <c r="S5078">
        <v>226</v>
      </c>
      <c r="T5078">
        <v>4</v>
      </c>
    </row>
    <row r="5079" spans="18:20" x14ac:dyDescent="0.25">
      <c r="R5079">
        <v>154</v>
      </c>
      <c r="S5079">
        <v>231</v>
      </c>
      <c r="T5079">
        <v>2</v>
      </c>
    </row>
    <row r="5080" spans="18:20" x14ac:dyDescent="0.25">
      <c r="R5080">
        <v>154</v>
      </c>
      <c r="S5080">
        <v>240</v>
      </c>
      <c r="T5080">
        <v>3</v>
      </c>
    </row>
    <row r="5081" spans="18:20" x14ac:dyDescent="0.25">
      <c r="R5081">
        <v>154</v>
      </c>
      <c r="S5081">
        <v>294</v>
      </c>
      <c r="T5081">
        <v>3</v>
      </c>
    </row>
    <row r="5082" spans="18:20" x14ac:dyDescent="0.25">
      <c r="R5082">
        <v>154</v>
      </c>
      <c r="S5082">
        <v>298</v>
      </c>
      <c r="T5082">
        <v>5</v>
      </c>
    </row>
    <row r="5083" spans="18:20" x14ac:dyDescent="0.25">
      <c r="R5083">
        <v>154</v>
      </c>
      <c r="S5083">
        <v>303</v>
      </c>
      <c r="T5083">
        <v>4</v>
      </c>
    </row>
    <row r="5084" spans="18:20" x14ac:dyDescent="0.25">
      <c r="R5084">
        <v>154</v>
      </c>
      <c r="S5084">
        <v>306</v>
      </c>
      <c r="T5084">
        <v>4</v>
      </c>
    </row>
    <row r="5085" spans="18:20" x14ac:dyDescent="0.25">
      <c r="R5085">
        <v>154</v>
      </c>
      <c r="S5085">
        <v>323</v>
      </c>
      <c r="T5085">
        <v>3</v>
      </c>
    </row>
    <row r="5086" spans="18:20" x14ac:dyDescent="0.25">
      <c r="R5086">
        <v>154</v>
      </c>
      <c r="S5086">
        <v>326</v>
      </c>
      <c r="T5086">
        <v>5</v>
      </c>
    </row>
    <row r="5087" spans="18:20" x14ac:dyDescent="0.25">
      <c r="R5087">
        <v>154</v>
      </c>
      <c r="S5087">
        <v>328</v>
      </c>
      <c r="T5087">
        <v>1</v>
      </c>
    </row>
    <row r="5088" spans="18:20" x14ac:dyDescent="0.25">
      <c r="R5088">
        <v>154</v>
      </c>
      <c r="S5088">
        <v>334</v>
      </c>
      <c r="T5088">
        <v>2</v>
      </c>
    </row>
    <row r="5089" spans="18:20" x14ac:dyDescent="0.25">
      <c r="R5089">
        <v>154</v>
      </c>
      <c r="S5089">
        <v>375</v>
      </c>
      <c r="T5089">
        <v>1</v>
      </c>
    </row>
    <row r="5090" spans="18:20" x14ac:dyDescent="0.25">
      <c r="R5090">
        <v>154</v>
      </c>
      <c r="S5090">
        <v>393</v>
      </c>
      <c r="T5090">
        <v>3</v>
      </c>
    </row>
    <row r="5091" spans="18:20" x14ac:dyDescent="0.25">
      <c r="R5091">
        <v>154</v>
      </c>
      <c r="S5091">
        <v>397</v>
      </c>
      <c r="T5091">
        <v>1</v>
      </c>
    </row>
    <row r="5092" spans="18:20" x14ac:dyDescent="0.25">
      <c r="R5092">
        <v>154</v>
      </c>
      <c r="S5092">
        <v>401</v>
      </c>
      <c r="T5092">
        <v>1</v>
      </c>
    </row>
    <row r="5093" spans="18:20" x14ac:dyDescent="0.25">
      <c r="R5093">
        <v>154</v>
      </c>
      <c r="S5093">
        <v>416</v>
      </c>
      <c r="T5093">
        <v>4</v>
      </c>
    </row>
    <row r="5094" spans="18:20" x14ac:dyDescent="0.25">
      <c r="R5094">
        <v>154</v>
      </c>
      <c r="S5094">
        <v>428</v>
      </c>
      <c r="T5094">
        <v>5</v>
      </c>
    </row>
    <row r="5095" spans="18:20" x14ac:dyDescent="0.25">
      <c r="R5095">
        <v>155</v>
      </c>
      <c r="S5095">
        <v>17</v>
      </c>
      <c r="T5095">
        <v>5</v>
      </c>
    </row>
    <row r="5096" spans="18:20" x14ac:dyDescent="0.25">
      <c r="R5096">
        <v>155</v>
      </c>
      <c r="S5096">
        <v>23</v>
      </c>
      <c r="T5096">
        <v>2</v>
      </c>
    </row>
    <row r="5097" spans="18:20" x14ac:dyDescent="0.25">
      <c r="R5097">
        <v>155</v>
      </c>
      <c r="S5097">
        <v>73</v>
      </c>
      <c r="T5097">
        <v>3</v>
      </c>
    </row>
    <row r="5098" spans="18:20" x14ac:dyDescent="0.25">
      <c r="R5098">
        <v>155</v>
      </c>
      <c r="S5098">
        <v>89</v>
      </c>
      <c r="T5098">
        <v>1</v>
      </c>
    </row>
    <row r="5099" spans="18:20" x14ac:dyDescent="0.25">
      <c r="R5099">
        <v>155</v>
      </c>
      <c r="S5099">
        <v>114</v>
      </c>
      <c r="T5099">
        <v>2</v>
      </c>
    </row>
    <row r="5100" spans="18:20" x14ac:dyDescent="0.25">
      <c r="R5100">
        <v>155</v>
      </c>
      <c r="S5100">
        <v>129</v>
      </c>
      <c r="T5100">
        <v>1</v>
      </c>
    </row>
    <row r="5101" spans="18:20" x14ac:dyDescent="0.25">
      <c r="R5101">
        <v>155</v>
      </c>
      <c r="S5101">
        <v>130</v>
      </c>
      <c r="T5101">
        <v>3</v>
      </c>
    </row>
    <row r="5102" spans="18:20" x14ac:dyDescent="0.25">
      <c r="R5102">
        <v>155</v>
      </c>
      <c r="S5102">
        <v>130</v>
      </c>
      <c r="T5102">
        <v>3</v>
      </c>
    </row>
    <row r="5103" spans="18:20" x14ac:dyDescent="0.25">
      <c r="R5103">
        <v>155</v>
      </c>
      <c r="S5103">
        <v>137</v>
      </c>
      <c r="T5103">
        <v>2</v>
      </c>
    </row>
    <row r="5104" spans="18:20" x14ac:dyDescent="0.25">
      <c r="R5104">
        <v>155</v>
      </c>
      <c r="S5104">
        <v>197</v>
      </c>
      <c r="T5104">
        <v>1</v>
      </c>
    </row>
    <row r="5105" spans="18:20" x14ac:dyDescent="0.25">
      <c r="R5105">
        <v>155</v>
      </c>
      <c r="S5105">
        <v>205</v>
      </c>
      <c r="T5105">
        <v>4</v>
      </c>
    </row>
    <row r="5106" spans="18:20" x14ac:dyDescent="0.25">
      <c r="R5106">
        <v>155</v>
      </c>
      <c r="S5106">
        <v>209</v>
      </c>
      <c r="T5106">
        <v>4</v>
      </c>
    </row>
    <row r="5107" spans="18:20" x14ac:dyDescent="0.25">
      <c r="R5107">
        <v>155</v>
      </c>
      <c r="S5107">
        <v>228</v>
      </c>
      <c r="T5107">
        <v>1</v>
      </c>
    </row>
    <row r="5108" spans="18:20" x14ac:dyDescent="0.25">
      <c r="R5108">
        <v>155</v>
      </c>
      <c r="S5108">
        <v>228</v>
      </c>
      <c r="T5108">
        <v>4</v>
      </c>
    </row>
    <row r="5109" spans="18:20" x14ac:dyDescent="0.25">
      <c r="R5109">
        <v>155</v>
      </c>
      <c r="S5109">
        <v>229</v>
      </c>
      <c r="T5109">
        <v>4</v>
      </c>
    </row>
    <row r="5110" spans="18:20" x14ac:dyDescent="0.25">
      <c r="R5110">
        <v>155</v>
      </c>
      <c r="S5110">
        <v>233</v>
      </c>
      <c r="T5110">
        <v>3</v>
      </c>
    </row>
    <row r="5111" spans="18:20" x14ac:dyDescent="0.25">
      <c r="R5111">
        <v>155</v>
      </c>
      <c r="S5111">
        <v>248</v>
      </c>
      <c r="T5111">
        <v>1</v>
      </c>
    </row>
    <row r="5112" spans="18:20" x14ac:dyDescent="0.25">
      <c r="R5112">
        <v>155</v>
      </c>
      <c r="S5112">
        <v>306</v>
      </c>
      <c r="T5112">
        <v>3</v>
      </c>
    </row>
    <row r="5113" spans="18:20" x14ac:dyDescent="0.25">
      <c r="R5113">
        <v>155</v>
      </c>
      <c r="S5113">
        <v>307</v>
      </c>
      <c r="T5113">
        <v>4</v>
      </c>
    </row>
    <row r="5114" spans="18:20" x14ac:dyDescent="0.25">
      <c r="R5114">
        <v>155</v>
      </c>
      <c r="S5114">
        <v>311</v>
      </c>
      <c r="T5114">
        <v>2</v>
      </c>
    </row>
    <row r="5115" spans="18:20" x14ac:dyDescent="0.25">
      <c r="R5115">
        <v>155</v>
      </c>
      <c r="S5115">
        <v>316</v>
      </c>
      <c r="T5115">
        <v>4</v>
      </c>
    </row>
    <row r="5116" spans="18:20" x14ac:dyDescent="0.25">
      <c r="R5116">
        <v>155</v>
      </c>
      <c r="S5116">
        <v>320</v>
      </c>
      <c r="T5116">
        <v>5</v>
      </c>
    </row>
    <row r="5117" spans="18:20" x14ac:dyDescent="0.25">
      <c r="R5117">
        <v>155</v>
      </c>
      <c r="S5117">
        <v>331</v>
      </c>
      <c r="T5117">
        <v>5</v>
      </c>
    </row>
    <row r="5118" spans="18:20" x14ac:dyDescent="0.25">
      <c r="R5118">
        <v>155</v>
      </c>
      <c r="S5118">
        <v>337</v>
      </c>
      <c r="T5118">
        <v>1</v>
      </c>
    </row>
    <row r="5119" spans="18:20" x14ac:dyDescent="0.25">
      <c r="R5119">
        <v>155</v>
      </c>
      <c r="S5119">
        <v>337</v>
      </c>
      <c r="T5119">
        <v>2</v>
      </c>
    </row>
    <row r="5120" spans="18:20" x14ac:dyDescent="0.25">
      <c r="R5120">
        <v>155</v>
      </c>
      <c r="S5120">
        <v>346</v>
      </c>
      <c r="T5120">
        <v>2</v>
      </c>
    </row>
    <row r="5121" spans="18:20" x14ac:dyDescent="0.25">
      <c r="R5121">
        <v>155</v>
      </c>
      <c r="S5121">
        <v>395</v>
      </c>
      <c r="T5121">
        <v>2</v>
      </c>
    </row>
    <row r="5122" spans="18:20" x14ac:dyDescent="0.25">
      <c r="R5122">
        <v>155</v>
      </c>
      <c r="S5122">
        <v>407</v>
      </c>
      <c r="T5122">
        <v>1</v>
      </c>
    </row>
    <row r="5123" spans="18:20" x14ac:dyDescent="0.25">
      <c r="R5123">
        <v>155</v>
      </c>
      <c r="S5123">
        <v>423</v>
      </c>
      <c r="T5123">
        <v>4</v>
      </c>
    </row>
    <row r="5124" spans="18:20" x14ac:dyDescent="0.25">
      <c r="R5124">
        <v>155</v>
      </c>
      <c r="S5124">
        <v>434</v>
      </c>
      <c r="T5124">
        <v>1</v>
      </c>
    </row>
    <row r="5125" spans="18:20" x14ac:dyDescent="0.25">
      <c r="R5125">
        <v>156</v>
      </c>
      <c r="S5125">
        <v>6</v>
      </c>
      <c r="T5125">
        <v>5</v>
      </c>
    </row>
    <row r="5126" spans="18:20" x14ac:dyDescent="0.25">
      <c r="R5126">
        <v>156</v>
      </c>
      <c r="S5126">
        <v>8</v>
      </c>
      <c r="T5126">
        <v>5</v>
      </c>
    </row>
    <row r="5127" spans="18:20" x14ac:dyDescent="0.25">
      <c r="R5127">
        <v>156</v>
      </c>
      <c r="S5127">
        <v>9</v>
      </c>
      <c r="T5127">
        <v>1</v>
      </c>
    </row>
    <row r="5128" spans="18:20" x14ac:dyDescent="0.25">
      <c r="R5128">
        <v>156</v>
      </c>
      <c r="S5128">
        <v>42</v>
      </c>
      <c r="T5128">
        <v>2</v>
      </c>
    </row>
    <row r="5129" spans="18:20" x14ac:dyDescent="0.25">
      <c r="R5129">
        <v>156</v>
      </c>
      <c r="S5129">
        <v>45</v>
      </c>
      <c r="T5129">
        <v>3</v>
      </c>
    </row>
    <row r="5130" spans="18:20" x14ac:dyDescent="0.25">
      <c r="R5130">
        <v>156</v>
      </c>
      <c r="S5130">
        <v>55</v>
      </c>
      <c r="T5130">
        <v>1</v>
      </c>
    </row>
    <row r="5131" spans="18:20" x14ac:dyDescent="0.25">
      <c r="R5131">
        <v>156</v>
      </c>
      <c r="S5131">
        <v>59</v>
      </c>
      <c r="T5131">
        <v>5</v>
      </c>
    </row>
    <row r="5132" spans="18:20" x14ac:dyDescent="0.25">
      <c r="R5132">
        <v>156</v>
      </c>
      <c r="S5132">
        <v>62</v>
      </c>
      <c r="T5132">
        <v>3</v>
      </c>
    </row>
    <row r="5133" spans="18:20" x14ac:dyDescent="0.25">
      <c r="R5133">
        <v>156</v>
      </c>
      <c r="S5133">
        <v>74</v>
      </c>
      <c r="T5133">
        <v>3</v>
      </c>
    </row>
    <row r="5134" spans="18:20" x14ac:dyDescent="0.25">
      <c r="R5134">
        <v>156</v>
      </c>
      <c r="S5134">
        <v>77</v>
      </c>
      <c r="T5134">
        <v>5</v>
      </c>
    </row>
    <row r="5135" spans="18:20" x14ac:dyDescent="0.25">
      <c r="R5135">
        <v>156</v>
      </c>
      <c r="S5135">
        <v>77</v>
      </c>
      <c r="T5135">
        <v>1</v>
      </c>
    </row>
    <row r="5136" spans="18:20" x14ac:dyDescent="0.25">
      <c r="R5136">
        <v>156</v>
      </c>
      <c r="S5136">
        <v>96</v>
      </c>
      <c r="T5136">
        <v>1</v>
      </c>
    </row>
    <row r="5137" spans="18:20" x14ac:dyDescent="0.25">
      <c r="R5137">
        <v>156</v>
      </c>
      <c r="S5137">
        <v>142</v>
      </c>
      <c r="T5137">
        <v>4</v>
      </c>
    </row>
    <row r="5138" spans="18:20" x14ac:dyDescent="0.25">
      <c r="R5138">
        <v>156</v>
      </c>
      <c r="S5138">
        <v>146</v>
      </c>
      <c r="T5138">
        <v>5</v>
      </c>
    </row>
    <row r="5139" spans="18:20" x14ac:dyDescent="0.25">
      <c r="R5139">
        <v>156</v>
      </c>
      <c r="S5139">
        <v>150</v>
      </c>
      <c r="T5139">
        <v>5</v>
      </c>
    </row>
    <row r="5140" spans="18:20" x14ac:dyDescent="0.25">
      <c r="R5140">
        <v>156</v>
      </c>
      <c r="S5140">
        <v>162</v>
      </c>
      <c r="T5140">
        <v>4</v>
      </c>
    </row>
    <row r="5141" spans="18:20" x14ac:dyDescent="0.25">
      <c r="R5141">
        <v>156</v>
      </c>
      <c r="S5141">
        <v>198</v>
      </c>
      <c r="T5141">
        <v>5</v>
      </c>
    </row>
    <row r="5142" spans="18:20" x14ac:dyDescent="0.25">
      <c r="R5142">
        <v>156</v>
      </c>
      <c r="S5142">
        <v>201</v>
      </c>
      <c r="T5142">
        <v>1</v>
      </c>
    </row>
    <row r="5143" spans="18:20" x14ac:dyDescent="0.25">
      <c r="R5143">
        <v>156</v>
      </c>
      <c r="S5143">
        <v>201</v>
      </c>
      <c r="T5143">
        <v>2</v>
      </c>
    </row>
    <row r="5144" spans="18:20" x14ac:dyDescent="0.25">
      <c r="R5144">
        <v>156</v>
      </c>
      <c r="S5144">
        <v>201</v>
      </c>
      <c r="T5144">
        <v>1</v>
      </c>
    </row>
    <row r="5145" spans="18:20" x14ac:dyDescent="0.25">
      <c r="R5145">
        <v>156</v>
      </c>
      <c r="S5145">
        <v>220</v>
      </c>
      <c r="T5145">
        <v>2</v>
      </c>
    </row>
    <row r="5146" spans="18:20" x14ac:dyDescent="0.25">
      <c r="R5146">
        <v>156</v>
      </c>
      <c r="S5146">
        <v>260</v>
      </c>
      <c r="T5146">
        <v>4</v>
      </c>
    </row>
    <row r="5147" spans="18:20" x14ac:dyDescent="0.25">
      <c r="R5147">
        <v>156</v>
      </c>
      <c r="S5147">
        <v>271</v>
      </c>
      <c r="T5147">
        <v>3</v>
      </c>
    </row>
    <row r="5148" spans="18:20" x14ac:dyDescent="0.25">
      <c r="R5148">
        <v>156</v>
      </c>
      <c r="S5148">
        <v>323</v>
      </c>
      <c r="T5148">
        <v>5</v>
      </c>
    </row>
    <row r="5149" spans="18:20" x14ac:dyDescent="0.25">
      <c r="R5149">
        <v>156</v>
      </c>
      <c r="S5149">
        <v>337</v>
      </c>
      <c r="T5149">
        <v>4</v>
      </c>
    </row>
    <row r="5150" spans="18:20" x14ac:dyDescent="0.25">
      <c r="R5150">
        <v>156</v>
      </c>
      <c r="S5150">
        <v>350</v>
      </c>
      <c r="T5150">
        <v>4</v>
      </c>
    </row>
    <row r="5151" spans="18:20" x14ac:dyDescent="0.25">
      <c r="R5151">
        <v>156</v>
      </c>
      <c r="S5151">
        <v>378</v>
      </c>
      <c r="T5151">
        <v>4</v>
      </c>
    </row>
    <row r="5152" spans="18:20" x14ac:dyDescent="0.25">
      <c r="R5152">
        <v>156</v>
      </c>
      <c r="S5152">
        <v>406</v>
      </c>
      <c r="T5152">
        <v>1</v>
      </c>
    </row>
    <row r="5153" spans="18:20" x14ac:dyDescent="0.25">
      <c r="R5153">
        <v>156</v>
      </c>
      <c r="S5153">
        <v>431</v>
      </c>
      <c r="T5153">
        <v>3</v>
      </c>
    </row>
    <row r="5154" spans="18:20" x14ac:dyDescent="0.25">
      <c r="R5154">
        <v>157</v>
      </c>
      <c r="S5154">
        <v>33</v>
      </c>
      <c r="T5154">
        <v>3</v>
      </c>
    </row>
    <row r="5155" spans="18:20" x14ac:dyDescent="0.25">
      <c r="R5155">
        <v>157</v>
      </c>
      <c r="S5155">
        <v>36</v>
      </c>
      <c r="T5155">
        <v>2</v>
      </c>
    </row>
    <row r="5156" spans="18:20" x14ac:dyDescent="0.25">
      <c r="R5156">
        <v>157</v>
      </c>
      <c r="S5156">
        <v>36</v>
      </c>
      <c r="T5156">
        <v>2</v>
      </c>
    </row>
    <row r="5157" spans="18:20" x14ac:dyDescent="0.25">
      <c r="R5157">
        <v>157</v>
      </c>
      <c r="S5157">
        <v>48</v>
      </c>
      <c r="T5157">
        <v>1</v>
      </c>
    </row>
    <row r="5158" spans="18:20" x14ac:dyDescent="0.25">
      <c r="R5158">
        <v>157</v>
      </c>
      <c r="S5158">
        <v>53</v>
      </c>
      <c r="T5158">
        <v>4</v>
      </c>
    </row>
    <row r="5159" spans="18:20" x14ac:dyDescent="0.25">
      <c r="R5159">
        <v>157</v>
      </c>
      <c r="S5159">
        <v>59</v>
      </c>
      <c r="T5159">
        <v>4</v>
      </c>
    </row>
    <row r="5160" spans="18:20" x14ac:dyDescent="0.25">
      <c r="R5160">
        <v>157</v>
      </c>
      <c r="S5160">
        <v>69</v>
      </c>
      <c r="T5160">
        <v>3</v>
      </c>
    </row>
    <row r="5161" spans="18:20" x14ac:dyDescent="0.25">
      <c r="R5161">
        <v>157</v>
      </c>
      <c r="S5161">
        <v>85</v>
      </c>
      <c r="T5161">
        <v>4</v>
      </c>
    </row>
    <row r="5162" spans="18:20" x14ac:dyDescent="0.25">
      <c r="R5162">
        <v>157</v>
      </c>
      <c r="S5162">
        <v>93</v>
      </c>
      <c r="T5162">
        <v>5</v>
      </c>
    </row>
    <row r="5163" spans="18:20" x14ac:dyDescent="0.25">
      <c r="R5163">
        <v>157</v>
      </c>
      <c r="S5163">
        <v>106</v>
      </c>
      <c r="T5163">
        <v>1</v>
      </c>
    </row>
    <row r="5164" spans="18:20" x14ac:dyDescent="0.25">
      <c r="R5164">
        <v>157</v>
      </c>
      <c r="S5164">
        <v>112</v>
      </c>
      <c r="T5164">
        <v>5</v>
      </c>
    </row>
    <row r="5165" spans="18:20" x14ac:dyDescent="0.25">
      <c r="R5165">
        <v>157</v>
      </c>
      <c r="S5165">
        <v>142</v>
      </c>
      <c r="T5165">
        <v>4</v>
      </c>
    </row>
    <row r="5166" spans="18:20" x14ac:dyDescent="0.25">
      <c r="R5166">
        <v>157</v>
      </c>
      <c r="S5166">
        <v>148</v>
      </c>
      <c r="T5166">
        <v>1</v>
      </c>
    </row>
    <row r="5167" spans="18:20" x14ac:dyDescent="0.25">
      <c r="R5167">
        <v>157</v>
      </c>
      <c r="S5167">
        <v>149</v>
      </c>
      <c r="T5167">
        <v>3</v>
      </c>
    </row>
    <row r="5168" spans="18:20" x14ac:dyDescent="0.25">
      <c r="R5168">
        <v>157</v>
      </c>
      <c r="S5168">
        <v>170</v>
      </c>
      <c r="T5168">
        <v>3</v>
      </c>
    </row>
    <row r="5169" spans="18:20" x14ac:dyDescent="0.25">
      <c r="R5169">
        <v>157</v>
      </c>
      <c r="S5169">
        <v>180</v>
      </c>
      <c r="T5169">
        <v>1</v>
      </c>
    </row>
    <row r="5170" spans="18:20" x14ac:dyDescent="0.25">
      <c r="R5170">
        <v>157</v>
      </c>
      <c r="S5170">
        <v>196</v>
      </c>
      <c r="T5170">
        <v>3</v>
      </c>
    </row>
    <row r="5171" spans="18:20" x14ac:dyDescent="0.25">
      <c r="R5171">
        <v>157</v>
      </c>
      <c r="S5171">
        <v>202</v>
      </c>
      <c r="T5171">
        <v>5</v>
      </c>
    </row>
    <row r="5172" spans="18:20" x14ac:dyDescent="0.25">
      <c r="R5172">
        <v>157</v>
      </c>
      <c r="S5172">
        <v>214</v>
      </c>
      <c r="T5172">
        <v>4</v>
      </c>
    </row>
    <row r="5173" spans="18:20" x14ac:dyDescent="0.25">
      <c r="R5173">
        <v>157</v>
      </c>
      <c r="S5173">
        <v>221</v>
      </c>
      <c r="T5173">
        <v>4</v>
      </c>
    </row>
    <row r="5174" spans="18:20" x14ac:dyDescent="0.25">
      <c r="R5174">
        <v>157</v>
      </c>
      <c r="S5174">
        <v>227</v>
      </c>
      <c r="T5174">
        <v>5</v>
      </c>
    </row>
    <row r="5175" spans="18:20" x14ac:dyDescent="0.25">
      <c r="R5175">
        <v>157</v>
      </c>
      <c r="S5175">
        <v>228</v>
      </c>
      <c r="T5175">
        <v>1</v>
      </c>
    </row>
    <row r="5176" spans="18:20" x14ac:dyDescent="0.25">
      <c r="R5176">
        <v>157</v>
      </c>
      <c r="S5176">
        <v>236</v>
      </c>
      <c r="T5176">
        <v>4</v>
      </c>
    </row>
    <row r="5177" spans="18:20" x14ac:dyDescent="0.25">
      <c r="R5177">
        <v>157</v>
      </c>
      <c r="S5177">
        <v>262</v>
      </c>
      <c r="T5177">
        <v>3</v>
      </c>
    </row>
    <row r="5178" spans="18:20" x14ac:dyDescent="0.25">
      <c r="R5178">
        <v>157</v>
      </c>
      <c r="S5178">
        <v>289</v>
      </c>
      <c r="T5178">
        <v>5</v>
      </c>
    </row>
    <row r="5179" spans="18:20" x14ac:dyDescent="0.25">
      <c r="R5179">
        <v>157</v>
      </c>
      <c r="S5179">
        <v>307</v>
      </c>
      <c r="T5179">
        <v>3</v>
      </c>
    </row>
    <row r="5180" spans="18:20" x14ac:dyDescent="0.25">
      <c r="R5180">
        <v>157</v>
      </c>
      <c r="S5180">
        <v>316</v>
      </c>
      <c r="T5180">
        <v>3</v>
      </c>
    </row>
    <row r="5181" spans="18:20" x14ac:dyDescent="0.25">
      <c r="R5181">
        <v>157</v>
      </c>
      <c r="S5181">
        <v>316</v>
      </c>
      <c r="T5181">
        <v>4</v>
      </c>
    </row>
    <row r="5182" spans="18:20" x14ac:dyDescent="0.25">
      <c r="R5182">
        <v>157</v>
      </c>
      <c r="S5182">
        <v>329</v>
      </c>
      <c r="T5182">
        <v>2</v>
      </c>
    </row>
    <row r="5183" spans="18:20" x14ac:dyDescent="0.25">
      <c r="R5183">
        <v>157</v>
      </c>
      <c r="S5183">
        <v>334</v>
      </c>
      <c r="T5183">
        <v>5</v>
      </c>
    </row>
    <row r="5184" spans="18:20" x14ac:dyDescent="0.25">
      <c r="R5184">
        <v>157</v>
      </c>
      <c r="S5184">
        <v>349</v>
      </c>
      <c r="T5184">
        <v>3</v>
      </c>
    </row>
    <row r="5185" spans="18:20" x14ac:dyDescent="0.25">
      <c r="R5185">
        <v>157</v>
      </c>
      <c r="S5185">
        <v>349</v>
      </c>
      <c r="T5185">
        <v>3</v>
      </c>
    </row>
    <row r="5186" spans="18:20" x14ac:dyDescent="0.25">
      <c r="R5186">
        <v>157</v>
      </c>
      <c r="S5186">
        <v>359</v>
      </c>
      <c r="T5186">
        <v>1</v>
      </c>
    </row>
    <row r="5187" spans="18:20" x14ac:dyDescent="0.25">
      <c r="R5187">
        <v>157</v>
      </c>
      <c r="S5187">
        <v>367</v>
      </c>
      <c r="T5187">
        <v>5</v>
      </c>
    </row>
    <row r="5188" spans="18:20" x14ac:dyDescent="0.25">
      <c r="R5188">
        <v>157</v>
      </c>
      <c r="S5188">
        <v>379</v>
      </c>
      <c r="T5188">
        <v>5</v>
      </c>
    </row>
    <row r="5189" spans="18:20" x14ac:dyDescent="0.25">
      <c r="R5189">
        <v>157</v>
      </c>
      <c r="S5189">
        <v>399</v>
      </c>
      <c r="T5189">
        <v>3</v>
      </c>
    </row>
    <row r="5190" spans="18:20" x14ac:dyDescent="0.25">
      <c r="R5190">
        <v>157</v>
      </c>
      <c r="S5190">
        <v>403</v>
      </c>
      <c r="T5190">
        <v>3</v>
      </c>
    </row>
    <row r="5191" spans="18:20" x14ac:dyDescent="0.25">
      <c r="R5191">
        <v>157</v>
      </c>
      <c r="S5191">
        <v>404</v>
      </c>
      <c r="T5191">
        <v>3</v>
      </c>
    </row>
    <row r="5192" spans="18:20" x14ac:dyDescent="0.25">
      <c r="R5192">
        <v>157</v>
      </c>
      <c r="S5192">
        <v>411</v>
      </c>
      <c r="T5192">
        <v>1</v>
      </c>
    </row>
    <row r="5193" spans="18:20" x14ac:dyDescent="0.25">
      <c r="R5193">
        <v>157</v>
      </c>
      <c r="S5193">
        <v>415</v>
      </c>
      <c r="T5193">
        <v>5</v>
      </c>
    </row>
    <row r="5194" spans="18:20" x14ac:dyDescent="0.25">
      <c r="R5194">
        <v>157</v>
      </c>
      <c r="S5194">
        <v>428</v>
      </c>
      <c r="T5194">
        <v>2</v>
      </c>
    </row>
    <row r="5195" spans="18:20" x14ac:dyDescent="0.25">
      <c r="R5195">
        <v>157</v>
      </c>
      <c r="S5195">
        <v>428</v>
      </c>
      <c r="T5195">
        <v>1</v>
      </c>
    </row>
    <row r="5196" spans="18:20" x14ac:dyDescent="0.25">
      <c r="R5196">
        <v>157</v>
      </c>
      <c r="S5196">
        <v>435</v>
      </c>
      <c r="T5196">
        <v>3</v>
      </c>
    </row>
    <row r="5197" spans="18:20" x14ac:dyDescent="0.25">
      <c r="R5197">
        <v>158</v>
      </c>
      <c r="S5197">
        <v>22</v>
      </c>
      <c r="T5197">
        <v>1</v>
      </c>
    </row>
    <row r="5198" spans="18:20" x14ac:dyDescent="0.25">
      <c r="R5198">
        <v>158</v>
      </c>
      <c r="S5198">
        <v>61</v>
      </c>
      <c r="T5198">
        <v>5</v>
      </c>
    </row>
    <row r="5199" spans="18:20" x14ac:dyDescent="0.25">
      <c r="R5199">
        <v>158</v>
      </c>
      <c r="S5199">
        <v>77</v>
      </c>
      <c r="T5199">
        <v>1</v>
      </c>
    </row>
    <row r="5200" spans="18:20" x14ac:dyDescent="0.25">
      <c r="R5200">
        <v>158</v>
      </c>
      <c r="S5200">
        <v>81</v>
      </c>
      <c r="T5200">
        <v>5</v>
      </c>
    </row>
    <row r="5201" spans="18:20" x14ac:dyDescent="0.25">
      <c r="R5201">
        <v>158</v>
      </c>
      <c r="S5201">
        <v>82</v>
      </c>
      <c r="T5201">
        <v>2</v>
      </c>
    </row>
    <row r="5202" spans="18:20" x14ac:dyDescent="0.25">
      <c r="R5202">
        <v>158</v>
      </c>
      <c r="S5202">
        <v>83</v>
      </c>
      <c r="T5202">
        <v>5</v>
      </c>
    </row>
    <row r="5203" spans="18:20" x14ac:dyDescent="0.25">
      <c r="R5203">
        <v>158</v>
      </c>
      <c r="S5203">
        <v>105</v>
      </c>
      <c r="T5203">
        <v>2</v>
      </c>
    </row>
    <row r="5204" spans="18:20" x14ac:dyDescent="0.25">
      <c r="R5204">
        <v>158</v>
      </c>
      <c r="S5204">
        <v>111</v>
      </c>
      <c r="T5204">
        <v>3</v>
      </c>
    </row>
    <row r="5205" spans="18:20" x14ac:dyDescent="0.25">
      <c r="R5205">
        <v>158</v>
      </c>
      <c r="S5205">
        <v>133</v>
      </c>
      <c r="T5205">
        <v>1</v>
      </c>
    </row>
    <row r="5206" spans="18:20" x14ac:dyDescent="0.25">
      <c r="R5206">
        <v>158</v>
      </c>
      <c r="S5206">
        <v>138</v>
      </c>
      <c r="T5206">
        <v>4</v>
      </c>
    </row>
    <row r="5207" spans="18:20" x14ac:dyDescent="0.25">
      <c r="R5207">
        <v>158</v>
      </c>
      <c r="S5207">
        <v>149</v>
      </c>
      <c r="T5207">
        <v>4</v>
      </c>
    </row>
    <row r="5208" spans="18:20" x14ac:dyDescent="0.25">
      <c r="R5208">
        <v>158</v>
      </c>
      <c r="S5208">
        <v>153</v>
      </c>
      <c r="T5208">
        <v>3</v>
      </c>
    </row>
    <row r="5209" spans="18:20" x14ac:dyDescent="0.25">
      <c r="R5209">
        <v>158</v>
      </c>
      <c r="S5209">
        <v>158</v>
      </c>
      <c r="T5209">
        <v>4</v>
      </c>
    </row>
    <row r="5210" spans="18:20" x14ac:dyDescent="0.25">
      <c r="R5210">
        <v>158</v>
      </c>
      <c r="S5210">
        <v>168</v>
      </c>
      <c r="T5210">
        <v>1</v>
      </c>
    </row>
    <row r="5211" spans="18:20" x14ac:dyDescent="0.25">
      <c r="R5211">
        <v>158</v>
      </c>
      <c r="S5211">
        <v>175</v>
      </c>
      <c r="T5211">
        <v>1</v>
      </c>
    </row>
    <row r="5212" spans="18:20" x14ac:dyDescent="0.25">
      <c r="R5212">
        <v>158</v>
      </c>
      <c r="S5212">
        <v>194</v>
      </c>
      <c r="T5212">
        <v>3</v>
      </c>
    </row>
    <row r="5213" spans="18:20" x14ac:dyDescent="0.25">
      <c r="R5213">
        <v>158</v>
      </c>
      <c r="S5213">
        <v>201</v>
      </c>
      <c r="T5213">
        <v>1</v>
      </c>
    </row>
    <row r="5214" spans="18:20" x14ac:dyDescent="0.25">
      <c r="R5214">
        <v>158</v>
      </c>
      <c r="S5214">
        <v>203</v>
      </c>
      <c r="T5214">
        <v>1</v>
      </c>
    </row>
    <row r="5215" spans="18:20" x14ac:dyDescent="0.25">
      <c r="R5215">
        <v>158</v>
      </c>
      <c r="S5215">
        <v>215</v>
      </c>
      <c r="T5215">
        <v>2</v>
      </c>
    </row>
    <row r="5216" spans="18:20" x14ac:dyDescent="0.25">
      <c r="R5216">
        <v>158</v>
      </c>
      <c r="S5216">
        <v>233</v>
      </c>
      <c r="T5216">
        <v>2</v>
      </c>
    </row>
    <row r="5217" spans="18:20" x14ac:dyDescent="0.25">
      <c r="R5217">
        <v>158</v>
      </c>
      <c r="S5217">
        <v>233</v>
      </c>
      <c r="T5217">
        <v>3</v>
      </c>
    </row>
    <row r="5218" spans="18:20" x14ac:dyDescent="0.25">
      <c r="R5218">
        <v>158</v>
      </c>
      <c r="S5218">
        <v>242</v>
      </c>
      <c r="T5218">
        <v>4</v>
      </c>
    </row>
    <row r="5219" spans="18:20" x14ac:dyDescent="0.25">
      <c r="R5219">
        <v>158</v>
      </c>
      <c r="S5219">
        <v>311</v>
      </c>
      <c r="T5219">
        <v>5</v>
      </c>
    </row>
    <row r="5220" spans="18:20" x14ac:dyDescent="0.25">
      <c r="R5220">
        <v>158</v>
      </c>
      <c r="S5220">
        <v>313</v>
      </c>
      <c r="T5220">
        <v>3</v>
      </c>
    </row>
    <row r="5221" spans="18:20" x14ac:dyDescent="0.25">
      <c r="R5221">
        <v>158</v>
      </c>
      <c r="S5221">
        <v>324</v>
      </c>
      <c r="T5221">
        <v>5</v>
      </c>
    </row>
    <row r="5222" spans="18:20" x14ac:dyDescent="0.25">
      <c r="R5222">
        <v>158</v>
      </c>
      <c r="S5222">
        <v>332</v>
      </c>
      <c r="T5222">
        <v>5</v>
      </c>
    </row>
    <row r="5223" spans="18:20" x14ac:dyDescent="0.25">
      <c r="R5223">
        <v>158</v>
      </c>
      <c r="S5223">
        <v>333</v>
      </c>
      <c r="T5223">
        <v>3</v>
      </c>
    </row>
    <row r="5224" spans="18:20" x14ac:dyDescent="0.25">
      <c r="R5224">
        <v>158</v>
      </c>
      <c r="S5224">
        <v>346</v>
      </c>
      <c r="T5224">
        <v>1</v>
      </c>
    </row>
    <row r="5225" spans="18:20" x14ac:dyDescent="0.25">
      <c r="R5225">
        <v>158</v>
      </c>
      <c r="S5225">
        <v>346</v>
      </c>
      <c r="T5225">
        <v>5</v>
      </c>
    </row>
    <row r="5226" spans="18:20" x14ac:dyDescent="0.25">
      <c r="R5226">
        <v>158</v>
      </c>
      <c r="S5226">
        <v>371</v>
      </c>
      <c r="T5226">
        <v>2</v>
      </c>
    </row>
    <row r="5227" spans="18:20" x14ac:dyDescent="0.25">
      <c r="R5227">
        <v>158</v>
      </c>
      <c r="S5227">
        <v>373</v>
      </c>
      <c r="T5227">
        <v>1</v>
      </c>
    </row>
    <row r="5228" spans="18:20" x14ac:dyDescent="0.25">
      <c r="R5228">
        <v>158</v>
      </c>
      <c r="S5228">
        <v>413</v>
      </c>
      <c r="T5228">
        <v>3</v>
      </c>
    </row>
    <row r="5229" spans="18:20" x14ac:dyDescent="0.25">
      <c r="R5229">
        <v>158</v>
      </c>
      <c r="S5229">
        <v>429</v>
      </c>
      <c r="T5229">
        <v>5</v>
      </c>
    </row>
    <row r="5230" spans="18:20" x14ac:dyDescent="0.25">
      <c r="R5230">
        <v>159</v>
      </c>
      <c r="S5230">
        <v>1</v>
      </c>
      <c r="T5230">
        <v>1</v>
      </c>
    </row>
    <row r="5231" spans="18:20" x14ac:dyDescent="0.25">
      <c r="R5231">
        <v>159</v>
      </c>
      <c r="S5231">
        <v>35</v>
      </c>
      <c r="T5231">
        <v>3</v>
      </c>
    </row>
    <row r="5232" spans="18:20" x14ac:dyDescent="0.25">
      <c r="R5232">
        <v>159</v>
      </c>
      <c r="S5232">
        <v>56</v>
      </c>
      <c r="T5232">
        <v>2</v>
      </c>
    </row>
    <row r="5233" spans="18:20" x14ac:dyDescent="0.25">
      <c r="R5233">
        <v>159</v>
      </c>
      <c r="S5233">
        <v>69</v>
      </c>
      <c r="T5233">
        <v>4</v>
      </c>
    </row>
    <row r="5234" spans="18:20" x14ac:dyDescent="0.25">
      <c r="R5234">
        <v>159</v>
      </c>
      <c r="S5234">
        <v>85</v>
      </c>
      <c r="T5234">
        <v>4</v>
      </c>
    </row>
    <row r="5235" spans="18:20" x14ac:dyDescent="0.25">
      <c r="R5235">
        <v>159</v>
      </c>
      <c r="S5235">
        <v>100</v>
      </c>
      <c r="T5235">
        <v>5</v>
      </c>
    </row>
    <row r="5236" spans="18:20" x14ac:dyDescent="0.25">
      <c r="R5236">
        <v>159</v>
      </c>
      <c r="S5236">
        <v>101</v>
      </c>
      <c r="T5236">
        <v>4</v>
      </c>
    </row>
    <row r="5237" spans="18:20" x14ac:dyDescent="0.25">
      <c r="R5237">
        <v>159</v>
      </c>
      <c r="S5237">
        <v>102</v>
      </c>
      <c r="T5237">
        <v>4</v>
      </c>
    </row>
    <row r="5238" spans="18:20" x14ac:dyDescent="0.25">
      <c r="R5238">
        <v>159</v>
      </c>
      <c r="S5238">
        <v>103</v>
      </c>
      <c r="T5238">
        <v>4</v>
      </c>
    </row>
    <row r="5239" spans="18:20" x14ac:dyDescent="0.25">
      <c r="R5239">
        <v>159</v>
      </c>
      <c r="S5239">
        <v>111</v>
      </c>
      <c r="T5239">
        <v>2</v>
      </c>
    </row>
    <row r="5240" spans="18:20" x14ac:dyDescent="0.25">
      <c r="R5240">
        <v>159</v>
      </c>
      <c r="S5240">
        <v>117</v>
      </c>
      <c r="T5240">
        <v>2</v>
      </c>
    </row>
    <row r="5241" spans="18:20" x14ac:dyDescent="0.25">
      <c r="R5241">
        <v>159</v>
      </c>
      <c r="S5241">
        <v>135</v>
      </c>
      <c r="T5241">
        <v>3</v>
      </c>
    </row>
    <row r="5242" spans="18:20" x14ac:dyDescent="0.25">
      <c r="R5242">
        <v>159</v>
      </c>
      <c r="S5242">
        <v>151</v>
      </c>
      <c r="T5242">
        <v>1</v>
      </c>
    </row>
    <row r="5243" spans="18:20" x14ac:dyDescent="0.25">
      <c r="R5243">
        <v>159</v>
      </c>
      <c r="S5243">
        <v>152</v>
      </c>
      <c r="T5243">
        <v>5</v>
      </c>
    </row>
    <row r="5244" spans="18:20" x14ac:dyDescent="0.25">
      <c r="R5244">
        <v>159</v>
      </c>
      <c r="S5244">
        <v>158</v>
      </c>
      <c r="T5244">
        <v>2</v>
      </c>
    </row>
    <row r="5245" spans="18:20" x14ac:dyDescent="0.25">
      <c r="R5245">
        <v>159</v>
      </c>
      <c r="S5245">
        <v>159</v>
      </c>
      <c r="T5245">
        <v>2</v>
      </c>
    </row>
    <row r="5246" spans="18:20" x14ac:dyDescent="0.25">
      <c r="R5246">
        <v>159</v>
      </c>
      <c r="S5246">
        <v>165</v>
      </c>
      <c r="T5246">
        <v>2</v>
      </c>
    </row>
    <row r="5247" spans="18:20" x14ac:dyDescent="0.25">
      <c r="R5247">
        <v>159</v>
      </c>
      <c r="S5247">
        <v>166</v>
      </c>
      <c r="T5247">
        <v>1</v>
      </c>
    </row>
    <row r="5248" spans="18:20" x14ac:dyDescent="0.25">
      <c r="R5248">
        <v>159</v>
      </c>
      <c r="S5248">
        <v>172</v>
      </c>
      <c r="T5248">
        <v>5</v>
      </c>
    </row>
    <row r="5249" spans="18:20" x14ac:dyDescent="0.25">
      <c r="R5249">
        <v>159</v>
      </c>
      <c r="S5249">
        <v>178</v>
      </c>
      <c r="T5249">
        <v>1</v>
      </c>
    </row>
    <row r="5250" spans="18:20" x14ac:dyDescent="0.25">
      <c r="R5250">
        <v>159</v>
      </c>
      <c r="S5250">
        <v>193</v>
      </c>
      <c r="T5250">
        <v>5</v>
      </c>
    </row>
    <row r="5251" spans="18:20" x14ac:dyDescent="0.25">
      <c r="R5251">
        <v>159</v>
      </c>
      <c r="S5251">
        <v>204</v>
      </c>
      <c r="T5251">
        <v>4</v>
      </c>
    </row>
    <row r="5252" spans="18:20" x14ac:dyDescent="0.25">
      <c r="R5252">
        <v>159</v>
      </c>
      <c r="S5252">
        <v>223</v>
      </c>
      <c r="T5252">
        <v>5</v>
      </c>
    </row>
    <row r="5253" spans="18:20" x14ac:dyDescent="0.25">
      <c r="R5253">
        <v>159</v>
      </c>
      <c r="S5253">
        <v>235</v>
      </c>
      <c r="T5253">
        <v>5</v>
      </c>
    </row>
    <row r="5254" spans="18:20" x14ac:dyDescent="0.25">
      <c r="R5254">
        <v>159</v>
      </c>
      <c r="S5254">
        <v>246</v>
      </c>
      <c r="T5254">
        <v>1</v>
      </c>
    </row>
    <row r="5255" spans="18:20" x14ac:dyDescent="0.25">
      <c r="R5255">
        <v>159</v>
      </c>
      <c r="S5255">
        <v>246</v>
      </c>
      <c r="T5255">
        <v>4</v>
      </c>
    </row>
    <row r="5256" spans="18:20" x14ac:dyDescent="0.25">
      <c r="R5256">
        <v>159</v>
      </c>
      <c r="S5256">
        <v>270</v>
      </c>
      <c r="T5256">
        <v>1</v>
      </c>
    </row>
    <row r="5257" spans="18:20" x14ac:dyDescent="0.25">
      <c r="R5257">
        <v>159</v>
      </c>
      <c r="S5257">
        <v>284</v>
      </c>
      <c r="T5257">
        <v>2</v>
      </c>
    </row>
    <row r="5258" spans="18:20" x14ac:dyDescent="0.25">
      <c r="R5258">
        <v>159</v>
      </c>
      <c r="S5258">
        <v>294</v>
      </c>
      <c r="T5258">
        <v>1</v>
      </c>
    </row>
    <row r="5259" spans="18:20" x14ac:dyDescent="0.25">
      <c r="R5259">
        <v>159</v>
      </c>
      <c r="S5259">
        <v>315</v>
      </c>
      <c r="T5259">
        <v>4</v>
      </c>
    </row>
    <row r="5260" spans="18:20" x14ac:dyDescent="0.25">
      <c r="R5260">
        <v>159</v>
      </c>
      <c r="S5260">
        <v>315</v>
      </c>
      <c r="T5260">
        <v>2</v>
      </c>
    </row>
    <row r="5261" spans="18:20" x14ac:dyDescent="0.25">
      <c r="R5261">
        <v>159</v>
      </c>
      <c r="S5261">
        <v>317</v>
      </c>
      <c r="T5261">
        <v>2</v>
      </c>
    </row>
    <row r="5262" spans="18:20" x14ac:dyDescent="0.25">
      <c r="R5262">
        <v>159</v>
      </c>
      <c r="S5262">
        <v>323</v>
      </c>
      <c r="T5262">
        <v>1</v>
      </c>
    </row>
    <row r="5263" spans="18:20" x14ac:dyDescent="0.25">
      <c r="R5263">
        <v>159</v>
      </c>
      <c r="S5263">
        <v>325</v>
      </c>
      <c r="T5263">
        <v>1</v>
      </c>
    </row>
    <row r="5264" spans="18:20" x14ac:dyDescent="0.25">
      <c r="R5264">
        <v>159</v>
      </c>
      <c r="S5264">
        <v>347</v>
      </c>
      <c r="T5264">
        <v>3</v>
      </c>
    </row>
    <row r="5265" spans="18:20" x14ac:dyDescent="0.25">
      <c r="R5265">
        <v>159</v>
      </c>
      <c r="S5265">
        <v>354</v>
      </c>
      <c r="T5265">
        <v>1</v>
      </c>
    </row>
    <row r="5266" spans="18:20" x14ac:dyDescent="0.25">
      <c r="R5266">
        <v>159</v>
      </c>
      <c r="S5266">
        <v>360</v>
      </c>
      <c r="T5266">
        <v>3</v>
      </c>
    </row>
    <row r="5267" spans="18:20" x14ac:dyDescent="0.25">
      <c r="R5267">
        <v>159</v>
      </c>
      <c r="S5267">
        <v>372</v>
      </c>
      <c r="T5267">
        <v>4</v>
      </c>
    </row>
    <row r="5268" spans="18:20" x14ac:dyDescent="0.25">
      <c r="R5268">
        <v>159</v>
      </c>
      <c r="S5268">
        <v>393</v>
      </c>
      <c r="T5268">
        <v>1</v>
      </c>
    </row>
    <row r="5269" spans="18:20" x14ac:dyDescent="0.25">
      <c r="R5269">
        <v>159</v>
      </c>
      <c r="S5269">
        <v>417</v>
      </c>
      <c r="T5269">
        <v>3</v>
      </c>
    </row>
    <row r="5270" spans="18:20" x14ac:dyDescent="0.25">
      <c r="R5270">
        <v>159</v>
      </c>
      <c r="S5270">
        <v>427</v>
      </c>
      <c r="T5270">
        <v>3</v>
      </c>
    </row>
    <row r="5271" spans="18:20" x14ac:dyDescent="0.25">
      <c r="R5271">
        <v>160</v>
      </c>
      <c r="S5271">
        <v>2</v>
      </c>
      <c r="T5271">
        <v>2</v>
      </c>
    </row>
    <row r="5272" spans="18:20" x14ac:dyDescent="0.25">
      <c r="R5272">
        <v>160</v>
      </c>
      <c r="S5272">
        <v>2</v>
      </c>
      <c r="T5272">
        <v>3</v>
      </c>
    </row>
    <row r="5273" spans="18:20" x14ac:dyDescent="0.25">
      <c r="R5273">
        <v>160</v>
      </c>
      <c r="S5273">
        <v>8</v>
      </c>
      <c r="T5273">
        <v>3</v>
      </c>
    </row>
    <row r="5274" spans="18:20" x14ac:dyDescent="0.25">
      <c r="R5274">
        <v>160</v>
      </c>
      <c r="S5274">
        <v>34</v>
      </c>
      <c r="T5274">
        <v>2</v>
      </c>
    </row>
    <row r="5275" spans="18:20" x14ac:dyDescent="0.25">
      <c r="R5275">
        <v>160</v>
      </c>
      <c r="S5275">
        <v>35</v>
      </c>
      <c r="T5275">
        <v>3</v>
      </c>
    </row>
    <row r="5276" spans="18:20" x14ac:dyDescent="0.25">
      <c r="R5276">
        <v>160</v>
      </c>
      <c r="S5276">
        <v>74</v>
      </c>
      <c r="T5276">
        <v>1</v>
      </c>
    </row>
    <row r="5277" spans="18:20" x14ac:dyDescent="0.25">
      <c r="R5277">
        <v>160</v>
      </c>
      <c r="S5277">
        <v>87</v>
      </c>
      <c r="T5277">
        <v>3</v>
      </c>
    </row>
    <row r="5278" spans="18:20" x14ac:dyDescent="0.25">
      <c r="R5278">
        <v>160</v>
      </c>
      <c r="S5278">
        <v>99</v>
      </c>
      <c r="T5278">
        <v>5</v>
      </c>
    </row>
    <row r="5279" spans="18:20" x14ac:dyDescent="0.25">
      <c r="R5279">
        <v>160</v>
      </c>
      <c r="S5279">
        <v>104</v>
      </c>
      <c r="T5279">
        <v>4</v>
      </c>
    </row>
    <row r="5280" spans="18:20" x14ac:dyDescent="0.25">
      <c r="R5280">
        <v>160</v>
      </c>
      <c r="S5280">
        <v>116</v>
      </c>
      <c r="T5280">
        <v>5</v>
      </c>
    </row>
    <row r="5281" spans="18:20" x14ac:dyDescent="0.25">
      <c r="R5281">
        <v>160</v>
      </c>
      <c r="S5281">
        <v>124</v>
      </c>
      <c r="T5281">
        <v>5</v>
      </c>
    </row>
    <row r="5282" spans="18:20" x14ac:dyDescent="0.25">
      <c r="R5282">
        <v>160</v>
      </c>
      <c r="S5282">
        <v>129</v>
      </c>
      <c r="T5282">
        <v>5</v>
      </c>
    </row>
    <row r="5283" spans="18:20" x14ac:dyDescent="0.25">
      <c r="R5283">
        <v>160</v>
      </c>
      <c r="S5283">
        <v>134</v>
      </c>
      <c r="T5283">
        <v>1</v>
      </c>
    </row>
    <row r="5284" spans="18:20" x14ac:dyDescent="0.25">
      <c r="R5284">
        <v>160</v>
      </c>
      <c r="S5284">
        <v>153</v>
      </c>
      <c r="T5284">
        <v>5</v>
      </c>
    </row>
    <row r="5285" spans="18:20" x14ac:dyDescent="0.25">
      <c r="R5285">
        <v>160</v>
      </c>
      <c r="S5285">
        <v>172</v>
      </c>
      <c r="T5285">
        <v>2</v>
      </c>
    </row>
    <row r="5286" spans="18:20" x14ac:dyDescent="0.25">
      <c r="R5286">
        <v>160</v>
      </c>
      <c r="S5286">
        <v>195</v>
      </c>
      <c r="T5286">
        <v>5</v>
      </c>
    </row>
    <row r="5287" spans="18:20" x14ac:dyDescent="0.25">
      <c r="R5287">
        <v>160</v>
      </c>
      <c r="S5287">
        <v>201</v>
      </c>
      <c r="T5287">
        <v>2</v>
      </c>
    </row>
    <row r="5288" spans="18:20" x14ac:dyDescent="0.25">
      <c r="R5288">
        <v>160</v>
      </c>
      <c r="S5288">
        <v>201</v>
      </c>
      <c r="T5288">
        <v>2</v>
      </c>
    </row>
    <row r="5289" spans="18:20" x14ac:dyDescent="0.25">
      <c r="R5289">
        <v>160</v>
      </c>
      <c r="S5289">
        <v>205</v>
      </c>
      <c r="T5289">
        <v>1</v>
      </c>
    </row>
    <row r="5290" spans="18:20" x14ac:dyDescent="0.25">
      <c r="R5290">
        <v>160</v>
      </c>
      <c r="S5290">
        <v>211</v>
      </c>
      <c r="T5290">
        <v>5</v>
      </c>
    </row>
    <row r="5291" spans="18:20" x14ac:dyDescent="0.25">
      <c r="R5291">
        <v>160</v>
      </c>
      <c r="S5291">
        <v>215</v>
      </c>
      <c r="T5291">
        <v>2</v>
      </c>
    </row>
    <row r="5292" spans="18:20" x14ac:dyDescent="0.25">
      <c r="R5292">
        <v>160</v>
      </c>
      <c r="S5292">
        <v>219</v>
      </c>
      <c r="T5292">
        <v>1</v>
      </c>
    </row>
    <row r="5293" spans="18:20" x14ac:dyDescent="0.25">
      <c r="R5293">
        <v>160</v>
      </c>
      <c r="S5293">
        <v>219</v>
      </c>
      <c r="T5293">
        <v>2</v>
      </c>
    </row>
    <row r="5294" spans="18:20" x14ac:dyDescent="0.25">
      <c r="R5294">
        <v>160</v>
      </c>
      <c r="S5294">
        <v>222</v>
      </c>
      <c r="T5294">
        <v>2</v>
      </c>
    </row>
    <row r="5295" spans="18:20" x14ac:dyDescent="0.25">
      <c r="R5295">
        <v>160</v>
      </c>
      <c r="S5295">
        <v>223</v>
      </c>
      <c r="T5295">
        <v>3</v>
      </c>
    </row>
    <row r="5296" spans="18:20" x14ac:dyDescent="0.25">
      <c r="R5296">
        <v>160</v>
      </c>
      <c r="S5296">
        <v>230</v>
      </c>
      <c r="T5296">
        <v>5</v>
      </c>
    </row>
    <row r="5297" spans="18:20" x14ac:dyDescent="0.25">
      <c r="R5297">
        <v>160</v>
      </c>
      <c r="S5297">
        <v>241</v>
      </c>
      <c r="T5297">
        <v>1</v>
      </c>
    </row>
    <row r="5298" spans="18:20" x14ac:dyDescent="0.25">
      <c r="R5298">
        <v>160</v>
      </c>
      <c r="S5298">
        <v>243</v>
      </c>
      <c r="T5298">
        <v>2</v>
      </c>
    </row>
    <row r="5299" spans="18:20" x14ac:dyDescent="0.25">
      <c r="R5299">
        <v>160</v>
      </c>
      <c r="S5299">
        <v>259</v>
      </c>
      <c r="T5299">
        <v>1</v>
      </c>
    </row>
    <row r="5300" spans="18:20" x14ac:dyDescent="0.25">
      <c r="R5300">
        <v>160</v>
      </c>
      <c r="S5300">
        <v>268</v>
      </c>
      <c r="T5300">
        <v>2</v>
      </c>
    </row>
    <row r="5301" spans="18:20" x14ac:dyDescent="0.25">
      <c r="R5301">
        <v>160</v>
      </c>
      <c r="S5301">
        <v>292</v>
      </c>
      <c r="T5301">
        <v>2</v>
      </c>
    </row>
    <row r="5302" spans="18:20" x14ac:dyDescent="0.25">
      <c r="R5302">
        <v>160</v>
      </c>
      <c r="S5302">
        <v>292</v>
      </c>
      <c r="T5302">
        <v>3</v>
      </c>
    </row>
    <row r="5303" spans="18:20" x14ac:dyDescent="0.25">
      <c r="R5303">
        <v>160</v>
      </c>
      <c r="S5303">
        <v>356</v>
      </c>
      <c r="T5303">
        <v>2</v>
      </c>
    </row>
    <row r="5304" spans="18:20" x14ac:dyDescent="0.25">
      <c r="R5304">
        <v>160</v>
      </c>
      <c r="S5304">
        <v>366</v>
      </c>
      <c r="T5304">
        <v>1</v>
      </c>
    </row>
    <row r="5305" spans="18:20" x14ac:dyDescent="0.25">
      <c r="R5305">
        <v>160</v>
      </c>
      <c r="S5305">
        <v>368</v>
      </c>
      <c r="T5305">
        <v>1</v>
      </c>
    </row>
    <row r="5306" spans="18:20" x14ac:dyDescent="0.25">
      <c r="R5306">
        <v>160</v>
      </c>
      <c r="S5306">
        <v>397</v>
      </c>
      <c r="T5306">
        <v>3</v>
      </c>
    </row>
    <row r="5307" spans="18:20" x14ac:dyDescent="0.25">
      <c r="R5307">
        <v>160</v>
      </c>
      <c r="S5307">
        <v>408</v>
      </c>
      <c r="T5307">
        <v>2</v>
      </c>
    </row>
    <row r="5308" spans="18:20" x14ac:dyDescent="0.25">
      <c r="R5308">
        <v>160</v>
      </c>
      <c r="S5308">
        <v>429</v>
      </c>
      <c r="T5308">
        <v>5</v>
      </c>
    </row>
    <row r="5309" spans="18:20" x14ac:dyDescent="0.25">
      <c r="R5309">
        <v>160</v>
      </c>
      <c r="S5309">
        <v>431</v>
      </c>
      <c r="T5309">
        <v>4</v>
      </c>
    </row>
    <row r="5310" spans="18:20" x14ac:dyDescent="0.25">
      <c r="R5310">
        <v>161</v>
      </c>
      <c r="S5310">
        <v>6</v>
      </c>
      <c r="T5310">
        <v>5</v>
      </c>
    </row>
    <row r="5311" spans="18:20" x14ac:dyDescent="0.25">
      <c r="R5311">
        <v>161</v>
      </c>
      <c r="S5311">
        <v>7</v>
      </c>
      <c r="T5311">
        <v>1</v>
      </c>
    </row>
    <row r="5312" spans="18:20" x14ac:dyDescent="0.25">
      <c r="R5312">
        <v>161</v>
      </c>
      <c r="S5312">
        <v>30</v>
      </c>
      <c r="T5312">
        <v>4</v>
      </c>
    </row>
    <row r="5313" spans="18:20" x14ac:dyDescent="0.25">
      <c r="R5313">
        <v>161</v>
      </c>
      <c r="S5313">
        <v>52</v>
      </c>
      <c r="T5313">
        <v>5</v>
      </c>
    </row>
    <row r="5314" spans="18:20" x14ac:dyDescent="0.25">
      <c r="R5314">
        <v>161</v>
      </c>
      <c r="S5314">
        <v>56</v>
      </c>
      <c r="T5314">
        <v>3</v>
      </c>
    </row>
    <row r="5315" spans="18:20" x14ac:dyDescent="0.25">
      <c r="R5315">
        <v>161</v>
      </c>
      <c r="S5315">
        <v>56</v>
      </c>
      <c r="T5315">
        <v>5</v>
      </c>
    </row>
    <row r="5316" spans="18:20" x14ac:dyDescent="0.25">
      <c r="R5316">
        <v>161</v>
      </c>
      <c r="S5316">
        <v>58</v>
      </c>
      <c r="T5316">
        <v>1</v>
      </c>
    </row>
    <row r="5317" spans="18:20" x14ac:dyDescent="0.25">
      <c r="R5317">
        <v>161</v>
      </c>
      <c r="S5317">
        <v>106</v>
      </c>
      <c r="T5317">
        <v>4</v>
      </c>
    </row>
    <row r="5318" spans="18:20" x14ac:dyDescent="0.25">
      <c r="R5318">
        <v>161</v>
      </c>
      <c r="S5318">
        <v>123</v>
      </c>
      <c r="T5318">
        <v>4</v>
      </c>
    </row>
    <row r="5319" spans="18:20" x14ac:dyDescent="0.25">
      <c r="R5319">
        <v>161</v>
      </c>
      <c r="S5319">
        <v>124</v>
      </c>
      <c r="T5319">
        <v>2</v>
      </c>
    </row>
    <row r="5320" spans="18:20" x14ac:dyDescent="0.25">
      <c r="R5320">
        <v>161</v>
      </c>
      <c r="S5320">
        <v>137</v>
      </c>
      <c r="T5320">
        <v>1</v>
      </c>
    </row>
    <row r="5321" spans="18:20" x14ac:dyDescent="0.25">
      <c r="R5321">
        <v>161</v>
      </c>
      <c r="S5321">
        <v>138</v>
      </c>
      <c r="T5321">
        <v>4</v>
      </c>
    </row>
    <row r="5322" spans="18:20" x14ac:dyDescent="0.25">
      <c r="R5322">
        <v>161</v>
      </c>
      <c r="S5322">
        <v>196</v>
      </c>
      <c r="T5322">
        <v>1</v>
      </c>
    </row>
    <row r="5323" spans="18:20" x14ac:dyDescent="0.25">
      <c r="R5323">
        <v>161</v>
      </c>
      <c r="S5323">
        <v>211</v>
      </c>
      <c r="T5323">
        <v>4</v>
      </c>
    </row>
    <row r="5324" spans="18:20" x14ac:dyDescent="0.25">
      <c r="R5324">
        <v>161</v>
      </c>
      <c r="S5324">
        <v>218</v>
      </c>
      <c r="T5324">
        <v>1</v>
      </c>
    </row>
    <row r="5325" spans="18:20" x14ac:dyDescent="0.25">
      <c r="R5325">
        <v>161</v>
      </c>
      <c r="S5325">
        <v>233</v>
      </c>
      <c r="T5325">
        <v>2</v>
      </c>
    </row>
    <row r="5326" spans="18:20" x14ac:dyDescent="0.25">
      <c r="R5326">
        <v>161</v>
      </c>
      <c r="S5326">
        <v>238</v>
      </c>
      <c r="T5326">
        <v>4</v>
      </c>
    </row>
    <row r="5327" spans="18:20" x14ac:dyDescent="0.25">
      <c r="R5327">
        <v>161</v>
      </c>
      <c r="S5327">
        <v>249</v>
      </c>
      <c r="T5327">
        <v>1</v>
      </c>
    </row>
    <row r="5328" spans="18:20" x14ac:dyDescent="0.25">
      <c r="R5328">
        <v>161</v>
      </c>
      <c r="S5328">
        <v>260</v>
      </c>
      <c r="T5328">
        <v>2</v>
      </c>
    </row>
    <row r="5329" spans="18:20" x14ac:dyDescent="0.25">
      <c r="R5329">
        <v>161</v>
      </c>
      <c r="S5329">
        <v>285</v>
      </c>
      <c r="T5329">
        <v>1</v>
      </c>
    </row>
    <row r="5330" spans="18:20" x14ac:dyDescent="0.25">
      <c r="R5330">
        <v>161</v>
      </c>
      <c r="S5330">
        <v>295</v>
      </c>
      <c r="T5330">
        <v>2</v>
      </c>
    </row>
    <row r="5331" spans="18:20" x14ac:dyDescent="0.25">
      <c r="R5331">
        <v>161</v>
      </c>
      <c r="S5331">
        <v>323</v>
      </c>
      <c r="T5331">
        <v>5</v>
      </c>
    </row>
    <row r="5332" spans="18:20" x14ac:dyDescent="0.25">
      <c r="R5332">
        <v>161</v>
      </c>
      <c r="S5332">
        <v>325</v>
      </c>
      <c r="T5332">
        <v>3</v>
      </c>
    </row>
    <row r="5333" spans="18:20" x14ac:dyDescent="0.25">
      <c r="R5333">
        <v>161</v>
      </c>
      <c r="S5333">
        <v>329</v>
      </c>
      <c r="T5333">
        <v>5</v>
      </c>
    </row>
    <row r="5334" spans="18:20" x14ac:dyDescent="0.25">
      <c r="R5334">
        <v>161</v>
      </c>
      <c r="S5334">
        <v>329</v>
      </c>
      <c r="T5334">
        <v>1</v>
      </c>
    </row>
    <row r="5335" spans="18:20" x14ac:dyDescent="0.25">
      <c r="R5335">
        <v>161</v>
      </c>
      <c r="S5335">
        <v>335</v>
      </c>
      <c r="T5335">
        <v>5</v>
      </c>
    </row>
    <row r="5336" spans="18:20" x14ac:dyDescent="0.25">
      <c r="R5336">
        <v>161</v>
      </c>
      <c r="S5336">
        <v>353</v>
      </c>
      <c r="T5336">
        <v>4</v>
      </c>
    </row>
    <row r="5337" spans="18:20" x14ac:dyDescent="0.25">
      <c r="R5337">
        <v>161</v>
      </c>
      <c r="S5337">
        <v>354</v>
      </c>
      <c r="T5337">
        <v>3</v>
      </c>
    </row>
    <row r="5338" spans="18:20" x14ac:dyDescent="0.25">
      <c r="R5338">
        <v>161</v>
      </c>
      <c r="S5338">
        <v>354</v>
      </c>
      <c r="T5338">
        <v>5</v>
      </c>
    </row>
    <row r="5339" spans="18:20" x14ac:dyDescent="0.25">
      <c r="R5339">
        <v>161</v>
      </c>
      <c r="S5339">
        <v>382</v>
      </c>
      <c r="T5339">
        <v>5</v>
      </c>
    </row>
    <row r="5340" spans="18:20" x14ac:dyDescent="0.25">
      <c r="R5340">
        <v>161</v>
      </c>
      <c r="S5340">
        <v>409</v>
      </c>
      <c r="T5340">
        <v>1</v>
      </c>
    </row>
    <row r="5341" spans="18:20" x14ac:dyDescent="0.25">
      <c r="R5341">
        <v>162</v>
      </c>
      <c r="S5341">
        <v>1</v>
      </c>
      <c r="T5341">
        <v>5</v>
      </c>
    </row>
    <row r="5342" spans="18:20" x14ac:dyDescent="0.25">
      <c r="R5342">
        <v>162</v>
      </c>
      <c r="S5342">
        <v>13</v>
      </c>
      <c r="T5342">
        <v>4</v>
      </c>
    </row>
    <row r="5343" spans="18:20" x14ac:dyDescent="0.25">
      <c r="R5343">
        <v>162</v>
      </c>
      <c r="S5343">
        <v>15</v>
      </c>
      <c r="T5343">
        <v>4</v>
      </c>
    </row>
    <row r="5344" spans="18:20" x14ac:dyDescent="0.25">
      <c r="R5344">
        <v>162</v>
      </c>
      <c r="S5344">
        <v>23</v>
      </c>
      <c r="T5344">
        <v>2</v>
      </c>
    </row>
    <row r="5345" spans="18:20" x14ac:dyDescent="0.25">
      <c r="R5345">
        <v>162</v>
      </c>
      <c r="S5345">
        <v>34</v>
      </c>
      <c r="T5345">
        <v>5</v>
      </c>
    </row>
    <row r="5346" spans="18:20" x14ac:dyDescent="0.25">
      <c r="R5346">
        <v>162</v>
      </c>
      <c r="S5346">
        <v>36</v>
      </c>
      <c r="T5346">
        <v>3</v>
      </c>
    </row>
    <row r="5347" spans="18:20" x14ac:dyDescent="0.25">
      <c r="R5347">
        <v>162</v>
      </c>
      <c r="S5347">
        <v>40</v>
      </c>
      <c r="T5347">
        <v>2</v>
      </c>
    </row>
    <row r="5348" spans="18:20" x14ac:dyDescent="0.25">
      <c r="R5348">
        <v>162</v>
      </c>
      <c r="S5348">
        <v>48</v>
      </c>
      <c r="T5348">
        <v>2</v>
      </c>
    </row>
    <row r="5349" spans="18:20" x14ac:dyDescent="0.25">
      <c r="R5349">
        <v>162</v>
      </c>
      <c r="S5349">
        <v>55</v>
      </c>
      <c r="T5349">
        <v>2</v>
      </c>
    </row>
    <row r="5350" spans="18:20" x14ac:dyDescent="0.25">
      <c r="R5350">
        <v>162</v>
      </c>
      <c r="S5350">
        <v>69</v>
      </c>
      <c r="T5350">
        <v>3</v>
      </c>
    </row>
    <row r="5351" spans="18:20" x14ac:dyDescent="0.25">
      <c r="R5351">
        <v>162</v>
      </c>
      <c r="S5351">
        <v>86</v>
      </c>
      <c r="T5351">
        <v>4</v>
      </c>
    </row>
    <row r="5352" spans="18:20" x14ac:dyDescent="0.25">
      <c r="R5352">
        <v>162</v>
      </c>
      <c r="S5352">
        <v>86</v>
      </c>
      <c r="T5352">
        <v>3</v>
      </c>
    </row>
    <row r="5353" spans="18:20" x14ac:dyDescent="0.25">
      <c r="R5353">
        <v>162</v>
      </c>
      <c r="S5353">
        <v>94</v>
      </c>
      <c r="T5353">
        <v>3</v>
      </c>
    </row>
    <row r="5354" spans="18:20" x14ac:dyDescent="0.25">
      <c r="R5354">
        <v>162</v>
      </c>
      <c r="S5354">
        <v>138</v>
      </c>
      <c r="T5354">
        <v>5</v>
      </c>
    </row>
    <row r="5355" spans="18:20" x14ac:dyDescent="0.25">
      <c r="R5355">
        <v>162</v>
      </c>
      <c r="S5355">
        <v>139</v>
      </c>
      <c r="T5355">
        <v>5</v>
      </c>
    </row>
    <row r="5356" spans="18:20" x14ac:dyDescent="0.25">
      <c r="R5356">
        <v>162</v>
      </c>
      <c r="S5356">
        <v>155</v>
      </c>
      <c r="T5356">
        <v>3</v>
      </c>
    </row>
    <row r="5357" spans="18:20" x14ac:dyDescent="0.25">
      <c r="R5357">
        <v>162</v>
      </c>
      <c r="S5357">
        <v>160</v>
      </c>
      <c r="T5357">
        <v>2</v>
      </c>
    </row>
    <row r="5358" spans="18:20" x14ac:dyDescent="0.25">
      <c r="R5358">
        <v>162</v>
      </c>
      <c r="S5358">
        <v>161</v>
      </c>
      <c r="T5358">
        <v>1</v>
      </c>
    </row>
    <row r="5359" spans="18:20" x14ac:dyDescent="0.25">
      <c r="R5359">
        <v>162</v>
      </c>
      <c r="S5359">
        <v>167</v>
      </c>
      <c r="T5359">
        <v>3</v>
      </c>
    </row>
    <row r="5360" spans="18:20" x14ac:dyDescent="0.25">
      <c r="R5360">
        <v>162</v>
      </c>
      <c r="S5360">
        <v>169</v>
      </c>
      <c r="T5360">
        <v>3</v>
      </c>
    </row>
    <row r="5361" spans="18:20" x14ac:dyDescent="0.25">
      <c r="R5361">
        <v>162</v>
      </c>
      <c r="S5361">
        <v>174</v>
      </c>
      <c r="T5361">
        <v>5</v>
      </c>
    </row>
    <row r="5362" spans="18:20" x14ac:dyDescent="0.25">
      <c r="R5362">
        <v>162</v>
      </c>
      <c r="S5362">
        <v>185</v>
      </c>
      <c r="T5362">
        <v>4</v>
      </c>
    </row>
    <row r="5363" spans="18:20" x14ac:dyDescent="0.25">
      <c r="R5363">
        <v>162</v>
      </c>
      <c r="S5363">
        <v>193</v>
      </c>
      <c r="T5363">
        <v>5</v>
      </c>
    </row>
    <row r="5364" spans="18:20" x14ac:dyDescent="0.25">
      <c r="R5364">
        <v>162</v>
      </c>
      <c r="S5364">
        <v>238</v>
      </c>
      <c r="T5364">
        <v>1</v>
      </c>
    </row>
    <row r="5365" spans="18:20" x14ac:dyDescent="0.25">
      <c r="R5365">
        <v>162</v>
      </c>
      <c r="S5365">
        <v>250</v>
      </c>
      <c r="T5365">
        <v>2</v>
      </c>
    </row>
    <row r="5366" spans="18:20" x14ac:dyDescent="0.25">
      <c r="R5366">
        <v>162</v>
      </c>
      <c r="S5366">
        <v>261</v>
      </c>
      <c r="T5366">
        <v>5</v>
      </c>
    </row>
    <row r="5367" spans="18:20" x14ac:dyDescent="0.25">
      <c r="R5367">
        <v>162</v>
      </c>
      <c r="S5367">
        <v>277</v>
      </c>
      <c r="T5367">
        <v>3</v>
      </c>
    </row>
    <row r="5368" spans="18:20" x14ac:dyDescent="0.25">
      <c r="R5368">
        <v>162</v>
      </c>
      <c r="S5368">
        <v>341</v>
      </c>
      <c r="T5368">
        <v>1</v>
      </c>
    </row>
    <row r="5369" spans="18:20" x14ac:dyDescent="0.25">
      <c r="R5369">
        <v>162</v>
      </c>
      <c r="S5369">
        <v>353</v>
      </c>
      <c r="T5369">
        <v>4</v>
      </c>
    </row>
    <row r="5370" spans="18:20" x14ac:dyDescent="0.25">
      <c r="R5370">
        <v>162</v>
      </c>
      <c r="S5370">
        <v>365</v>
      </c>
      <c r="T5370">
        <v>4</v>
      </c>
    </row>
    <row r="5371" spans="18:20" x14ac:dyDescent="0.25">
      <c r="R5371">
        <v>162</v>
      </c>
      <c r="S5371">
        <v>366</v>
      </c>
      <c r="T5371">
        <v>2</v>
      </c>
    </row>
    <row r="5372" spans="18:20" x14ac:dyDescent="0.25">
      <c r="R5372">
        <v>162</v>
      </c>
      <c r="S5372">
        <v>375</v>
      </c>
      <c r="T5372">
        <v>3</v>
      </c>
    </row>
    <row r="5373" spans="18:20" x14ac:dyDescent="0.25">
      <c r="R5373">
        <v>163</v>
      </c>
      <c r="S5373">
        <v>18</v>
      </c>
      <c r="T5373">
        <v>3</v>
      </c>
    </row>
    <row r="5374" spans="18:20" x14ac:dyDescent="0.25">
      <c r="R5374">
        <v>163</v>
      </c>
      <c r="S5374">
        <v>22</v>
      </c>
      <c r="T5374">
        <v>1</v>
      </c>
    </row>
    <row r="5375" spans="18:20" x14ac:dyDescent="0.25">
      <c r="R5375">
        <v>163</v>
      </c>
      <c r="S5375">
        <v>24</v>
      </c>
      <c r="T5375">
        <v>4</v>
      </c>
    </row>
    <row r="5376" spans="18:20" x14ac:dyDescent="0.25">
      <c r="R5376">
        <v>163</v>
      </c>
      <c r="S5376">
        <v>30</v>
      </c>
      <c r="T5376">
        <v>5</v>
      </c>
    </row>
    <row r="5377" spans="18:20" x14ac:dyDescent="0.25">
      <c r="R5377">
        <v>163</v>
      </c>
      <c r="S5377">
        <v>38</v>
      </c>
      <c r="T5377">
        <v>1</v>
      </c>
    </row>
    <row r="5378" spans="18:20" x14ac:dyDescent="0.25">
      <c r="R5378">
        <v>163</v>
      </c>
      <c r="S5378">
        <v>41</v>
      </c>
      <c r="T5378">
        <v>1</v>
      </c>
    </row>
    <row r="5379" spans="18:20" x14ac:dyDescent="0.25">
      <c r="R5379">
        <v>163</v>
      </c>
      <c r="S5379">
        <v>47</v>
      </c>
      <c r="T5379">
        <v>4</v>
      </c>
    </row>
    <row r="5380" spans="18:20" x14ac:dyDescent="0.25">
      <c r="R5380">
        <v>163</v>
      </c>
      <c r="S5380">
        <v>59</v>
      </c>
      <c r="T5380">
        <v>4</v>
      </c>
    </row>
    <row r="5381" spans="18:20" x14ac:dyDescent="0.25">
      <c r="R5381">
        <v>163</v>
      </c>
      <c r="S5381">
        <v>79</v>
      </c>
      <c r="T5381">
        <v>3</v>
      </c>
    </row>
    <row r="5382" spans="18:20" x14ac:dyDescent="0.25">
      <c r="R5382">
        <v>163</v>
      </c>
      <c r="S5382">
        <v>91</v>
      </c>
      <c r="T5382">
        <v>2</v>
      </c>
    </row>
    <row r="5383" spans="18:20" x14ac:dyDescent="0.25">
      <c r="R5383">
        <v>163</v>
      </c>
      <c r="S5383">
        <v>94</v>
      </c>
      <c r="T5383">
        <v>5</v>
      </c>
    </row>
    <row r="5384" spans="18:20" x14ac:dyDescent="0.25">
      <c r="R5384">
        <v>163</v>
      </c>
      <c r="S5384">
        <v>100</v>
      </c>
      <c r="T5384">
        <v>2</v>
      </c>
    </row>
    <row r="5385" spans="18:20" x14ac:dyDescent="0.25">
      <c r="R5385">
        <v>163</v>
      </c>
      <c r="S5385">
        <v>108</v>
      </c>
      <c r="T5385">
        <v>5</v>
      </c>
    </row>
    <row r="5386" spans="18:20" x14ac:dyDescent="0.25">
      <c r="R5386">
        <v>163</v>
      </c>
      <c r="S5386">
        <v>114</v>
      </c>
      <c r="T5386">
        <v>2</v>
      </c>
    </row>
    <row r="5387" spans="18:20" x14ac:dyDescent="0.25">
      <c r="R5387">
        <v>163</v>
      </c>
      <c r="S5387">
        <v>120</v>
      </c>
      <c r="T5387">
        <v>4</v>
      </c>
    </row>
    <row r="5388" spans="18:20" x14ac:dyDescent="0.25">
      <c r="R5388">
        <v>163</v>
      </c>
      <c r="S5388">
        <v>121</v>
      </c>
      <c r="T5388">
        <v>3</v>
      </c>
    </row>
    <row r="5389" spans="18:20" x14ac:dyDescent="0.25">
      <c r="R5389">
        <v>163</v>
      </c>
      <c r="S5389">
        <v>128</v>
      </c>
      <c r="T5389">
        <v>5</v>
      </c>
    </row>
    <row r="5390" spans="18:20" x14ac:dyDescent="0.25">
      <c r="R5390">
        <v>163</v>
      </c>
      <c r="S5390">
        <v>133</v>
      </c>
      <c r="T5390">
        <v>2</v>
      </c>
    </row>
    <row r="5391" spans="18:20" x14ac:dyDescent="0.25">
      <c r="R5391">
        <v>163</v>
      </c>
      <c r="S5391">
        <v>140</v>
      </c>
      <c r="T5391">
        <v>5</v>
      </c>
    </row>
    <row r="5392" spans="18:20" x14ac:dyDescent="0.25">
      <c r="R5392">
        <v>163</v>
      </c>
      <c r="S5392">
        <v>176</v>
      </c>
      <c r="T5392">
        <v>5</v>
      </c>
    </row>
    <row r="5393" spans="18:20" x14ac:dyDescent="0.25">
      <c r="R5393">
        <v>163</v>
      </c>
      <c r="S5393">
        <v>178</v>
      </c>
      <c r="T5393">
        <v>1</v>
      </c>
    </row>
    <row r="5394" spans="18:20" x14ac:dyDescent="0.25">
      <c r="R5394">
        <v>163</v>
      </c>
      <c r="S5394">
        <v>206</v>
      </c>
      <c r="T5394">
        <v>3</v>
      </c>
    </row>
    <row r="5395" spans="18:20" x14ac:dyDescent="0.25">
      <c r="R5395">
        <v>163</v>
      </c>
      <c r="S5395">
        <v>258</v>
      </c>
      <c r="T5395">
        <v>5</v>
      </c>
    </row>
    <row r="5396" spans="18:20" x14ac:dyDescent="0.25">
      <c r="R5396">
        <v>163</v>
      </c>
      <c r="S5396">
        <v>302</v>
      </c>
      <c r="T5396">
        <v>1</v>
      </c>
    </row>
    <row r="5397" spans="18:20" x14ac:dyDescent="0.25">
      <c r="R5397">
        <v>163</v>
      </c>
      <c r="S5397">
        <v>321</v>
      </c>
      <c r="T5397">
        <v>5</v>
      </c>
    </row>
    <row r="5398" spans="18:20" x14ac:dyDescent="0.25">
      <c r="R5398">
        <v>163</v>
      </c>
      <c r="S5398">
        <v>324</v>
      </c>
      <c r="T5398">
        <v>5</v>
      </c>
    </row>
    <row r="5399" spans="18:20" x14ac:dyDescent="0.25">
      <c r="R5399">
        <v>163</v>
      </c>
      <c r="S5399">
        <v>329</v>
      </c>
      <c r="T5399">
        <v>1</v>
      </c>
    </row>
    <row r="5400" spans="18:20" x14ac:dyDescent="0.25">
      <c r="R5400">
        <v>163</v>
      </c>
      <c r="S5400">
        <v>346</v>
      </c>
      <c r="T5400">
        <v>5</v>
      </c>
    </row>
    <row r="5401" spans="18:20" x14ac:dyDescent="0.25">
      <c r="R5401">
        <v>163</v>
      </c>
      <c r="S5401">
        <v>370</v>
      </c>
      <c r="T5401">
        <v>1</v>
      </c>
    </row>
    <row r="5402" spans="18:20" x14ac:dyDescent="0.25">
      <c r="R5402">
        <v>163</v>
      </c>
      <c r="S5402">
        <v>378</v>
      </c>
      <c r="T5402">
        <v>1</v>
      </c>
    </row>
    <row r="5403" spans="18:20" x14ac:dyDescent="0.25">
      <c r="R5403">
        <v>163</v>
      </c>
      <c r="S5403">
        <v>382</v>
      </c>
      <c r="T5403">
        <v>2</v>
      </c>
    </row>
    <row r="5404" spans="18:20" x14ac:dyDescent="0.25">
      <c r="R5404">
        <v>163</v>
      </c>
      <c r="S5404">
        <v>404</v>
      </c>
      <c r="T5404">
        <v>5</v>
      </c>
    </row>
    <row r="5405" spans="18:20" x14ac:dyDescent="0.25">
      <c r="R5405">
        <v>163</v>
      </c>
      <c r="S5405">
        <v>404</v>
      </c>
      <c r="T5405">
        <v>1</v>
      </c>
    </row>
    <row r="5406" spans="18:20" x14ac:dyDescent="0.25">
      <c r="R5406">
        <v>163</v>
      </c>
      <c r="S5406">
        <v>416</v>
      </c>
      <c r="T5406">
        <v>3</v>
      </c>
    </row>
    <row r="5407" spans="18:20" x14ac:dyDescent="0.25">
      <c r="R5407">
        <v>164</v>
      </c>
      <c r="S5407">
        <v>7</v>
      </c>
      <c r="T5407">
        <v>4</v>
      </c>
    </row>
    <row r="5408" spans="18:20" x14ac:dyDescent="0.25">
      <c r="R5408">
        <v>164</v>
      </c>
      <c r="S5408">
        <v>24</v>
      </c>
      <c r="T5408">
        <v>5</v>
      </c>
    </row>
    <row r="5409" spans="18:20" x14ac:dyDescent="0.25">
      <c r="R5409">
        <v>164</v>
      </c>
      <c r="S5409">
        <v>26</v>
      </c>
      <c r="T5409">
        <v>4</v>
      </c>
    </row>
    <row r="5410" spans="18:20" x14ac:dyDescent="0.25">
      <c r="R5410">
        <v>164</v>
      </c>
      <c r="S5410">
        <v>31</v>
      </c>
      <c r="T5410">
        <v>1</v>
      </c>
    </row>
    <row r="5411" spans="18:20" x14ac:dyDescent="0.25">
      <c r="R5411">
        <v>164</v>
      </c>
      <c r="S5411">
        <v>35</v>
      </c>
      <c r="T5411">
        <v>1</v>
      </c>
    </row>
    <row r="5412" spans="18:20" x14ac:dyDescent="0.25">
      <c r="R5412">
        <v>164</v>
      </c>
      <c r="S5412">
        <v>58</v>
      </c>
      <c r="T5412">
        <v>2</v>
      </c>
    </row>
    <row r="5413" spans="18:20" x14ac:dyDescent="0.25">
      <c r="R5413">
        <v>164</v>
      </c>
      <c r="S5413">
        <v>68</v>
      </c>
      <c r="T5413">
        <v>2</v>
      </c>
    </row>
    <row r="5414" spans="18:20" x14ac:dyDescent="0.25">
      <c r="R5414">
        <v>164</v>
      </c>
      <c r="S5414">
        <v>79</v>
      </c>
      <c r="T5414">
        <v>4</v>
      </c>
    </row>
    <row r="5415" spans="18:20" x14ac:dyDescent="0.25">
      <c r="R5415">
        <v>164</v>
      </c>
      <c r="S5415">
        <v>84</v>
      </c>
      <c r="T5415">
        <v>2</v>
      </c>
    </row>
    <row r="5416" spans="18:20" x14ac:dyDescent="0.25">
      <c r="R5416">
        <v>164</v>
      </c>
      <c r="S5416">
        <v>100</v>
      </c>
      <c r="T5416">
        <v>1</v>
      </c>
    </row>
    <row r="5417" spans="18:20" x14ac:dyDescent="0.25">
      <c r="R5417">
        <v>164</v>
      </c>
      <c r="S5417">
        <v>102</v>
      </c>
      <c r="T5417">
        <v>4</v>
      </c>
    </row>
    <row r="5418" spans="18:20" x14ac:dyDescent="0.25">
      <c r="R5418">
        <v>164</v>
      </c>
      <c r="S5418">
        <v>129</v>
      </c>
      <c r="T5418">
        <v>3</v>
      </c>
    </row>
    <row r="5419" spans="18:20" x14ac:dyDescent="0.25">
      <c r="R5419">
        <v>164</v>
      </c>
      <c r="S5419">
        <v>134</v>
      </c>
      <c r="T5419">
        <v>5</v>
      </c>
    </row>
    <row r="5420" spans="18:20" x14ac:dyDescent="0.25">
      <c r="R5420">
        <v>164</v>
      </c>
      <c r="S5420">
        <v>169</v>
      </c>
      <c r="T5420">
        <v>2</v>
      </c>
    </row>
    <row r="5421" spans="18:20" x14ac:dyDescent="0.25">
      <c r="R5421">
        <v>164</v>
      </c>
      <c r="S5421">
        <v>182</v>
      </c>
      <c r="T5421">
        <v>1</v>
      </c>
    </row>
    <row r="5422" spans="18:20" x14ac:dyDescent="0.25">
      <c r="R5422">
        <v>164</v>
      </c>
      <c r="S5422">
        <v>186</v>
      </c>
      <c r="T5422">
        <v>4</v>
      </c>
    </row>
    <row r="5423" spans="18:20" x14ac:dyDescent="0.25">
      <c r="R5423">
        <v>164</v>
      </c>
      <c r="S5423">
        <v>208</v>
      </c>
      <c r="T5423">
        <v>2</v>
      </c>
    </row>
    <row r="5424" spans="18:20" x14ac:dyDescent="0.25">
      <c r="R5424">
        <v>164</v>
      </c>
      <c r="S5424">
        <v>215</v>
      </c>
      <c r="T5424">
        <v>1</v>
      </c>
    </row>
    <row r="5425" spans="18:20" x14ac:dyDescent="0.25">
      <c r="R5425">
        <v>164</v>
      </c>
      <c r="S5425">
        <v>219</v>
      </c>
      <c r="T5425">
        <v>5</v>
      </c>
    </row>
    <row r="5426" spans="18:20" x14ac:dyDescent="0.25">
      <c r="R5426">
        <v>164</v>
      </c>
      <c r="S5426">
        <v>231</v>
      </c>
      <c r="T5426">
        <v>5</v>
      </c>
    </row>
    <row r="5427" spans="18:20" x14ac:dyDescent="0.25">
      <c r="R5427">
        <v>164</v>
      </c>
      <c r="S5427">
        <v>248</v>
      </c>
      <c r="T5427">
        <v>3</v>
      </c>
    </row>
    <row r="5428" spans="18:20" x14ac:dyDescent="0.25">
      <c r="R5428">
        <v>164</v>
      </c>
      <c r="S5428">
        <v>249</v>
      </c>
      <c r="T5428">
        <v>4</v>
      </c>
    </row>
    <row r="5429" spans="18:20" x14ac:dyDescent="0.25">
      <c r="R5429">
        <v>164</v>
      </c>
      <c r="S5429">
        <v>249</v>
      </c>
      <c r="T5429">
        <v>5</v>
      </c>
    </row>
    <row r="5430" spans="18:20" x14ac:dyDescent="0.25">
      <c r="R5430">
        <v>164</v>
      </c>
      <c r="S5430">
        <v>264</v>
      </c>
      <c r="T5430">
        <v>4</v>
      </c>
    </row>
    <row r="5431" spans="18:20" x14ac:dyDescent="0.25">
      <c r="R5431">
        <v>164</v>
      </c>
      <c r="S5431">
        <v>291</v>
      </c>
      <c r="T5431">
        <v>4</v>
      </c>
    </row>
    <row r="5432" spans="18:20" x14ac:dyDescent="0.25">
      <c r="R5432">
        <v>164</v>
      </c>
      <c r="S5432">
        <v>295</v>
      </c>
      <c r="T5432">
        <v>3</v>
      </c>
    </row>
    <row r="5433" spans="18:20" x14ac:dyDescent="0.25">
      <c r="R5433">
        <v>164</v>
      </c>
      <c r="S5433">
        <v>298</v>
      </c>
      <c r="T5433">
        <v>1</v>
      </c>
    </row>
    <row r="5434" spans="18:20" x14ac:dyDescent="0.25">
      <c r="R5434">
        <v>164</v>
      </c>
      <c r="S5434">
        <v>332</v>
      </c>
      <c r="T5434">
        <v>3</v>
      </c>
    </row>
    <row r="5435" spans="18:20" x14ac:dyDescent="0.25">
      <c r="R5435">
        <v>164</v>
      </c>
      <c r="S5435">
        <v>347</v>
      </c>
      <c r="T5435">
        <v>2</v>
      </c>
    </row>
    <row r="5436" spans="18:20" x14ac:dyDescent="0.25">
      <c r="R5436">
        <v>164</v>
      </c>
      <c r="S5436">
        <v>353</v>
      </c>
      <c r="T5436">
        <v>3</v>
      </c>
    </row>
    <row r="5437" spans="18:20" x14ac:dyDescent="0.25">
      <c r="R5437">
        <v>164</v>
      </c>
      <c r="S5437">
        <v>362</v>
      </c>
      <c r="T5437">
        <v>3</v>
      </c>
    </row>
    <row r="5438" spans="18:20" x14ac:dyDescent="0.25">
      <c r="R5438">
        <v>164</v>
      </c>
      <c r="S5438">
        <v>371</v>
      </c>
      <c r="T5438">
        <v>3</v>
      </c>
    </row>
    <row r="5439" spans="18:20" x14ac:dyDescent="0.25">
      <c r="R5439">
        <v>164</v>
      </c>
      <c r="S5439">
        <v>381</v>
      </c>
      <c r="T5439">
        <v>5</v>
      </c>
    </row>
    <row r="5440" spans="18:20" x14ac:dyDescent="0.25">
      <c r="R5440">
        <v>164</v>
      </c>
      <c r="S5440">
        <v>408</v>
      </c>
      <c r="T5440">
        <v>3</v>
      </c>
    </row>
    <row r="5441" spans="18:20" x14ac:dyDescent="0.25">
      <c r="R5441">
        <v>164</v>
      </c>
      <c r="S5441">
        <v>414</v>
      </c>
      <c r="T5441">
        <v>1</v>
      </c>
    </row>
    <row r="5442" spans="18:20" x14ac:dyDescent="0.25">
      <c r="R5442">
        <v>165</v>
      </c>
      <c r="S5442">
        <v>20</v>
      </c>
      <c r="T5442">
        <v>5</v>
      </c>
    </row>
    <row r="5443" spans="18:20" x14ac:dyDescent="0.25">
      <c r="R5443">
        <v>165</v>
      </c>
      <c r="S5443">
        <v>52</v>
      </c>
      <c r="T5443">
        <v>5</v>
      </c>
    </row>
    <row r="5444" spans="18:20" x14ac:dyDescent="0.25">
      <c r="R5444">
        <v>165</v>
      </c>
      <c r="S5444">
        <v>53</v>
      </c>
      <c r="T5444">
        <v>2</v>
      </c>
    </row>
    <row r="5445" spans="18:20" x14ac:dyDescent="0.25">
      <c r="R5445">
        <v>165</v>
      </c>
      <c r="S5445">
        <v>85</v>
      </c>
      <c r="T5445">
        <v>4</v>
      </c>
    </row>
    <row r="5446" spans="18:20" x14ac:dyDescent="0.25">
      <c r="R5446">
        <v>165</v>
      </c>
      <c r="S5446">
        <v>88</v>
      </c>
      <c r="T5446">
        <v>3</v>
      </c>
    </row>
    <row r="5447" spans="18:20" x14ac:dyDescent="0.25">
      <c r="R5447">
        <v>165</v>
      </c>
      <c r="S5447">
        <v>97</v>
      </c>
      <c r="T5447">
        <v>5</v>
      </c>
    </row>
    <row r="5448" spans="18:20" x14ac:dyDescent="0.25">
      <c r="R5448">
        <v>165</v>
      </c>
      <c r="S5448">
        <v>146</v>
      </c>
      <c r="T5448">
        <v>3</v>
      </c>
    </row>
    <row r="5449" spans="18:20" x14ac:dyDescent="0.25">
      <c r="R5449">
        <v>165</v>
      </c>
      <c r="S5449">
        <v>149</v>
      </c>
      <c r="T5449">
        <v>4</v>
      </c>
    </row>
    <row r="5450" spans="18:20" x14ac:dyDescent="0.25">
      <c r="R5450">
        <v>165</v>
      </c>
      <c r="S5450">
        <v>150</v>
      </c>
      <c r="T5450">
        <v>1</v>
      </c>
    </row>
    <row r="5451" spans="18:20" x14ac:dyDescent="0.25">
      <c r="R5451">
        <v>165</v>
      </c>
      <c r="S5451">
        <v>151</v>
      </c>
      <c r="T5451">
        <v>3</v>
      </c>
    </row>
    <row r="5452" spans="18:20" x14ac:dyDescent="0.25">
      <c r="R5452">
        <v>165</v>
      </c>
      <c r="S5452">
        <v>153</v>
      </c>
      <c r="T5452">
        <v>1</v>
      </c>
    </row>
    <row r="5453" spans="18:20" x14ac:dyDescent="0.25">
      <c r="R5453">
        <v>165</v>
      </c>
      <c r="S5453">
        <v>157</v>
      </c>
      <c r="T5453">
        <v>5</v>
      </c>
    </row>
    <row r="5454" spans="18:20" x14ac:dyDescent="0.25">
      <c r="R5454">
        <v>165</v>
      </c>
      <c r="S5454">
        <v>160</v>
      </c>
      <c r="T5454">
        <v>2</v>
      </c>
    </row>
    <row r="5455" spans="18:20" x14ac:dyDescent="0.25">
      <c r="R5455">
        <v>165</v>
      </c>
      <c r="S5455">
        <v>162</v>
      </c>
      <c r="T5455">
        <v>2</v>
      </c>
    </row>
    <row r="5456" spans="18:20" x14ac:dyDescent="0.25">
      <c r="R5456">
        <v>165</v>
      </c>
      <c r="S5456">
        <v>168</v>
      </c>
      <c r="T5456">
        <v>2</v>
      </c>
    </row>
    <row r="5457" spans="18:20" x14ac:dyDescent="0.25">
      <c r="R5457">
        <v>165</v>
      </c>
      <c r="S5457">
        <v>178</v>
      </c>
      <c r="T5457">
        <v>1</v>
      </c>
    </row>
    <row r="5458" spans="18:20" x14ac:dyDescent="0.25">
      <c r="R5458">
        <v>165</v>
      </c>
      <c r="S5458">
        <v>188</v>
      </c>
      <c r="T5458">
        <v>2</v>
      </c>
    </row>
    <row r="5459" spans="18:20" x14ac:dyDescent="0.25">
      <c r="R5459">
        <v>165</v>
      </c>
      <c r="S5459">
        <v>188</v>
      </c>
      <c r="T5459">
        <v>3</v>
      </c>
    </row>
    <row r="5460" spans="18:20" x14ac:dyDescent="0.25">
      <c r="R5460">
        <v>165</v>
      </c>
      <c r="S5460">
        <v>204</v>
      </c>
      <c r="T5460">
        <v>5</v>
      </c>
    </row>
    <row r="5461" spans="18:20" x14ac:dyDescent="0.25">
      <c r="R5461">
        <v>165</v>
      </c>
      <c r="S5461">
        <v>205</v>
      </c>
      <c r="T5461">
        <v>4</v>
      </c>
    </row>
    <row r="5462" spans="18:20" x14ac:dyDescent="0.25">
      <c r="R5462">
        <v>165</v>
      </c>
      <c r="S5462">
        <v>216</v>
      </c>
      <c r="T5462">
        <v>4</v>
      </c>
    </row>
    <row r="5463" spans="18:20" x14ac:dyDescent="0.25">
      <c r="R5463">
        <v>165</v>
      </c>
      <c r="S5463">
        <v>221</v>
      </c>
      <c r="T5463">
        <v>3</v>
      </c>
    </row>
    <row r="5464" spans="18:20" x14ac:dyDescent="0.25">
      <c r="R5464">
        <v>165</v>
      </c>
      <c r="S5464">
        <v>253</v>
      </c>
      <c r="T5464">
        <v>2</v>
      </c>
    </row>
    <row r="5465" spans="18:20" x14ac:dyDescent="0.25">
      <c r="R5465">
        <v>165</v>
      </c>
      <c r="S5465">
        <v>275</v>
      </c>
      <c r="T5465">
        <v>2</v>
      </c>
    </row>
    <row r="5466" spans="18:20" x14ac:dyDescent="0.25">
      <c r="R5466">
        <v>165</v>
      </c>
      <c r="S5466">
        <v>282</v>
      </c>
      <c r="T5466">
        <v>2</v>
      </c>
    </row>
    <row r="5467" spans="18:20" x14ac:dyDescent="0.25">
      <c r="R5467">
        <v>165</v>
      </c>
      <c r="S5467">
        <v>318</v>
      </c>
      <c r="T5467">
        <v>2</v>
      </c>
    </row>
    <row r="5468" spans="18:20" x14ac:dyDescent="0.25">
      <c r="R5468">
        <v>165</v>
      </c>
      <c r="S5468">
        <v>332</v>
      </c>
      <c r="T5468">
        <v>4</v>
      </c>
    </row>
    <row r="5469" spans="18:20" x14ac:dyDescent="0.25">
      <c r="R5469">
        <v>165</v>
      </c>
      <c r="S5469">
        <v>336</v>
      </c>
      <c r="T5469">
        <v>1</v>
      </c>
    </row>
    <row r="5470" spans="18:20" x14ac:dyDescent="0.25">
      <c r="R5470">
        <v>165</v>
      </c>
      <c r="S5470">
        <v>343</v>
      </c>
      <c r="T5470">
        <v>4</v>
      </c>
    </row>
    <row r="5471" spans="18:20" x14ac:dyDescent="0.25">
      <c r="R5471">
        <v>165</v>
      </c>
      <c r="S5471">
        <v>366</v>
      </c>
      <c r="T5471">
        <v>4</v>
      </c>
    </row>
    <row r="5472" spans="18:20" x14ac:dyDescent="0.25">
      <c r="R5472">
        <v>165</v>
      </c>
      <c r="S5472">
        <v>372</v>
      </c>
      <c r="T5472">
        <v>4</v>
      </c>
    </row>
    <row r="5473" spans="18:20" x14ac:dyDescent="0.25">
      <c r="R5473">
        <v>165</v>
      </c>
      <c r="S5473">
        <v>376</v>
      </c>
      <c r="T5473">
        <v>5</v>
      </c>
    </row>
    <row r="5474" spans="18:20" x14ac:dyDescent="0.25">
      <c r="R5474">
        <v>165</v>
      </c>
      <c r="S5474">
        <v>410</v>
      </c>
      <c r="T5474">
        <v>5</v>
      </c>
    </row>
    <row r="5475" spans="18:20" x14ac:dyDescent="0.25">
      <c r="R5475">
        <v>165</v>
      </c>
      <c r="S5475">
        <v>420</v>
      </c>
      <c r="T5475">
        <v>5</v>
      </c>
    </row>
    <row r="5476" spans="18:20" x14ac:dyDescent="0.25">
      <c r="R5476">
        <v>165</v>
      </c>
      <c r="S5476">
        <v>435</v>
      </c>
      <c r="T5476">
        <v>4</v>
      </c>
    </row>
    <row r="5477" spans="18:20" x14ac:dyDescent="0.25">
      <c r="R5477">
        <v>166</v>
      </c>
      <c r="S5477">
        <v>41</v>
      </c>
      <c r="T5477">
        <v>5</v>
      </c>
    </row>
    <row r="5478" spans="18:20" x14ac:dyDescent="0.25">
      <c r="R5478">
        <v>166</v>
      </c>
      <c r="S5478">
        <v>41</v>
      </c>
      <c r="T5478">
        <v>4</v>
      </c>
    </row>
    <row r="5479" spans="18:20" x14ac:dyDescent="0.25">
      <c r="R5479">
        <v>166</v>
      </c>
      <c r="S5479">
        <v>59</v>
      </c>
      <c r="T5479">
        <v>3</v>
      </c>
    </row>
    <row r="5480" spans="18:20" x14ac:dyDescent="0.25">
      <c r="R5480">
        <v>166</v>
      </c>
      <c r="S5480">
        <v>95</v>
      </c>
      <c r="T5480">
        <v>3</v>
      </c>
    </row>
    <row r="5481" spans="18:20" x14ac:dyDescent="0.25">
      <c r="R5481">
        <v>166</v>
      </c>
      <c r="S5481">
        <v>131</v>
      </c>
      <c r="T5481">
        <v>4</v>
      </c>
    </row>
    <row r="5482" spans="18:20" x14ac:dyDescent="0.25">
      <c r="R5482">
        <v>166</v>
      </c>
      <c r="S5482">
        <v>141</v>
      </c>
      <c r="T5482">
        <v>4</v>
      </c>
    </row>
    <row r="5483" spans="18:20" x14ac:dyDescent="0.25">
      <c r="R5483">
        <v>166</v>
      </c>
      <c r="S5483">
        <v>151</v>
      </c>
      <c r="T5483">
        <v>1</v>
      </c>
    </row>
    <row r="5484" spans="18:20" x14ac:dyDescent="0.25">
      <c r="R5484">
        <v>166</v>
      </c>
      <c r="S5484">
        <v>153</v>
      </c>
      <c r="T5484">
        <v>3</v>
      </c>
    </row>
    <row r="5485" spans="18:20" x14ac:dyDescent="0.25">
      <c r="R5485">
        <v>166</v>
      </c>
      <c r="S5485">
        <v>168</v>
      </c>
      <c r="T5485">
        <v>5</v>
      </c>
    </row>
    <row r="5486" spans="18:20" x14ac:dyDescent="0.25">
      <c r="R5486">
        <v>166</v>
      </c>
      <c r="S5486">
        <v>168</v>
      </c>
      <c r="T5486">
        <v>4</v>
      </c>
    </row>
    <row r="5487" spans="18:20" x14ac:dyDescent="0.25">
      <c r="R5487">
        <v>166</v>
      </c>
      <c r="S5487">
        <v>190</v>
      </c>
      <c r="T5487">
        <v>4</v>
      </c>
    </row>
    <row r="5488" spans="18:20" x14ac:dyDescent="0.25">
      <c r="R5488">
        <v>166</v>
      </c>
      <c r="S5488">
        <v>251</v>
      </c>
      <c r="T5488">
        <v>4</v>
      </c>
    </row>
    <row r="5489" spans="18:20" x14ac:dyDescent="0.25">
      <c r="R5489">
        <v>166</v>
      </c>
      <c r="S5489">
        <v>262</v>
      </c>
      <c r="T5489">
        <v>1</v>
      </c>
    </row>
    <row r="5490" spans="18:20" x14ac:dyDescent="0.25">
      <c r="R5490">
        <v>166</v>
      </c>
      <c r="S5490">
        <v>262</v>
      </c>
      <c r="T5490">
        <v>1</v>
      </c>
    </row>
    <row r="5491" spans="18:20" x14ac:dyDescent="0.25">
      <c r="R5491">
        <v>166</v>
      </c>
      <c r="S5491">
        <v>265</v>
      </c>
      <c r="T5491">
        <v>3</v>
      </c>
    </row>
    <row r="5492" spans="18:20" x14ac:dyDescent="0.25">
      <c r="R5492">
        <v>166</v>
      </c>
      <c r="S5492">
        <v>302</v>
      </c>
      <c r="T5492">
        <v>1</v>
      </c>
    </row>
    <row r="5493" spans="18:20" x14ac:dyDescent="0.25">
      <c r="R5493">
        <v>166</v>
      </c>
      <c r="S5493">
        <v>327</v>
      </c>
      <c r="T5493">
        <v>5</v>
      </c>
    </row>
    <row r="5494" spans="18:20" x14ac:dyDescent="0.25">
      <c r="R5494">
        <v>166</v>
      </c>
      <c r="S5494">
        <v>331</v>
      </c>
      <c r="T5494">
        <v>1</v>
      </c>
    </row>
    <row r="5495" spans="18:20" x14ac:dyDescent="0.25">
      <c r="R5495">
        <v>166</v>
      </c>
      <c r="S5495">
        <v>332</v>
      </c>
      <c r="T5495">
        <v>4</v>
      </c>
    </row>
    <row r="5496" spans="18:20" x14ac:dyDescent="0.25">
      <c r="R5496">
        <v>166</v>
      </c>
      <c r="S5496">
        <v>343</v>
      </c>
      <c r="T5496">
        <v>2</v>
      </c>
    </row>
    <row r="5497" spans="18:20" x14ac:dyDescent="0.25">
      <c r="R5497">
        <v>166</v>
      </c>
      <c r="S5497">
        <v>354</v>
      </c>
      <c r="T5497">
        <v>5</v>
      </c>
    </row>
    <row r="5498" spans="18:20" x14ac:dyDescent="0.25">
      <c r="R5498">
        <v>166</v>
      </c>
      <c r="S5498">
        <v>357</v>
      </c>
      <c r="T5498">
        <v>2</v>
      </c>
    </row>
    <row r="5499" spans="18:20" x14ac:dyDescent="0.25">
      <c r="R5499">
        <v>166</v>
      </c>
      <c r="S5499">
        <v>359</v>
      </c>
      <c r="T5499">
        <v>2</v>
      </c>
    </row>
    <row r="5500" spans="18:20" x14ac:dyDescent="0.25">
      <c r="R5500">
        <v>166</v>
      </c>
      <c r="S5500">
        <v>370</v>
      </c>
      <c r="T5500">
        <v>5</v>
      </c>
    </row>
    <row r="5501" spans="18:20" x14ac:dyDescent="0.25">
      <c r="R5501">
        <v>166</v>
      </c>
      <c r="S5501">
        <v>390</v>
      </c>
      <c r="T5501">
        <v>1</v>
      </c>
    </row>
    <row r="5502" spans="18:20" x14ac:dyDescent="0.25">
      <c r="R5502">
        <v>166</v>
      </c>
      <c r="S5502">
        <v>397</v>
      </c>
      <c r="T5502">
        <v>4</v>
      </c>
    </row>
    <row r="5503" spans="18:20" x14ac:dyDescent="0.25">
      <c r="R5503">
        <v>166</v>
      </c>
      <c r="S5503">
        <v>416</v>
      </c>
      <c r="T5503">
        <v>1</v>
      </c>
    </row>
    <row r="5504" spans="18:20" x14ac:dyDescent="0.25">
      <c r="R5504">
        <v>166</v>
      </c>
      <c r="S5504">
        <v>425</v>
      </c>
      <c r="T5504">
        <v>4</v>
      </c>
    </row>
    <row r="5505" spans="18:20" x14ac:dyDescent="0.25">
      <c r="R5505">
        <v>166</v>
      </c>
      <c r="S5505">
        <v>434</v>
      </c>
      <c r="T5505">
        <v>3</v>
      </c>
    </row>
    <row r="5506" spans="18:20" x14ac:dyDescent="0.25">
      <c r="R5506">
        <v>167</v>
      </c>
      <c r="S5506">
        <v>1</v>
      </c>
      <c r="T5506">
        <v>5</v>
      </c>
    </row>
    <row r="5507" spans="18:20" x14ac:dyDescent="0.25">
      <c r="R5507">
        <v>167</v>
      </c>
      <c r="S5507">
        <v>36</v>
      </c>
      <c r="T5507">
        <v>3</v>
      </c>
    </row>
    <row r="5508" spans="18:20" x14ac:dyDescent="0.25">
      <c r="R5508">
        <v>167</v>
      </c>
      <c r="S5508">
        <v>54</v>
      </c>
      <c r="T5508">
        <v>3</v>
      </c>
    </row>
    <row r="5509" spans="18:20" x14ac:dyDescent="0.25">
      <c r="R5509">
        <v>167</v>
      </c>
      <c r="S5509">
        <v>55</v>
      </c>
      <c r="T5509">
        <v>1</v>
      </c>
    </row>
    <row r="5510" spans="18:20" x14ac:dyDescent="0.25">
      <c r="R5510">
        <v>167</v>
      </c>
      <c r="S5510">
        <v>64</v>
      </c>
      <c r="T5510">
        <v>4</v>
      </c>
    </row>
    <row r="5511" spans="18:20" x14ac:dyDescent="0.25">
      <c r="R5511">
        <v>167</v>
      </c>
      <c r="S5511">
        <v>74</v>
      </c>
      <c r="T5511">
        <v>2</v>
      </c>
    </row>
    <row r="5512" spans="18:20" x14ac:dyDescent="0.25">
      <c r="R5512">
        <v>167</v>
      </c>
      <c r="S5512">
        <v>82</v>
      </c>
      <c r="T5512">
        <v>4</v>
      </c>
    </row>
    <row r="5513" spans="18:20" x14ac:dyDescent="0.25">
      <c r="R5513">
        <v>167</v>
      </c>
      <c r="S5513">
        <v>86</v>
      </c>
      <c r="T5513">
        <v>2</v>
      </c>
    </row>
    <row r="5514" spans="18:20" x14ac:dyDescent="0.25">
      <c r="R5514">
        <v>167</v>
      </c>
      <c r="S5514">
        <v>90</v>
      </c>
      <c r="T5514">
        <v>4</v>
      </c>
    </row>
    <row r="5515" spans="18:20" x14ac:dyDescent="0.25">
      <c r="R5515">
        <v>167</v>
      </c>
      <c r="S5515">
        <v>105</v>
      </c>
      <c r="T5515">
        <v>5</v>
      </c>
    </row>
    <row r="5516" spans="18:20" x14ac:dyDescent="0.25">
      <c r="R5516">
        <v>167</v>
      </c>
      <c r="S5516">
        <v>113</v>
      </c>
      <c r="T5516">
        <v>4</v>
      </c>
    </row>
    <row r="5517" spans="18:20" x14ac:dyDescent="0.25">
      <c r="R5517">
        <v>167</v>
      </c>
      <c r="S5517">
        <v>118</v>
      </c>
      <c r="T5517">
        <v>4</v>
      </c>
    </row>
    <row r="5518" spans="18:20" x14ac:dyDescent="0.25">
      <c r="R5518">
        <v>167</v>
      </c>
      <c r="S5518">
        <v>147</v>
      </c>
      <c r="T5518">
        <v>1</v>
      </c>
    </row>
    <row r="5519" spans="18:20" x14ac:dyDescent="0.25">
      <c r="R5519">
        <v>167</v>
      </c>
      <c r="S5519">
        <v>150</v>
      </c>
      <c r="T5519">
        <v>4</v>
      </c>
    </row>
    <row r="5520" spans="18:20" x14ac:dyDescent="0.25">
      <c r="R5520">
        <v>167</v>
      </c>
      <c r="S5520">
        <v>155</v>
      </c>
      <c r="T5520">
        <v>2</v>
      </c>
    </row>
    <row r="5521" spans="18:20" x14ac:dyDescent="0.25">
      <c r="R5521">
        <v>167</v>
      </c>
      <c r="S5521">
        <v>191</v>
      </c>
      <c r="T5521">
        <v>4</v>
      </c>
    </row>
    <row r="5522" spans="18:20" x14ac:dyDescent="0.25">
      <c r="R5522">
        <v>167</v>
      </c>
      <c r="S5522">
        <v>203</v>
      </c>
      <c r="T5522">
        <v>3</v>
      </c>
    </row>
    <row r="5523" spans="18:20" x14ac:dyDescent="0.25">
      <c r="R5523">
        <v>167</v>
      </c>
      <c r="S5523">
        <v>232</v>
      </c>
      <c r="T5523">
        <v>5</v>
      </c>
    </row>
    <row r="5524" spans="18:20" x14ac:dyDescent="0.25">
      <c r="R5524">
        <v>167</v>
      </c>
      <c r="S5524">
        <v>240</v>
      </c>
      <c r="T5524">
        <v>2</v>
      </c>
    </row>
    <row r="5525" spans="18:20" x14ac:dyDescent="0.25">
      <c r="R5525">
        <v>167</v>
      </c>
      <c r="S5525">
        <v>243</v>
      </c>
      <c r="T5525">
        <v>5</v>
      </c>
    </row>
    <row r="5526" spans="18:20" x14ac:dyDescent="0.25">
      <c r="R5526">
        <v>167</v>
      </c>
      <c r="S5526">
        <v>256</v>
      </c>
      <c r="T5526">
        <v>3</v>
      </c>
    </row>
    <row r="5527" spans="18:20" x14ac:dyDescent="0.25">
      <c r="R5527">
        <v>167</v>
      </c>
      <c r="S5527">
        <v>265</v>
      </c>
      <c r="T5527">
        <v>3</v>
      </c>
    </row>
    <row r="5528" spans="18:20" x14ac:dyDescent="0.25">
      <c r="R5528">
        <v>167</v>
      </c>
      <c r="S5528">
        <v>266</v>
      </c>
      <c r="T5528">
        <v>2</v>
      </c>
    </row>
    <row r="5529" spans="18:20" x14ac:dyDescent="0.25">
      <c r="R5529">
        <v>167</v>
      </c>
      <c r="S5529">
        <v>280</v>
      </c>
      <c r="T5529">
        <v>3</v>
      </c>
    </row>
    <row r="5530" spans="18:20" x14ac:dyDescent="0.25">
      <c r="R5530">
        <v>167</v>
      </c>
      <c r="S5530">
        <v>303</v>
      </c>
      <c r="T5530">
        <v>1</v>
      </c>
    </row>
    <row r="5531" spans="18:20" x14ac:dyDescent="0.25">
      <c r="R5531">
        <v>167</v>
      </c>
      <c r="S5531">
        <v>309</v>
      </c>
      <c r="T5531">
        <v>1</v>
      </c>
    </row>
    <row r="5532" spans="18:20" x14ac:dyDescent="0.25">
      <c r="R5532">
        <v>167</v>
      </c>
      <c r="S5532">
        <v>315</v>
      </c>
      <c r="T5532">
        <v>4</v>
      </c>
    </row>
    <row r="5533" spans="18:20" x14ac:dyDescent="0.25">
      <c r="R5533">
        <v>167</v>
      </c>
      <c r="S5533">
        <v>332</v>
      </c>
      <c r="T5533">
        <v>5</v>
      </c>
    </row>
    <row r="5534" spans="18:20" x14ac:dyDescent="0.25">
      <c r="R5534">
        <v>167</v>
      </c>
      <c r="S5534">
        <v>345</v>
      </c>
      <c r="T5534">
        <v>2</v>
      </c>
    </row>
    <row r="5535" spans="18:20" x14ac:dyDescent="0.25">
      <c r="R5535">
        <v>167</v>
      </c>
      <c r="S5535">
        <v>346</v>
      </c>
      <c r="T5535">
        <v>4</v>
      </c>
    </row>
    <row r="5536" spans="18:20" x14ac:dyDescent="0.25">
      <c r="R5536">
        <v>167</v>
      </c>
      <c r="S5536">
        <v>350</v>
      </c>
      <c r="T5536">
        <v>4</v>
      </c>
    </row>
    <row r="5537" spans="18:20" x14ac:dyDescent="0.25">
      <c r="R5537">
        <v>167</v>
      </c>
      <c r="S5537">
        <v>361</v>
      </c>
      <c r="T5537">
        <v>2</v>
      </c>
    </row>
    <row r="5538" spans="18:20" x14ac:dyDescent="0.25">
      <c r="R5538">
        <v>167</v>
      </c>
      <c r="S5538">
        <v>363</v>
      </c>
      <c r="T5538">
        <v>1</v>
      </c>
    </row>
    <row r="5539" spans="18:20" x14ac:dyDescent="0.25">
      <c r="R5539">
        <v>167</v>
      </c>
      <c r="S5539">
        <v>399</v>
      </c>
      <c r="T5539">
        <v>3</v>
      </c>
    </row>
    <row r="5540" spans="18:20" x14ac:dyDescent="0.25">
      <c r="R5540">
        <v>167</v>
      </c>
      <c r="S5540">
        <v>404</v>
      </c>
      <c r="T5540">
        <v>5</v>
      </c>
    </row>
    <row r="5541" spans="18:20" x14ac:dyDescent="0.25">
      <c r="R5541">
        <v>167</v>
      </c>
      <c r="S5541">
        <v>405</v>
      </c>
      <c r="T5541">
        <v>3</v>
      </c>
    </row>
    <row r="5542" spans="18:20" x14ac:dyDescent="0.25">
      <c r="R5542">
        <v>167</v>
      </c>
      <c r="S5542">
        <v>417</v>
      </c>
      <c r="T5542">
        <v>4</v>
      </c>
    </row>
    <row r="5543" spans="18:20" x14ac:dyDescent="0.25">
      <c r="R5543">
        <v>167</v>
      </c>
      <c r="S5543">
        <v>417</v>
      </c>
      <c r="T5543">
        <v>3</v>
      </c>
    </row>
    <row r="5544" spans="18:20" x14ac:dyDescent="0.25">
      <c r="R5544">
        <v>167</v>
      </c>
      <c r="S5544">
        <v>424</v>
      </c>
      <c r="T5544">
        <v>4</v>
      </c>
    </row>
    <row r="5545" spans="18:20" x14ac:dyDescent="0.25">
      <c r="R5545">
        <v>167</v>
      </c>
      <c r="S5545">
        <v>431</v>
      </c>
      <c r="T5545">
        <v>4</v>
      </c>
    </row>
    <row r="5546" spans="18:20" x14ac:dyDescent="0.25">
      <c r="R5546">
        <v>168</v>
      </c>
      <c r="S5546">
        <v>13</v>
      </c>
      <c r="T5546">
        <v>5</v>
      </c>
    </row>
    <row r="5547" spans="18:20" x14ac:dyDescent="0.25">
      <c r="R5547">
        <v>168</v>
      </c>
      <c r="S5547">
        <v>17</v>
      </c>
      <c r="T5547">
        <v>5</v>
      </c>
    </row>
    <row r="5548" spans="18:20" x14ac:dyDescent="0.25">
      <c r="R5548">
        <v>168</v>
      </c>
      <c r="S5548">
        <v>27</v>
      </c>
      <c r="T5548">
        <v>5</v>
      </c>
    </row>
    <row r="5549" spans="18:20" x14ac:dyDescent="0.25">
      <c r="R5549">
        <v>168</v>
      </c>
      <c r="S5549">
        <v>33</v>
      </c>
      <c r="T5549">
        <v>2</v>
      </c>
    </row>
    <row r="5550" spans="18:20" x14ac:dyDescent="0.25">
      <c r="R5550">
        <v>168</v>
      </c>
      <c r="S5550">
        <v>45</v>
      </c>
      <c r="T5550">
        <v>1</v>
      </c>
    </row>
    <row r="5551" spans="18:20" x14ac:dyDescent="0.25">
      <c r="R5551">
        <v>168</v>
      </c>
      <c r="S5551">
        <v>46</v>
      </c>
      <c r="T5551">
        <v>2</v>
      </c>
    </row>
    <row r="5552" spans="18:20" x14ac:dyDescent="0.25">
      <c r="R5552">
        <v>168</v>
      </c>
      <c r="S5552">
        <v>50</v>
      </c>
      <c r="T5552">
        <v>5</v>
      </c>
    </row>
    <row r="5553" spans="18:20" x14ac:dyDescent="0.25">
      <c r="R5553">
        <v>168</v>
      </c>
      <c r="S5553">
        <v>50</v>
      </c>
      <c r="T5553">
        <v>3</v>
      </c>
    </row>
    <row r="5554" spans="18:20" x14ac:dyDescent="0.25">
      <c r="R5554">
        <v>168</v>
      </c>
      <c r="S5554">
        <v>61</v>
      </c>
      <c r="T5554">
        <v>1</v>
      </c>
    </row>
    <row r="5555" spans="18:20" x14ac:dyDescent="0.25">
      <c r="R5555">
        <v>168</v>
      </c>
      <c r="S5555">
        <v>64</v>
      </c>
      <c r="T5555">
        <v>3</v>
      </c>
    </row>
    <row r="5556" spans="18:20" x14ac:dyDescent="0.25">
      <c r="R5556">
        <v>168</v>
      </c>
      <c r="S5556">
        <v>91</v>
      </c>
      <c r="T5556">
        <v>3</v>
      </c>
    </row>
    <row r="5557" spans="18:20" x14ac:dyDescent="0.25">
      <c r="R5557">
        <v>168</v>
      </c>
      <c r="S5557">
        <v>96</v>
      </c>
      <c r="T5557">
        <v>4</v>
      </c>
    </row>
    <row r="5558" spans="18:20" x14ac:dyDescent="0.25">
      <c r="R5558">
        <v>168</v>
      </c>
      <c r="S5558">
        <v>127</v>
      </c>
      <c r="T5558">
        <v>2</v>
      </c>
    </row>
    <row r="5559" spans="18:20" x14ac:dyDescent="0.25">
      <c r="R5559">
        <v>168</v>
      </c>
      <c r="S5559">
        <v>136</v>
      </c>
      <c r="T5559">
        <v>4</v>
      </c>
    </row>
    <row r="5560" spans="18:20" x14ac:dyDescent="0.25">
      <c r="R5560">
        <v>168</v>
      </c>
      <c r="S5560">
        <v>148</v>
      </c>
      <c r="T5560">
        <v>4</v>
      </c>
    </row>
    <row r="5561" spans="18:20" x14ac:dyDescent="0.25">
      <c r="R5561">
        <v>168</v>
      </c>
      <c r="S5561">
        <v>155</v>
      </c>
      <c r="T5561">
        <v>4</v>
      </c>
    </row>
    <row r="5562" spans="18:20" x14ac:dyDescent="0.25">
      <c r="R5562">
        <v>168</v>
      </c>
      <c r="S5562">
        <v>160</v>
      </c>
      <c r="T5562">
        <v>5</v>
      </c>
    </row>
    <row r="5563" spans="18:20" x14ac:dyDescent="0.25">
      <c r="R5563">
        <v>168</v>
      </c>
      <c r="S5563">
        <v>162</v>
      </c>
      <c r="T5563">
        <v>2</v>
      </c>
    </row>
    <row r="5564" spans="18:20" x14ac:dyDescent="0.25">
      <c r="R5564">
        <v>168</v>
      </c>
      <c r="S5564">
        <v>164</v>
      </c>
      <c r="T5564">
        <v>4</v>
      </c>
    </row>
    <row r="5565" spans="18:20" x14ac:dyDescent="0.25">
      <c r="R5565">
        <v>168</v>
      </c>
      <c r="S5565">
        <v>199</v>
      </c>
      <c r="T5565">
        <v>2</v>
      </c>
    </row>
    <row r="5566" spans="18:20" x14ac:dyDescent="0.25">
      <c r="R5566">
        <v>168</v>
      </c>
      <c r="S5566">
        <v>202</v>
      </c>
      <c r="T5566">
        <v>4</v>
      </c>
    </row>
    <row r="5567" spans="18:20" x14ac:dyDescent="0.25">
      <c r="R5567">
        <v>168</v>
      </c>
      <c r="S5567">
        <v>203</v>
      </c>
      <c r="T5567">
        <v>3</v>
      </c>
    </row>
    <row r="5568" spans="18:20" x14ac:dyDescent="0.25">
      <c r="R5568">
        <v>168</v>
      </c>
      <c r="S5568">
        <v>218</v>
      </c>
      <c r="T5568">
        <v>5</v>
      </c>
    </row>
    <row r="5569" spans="18:20" x14ac:dyDescent="0.25">
      <c r="R5569">
        <v>168</v>
      </c>
      <c r="S5569">
        <v>232</v>
      </c>
      <c r="T5569">
        <v>3</v>
      </c>
    </row>
    <row r="5570" spans="18:20" x14ac:dyDescent="0.25">
      <c r="R5570">
        <v>168</v>
      </c>
      <c r="S5570">
        <v>244</v>
      </c>
      <c r="T5570">
        <v>2</v>
      </c>
    </row>
    <row r="5571" spans="18:20" x14ac:dyDescent="0.25">
      <c r="R5571">
        <v>168</v>
      </c>
      <c r="S5571">
        <v>257</v>
      </c>
      <c r="T5571">
        <v>4</v>
      </c>
    </row>
    <row r="5572" spans="18:20" x14ac:dyDescent="0.25">
      <c r="R5572">
        <v>168</v>
      </c>
      <c r="S5572">
        <v>261</v>
      </c>
      <c r="T5572">
        <v>4</v>
      </c>
    </row>
    <row r="5573" spans="18:20" x14ac:dyDescent="0.25">
      <c r="R5573">
        <v>168</v>
      </c>
      <c r="S5573">
        <v>282</v>
      </c>
      <c r="T5573">
        <v>4</v>
      </c>
    </row>
    <row r="5574" spans="18:20" x14ac:dyDescent="0.25">
      <c r="R5574">
        <v>168</v>
      </c>
      <c r="S5574">
        <v>284</v>
      </c>
      <c r="T5574">
        <v>3</v>
      </c>
    </row>
    <row r="5575" spans="18:20" x14ac:dyDescent="0.25">
      <c r="R5575">
        <v>168</v>
      </c>
      <c r="S5575">
        <v>290</v>
      </c>
      <c r="T5575">
        <v>1</v>
      </c>
    </row>
    <row r="5576" spans="18:20" x14ac:dyDescent="0.25">
      <c r="R5576">
        <v>168</v>
      </c>
      <c r="S5576">
        <v>298</v>
      </c>
      <c r="T5576">
        <v>5</v>
      </c>
    </row>
    <row r="5577" spans="18:20" x14ac:dyDescent="0.25">
      <c r="R5577">
        <v>168</v>
      </c>
      <c r="S5577">
        <v>300</v>
      </c>
      <c r="T5577">
        <v>3</v>
      </c>
    </row>
    <row r="5578" spans="18:20" x14ac:dyDescent="0.25">
      <c r="R5578">
        <v>168</v>
      </c>
      <c r="S5578">
        <v>304</v>
      </c>
      <c r="T5578">
        <v>5</v>
      </c>
    </row>
    <row r="5579" spans="18:20" x14ac:dyDescent="0.25">
      <c r="R5579">
        <v>168</v>
      </c>
      <c r="S5579">
        <v>305</v>
      </c>
      <c r="T5579">
        <v>1</v>
      </c>
    </row>
    <row r="5580" spans="18:20" x14ac:dyDescent="0.25">
      <c r="R5580">
        <v>168</v>
      </c>
      <c r="S5580">
        <v>325</v>
      </c>
      <c r="T5580">
        <v>4</v>
      </c>
    </row>
    <row r="5581" spans="18:20" x14ac:dyDescent="0.25">
      <c r="R5581">
        <v>168</v>
      </c>
      <c r="S5581">
        <v>325</v>
      </c>
      <c r="T5581">
        <v>3</v>
      </c>
    </row>
    <row r="5582" spans="18:20" x14ac:dyDescent="0.25">
      <c r="R5582">
        <v>168</v>
      </c>
      <c r="S5582">
        <v>334</v>
      </c>
      <c r="T5582">
        <v>4</v>
      </c>
    </row>
    <row r="5583" spans="18:20" x14ac:dyDescent="0.25">
      <c r="R5583">
        <v>168</v>
      </c>
      <c r="S5583">
        <v>340</v>
      </c>
      <c r="T5583">
        <v>1</v>
      </c>
    </row>
    <row r="5584" spans="18:20" x14ac:dyDescent="0.25">
      <c r="R5584">
        <v>168</v>
      </c>
      <c r="S5584">
        <v>345</v>
      </c>
      <c r="T5584">
        <v>5</v>
      </c>
    </row>
    <row r="5585" spans="18:20" x14ac:dyDescent="0.25">
      <c r="R5585">
        <v>168</v>
      </c>
      <c r="S5585">
        <v>355</v>
      </c>
      <c r="T5585">
        <v>5</v>
      </c>
    </row>
    <row r="5586" spans="18:20" x14ac:dyDescent="0.25">
      <c r="R5586">
        <v>168</v>
      </c>
      <c r="S5586">
        <v>356</v>
      </c>
      <c r="T5586">
        <v>1</v>
      </c>
    </row>
    <row r="5587" spans="18:20" x14ac:dyDescent="0.25">
      <c r="R5587">
        <v>168</v>
      </c>
      <c r="S5587">
        <v>427</v>
      </c>
      <c r="T5587">
        <v>5</v>
      </c>
    </row>
    <row r="5588" spans="18:20" x14ac:dyDescent="0.25">
      <c r="R5588">
        <v>168</v>
      </c>
      <c r="S5588">
        <v>427</v>
      </c>
      <c r="T5588">
        <v>4</v>
      </c>
    </row>
    <row r="5589" spans="18:20" x14ac:dyDescent="0.25">
      <c r="R5589">
        <v>169</v>
      </c>
      <c r="S5589">
        <v>1</v>
      </c>
      <c r="T5589">
        <v>5</v>
      </c>
    </row>
    <row r="5590" spans="18:20" x14ac:dyDescent="0.25">
      <c r="R5590">
        <v>169</v>
      </c>
      <c r="S5590">
        <v>7</v>
      </c>
      <c r="T5590">
        <v>1</v>
      </c>
    </row>
    <row r="5591" spans="18:20" x14ac:dyDescent="0.25">
      <c r="R5591">
        <v>169</v>
      </c>
      <c r="S5591">
        <v>12</v>
      </c>
      <c r="T5591">
        <v>1</v>
      </c>
    </row>
    <row r="5592" spans="18:20" x14ac:dyDescent="0.25">
      <c r="R5592">
        <v>169</v>
      </c>
      <c r="S5592">
        <v>21</v>
      </c>
      <c r="T5592">
        <v>5</v>
      </c>
    </row>
    <row r="5593" spans="18:20" x14ac:dyDescent="0.25">
      <c r="R5593">
        <v>169</v>
      </c>
      <c r="S5593">
        <v>34</v>
      </c>
      <c r="T5593">
        <v>1</v>
      </c>
    </row>
    <row r="5594" spans="18:20" x14ac:dyDescent="0.25">
      <c r="R5594">
        <v>169</v>
      </c>
      <c r="S5594">
        <v>58</v>
      </c>
      <c r="T5594">
        <v>2</v>
      </c>
    </row>
    <row r="5595" spans="18:20" x14ac:dyDescent="0.25">
      <c r="R5595">
        <v>169</v>
      </c>
      <c r="S5595">
        <v>74</v>
      </c>
      <c r="T5595">
        <v>5</v>
      </c>
    </row>
    <row r="5596" spans="18:20" x14ac:dyDescent="0.25">
      <c r="R5596">
        <v>169</v>
      </c>
      <c r="S5596">
        <v>109</v>
      </c>
      <c r="T5596">
        <v>3</v>
      </c>
    </row>
    <row r="5597" spans="18:20" x14ac:dyDescent="0.25">
      <c r="R5597">
        <v>169</v>
      </c>
      <c r="S5597">
        <v>125</v>
      </c>
      <c r="T5597">
        <v>5</v>
      </c>
    </row>
    <row r="5598" spans="18:20" x14ac:dyDescent="0.25">
      <c r="R5598">
        <v>169</v>
      </c>
      <c r="S5598">
        <v>131</v>
      </c>
      <c r="T5598">
        <v>1</v>
      </c>
    </row>
    <row r="5599" spans="18:20" x14ac:dyDescent="0.25">
      <c r="R5599">
        <v>169</v>
      </c>
      <c r="S5599">
        <v>153</v>
      </c>
      <c r="T5599">
        <v>2</v>
      </c>
    </row>
    <row r="5600" spans="18:20" x14ac:dyDescent="0.25">
      <c r="R5600">
        <v>169</v>
      </c>
      <c r="S5600">
        <v>161</v>
      </c>
      <c r="T5600">
        <v>4</v>
      </c>
    </row>
    <row r="5601" spans="18:20" x14ac:dyDescent="0.25">
      <c r="R5601">
        <v>169</v>
      </c>
      <c r="S5601">
        <v>180</v>
      </c>
      <c r="T5601">
        <v>3</v>
      </c>
    </row>
    <row r="5602" spans="18:20" x14ac:dyDescent="0.25">
      <c r="R5602">
        <v>169</v>
      </c>
      <c r="S5602">
        <v>183</v>
      </c>
      <c r="T5602">
        <v>4</v>
      </c>
    </row>
    <row r="5603" spans="18:20" x14ac:dyDescent="0.25">
      <c r="R5603">
        <v>169</v>
      </c>
      <c r="S5603">
        <v>206</v>
      </c>
      <c r="T5603">
        <v>5</v>
      </c>
    </row>
    <row r="5604" spans="18:20" x14ac:dyDescent="0.25">
      <c r="R5604">
        <v>169</v>
      </c>
      <c r="S5604">
        <v>241</v>
      </c>
      <c r="T5604">
        <v>5</v>
      </c>
    </row>
    <row r="5605" spans="18:20" x14ac:dyDescent="0.25">
      <c r="R5605">
        <v>169</v>
      </c>
      <c r="S5605">
        <v>256</v>
      </c>
      <c r="T5605">
        <v>1</v>
      </c>
    </row>
    <row r="5606" spans="18:20" x14ac:dyDescent="0.25">
      <c r="R5606">
        <v>169</v>
      </c>
      <c r="S5606">
        <v>271</v>
      </c>
      <c r="T5606">
        <v>2</v>
      </c>
    </row>
    <row r="5607" spans="18:20" x14ac:dyDescent="0.25">
      <c r="R5607">
        <v>169</v>
      </c>
      <c r="S5607">
        <v>274</v>
      </c>
      <c r="T5607">
        <v>1</v>
      </c>
    </row>
    <row r="5608" spans="18:20" x14ac:dyDescent="0.25">
      <c r="R5608">
        <v>169</v>
      </c>
      <c r="S5608">
        <v>279</v>
      </c>
      <c r="T5608">
        <v>4</v>
      </c>
    </row>
    <row r="5609" spans="18:20" x14ac:dyDescent="0.25">
      <c r="R5609">
        <v>169</v>
      </c>
      <c r="S5609">
        <v>293</v>
      </c>
      <c r="T5609">
        <v>3</v>
      </c>
    </row>
    <row r="5610" spans="18:20" x14ac:dyDescent="0.25">
      <c r="R5610">
        <v>169</v>
      </c>
      <c r="S5610">
        <v>295</v>
      </c>
      <c r="T5610">
        <v>3</v>
      </c>
    </row>
    <row r="5611" spans="18:20" x14ac:dyDescent="0.25">
      <c r="R5611">
        <v>169</v>
      </c>
      <c r="S5611">
        <v>331</v>
      </c>
      <c r="T5611">
        <v>5</v>
      </c>
    </row>
    <row r="5612" spans="18:20" x14ac:dyDescent="0.25">
      <c r="R5612">
        <v>169</v>
      </c>
      <c r="S5612">
        <v>337</v>
      </c>
      <c r="T5612">
        <v>1</v>
      </c>
    </row>
    <row r="5613" spans="18:20" x14ac:dyDescent="0.25">
      <c r="R5613">
        <v>169</v>
      </c>
      <c r="S5613">
        <v>347</v>
      </c>
      <c r="T5613">
        <v>3</v>
      </c>
    </row>
    <row r="5614" spans="18:20" x14ac:dyDescent="0.25">
      <c r="R5614">
        <v>169</v>
      </c>
      <c r="S5614">
        <v>348</v>
      </c>
      <c r="T5614">
        <v>2</v>
      </c>
    </row>
    <row r="5615" spans="18:20" x14ac:dyDescent="0.25">
      <c r="R5615">
        <v>169</v>
      </c>
      <c r="S5615">
        <v>361</v>
      </c>
      <c r="T5615">
        <v>5</v>
      </c>
    </row>
    <row r="5616" spans="18:20" x14ac:dyDescent="0.25">
      <c r="R5616">
        <v>169</v>
      </c>
      <c r="S5616">
        <v>362</v>
      </c>
      <c r="T5616">
        <v>5</v>
      </c>
    </row>
    <row r="5617" spans="18:20" x14ac:dyDescent="0.25">
      <c r="R5617">
        <v>169</v>
      </c>
      <c r="S5617">
        <v>389</v>
      </c>
      <c r="T5617">
        <v>4</v>
      </c>
    </row>
    <row r="5618" spans="18:20" x14ac:dyDescent="0.25">
      <c r="R5618">
        <v>169</v>
      </c>
      <c r="S5618">
        <v>406</v>
      </c>
      <c r="T5618">
        <v>1</v>
      </c>
    </row>
    <row r="5619" spans="18:20" x14ac:dyDescent="0.25">
      <c r="R5619">
        <v>169</v>
      </c>
      <c r="S5619">
        <v>435</v>
      </c>
      <c r="T5619">
        <v>4</v>
      </c>
    </row>
    <row r="5620" spans="18:20" x14ac:dyDescent="0.25">
      <c r="R5620">
        <v>170</v>
      </c>
      <c r="S5620">
        <v>6</v>
      </c>
      <c r="T5620">
        <v>1</v>
      </c>
    </row>
    <row r="5621" spans="18:20" x14ac:dyDescent="0.25">
      <c r="R5621">
        <v>170</v>
      </c>
      <c r="S5621">
        <v>8</v>
      </c>
      <c r="T5621">
        <v>3</v>
      </c>
    </row>
    <row r="5622" spans="18:20" x14ac:dyDescent="0.25">
      <c r="R5622">
        <v>170</v>
      </c>
      <c r="S5622">
        <v>11</v>
      </c>
      <c r="T5622">
        <v>4</v>
      </c>
    </row>
    <row r="5623" spans="18:20" x14ac:dyDescent="0.25">
      <c r="R5623">
        <v>170</v>
      </c>
      <c r="S5623">
        <v>13</v>
      </c>
      <c r="T5623">
        <v>3</v>
      </c>
    </row>
    <row r="5624" spans="18:20" x14ac:dyDescent="0.25">
      <c r="R5624">
        <v>170</v>
      </c>
      <c r="S5624">
        <v>30</v>
      </c>
      <c r="T5624">
        <v>1</v>
      </c>
    </row>
    <row r="5625" spans="18:20" x14ac:dyDescent="0.25">
      <c r="R5625">
        <v>170</v>
      </c>
      <c r="S5625">
        <v>72</v>
      </c>
      <c r="T5625">
        <v>3</v>
      </c>
    </row>
    <row r="5626" spans="18:20" x14ac:dyDescent="0.25">
      <c r="R5626">
        <v>170</v>
      </c>
      <c r="S5626">
        <v>76</v>
      </c>
      <c r="T5626">
        <v>4</v>
      </c>
    </row>
    <row r="5627" spans="18:20" x14ac:dyDescent="0.25">
      <c r="R5627">
        <v>170</v>
      </c>
      <c r="S5627">
        <v>101</v>
      </c>
      <c r="T5627">
        <v>1</v>
      </c>
    </row>
    <row r="5628" spans="18:20" x14ac:dyDescent="0.25">
      <c r="R5628">
        <v>170</v>
      </c>
      <c r="S5628">
        <v>155</v>
      </c>
      <c r="T5628">
        <v>1</v>
      </c>
    </row>
    <row r="5629" spans="18:20" x14ac:dyDescent="0.25">
      <c r="R5629">
        <v>170</v>
      </c>
      <c r="S5629">
        <v>160</v>
      </c>
      <c r="T5629">
        <v>3</v>
      </c>
    </row>
    <row r="5630" spans="18:20" x14ac:dyDescent="0.25">
      <c r="R5630">
        <v>170</v>
      </c>
      <c r="S5630">
        <v>165</v>
      </c>
      <c r="T5630">
        <v>2</v>
      </c>
    </row>
    <row r="5631" spans="18:20" x14ac:dyDescent="0.25">
      <c r="R5631">
        <v>170</v>
      </c>
      <c r="S5631">
        <v>193</v>
      </c>
      <c r="T5631">
        <v>5</v>
      </c>
    </row>
    <row r="5632" spans="18:20" x14ac:dyDescent="0.25">
      <c r="R5632">
        <v>170</v>
      </c>
      <c r="S5632">
        <v>198</v>
      </c>
      <c r="T5632">
        <v>2</v>
      </c>
    </row>
    <row r="5633" spans="18:20" x14ac:dyDescent="0.25">
      <c r="R5633">
        <v>170</v>
      </c>
      <c r="S5633">
        <v>201</v>
      </c>
      <c r="T5633">
        <v>2</v>
      </c>
    </row>
    <row r="5634" spans="18:20" x14ac:dyDescent="0.25">
      <c r="R5634">
        <v>170</v>
      </c>
      <c r="S5634">
        <v>201</v>
      </c>
      <c r="T5634">
        <v>4</v>
      </c>
    </row>
    <row r="5635" spans="18:20" x14ac:dyDescent="0.25">
      <c r="R5635">
        <v>170</v>
      </c>
      <c r="S5635">
        <v>208</v>
      </c>
      <c r="T5635">
        <v>2</v>
      </c>
    </row>
    <row r="5636" spans="18:20" x14ac:dyDescent="0.25">
      <c r="R5636">
        <v>170</v>
      </c>
      <c r="S5636">
        <v>228</v>
      </c>
      <c r="T5636">
        <v>2</v>
      </c>
    </row>
    <row r="5637" spans="18:20" x14ac:dyDescent="0.25">
      <c r="R5637">
        <v>170</v>
      </c>
      <c r="S5637">
        <v>230</v>
      </c>
      <c r="T5637">
        <v>5</v>
      </c>
    </row>
    <row r="5638" spans="18:20" x14ac:dyDescent="0.25">
      <c r="R5638">
        <v>170</v>
      </c>
      <c r="S5638">
        <v>230</v>
      </c>
      <c r="T5638">
        <v>4</v>
      </c>
    </row>
    <row r="5639" spans="18:20" x14ac:dyDescent="0.25">
      <c r="R5639">
        <v>170</v>
      </c>
      <c r="S5639">
        <v>237</v>
      </c>
      <c r="T5639">
        <v>1</v>
      </c>
    </row>
    <row r="5640" spans="18:20" x14ac:dyDescent="0.25">
      <c r="R5640">
        <v>170</v>
      </c>
      <c r="S5640">
        <v>250</v>
      </c>
      <c r="T5640">
        <v>1</v>
      </c>
    </row>
    <row r="5641" spans="18:20" x14ac:dyDescent="0.25">
      <c r="R5641">
        <v>170</v>
      </c>
      <c r="S5641">
        <v>259</v>
      </c>
      <c r="T5641">
        <v>4</v>
      </c>
    </row>
    <row r="5642" spans="18:20" x14ac:dyDescent="0.25">
      <c r="R5642">
        <v>170</v>
      </c>
      <c r="S5642">
        <v>260</v>
      </c>
      <c r="T5642">
        <v>3</v>
      </c>
    </row>
    <row r="5643" spans="18:20" x14ac:dyDescent="0.25">
      <c r="R5643">
        <v>170</v>
      </c>
      <c r="S5643">
        <v>264</v>
      </c>
      <c r="T5643">
        <v>2</v>
      </c>
    </row>
    <row r="5644" spans="18:20" x14ac:dyDescent="0.25">
      <c r="R5644">
        <v>170</v>
      </c>
      <c r="S5644">
        <v>265</v>
      </c>
      <c r="T5644">
        <v>2</v>
      </c>
    </row>
    <row r="5645" spans="18:20" x14ac:dyDescent="0.25">
      <c r="R5645">
        <v>170</v>
      </c>
      <c r="S5645">
        <v>267</v>
      </c>
      <c r="T5645">
        <v>1</v>
      </c>
    </row>
    <row r="5646" spans="18:20" x14ac:dyDescent="0.25">
      <c r="R5646">
        <v>170</v>
      </c>
      <c r="S5646">
        <v>271</v>
      </c>
      <c r="T5646">
        <v>4</v>
      </c>
    </row>
    <row r="5647" spans="18:20" x14ac:dyDescent="0.25">
      <c r="R5647">
        <v>170</v>
      </c>
      <c r="S5647">
        <v>274</v>
      </c>
      <c r="T5647">
        <v>2</v>
      </c>
    </row>
    <row r="5648" spans="18:20" x14ac:dyDescent="0.25">
      <c r="R5648">
        <v>170</v>
      </c>
      <c r="S5648">
        <v>296</v>
      </c>
      <c r="T5648">
        <v>4</v>
      </c>
    </row>
    <row r="5649" spans="18:20" x14ac:dyDescent="0.25">
      <c r="R5649">
        <v>170</v>
      </c>
      <c r="S5649">
        <v>298</v>
      </c>
      <c r="T5649">
        <v>1</v>
      </c>
    </row>
    <row r="5650" spans="18:20" x14ac:dyDescent="0.25">
      <c r="R5650">
        <v>170</v>
      </c>
      <c r="S5650">
        <v>309</v>
      </c>
      <c r="T5650">
        <v>5</v>
      </c>
    </row>
    <row r="5651" spans="18:20" x14ac:dyDescent="0.25">
      <c r="R5651">
        <v>170</v>
      </c>
      <c r="S5651">
        <v>324</v>
      </c>
      <c r="T5651">
        <v>1</v>
      </c>
    </row>
    <row r="5652" spans="18:20" x14ac:dyDescent="0.25">
      <c r="R5652">
        <v>170</v>
      </c>
      <c r="S5652">
        <v>329</v>
      </c>
      <c r="T5652">
        <v>3</v>
      </c>
    </row>
    <row r="5653" spans="18:20" x14ac:dyDescent="0.25">
      <c r="R5653">
        <v>170</v>
      </c>
      <c r="S5653">
        <v>337</v>
      </c>
      <c r="T5653">
        <v>5</v>
      </c>
    </row>
    <row r="5654" spans="18:20" x14ac:dyDescent="0.25">
      <c r="R5654">
        <v>170</v>
      </c>
      <c r="S5654">
        <v>349</v>
      </c>
      <c r="T5654">
        <v>5</v>
      </c>
    </row>
    <row r="5655" spans="18:20" x14ac:dyDescent="0.25">
      <c r="R5655">
        <v>170</v>
      </c>
      <c r="S5655">
        <v>354</v>
      </c>
      <c r="T5655">
        <v>1</v>
      </c>
    </row>
    <row r="5656" spans="18:20" x14ac:dyDescent="0.25">
      <c r="R5656">
        <v>170</v>
      </c>
      <c r="S5656">
        <v>356</v>
      </c>
      <c r="T5656">
        <v>2</v>
      </c>
    </row>
    <row r="5657" spans="18:20" x14ac:dyDescent="0.25">
      <c r="R5657">
        <v>170</v>
      </c>
      <c r="S5657">
        <v>367</v>
      </c>
      <c r="T5657">
        <v>2</v>
      </c>
    </row>
    <row r="5658" spans="18:20" x14ac:dyDescent="0.25">
      <c r="R5658">
        <v>170</v>
      </c>
      <c r="S5658">
        <v>368</v>
      </c>
      <c r="T5658">
        <v>4</v>
      </c>
    </row>
    <row r="5659" spans="18:20" x14ac:dyDescent="0.25">
      <c r="R5659">
        <v>170</v>
      </c>
      <c r="S5659">
        <v>397</v>
      </c>
      <c r="T5659">
        <v>2</v>
      </c>
    </row>
    <row r="5660" spans="18:20" x14ac:dyDescent="0.25">
      <c r="R5660">
        <v>170</v>
      </c>
      <c r="S5660">
        <v>426</v>
      </c>
      <c r="T5660">
        <v>3</v>
      </c>
    </row>
    <row r="5661" spans="18:20" x14ac:dyDescent="0.25">
      <c r="R5661">
        <v>171</v>
      </c>
      <c r="S5661">
        <v>4</v>
      </c>
      <c r="T5661">
        <v>1</v>
      </c>
    </row>
    <row r="5662" spans="18:20" x14ac:dyDescent="0.25">
      <c r="R5662">
        <v>171</v>
      </c>
      <c r="S5662">
        <v>56</v>
      </c>
      <c r="T5662">
        <v>2</v>
      </c>
    </row>
    <row r="5663" spans="18:20" x14ac:dyDescent="0.25">
      <c r="R5663">
        <v>171</v>
      </c>
      <c r="S5663">
        <v>71</v>
      </c>
      <c r="T5663">
        <v>4</v>
      </c>
    </row>
    <row r="5664" spans="18:20" x14ac:dyDescent="0.25">
      <c r="R5664">
        <v>171</v>
      </c>
      <c r="S5664">
        <v>80</v>
      </c>
      <c r="T5664">
        <v>5</v>
      </c>
    </row>
    <row r="5665" spans="18:20" x14ac:dyDescent="0.25">
      <c r="R5665">
        <v>171</v>
      </c>
      <c r="S5665">
        <v>86</v>
      </c>
      <c r="T5665">
        <v>4</v>
      </c>
    </row>
    <row r="5666" spans="18:20" x14ac:dyDescent="0.25">
      <c r="R5666">
        <v>171</v>
      </c>
      <c r="S5666">
        <v>95</v>
      </c>
      <c r="T5666">
        <v>2</v>
      </c>
    </row>
    <row r="5667" spans="18:20" x14ac:dyDescent="0.25">
      <c r="R5667">
        <v>171</v>
      </c>
      <c r="S5667">
        <v>115</v>
      </c>
      <c r="T5667">
        <v>5</v>
      </c>
    </row>
    <row r="5668" spans="18:20" x14ac:dyDescent="0.25">
      <c r="R5668">
        <v>171</v>
      </c>
      <c r="S5668">
        <v>138</v>
      </c>
      <c r="T5668">
        <v>2</v>
      </c>
    </row>
    <row r="5669" spans="18:20" x14ac:dyDescent="0.25">
      <c r="R5669">
        <v>171</v>
      </c>
      <c r="S5669">
        <v>166</v>
      </c>
      <c r="T5669">
        <v>2</v>
      </c>
    </row>
    <row r="5670" spans="18:20" x14ac:dyDescent="0.25">
      <c r="R5670">
        <v>171</v>
      </c>
      <c r="S5670">
        <v>181</v>
      </c>
      <c r="T5670">
        <v>5</v>
      </c>
    </row>
    <row r="5671" spans="18:20" x14ac:dyDescent="0.25">
      <c r="R5671">
        <v>171</v>
      </c>
      <c r="S5671">
        <v>181</v>
      </c>
      <c r="T5671">
        <v>1</v>
      </c>
    </row>
    <row r="5672" spans="18:20" x14ac:dyDescent="0.25">
      <c r="R5672">
        <v>171</v>
      </c>
      <c r="S5672">
        <v>191</v>
      </c>
      <c r="T5672">
        <v>4</v>
      </c>
    </row>
    <row r="5673" spans="18:20" x14ac:dyDescent="0.25">
      <c r="R5673">
        <v>171</v>
      </c>
      <c r="S5673">
        <v>217</v>
      </c>
      <c r="T5673">
        <v>3</v>
      </c>
    </row>
    <row r="5674" spans="18:20" x14ac:dyDescent="0.25">
      <c r="R5674">
        <v>171</v>
      </c>
      <c r="S5674">
        <v>220</v>
      </c>
      <c r="T5674">
        <v>2</v>
      </c>
    </row>
    <row r="5675" spans="18:20" x14ac:dyDescent="0.25">
      <c r="R5675">
        <v>171</v>
      </c>
      <c r="S5675">
        <v>233</v>
      </c>
      <c r="T5675">
        <v>3</v>
      </c>
    </row>
    <row r="5676" spans="18:20" x14ac:dyDescent="0.25">
      <c r="R5676">
        <v>171</v>
      </c>
      <c r="S5676">
        <v>240</v>
      </c>
      <c r="T5676">
        <v>5</v>
      </c>
    </row>
    <row r="5677" spans="18:20" x14ac:dyDescent="0.25">
      <c r="R5677">
        <v>171</v>
      </c>
      <c r="S5677">
        <v>244</v>
      </c>
      <c r="T5677">
        <v>4</v>
      </c>
    </row>
    <row r="5678" spans="18:20" x14ac:dyDescent="0.25">
      <c r="R5678">
        <v>171</v>
      </c>
      <c r="S5678">
        <v>258</v>
      </c>
      <c r="T5678">
        <v>1</v>
      </c>
    </row>
    <row r="5679" spans="18:20" x14ac:dyDescent="0.25">
      <c r="R5679">
        <v>171</v>
      </c>
      <c r="S5679">
        <v>263</v>
      </c>
      <c r="T5679">
        <v>5</v>
      </c>
    </row>
    <row r="5680" spans="18:20" x14ac:dyDescent="0.25">
      <c r="R5680">
        <v>171</v>
      </c>
      <c r="S5680">
        <v>264</v>
      </c>
      <c r="T5680">
        <v>3</v>
      </c>
    </row>
    <row r="5681" spans="18:20" x14ac:dyDescent="0.25">
      <c r="R5681">
        <v>171</v>
      </c>
      <c r="S5681">
        <v>269</v>
      </c>
      <c r="T5681">
        <v>3</v>
      </c>
    </row>
    <row r="5682" spans="18:20" x14ac:dyDescent="0.25">
      <c r="R5682">
        <v>171</v>
      </c>
      <c r="S5682">
        <v>277</v>
      </c>
      <c r="T5682">
        <v>4</v>
      </c>
    </row>
    <row r="5683" spans="18:20" x14ac:dyDescent="0.25">
      <c r="R5683">
        <v>171</v>
      </c>
      <c r="S5683">
        <v>283</v>
      </c>
      <c r="T5683">
        <v>3</v>
      </c>
    </row>
    <row r="5684" spans="18:20" x14ac:dyDescent="0.25">
      <c r="R5684">
        <v>171</v>
      </c>
      <c r="S5684">
        <v>298</v>
      </c>
      <c r="T5684">
        <v>3</v>
      </c>
    </row>
    <row r="5685" spans="18:20" x14ac:dyDescent="0.25">
      <c r="R5685">
        <v>171</v>
      </c>
      <c r="S5685">
        <v>308</v>
      </c>
      <c r="T5685">
        <v>4</v>
      </c>
    </row>
    <row r="5686" spans="18:20" x14ac:dyDescent="0.25">
      <c r="R5686">
        <v>171</v>
      </c>
      <c r="S5686">
        <v>326</v>
      </c>
      <c r="T5686">
        <v>1</v>
      </c>
    </row>
    <row r="5687" spans="18:20" x14ac:dyDescent="0.25">
      <c r="R5687">
        <v>171</v>
      </c>
      <c r="S5687">
        <v>331</v>
      </c>
      <c r="T5687">
        <v>1</v>
      </c>
    </row>
    <row r="5688" spans="18:20" x14ac:dyDescent="0.25">
      <c r="R5688">
        <v>171</v>
      </c>
      <c r="S5688">
        <v>333</v>
      </c>
      <c r="T5688">
        <v>3</v>
      </c>
    </row>
    <row r="5689" spans="18:20" x14ac:dyDescent="0.25">
      <c r="R5689">
        <v>171</v>
      </c>
      <c r="S5689">
        <v>385</v>
      </c>
      <c r="T5689">
        <v>1</v>
      </c>
    </row>
    <row r="5690" spans="18:20" x14ac:dyDescent="0.25">
      <c r="R5690">
        <v>171</v>
      </c>
      <c r="S5690">
        <v>406</v>
      </c>
      <c r="T5690">
        <v>4</v>
      </c>
    </row>
    <row r="5691" spans="18:20" x14ac:dyDescent="0.25">
      <c r="R5691">
        <v>171</v>
      </c>
      <c r="S5691">
        <v>414</v>
      </c>
      <c r="T5691">
        <v>2</v>
      </c>
    </row>
    <row r="5692" spans="18:20" x14ac:dyDescent="0.25">
      <c r="R5692">
        <v>171</v>
      </c>
      <c r="S5692">
        <v>435</v>
      </c>
      <c r="T5692">
        <v>4</v>
      </c>
    </row>
    <row r="5693" spans="18:20" x14ac:dyDescent="0.25">
      <c r="R5693">
        <v>172</v>
      </c>
      <c r="S5693">
        <v>22</v>
      </c>
      <c r="T5693">
        <v>3</v>
      </c>
    </row>
    <row r="5694" spans="18:20" x14ac:dyDescent="0.25">
      <c r="R5694">
        <v>172</v>
      </c>
      <c r="S5694">
        <v>29</v>
      </c>
      <c r="T5694">
        <v>2</v>
      </c>
    </row>
    <row r="5695" spans="18:20" x14ac:dyDescent="0.25">
      <c r="R5695">
        <v>172</v>
      </c>
      <c r="S5695">
        <v>30</v>
      </c>
      <c r="T5695">
        <v>2</v>
      </c>
    </row>
    <row r="5696" spans="18:20" x14ac:dyDescent="0.25">
      <c r="R5696">
        <v>172</v>
      </c>
      <c r="S5696">
        <v>39</v>
      </c>
      <c r="T5696">
        <v>3</v>
      </c>
    </row>
    <row r="5697" spans="18:20" x14ac:dyDescent="0.25">
      <c r="R5697">
        <v>172</v>
      </c>
      <c r="S5697">
        <v>43</v>
      </c>
      <c r="T5697">
        <v>3</v>
      </c>
    </row>
    <row r="5698" spans="18:20" x14ac:dyDescent="0.25">
      <c r="R5698">
        <v>172</v>
      </c>
      <c r="S5698">
        <v>49</v>
      </c>
      <c r="T5698">
        <v>2</v>
      </c>
    </row>
    <row r="5699" spans="18:20" x14ac:dyDescent="0.25">
      <c r="R5699">
        <v>172</v>
      </c>
      <c r="S5699">
        <v>93</v>
      </c>
      <c r="T5699">
        <v>2</v>
      </c>
    </row>
    <row r="5700" spans="18:20" x14ac:dyDescent="0.25">
      <c r="R5700">
        <v>172</v>
      </c>
      <c r="S5700">
        <v>129</v>
      </c>
      <c r="T5700">
        <v>4</v>
      </c>
    </row>
    <row r="5701" spans="18:20" x14ac:dyDescent="0.25">
      <c r="R5701">
        <v>172</v>
      </c>
      <c r="S5701">
        <v>133</v>
      </c>
      <c r="T5701">
        <v>3</v>
      </c>
    </row>
    <row r="5702" spans="18:20" x14ac:dyDescent="0.25">
      <c r="R5702">
        <v>172</v>
      </c>
      <c r="S5702">
        <v>134</v>
      </c>
      <c r="T5702">
        <v>4</v>
      </c>
    </row>
    <row r="5703" spans="18:20" x14ac:dyDescent="0.25">
      <c r="R5703">
        <v>172</v>
      </c>
      <c r="S5703">
        <v>142</v>
      </c>
      <c r="T5703">
        <v>2</v>
      </c>
    </row>
    <row r="5704" spans="18:20" x14ac:dyDescent="0.25">
      <c r="R5704">
        <v>172</v>
      </c>
      <c r="S5704">
        <v>148</v>
      </c>
      <c r="T5704">
        <v>2</v>
      </c>
    </row>
    <row r="5705" spans="18:20" x14ac:dyDescent="0.25">
      <c r="R5705">
        <v>172</v>
      </c>
      <c r="S5705">
        <v>148</v>
      </c>
      <c r="T5705">
        <v>4</v>
      </c>
    </row>
    <row r="5706" spans="18:20" x14ac:dyDescent="0.25">
      <c r="R5706">
        <v>172</v>
      </c>
      <c r="S5706">
        <v>166</v>
      </c>
      <c r="T5706">
        <v>5</v>
      </c>
    </row>
    <row r="5707" spans="18:20" x14ac:dyDescent="0.25">
      <c r="R5707">
        <v>172</v>
      </c>
      <c r="S5707">
        <v>175</v>
      </c>
      <c r="T5707">
        <v>1</v>
      </c>
    </row>
    <row r="5708" spans="18:20" x14ac:dyDescent="0.25">
      <c r="R5708">
        <v>172</v>
      </c>
      <c r="S5708">
        <v>180</v>
      </c>
      <c r="T5708">
        <v>3</v>
      </c>
    </row>
    <row r="5709" spans="18:20" x14ac:dyDescent="0.25">
      <c r="R5709">
        <v>172</v>
      </c>
      <c r="S5709">
        <v>181</v>
      </c>
      <c r="T5709">
        <v>2</v>
      </c>
    </row>
    <row r="5710" spans="18:20" x14ac:dyDescent="0.25">
      <c r="R5710">
        <v>172</v>
      </c>
      <c r="S5710">
        <v>182</v>
      </c>
      <c r="T5710">
        <v>5</v>
      </c>
    </row>
    <row r="5711" spans="18:20" x14ac:dyDescent="0.25">
      <c r="R5711">
        <v>172</v>
      </c>
      <c r="S5711">
        <v>183</v>
      </c>
      <c r="T5711">
        <v>4</v>
      </c>
    </row>
    <row r="5712" spans="18:20" x14ac:dyDescent="0.25">
      <c r="R5712">
        <v>172</v>
      </c>
      <c r="S5712">
        <v>210</v>
      </c>
      <c r="T5712">
        <v>3</v>
      </c>
    </row>
    <row r="5713" spans="18:20" x14ac:dyDescent="0.25">
      <c r="R5713">
        <v>172</v>
      </c>
      <c r="S5713">
        <v>216</v>
      </c>
      <c r="T5713">
        <v>1</v>
      </c>
    </row>
    <row r="5714" spans="18:20" x14ac:dyDescent="0.25">
      <c r="R5714">
        <v>172</v>
      </c>
      <c r="S5714">
        <v>245</v>
      </c>
      <c r="T5714">
        <v>3</v>
      </c>
    </row>
    <row r="5715" spans="18:20" x14ac:dyDescent="0.25">
      <c r="R5715">
        <v>172</v>
      </c>
      <c r="S5715">
        <v>262</v>
      </c>
      <c r="T5715">
        <v>4</v>
      </c>
    </row>
    <row r="5716" spans="18:20" x14ac:dyDescent="0.25">
      <c r="R5716">
        <v>172</v>
      </c>
      <c r="S5716">
        <v>324</v>
      </c>
      <c r="T5716">
        <v>5</v>
      </c>
    </row>
    <row r="5717" spans="18:20" x14ac:dyDescent="0.25">
      <c r="R5717">
        <v>172</v>
      </c>
      <c r="S5717">
        <v>373</v>
      </c>
      <c r="T5717">
        <v>2</v>
      </c>
    </row>
    <row r="5718" spans="18:20" x14ac:dyDescent="0.25">
      <c r="R5718">
        <v>172</v>
      </c>
      <c r="S5718">
        <v>381</v>
      </c>
      <c r="T5718">
        <v>3</v>
      </c>
    </row>
    <row r="5719" spans="18:20" x14ac:dyDescent="0.25">
      <c r="R5719">
        <v>172</v>
      </c>
      <c r="S5719">
        <v>385</v>
      </c>
      <c r="T5719">
        <v>3</v>
      </c>
    </row>
    <row r="5720" spans="18:20" x14ac:dyDescent="0.25">
      <c r="R5720">
        <v>172</v>
      </c>
      <c r="S5720">
        <v>387</v>
      </c>
      <c r="T5720">
        <v>3</v>
      </c>
    </row>
    <row r="5721" spans="18:20" x14ac:dyDescent="0.25">
      <c r="R5721">
        <v>172</v>
      </c>
      <c r="S5721">
        <v>405</v>
      </c>
      <c r="T5721">
        <v>3</v>
      </c>
    </row>
    <row r="5722" spans="18:20" x14ac:dyDescent="0.25">
      <c r="R5722">
        <v>172</v>
      </c>
      <c r="S5722">
        <v>406</v>
      </c>
      <c r="T5722">
        <v>5</v>
      </c>
    </row>
    <row r="5723" spans="18:20" x14ac:dyDescent="0.25">
      <c r="R5723">
        <v>172</v>
      </c>
      <c r="S5723">
        <v>423</v>
      </c>
      <c r="T5723">
        <v>2</v>
      </c>
    </row>
    <row r="5724" spans="18:20" x14ac:dyDescent="0.25">
      <c r="R5724">
        <v>173</v>
      </c>
      <c r="S5724">
        <v>20</v>
      </c>
      <c r="T5724">
        <v>4</v>
      </c>
    </row>
    <row r="5725" spans="18:20" x14ac:dyDescent="0.25">
      <c r="R5725">
        <v>173</v>
      </c>
      <c r="S5725">
        <v>50</v>
      </c>
      <c r="T5725">
        <v>2</v>
      </c>
    </row>
    <row r="5726" spans="18:20" x14ac:dyDescent="0.25">
      <c r="R5726">
        <v>173</v>
      </c>
      <c r="S5726">
        <v>60</v>
      </c>
      <c r="T5726">
        <v>1</v>
      </c>
    </row>
    <row r="5727" spans="18:20" x14ac:dyDescent="0.25">
      <c r="R5727">
        <v>173</v>
      </c>
      <c r="S5727">
        <v>77</v>
      </c>
      <c r="T5727">
        <v>5</v>
      </c>
    </row>
    <row r="5728" spans="18:20" x14ac:dyDescent="0.25">
      <c r="R5728">
        <v>173</v>
      </c>
      <c r="S5728">
        <v>98</v>
      </c>
      <c r="T5728">
        <v>1</v>
      </c>
    </row>
    <row r="5729" spans="18:20" x14ac:dyDescent="0.25">
      <c r="R5729">
        <v>173</v>
      </c>
      <c r="S5729">
        <v>109</v>
      </c>
      <c r="T5729">
        <v>2</v>
      </c>
    </row>
    <row r="5730" spans="18:20" x14ac:dyDescent="0.25">
      <c r="R5730">
        <v>173</v>
      </c>
      <c r="S5730">
        <v>118</v>
      </c>
      <c r="T5730">
        <v>5</v>
      </c>
    </row>
    <row r="5731" spans="18:20" x14ac:dyDescent="0.25">
      <c r="R5731">
        <v>173</v>
      </c>
      <c r="S5731">
        <v>123</v>
      </c>
      <c r="T5731">
        <v>3</v>
      </c>
    </row>
    <row r="5732" spans="18:20" x14ac:dyDescent="0.25">
      <c r="R5732">
        <v>173</v>
      </c>
      <c r="S5732">
        <v>133</v>
      </c>
      <c r="T5732">
        <v>1</v>
      </c>
    </row>
    <row r="5733" spans="18:20" x14ac:dyDescent="0.25">
      <c r="R5733">
        <v>173</v>
      </c>
      <c r="S5733">
        <v>154</v>
      </c>
      <c r="T5733">
        <v>2</v>
      </c>
    </row>
    <row r="5734" spans="18:20" x14ac:dyDescent="0.25">
      <c r="R5734">
        <v>173</v>
      </c>
      <c r="S5734">
        <v>177</v>
      </c>
      <c r="T5734">
        <v>4</v>
      </c>
    </row>
    <row r="5735" spans="18:20" x14ac:dyDescent="0.25">
      <c r="R5735">
        <v>173</v>
      </c>
      <c r="S5735">
        <v>193</v>
      </c>
      <c r="T5735">
        <v>4</v>
      </c>
    </row>
    <row r="5736" spans="18:20" x14ac:dyDescent="0.25">
      <c r="R5736">
        <v>173</v>
      </c>
      <c r="S5736">
        <v>206</v>
      </c>
      <c r="T5736">
        <v>3</v>
      </c>
    </row>
    <row r="5737" spans="18:20" x14ac:dyDescent="0.25">
      <c r="R5737">
        <v>173</v>
      </c>
      <c r="S5737">
        <v>212</v>
      </c>
      <c r="T5737">
        <v>1</v>
      </c>
    </row>
    <row r="5738" spans="18:20" x14ac:dyDescent="0.25">
      <c r="R5738">
        <v>173</v>
      </c>
      <c r="S5738">
        <v>214</v>
      </c>
      <c r="T5738">
        <v>4</v>
      </c>
    </row>
    <row r="5739" spans="18:20" x14ac:dyDescent="0.25">
      <c r="R5739">
        <v>173</v>
      </c>
      <c r="S5739">
        <v>221</v>
      </c>
      <c r="T5739">
        <v>2</v>
      </c>
    </row>
    <row r="5740" spans="18:20" x14ac:dyDescent="0.25">
      <c r="R5740">
        <v>173</v>
      </c>
      <c r="S5740">
        <v>225</v>
      </c>
      <c r="T5740">
        <v>3</v>
      </c>
    </row>
    <row r="5741" spans="18:20" x14ac:dyDescent="0.25">
      <c r="R5741">
        <v>173</v>
      </c>
      <c r="S5741">
        <v>228</v>
      </c>
      <c r="T5741">
        <v>1</v>
      </c>
    </row>
    <row r="5742" spans="18:20" x14ac:dyDescent="0.25">
      <c r="R5742">
        <v>173</v>
      </c>
      <c r="S5742">
        <v>231</v>
      </c>
      <c r="T5742">
        <v>4</v>
      </c>
    </row>
    <row r="5743" spans="18:20" x14ac:dyDescent="0.25">
      <c r="R5743">
        <v>173</v>
      </c>
      <c r="S5743">
        <v>234</v>
      </c>
      <c r="T5743">
        <v>1</v>
      </c>
    </row>
    <row r="5744" spans="18:20" x14ac:dyDescent="0.25">
      <c r="R5744">
        <v>173</v>
      </c>
      <c r="S5744">
        <v>239</v>
      </c>
      <c r="T5744">
        <v>2</v>
      </c>
    </row>
    <row r="5745" spans="18:20" x14ac:dyDescent="0.25">
      <c r="R5745">
        <v>173</v>
      </c>
      <c r="S5745">
        <v>250</v>
      </c>
      <c r="T5745">
        <v>5</v>
      </c>
    </row>
    <row r="5746" spans="18:20" x14ac:dyDescent="0.25">
      <c r="R5746">
        <v>173</v>
      </c>
      <c r="S5746">
        <v>275</v>
      </c>
      <c r="T5746">
        <v>1</v>
      </c>
    </row>
    <row r="5747" spans="18:20" x14ac:dyDescent="0.25">
      <c r="R5747">
        <v>173</v>
      </c>
      <c r="S5747">
        <v>279</v>
      </c>
      <c r="T5747">
        <v>3</v>
      </c>
    </row>
    <row r="5748" spans="18:20" x14ac:dyDescent="0.25">
      <c r="R5748">
        <v>173</v>
      </c>
      <c r="S5748">
        <v>317</v>
      </c>
      <c r="T5748">
        <v>4</v>
      </c>
    </row>
    <row r="5749" spans="18:20" x14ac:dyDescent="0.25">
      <c r="R5749">
        <v>173</v>
      </c>
      <c r="S5749">
        <v>319</v>
      </c>
      <c r="T5749">
        <v>1</v>
      </c>
    </row>
    <row r="5750" spans="18:20" x14ac:dyDescent="0.25">
      <c r="R5750">
        <v>173</v>
      </c>
      <c r="S5750">
        <v>332</v>
      </c>
      <c r="T5750">
        <v>5</v>
      </c>
    </row>
    <row r="5751" spans="18:20" x14ac:dyDescent="0.25">
      <c r="R5751">
        <v>173</v>
      </c>
      <c r="S5751">
        <v>343</v>
      </c>
      <c r="T5751">
        <v>1</v>
      </c>
    </row>
    <row r="5752" spans="18:20" x14ac:dyDescent="0.25">
      <c r="R5752">
        <v>173</v>
      </c>
      <c r="S5752">
        <v>351</v>
      </c>
      <c r="T5752">
        <v>2</v>
      </c>
    </row>
    <row r="5753" spans="18:20" x14ac:dyDescent="0.25">
      <c r="R5753">
        <v>173</v>
      </c>
      <c r="S5753">
        <v>366</v>
      </c>
      <c r="T5753">
        <v>4</v>
      </c>
    </row>
    <row r="5754" spans="18:20" x14ac:dyDescent="0.25">
      <c r="R5754">
        <v>173</v>
      </c>
      <c r="S5754">
        <v>366</v>
      </c>
      <c r="T5754">
        <v>2</v>
      </c>
    </row>
    <row r="5755" spans="18:20" x14ac:dyDescent="0.25">
      <c r="R5755">
        <v>173</v>
      </c>
      <c r="S5755">
        <v>377</v>
      </c>
      <c r="T5755">
        <v>1</v>
      </c>
    </row>
    <row r="5756" spans="18:20" x14ac:dyDescent="0.25">
      <c r="R5756">
        <v>173</v>
      </c>
      <c r="S5756">
        <v>382</v>
      </c>
      <c r="T5756">
        <v>2</v>
      </c>
    </row>
    <row r="5757" spans="18:20" x14ac:dyDescent="0.25">
      <c r="R5757">
        <v>173</v>
      </c>
      <c r="S5757">
        <v>401</v>
      </c>
      <c r="T5757">
        <v>5</v>
      </c>
    </row>
    <row r="5758" spans="18:20" x14ac:dyDescent="0.25">
      <c r="R5758">
        <v>173</v>
      </c>
      <c r="S5758">
        <v>423</v>
      </c>
      <c r="T5758">
        <v>3</v>
      </c>
    </row>
    <row r="5759" spans="18:20" x14ac:dyDescent="0.25">
      <c r="R5759">
        <v>173</v>
      </c>
      <c r="S5759">
        <v>429</v>
      </c>
      <c r="T5759">
        <v>2</v>
      </c>
    </row>
    <row r="5760" spans="18:20" x14ac:dyDescent="0.25">
      <c r="R5760">
        <v>173</v>
      </c>
      <c r="S5760">
        <v>433</v>
      </c>
      <c r="T5760">
        <v>1</v>
      </c>
    </row>
    <row r="5761" spans="18:20" x14ac:dyDescent="0.25">
      <c r="R5761">
        <v>173</v>
      </c>
      <c r="S5761">
        <v>435</v>
      </c>
      <c r="T5761">
        <v>3</v>
      </c>
    </row>
    <row r="5762" spans="18:20" x14ac:dyDescent="0.25">
      <c r="R5762">
        <v>174</v>
      </c>
      <c r="S5762">
        <v>10</v>
      </c>
      <c r="T5762">
        <v>1</v>
      </c>
    </row>
    <row r="5763" spans="18:20" x14ac:dyDescent="0.25">
      <c r="R5763">
        <v>174</v>
      </c>
      <c r="S5763">
        <v>17</v>
      </c>
      <c r="T5763">
        <v>1</v>
      </c>
    </row>
    <row r="5764" spans="18:20" x14ac:dyDescent="0.25">
      <c r="R5764">
        <v>174</v>
      </c>
      <c r="S5764">
        <v>57</v>
      </c>
      <c r="T5764">
        <v>3</v>
      </c>
    </row>
    <row r="5765" spans="18:20" x14ac:dyDescent="0.25">
      <c r="R5765">
        <v>174</v>
      </c>
      <c r="S5765">
        <v>67</v>
      </c>
      <c r="T5765">
        <v>1</v>
      </c>
    </row>
    <row r="5766" spans="18:20" x14ac:dyDescent="0.25">
      <c r="R5766">
        <v>174</v>
      </c>
      <c r="S5766">
        <v>79</v>
      </c>
      <c r="T5766">
        <v>4</v>
      </c>
    </row>
    <row r="5767" spans="18:20" x14ac:dyDescent="0.25">
      <c r="R5767">
        <v>174</v>
      </c>
      <c r="S5767">
        <v>107</v>
      </c>
      <c r="T5767">
        <v>2</v>
      </c>
    </row>
    <row r="5768" spans="18:20" x14ac:dyDescent="0.25">
      <c r="R5768">
        <v>174</v>
      </c>
      <c r="S5768">
        <v>108</v>
      </c>
      <c r="T5768">
        <v>1</v>
      </c>
    </row>
    <row r="5769" spans="18:20" x14ac:dyDescent="0.25">
      <c r="R5769">
        <v>174</v>
      </c>
      <c r="S5769">
        <v>114</v>
      </c>
      <c r="T5769">
        <v>2</v>
      </c>
    </row>
    <row r="5770" spans="18:20" x14ac:dyDescent="0.25">
      <c r="R5770">
        <v>174</v>
      </c>
      <c r="S5770">
        <v>115</v>
      </c>
      <c r="T5770">
        <v>2</v>
      </c>
    </row>
    <row r="5771" spans="18:20" x14ac:dyDescent="0.25">
      <c r="R5771">
        <v>174</v>
      </c>
      <c r="S5771">
        <v>115</v>
      </c>
      <c r="T5771">
        <v>1</v>
      </c>
    </row>
    <row r="5772" spans="18:20" x14ac:dyDescent="0.25">
      <c r="R5772">
        <v>174</v>
      </c>
      <c r="S5772">
        <v>126</v>
      </c>
      <c r="T5772">
        <v>2</v>
      </c>
    </row>
    <row r="5773" spans="18:20" x14ac:dyDescent="0.25">
      <c r="R5773">
        <v>174</v>
      </c>
      <c r="S5773">
        <v>128</v>
      </c>
      <c r="T5773">
        <v>5</v>
      </c>
    </row>
    <row r="5774" spans="18:20" x14ac:dyDescent="0.25">
      <c r="R5774">
        <v>174</v>
      </c>
      <c r="S5774">
        <v>142</v>
      </c>
      <c r="T5774">
        <v>1</v>
      </c>
    </row>
    <row r="5775" spans="18:20" x14ac:dyDescent="0.25">
      <c r="R5775">
        <v>174</v>
      </c>
      <c r="S5775">
        <v>144</v>
      </c>
      <c r="T5775">
        <v>4</v>
      </c>
    </row>
    <row r="5776" spans="18:20" x14ac:dyDescent="0.25">
      <c r="R5776">
        <v>174</v>
      </c>
      <c r="S5776">
        <v>148</v>
      </c>
      <c r="T5776">
        <v>2</v>
      </c>
    </row>
    <row r="5777" spans="18:20" x14ac:dyDescent="0.25">
      <c r="R5777">
        <v>174</v>
      </c>
      <c r="S5777">
        <v>152</v>
      </c>
      <c r="T5777">
        <v>5</v>
      </c>
    </row>
    <row r="5778" spans="18:20" x14ac:dyDescent="0.25">
      <c r="R5778">
        <v>174</v>
      </c>
      <c r="S5778">
        <v>172</v>
      </c>
      <c r="T5778">
        <v>5</v>
      </c>
    </row>
    <row r="5779" spans="18:20" x14ac:dyDescent="0.25">
      <c r="R5779">
        <v>174</v>
      </c>
      <c r="S5779">
        <v>183</v>
      </c>
      <c r="T5779">
        <v>3</v>
      </c>
    </row>
    <row r="5780" spans="18:20" x14ac:dyDescent="0.25">
      <c r="R5780">
        <v>174</v>
      </c>
      <c r="S5780">
        <v>207</v>
      </c>
      <c r="T5780">
        <v>2</v>
      </c>
    </row>
    <row r="5781" spans="18:20" x14ac:dyDescent="0.25">
      <c r="R5781">
        <v>174</v>
      </c>
      <c r="S5781">
        <v>207</v>
      </c>
      <c r="T5781">
        <v>5</v>
      </c>
    </row>
    <row r="5782" spans="18:20" x14ac:dyDescent="0.25">
      <c r="R5782">
        <v>174</v>
      </c>
      <c r="S5782">
        <v>210</v>
      </c>
      <c r="T5782">
        <v>4</v>
      </c>
    </row>
    <row r="5783" spans="18:20" x14ac:dyDescent="0.25">
      <c r="R5783">
        <v>174</v>
      </c>
      <c r="S5783">
        <v>259</v>
      </c>
      <c r="T5783">
        <v>3</v>
      </c>
    </row>
    <row r="5784" spans="18:20" x14ac:dyDescent="0.25">
      <c r="R5784">
        <v>174</v>
      </c>
      <c r="S5784">
        <v>269</v>
      </c>
      <c r="T5784">
        <v>5</v>
      </c>
    </row>
    <row r="5785" spans="18:20" x14ac:dyDescent="0.25">
      <c r="R5785">
        <v>174</v>
      </c>
      <c r="S5785">
        <v>296</v>
      </c>
      <c r="T5785">
        <v>3</v>
      </c>
    </row>
    <row r="5786" spans="18:20" x14ac:dyDescent="0.25">
      <c r="R5786">
        <v>174</v>
      </c>
      <c r="S5786">
        <v>298</v>
      </c>
      <c r="T5786">
        <v>5</v>
      </c>
    </row>
    <row r="5787" spans="18:20" x14ac:dyDescent="0.25">
      <c r="R5787">
        <v>174</v>
      </c>
      <c r="S5787">
        <v>309</v>
      </c>
      <c r="T5787">
        <v>2</v>
      </c>
    </row>
    <row r="5788" spans="18:20" x14ac:dyDescent="0.25">
      <c r="R5788">
        <v>174</v>
      </c>
      <c r="S5788">
        <v>312</v>
      </c>
      <c r="T5788">
        <v>5</v>
      </c>
    </row>
    <row r="5789" spans="18:20" x14ac:dyDescent="0.25">
      <c r="R5789">
        <v>174</v>
      </c>
      <c r="S5789">
        <v>345</v>
      </c>
      <c r="T5789">
        <v>1</v>
      </c>
    </row>
    <row r="5790" spans="18:20" x14ac:dyDescent="0.25">
      <c r="R5790">
        <v>174</v>
      </c>
      <c r="S5790">
        <v>378</v>
      </c>
      <c r="T5790">
        <v>2</v>
      </c>
    </row>
    <row r="5791" spans="18:20" x14ac:dyDescent="0.25">
      <c r="R5791">
        <v>174</v>
      </c>
      <c r="S5791">
        <v>383</v>
      </c>
      <c r="T5791">
        <v>5</v>
      </c>
    </row>
    <row r="5792" spans="18:20" x14ac:dyDescent="0.25">
      <c r="R5792">
        <v>174</v>
      </c>
      <c r="S5792">
        <v>390</v>
      </c>
      <c r="T5792">
        <v>3</v>
      </c>
    </row>
    <row r="5793" spans="18:20" x14ac:dyDescent="0.25">
      <c r="R5793">
        <v>174</v>
      </c>
      <c r="S5793">
        <v>392</v>
      </c>
      <c r="T5793">
        <v>2</v>
      </c>
    </row>
    <row r="5794" spans="18:20" x14ac:dyDescent="0.25">
      <c r="R5794">
        <v>174</v>
      </c>
      <c r="S5794">
        <v>397</v>
      </c>
      <c r="T5794">
        <v>3</v>
      </c>
    </row>
    <row r="5795" spans="18:20" x14ac:dyDescent="0.25">
      <c r="R5795">
        <v>174</v>
      </c>
      <c r="S5795">
        <v>424</v>
      </c>
      <c r="T5795">
        <v>3</v>
      </c>
    </row>
    <row r="5796" spans="18:20" x14ac:dyDescent="0.25">
      <c r="R5796">
        <v>175</v>
      </c>
      <c r="S5796">
        <v>2</v>
      </c>
      <c r="T5796">
        <v>1</v>
      </c>
    </row>
    <row r="5797" spans="18:20" x14ac:dyDescent="0.25">
      <c r="R5797">
        <v>175</v>
      </c>
      <c r="S5797">
        <v>8</v>
      </c>
      <c r="T5797">
        <v>2</v>
      </c>
    </row>
    <row r="5798" spans="18:20" x14ac:dyDescent="0.25">
      <c r="R5798">
        <v>175</v>
      </c>
      <c r="S5798">
        <v>10</v>
      </c>
      <c r="T5798">
        <v>4</v>
      </c>
    </row>
    <row r="5799" spans="18:20" x14ac:dyDescent="0.25">
      <c r="R5799">
        <v>175</v>
      </c>
      <c r="S5799">
        <v>25</v>
      </c>
      <c r="T5799">
        <v>3</v>
      </c>
    </row>
    <row r="5800" spans="18:20" x14ac:dyDescent="0.25">
      <c r="R5800">
        <v>175</v>
      </c>
      <c r="S5800">
        <v>38</v>
      </c>
      <c r="T5800">
        <v>3</v>
      </c>
    </row>
    <row r="5801" spans="18:20" x14ac:dyDescent="0.25">
      <c r="R5801">
        <v>175</v>
      </c>
      <c r="S5801">
        <v>39</v>
      </c>
      <c r="T5801">
        <v>3</v>
      </c>
    </row>
    <row r="5802" spans="18:20" x14ac:dyDescent="0.25">
      <c r="R5802">
        <v>175</v>
      </c>
      <c r="S5802">
        <v>42</v>
      </c>
      <c r="T5802">
        <v>4</v>
      </c>
    </row>
    <row r="5803" spans="18:20" x14ac:dyDescent="0.25">
      <c r="R5803">
        <v>175</v>
      </c>
      <c r="S5803">
        <v>52</v>
      </c>
      <c r="T5803">
        <v>5</v>
      </c>
    </row>
    <row r="5804" spans="18:20" x14ac:dyDescent="0.25">
      <c r="R5804">
        <v>175</v>
      </c>
      <c r="S5804">
        <v>71</v>
      </c>
      <c r="T5804">
        <v>4</v>
      </c>
    </row>
    <row r="5805" spans="18:20" x14ac:dyDescent="0.25">
      <c r="R5805">
        <v>175</v>
      </c>
      <c r="S5805">
        <v>76</v>
      </c>
      <c r="T5805">
        <v>5</v>
      </c>
    </row>
    <row r="5806" spans="18:20" x14ac:dyDescent="0.25">
      <c r="R5806">
        <v>175</v>
      </c>
      <c r="S5806">
        <v>77</v>
      </c>
      <c r="T5806">
        <v>2</v>
      </c>
    </row>
    <row r="5807" spans="18:20" x14ac:dyDescent="0.25">
      <c r="R5807">
        <v>175</v>
      </c>
      <c r="S5807">
        <v>96</v>
      </c>
      <c r="T5807">
        <v>4</v>
      </c>
    </row>
    <row r="5808" spans="18:20" x14ac:dyDescent="0.25">
      <c r="R5808">
        <v>175</v>
      </c>
      <c r="S5808">
        <v>119</v>
      </c>
      <c r="T5808">
        <v>1</v>
      </c>
    </row>
    <row r="5809" spans="18:20" x14ac:dyDescent="0.25">
      <c r="R5809">
        <v>175</v>
      </c>
      <c r="S5809">
        <v>123</v>
      </c>
      <c r="T5809">
        <v>1</v>
      </c>
    </row>
    <row r="5810" spans="18:20" x14ac:dyDescent="0.25">
      <c r="R5810">
        <v>175</v>
      </c>
      <c r="S5810">
        <v>149</v>
      </c>
      <c r="T5810">
        <v>2</v>
      </c>
    </row>
    <row r="5811" spans="18:20" x14ac:dyDescent="0.25">
      <c r="R5811">
        <v>175</v>
      </c>
      <c r="S5811">
        <v>153</v>
      </c>
      <c r="T5811">
        <v>3</v>
      </c>
    </row>
    <row r="5812" spans="18:20" x14ac:dyDescent="0.25">
      <c r="R5812">
        <v>175</v>
      </c>
      <c r="S5812">
        <v>154</v>
      </c>
      <c r="T5812">
        <v>2</v>
      </c>
    </row>
    <row r="5813" spans="18:20" x14ac:dyDescent="0.25">
      <c r="R5813">
        <v>175</v>
      </c>
      <c r="S5813">
        <v>156</v>
      </c>
      <c r="T5813">
        <v>2</v>
      </c>
    </row>
    <row r="5814" spans="18:20" x14ac:dyDescent="0.25">
      <c r="R5814">
        <v>175</v>
      </c>
      <c r="S5814">
        <v>158</v>
      </c>
      <c r="T5814">
        <v>3</v>
      </c>
    </row>
    <row r="5815" spans="18:20" x14ac:dyDescent="0.25">
      <c r="R5815">
        <v>175</v>
      </c>
      <c r="S5815">
        <v>170</v>
      </c>
      <c r="T5815">
        <v>4</v>
      </c>
    </row>
    <row r="5816" spans="18:20" x14ac:dyDescent="0.25">
      <c r="R5816">
        <v>175</v>
      </c>
      <c r="S5816">
        <v>175</v>
      </c>
      <c r="T5816">
        <v>3</v>
      </c>
    </row>
    <row r="5817" spans="18:20" x14ac:dyDescent="0.25">
      <c r="R5817">
        <v>175</v>
      </c>
      <c r="S5817">
        <v>196</v>
      </c>
      <c r="T5817">
        <v>5</v>
      </c>
    </row>
    <row r="5818" spans="18:20" x14ac:dyDescent="0.25">
      <c r="R5818">
        <v>175</v>
      </c>
      <c r="S5818">
        <v>200</v>
      </c>
      <c r="T5818">
        <v>3</v>
      </c>
    </row>
    <row r="5819" spans="18:20" x14ac:dyDescent="0.25">
      <c r="R5819">
        <v>175</v>
      </c>
      <c r="S5819">
        <v>209</v>
      </c>
      <c r="T5819">
        <v>1</v>
      </c>
    </row>
    <row r="5820" spans="18:20" x14ac:dyDescent="0.25">
      <c r="R5820">
        <v>175</v>
      </c>
      <c r="S5820">
        <v>215</v>
      </c>
      <c r="T5820">
        <v>2</v>
      </c>
    </row>
    <row r="5821" spans="18:20" x14ac:dyDescent="0.25">
      <c r="R5821">
        <v>175</v>
      </c>
      <c r="S5821">
        <v>261</v>
      </c>
      <c r="T5821">
        <v>5</v>
      </c>
    </row>
    <row r="5822" spans="18:20" x14ac:dyDescent="0.25">
      <c r="R5822">
        <v>175</v>
      </c>
      <c r="S5822">
        <v>272</v>
      </c>
      <c r="T5822">
        <v>3</v>
      </c>
    </row>
    <row r="5823" spans="18:20" x14ac:dyDescent="0.25">
      <c r="R5823">
        <v>175</v>
      </c>
      <c r="S5823">
        <v>327</v>
      </c>
      <c r="T5823">
        <v>1</v>
      </c>
    </row>
    <row r="5824" spans="18:20" x14ac:dyDescent="0.25">
      <c r="R5824">
        <v>175</v>
      </c>
      <c r="S5824">
        <v>331</v>
      </c>
      <c r="T5824">
        <v>5</v>
      </c>
    </row>
    <row r="5825" spans="18:20" x14ac:dyDescent="0.25">
      <c r="R5825">
        <v>175</v>
      </c>
      <c r="S5825">
        <v>366</v>
      </c>
      <c r="T5825">
        <v>4</v>
      </c>
    </row>
    <row r="5826" spans="18:20" x14ac:dyDescent="0.25">
      <c r="R5826">
        <v>175</v>
      </c>
      <c r="S5826">
        <v>373</v>
      </c>
      <c r="T5826">
        <v>3</v>
      </c>
    </row>
    <row r="5827" spans="18:20" x14ac:dyDescent="0.25">
      <c r="R5827">
        <v>175</v>
      </c>
      <c r="S5827">
        <v>395</v>
      </c>
      <c r="T5827">
        <v>5</v>
      </c>
    </row>
    <row r="5828" spans="18:20" x14ac:dyDescent="0.25">
      <c r="R5828">
        <v>175</v>
      </c>
      <c r="S5828">
        <v>399</v>
      </c>
      <c r="T5828">
        <v>2</v>
      </c>
    </row>
    <row r="5829" spans="18:20" x14ac:dyDescent="0.25">
      <c r="R5829">
        <v>175</v>
      </c>
      <c r="S5829">
        <v>403</v>
      </c>
      <c r="T5829">
        <v>5</v>
      </c>
    </row>
    <row r="5830" spans="18:20" x14ac:dyDescent="0.25">
      <c r="R5830">
        <v>175</v>
      </c>
      <c r="S5830">
        <v>405</v>
      </c>
      <c r="T5830">
        <v>5</v>
      </c>
    </row>
    <row r="5831" spans="18:20" x14ac:dyDescent="0.25">
      <c r="R5831">
        <v>175</v>
      </c>
      <c r="S5831">
        <v>426</v>
      </c>
      <c r="T5831">
        <v>3</v>
      </c>
    </row>
    <row r="5832" spans="18:20" x14ac:dyDescent="0.25">
      <c r="R5832">
        <v>176</v>
      </c>
      <c r="S5832">
        <v>20</v>
      </c>
      <c r="T5832">
        <v>1</v>
      </c>
    </row>
    <row r="5833" spans="18:20" x14ac:dyDescent="0.25">
      <c r="R5833">
        <v>176</v>
      </c>
      <c r="S5833">
        <v>21</v>
      </c>
      <c r="T5833">
        <v>5</v>
      </c>
    </row>
    <row r="5834" spans="18:20" x14ac:dyDescent="0.25">
      <c r="R5834">
        <v>176</v>
      </c>
      <c r="S5834">
        <v>48</v>
      </c>
      <c r="T5834">
        <v>1</v>
      </c>
    </row>
    <row r="5835" spans="18:20" x14ac:dyDescent="0.25">
      <c r="R5835">
        <v>176</v>
      </c>
      <c r="S5835">
        <v>48</v>
      </c>
      <c r="T5835">
        <v>2</v>
      </c>
    </row>
    <row r="5836" spans="18:20" x14ac:dyDescent="0.25">
      <c r="R5836">
        <v>176</v>
      </c>
      <c r="S5836">
        <v>50</v>
      </c>
      <c r="T5836">
        <v>3</v>
      </c>
    </row>
    <row r="5837" spans="18:20" x14ac:dyDescent="0.25">
      <c r="R5837">
        <v>176</v>
      </c>
      <c r="S5837">
        <v>56</v>
      </c>
      <c r="T5837">
        <v>1</v>
      </c>
    </row>
    <row r="5838" spans="18:20" x14ac:dyDescent="0.25">
      <c r="R5838">
        <v>176</v>
      </c>
      <c r="S5838">
        <v>59</v>
      </c>
      <c r="T5838">
        <v>1</v>
      </c>
    </row>
    <row r="5839" spans="18:20" x14ac:dyDescent="0.25">
      <c r="R5839">
        <v>176</v>
      </c>
      <c r="S5839">
        <v>73</v>
      </c>
      <c r="T5839">
        <v>1</v>
      </c>
    </row>
    <row r="5840" spans="18:20" x14ac:dyDescent="0.25">
      <c r="R5840">
        <v>176</v>
      </c>
      <c r="S5840">
        <v>75</v>
      </c>
      <c r="T5840">
        <v>3</v>
      </c>
    </row>
    <row r="5841" spans="18:20" x14ac:dyDescent="0.25">
      <c r="R5841">
        <v>176</v>
      </c>
      <c r="S5841">
        <v>77</v>
      </c>
      <c r="T5841">
        <v>5</v>
      </c>
    </row>
    <row r="5842" spans="18:20" x14ac:dyDescent="0.25">
      <c r="R5842">
        <v>176</v>
      </c>
      <c r="S5842">
        <v>100</v>
      </c>
      <c r="T5842">
        <v>5</v>
      </c>
    </row>
    <row r="5843" spans="18:20" x14ac:dyDescent="0.25">
      <c r="R5843">
        <v>176</v>
      </c>
      <c r="S5843">
        <v>126</v>
      </c>
      <c r="T5843">
        <v>4</v>
      </c>
    </row>
    <row r="5844" spans="18:20" x14ac:dyDescent="0.25">
      <c r="R5844">
        <v>176</v>
      </c>
      <c r="S5844">
        <v>132</v>
      </c>
      <c r="T5844">
        <v>5</v>
      </c>
    </row>
    <row r="5845" spans="18:20" x14ac:dyDescent="0.25">
      <c r="R5845">
        <v>176</v>
      </c>
      <c r="S5845">
        <v>170</v>
      </c>
      <c r="T5845">
        <v>5</v>
      </c>
    </row>
    <row r="5846" spans="18:20" x14ac:dyDescent="0.25">
      <c r="R5846">
        <v>176</v>
      </c>
      <c r="S5846">
        <v>182</v>
      </c>
      <c r="T5846">
        <v>4</v>
      </c>
    </row>
    <row r="5847" spans="18:20" x14ac:dyDescent="0.25">
      <c r="R5847">
        <v>176</v>
      </c>
      <c r="S5847">
        <v>196</v>
      </c>
      <c r="T5847">
        <v>3</v>
      </c>
    </row>
    <row r="5848" spans="18:20" x14ac:dyDescent="0.25">
      <c r="R5848">
        <v>176</v>
      </c>
      <c r="S5848">
        <v>253</v>
      </c>
      <c r="T5848">
        <v>4</v>
      </c>
    </row>
    <row r="5849" spans="18:20" x14ac:dyDescent="0.25">
      <c r="R5849">
        <v>176</v>
      </c>
      <c r="S5849">
        <v>260</v>
      </c>
      <c r="T5849">
        <v>5</v>
      </c>
    </row>
    <row r="5850" spans="18:20" x14ac:dyDescent="0.25">
      <c r="R5850">
        <v>176</v>
      </c>
      <c r="S5850">
        <v>264</v>
      </c>
      <c r="T5850">
        <v>1</v>
      </c>
    </row>
    <row r="5851" spans="18:20" x14ac:dyDescent="0.25">
      <c r="R5851">
        <v>176</v>
      </c>
      <c r="S5851">
        <v>275</v>
      </c>
      <c r="T5851">
        <v>5</v>
      </c>
    </row>
    <row r="5852" spans="18:20" x14ac:dyDescent="0.25">
      <c r="R5852">
        <v>176</v>
      </c>
      <c r="S5852">
        <v>321</v>
      </c>
      <c r="T5852">
        <v>5</v>
      </c>
    </row>
    <row r="5853" spans="18:20" x14ac:dyDescent="0.25">
      <c r="R5853">
        <v>176</v>
      </c>
      <c r="S5853">
        <v>339</v>
      </c>
      <c r="T5853">
        <v>5</v>
      </c>
    </row>
    <row r="5854" spans="18:20" x14ac:dyDescent="0.25">
      <c r="R5854">
        <v>176</v>
      </c>
      <c r="S5854">
        <v>342</v>
      </c>
      <c r="T5854">
        <v>1</v>
      </c>
    </row>
    <row r="5855" spans="18:20" x14ac:dyDescent="0.25">
      <c r="R5855">
        <v>176</v>
      </c>
      <c r="S5855">
        <v>345</v>
      </c>
      <c r="T5855">
        <v>1</v>
      </c>
    </row>
    <row r="5856" spans="18:20" x14ac:dyDescent="0.25">
      <c r="R5856">
        <v>176</v>
      </c>
      <c r="S5856">
        <v>349</v>
      </c>
      <c r="T5856">
        <v>4</v>
      </c>
    </row>
    <row r="5857" spans="18:20" x14ac:dyDescent="0.25">
      <c r="R5857">
        <v>176</v>
      </c>
      <c r="S5857">
        <v>374</v>
      </c>
      <c r="T5857">
        <v>3</v>
      </c>
    </row>
    <row r="5858" spans="18:20" x14ac:dyDescent="0.25">
      <c r="R5858">
        <v>176</v>
      </c>
      <c r="S5858">
        <v>383</v>
      </c>
      <c r="T5858">
        <v>1</v>
      </c>
    </row>
    <row r="5859" spans="18:20" x14ac:dyDescent="0.25">
      <c r="R5859">
        <v>176</v>
      </c>
      <c r="S5859">
        <v>390</v>
      </c>
      <c r="T5859">
        <v>2</v>
      </c>
    </row>
    <row r="5860" spans="18:20" x14ac:dyDescent="0.25">
      <c r="R5860">
        <v>176</v>
      </c>
      <c r="S5860">
        <v>395</v>
      </c>
      <c r="T5860">
        <v>5</v>
      </c>
    </row>
    <row r="5861" spans="18:20" x14ac:dyDescent="0.25">
      <c r="R5861">
        <v>176</v>
      </c>
      <c r="S5861">
        <v>416</v>
      </c>
      <c r="T5861">
        <v>1</v>
      </c>
    </row>
    <row r="5862" spans="18:20" x14ac:dyDescent="0.25">
      <c r="R5862">
        <v>177</v>
      </c>
      <c r="S5862">
        <v>16</v>
      </c>
      <c r="T5862">
        <v>5</v>
      </c>
    </row>
    <row r="5863" spans="18:20" x14ac:dyDescent="0.25">
      <c r="R5863">
        <v>177</v>
      </c>
      <c r="S5863">
        <v>28</v>
      </c>
      <c r="T5863">
        <v>4</v>
      </c>
    </row>
    <row r="5864" spans="18:20" x14ac:dyDescent="0.25">
      <c r="R5864">
        <v>177</v>
      </c>
      <c r="S5864">
        <v>62</v>
      </c>
      <c r="T5864">
        <v>5</v>
      </c>
    </row>
    <row r="5865" spans="18:20" x14ac:dyDescent="0.25">
      <c r="R5865">
        <v>177</v>
      </c>
      <c r="S5865">
        <v>66</v>
      </c>
      <c r="T5865">
        <v>3</v>
      </c>
    </row>
    <row r="5866" spans="18:20" x14ac:dyDescent="0.25">
      <c r="R5866">
        <v>177</v>
      </c>
      <c r="S5866">
        <v>100</v>
      </c>
      <c r="T5866">
        <v>5</v>
      </c>
    </row>
    <row r="5867" spans="18:20" x14ac:dyDescent="0.25">
      <c r="R5867">
        <v>177</v>
      </c>
      <c r="S5867">
        <v>119</v>
      </c>
      <c r="T5867">
        <v>1</v>
      </c>
    </row>
    <row r="5868" spans="18:20" x14ac:dyDescent="0.25">
      <c r="R5868">
        <v>177</v>
      </c>
      <c r="S5868">
        <v>129</v>
      </c>
      <c r="T5868">
        <v>4</v>
      </c>
    </row>
    <row r="5869" spans="18:20" x14ac:dyDescent="0.25">
      <c r="R5869">
        <v>177</v>
      </c>
      <c r="S5869">
        <v>158</v>
      </c>
      <c r="T5869">
        <v>3</v>
      </c>
    </row>
    <row r="5870" spans="18:20" x14ac:dyDescent="0.25">
      <c r="R5870">
        <v>177</v>
      </c>
      <c r="S5870">
        <v>173</v>
      </c>
      <c r="T5870">
        <v>1</v>
      </c>
    </row>
    <row r="5871" spans="18:20" x14ac:dyDescent="0.25">
      <c r="R5871">
        <v>177</v>
      </c>
      <c r="S5871">
        <v>197</v>
      </c>
      <c r="T5871">
        <v>4</v>
      </c>
    </row>
    <row r="5872" spans="18:20" x14ac:dyDescent="0.25">
      <c r="R5872">
        <v>177</v>
      </c>
      <c r="S5872">
        <v>201</v>
      </c>
      <c r="T5872">
        <v>5</v>
      </c>
    </row>
    <row r="5873" spans="18:20" x14ac:dyDescent="0.25">
      <c r="R5873">
        <v>177</v>
      </c>
      <c r="S5873">
        <v>218</v>
      </c>
      <c r="T5873">
        <v>1</v>
      </c>
    </row>
    <row r="5874" spans="18:20" x14ac:dyDescent="0.25">
      <c r="R5874">
        <v>177</v>
      </c>
      <c r="S5874">
        <v>241</v>
      </c>
      <c r="T5874">
        <v>4</v>
      </c>
    </row>
    <row r="5875" spans="18:20" x14ac:dyDescent="0.25">
      <c r="R5875">
        <v>177</v>
      </c>
      <c r="S5875">
        <v>244</v>
      </c>
      <c r="T5875">
        <v>4</v>
      </c>
    </row>
    <row r="5876" spans="18:20" x14ac:dyDescent="0.25">
      <c r="R5876">
        <v>177</v>
      </c>
      <c r="S5876">
        <v>244</v>
      </c>
      <c r="T5876">
        <v>2</v>
      </c>
    </row>
    <row r="5877" spans="18:20" x14ac:dyDescent="0.25">
      <c r="R5877">
        <v>177</v>
      </c>
      <c r="S5877">
        <v>254</v>
      </c>
      <c r="T5877">
        <v>5</v>
      </c>
    </row>
    <row r="5878" spans="18:20" x14ac:dyDescent="0.25">
      <c r="R5878">
        <v>177</v>
      </c>
      <c r="S5878">
        <v>270</v>
      </c>
      <c r="T5878">
        <v>3</v>
      </c>
    </row>
    <row r="5879" spans="18:20" x14ac:dyDescent="0.25">
      <c r="R5879">
        <v>177</v>
      </c>
      <c r="S5879">
        <v>274</v>
      </c>
      <c r="T5879">
        <v>4</v>
      </c>
    </row>
    <row r="5880" spans="18:20" x14ac:dyDescent="0.25">
      <c r="R5880">
        <v>177</v>
      </c>
      <c r="S5880">
        <v>277</v>
      </c>
      <c r="T5880">
        <v>5</v>
      </c>
    </row>
    <row r="5881" spans="18:20" x14ac:dyDescent="0.25">
      <c r="R5881">
        <v>177</v>
      </c>
      <c r="S5881">
        <v>294</v>
      </c>
      <c r="T5881">
        <v>4</v>
      </c>
    </row>
    <row r="5882" spans="18:20" x14ac:dyDescent="0.25">
      <c r="R5882">
        <v>177</v>
      </c>
      <c r="S5882">
        <v>296</v>
      </c>
      <c r="T5882">
        <v>1</v>
      </c>
    </row>
    <row r="5883" spans="18:20" x14ac:dyDescent="0.25">
      <c r="R5883">
        <v>177</v>
      </c>
      <c r="S5883">
        <v>308</v>
      </c>
      <c r="T5883">
        <v>3</v>
      </c>
    </row>
    <row r="5884" spans="18:20" x14ac:dyDescent="0.25">
      <c r="R5884">
        <v>177</v>
      </c>
      <c r="S5884">
        <v>321</v>
      </c>
      <c r="T5884">
        <v>3</v>
      </c>
    </row>
    <row r="5885" spans="18:20" x14ac:dyDescent="0.25">
      <c r="R5885">
        <v>177</v>
      </c>
      <c r="S5885">
        <v>333</v>
      </c>
      <c r="T5885">
        <v>3</v>
      </c>
    </row>
    <row r="5886" spans="18:20" x14ac:dyDescent="0.25">
      <c r="R5886">
        <v>177</v>
      </c>
      <c r="S5886">
        <v>335</v>
      </c>
      <c r="T5886">
        <v>4</v>
      </c>
    </row>
    <row r="5887" spans="18:20" x14ac:dyDescent="0.25">
      <c r="R5887">
        <v>177</v>
      </c>
      <c r="S5887">
        <v>342</v>
      </c>
      <c r="T5887">
        <v>4</v>
      </c>
    </row>
    <row r="5888" spans="18:20" x14ac:dyDescent="0.25">
      <c r="R5888">
        <v>177</v>
      </c>
      <c r="S5888">
        <v>368</v>
      </c>
      <c r="T5888">
        <v>2</v>
      </c>
    </row>
    <row r="5889" spans="18:20" x14ac:dyDescent="0.25">
      <c r="R5889">
        <v>177</v>
      </c>
      <c r="S5889">
        <v>407</v>
      </c>
      <c r="T5889">
        <v>3</v>
      </c>
    </row>
    <row r="5890" spans="18:20" x14ac:dyDescent="0.25">
      <c r="R5890">
        <v>177</v>
      </c>
      <c r="S5890">
        <v>422</v>
      </c>
      <c r="T5890">
        <v>1</v>
      </c>
    </row>
    <row r="5891" spans="18:20" x14ac:dyDescent="0.25">
      <c r="R5891">
        <v>178</v>
      </c>
      <c r="S5891">
        <v>42</v>
      </c>
      <c r="T5891">
        <v>3</v>
      </c>
    </row>
    <row r="5892" spans="18:20" x14ac:dyDescent="0.25">
      <c r="R5892">
        <v>178</v>
      </c>
      <c r="S5892">
        <v>45</v>
      </c>
      <c r="T5892">
        <v>4</v>
      </c>
    </row>
    <row r="5893" spans="18:20" x14ac:dyDescent="0.25">
      <c r="R5893">
        <v>178</v>
      </c>
      <c r="S5893">
        <v>53</v>
      </c>
      <c r="T5893">
        <v>5</v>
      </c>
    </row>
    <row r="5894" spans="18:20" x14ac:dyDescent="0.25">
      <c r="R5894">
        <v>178</v>
      </c>
      <c r="S5894">
        <v>79</v>
      </c>
      <c r="T5894">
        <v>1</v>
      </c>
    </row>
    <row r="5895" spans="18:20" x14ac:dyDescent="0.25">
      <c r="R5895">
        <v>178</v>
      </c>
      <c r="S5895">
        <v>83</v>
      </c>
      <c r="T5895">
        <v>3</v>
      </c>
    </row>
    <row r="5896" spans="18:20" x14ac:dyDescent="0.25">
      <c r="R5896">
        <v>178</v>
      </c>
      <c r="S5896">
        <v>94</v>
      </c>
      <c r="T5896">
        <v>2</v>
      </c>
    </row>
    <row r="5897" spans="18:20" x14ac:dyDescent="0.25">
      <c r="R5897">
        <v>178</v>
      </c>
      <c r="S5897">
        <v>94</v>
      </c>
      <c r="T5897">
        <v>1</v>
      </c>
    </row>
    <row r="5898" spans="18:20" x14ac:dyDescent="0.25">
      <c r="R5898">
        <v>178</v>
      </c>
      <c r="S5898">
        <v>95</v>
      </c>
      <c r="T5898">
        <v>5</v>
      </c>
    </row>
    <row r="5899" spans="18:20" x14ac:dyDescent="0.25">
      <c r="R5899">
        <v>178</v>
      </c>
      <c r="S5899">
        <v>100</v>
      </c>
      <c r="T5899">
        <v>4</v>
      </c>
    </row>
    <row r="5900" spans="18:20" x14ac:dyDescent="0.25">
      <c r="R5900">
        <v>178</v>
      </c>
      <c r="S5900">
        <v>122</v>
      </c>
      <c r="T5900">
        <v>3</v>
      </c>
    </row>
    <row r="5901" spans="18:20" x14ac:dyDescent="0.25">
      <c r="R5901">
        <v>178</v>
      </c>
      <c r="S5901">
        <v>127</v>
      </c>
      <c r="T5901">
        <v>2</v>
      </c>
    </row>
    <row r="5902" spans="18:20" x14ac:dyDescent="0.25">
      <c r="R5902">
        <v>178</v>
      </c>
      <c r="S5902">
        <v>131</v>
      </c>
      <c r="T5902">
        <v>1</v>
      </c>
    </row>
    <row r="5903" spans="18:20" x14ac:dyDescent="0.25">
      <c r="R5903">
        <v>178</v>
      </c>
      <c r="S5903">
        <v>139</v>
      </c>
      <c r="T5903">
        <v>1</v>
      </c>
    </row>
    <row r="5904" spans="18:20" x14ac:dyDescent="0.25">
      <c r="R5904">
        <v>178</v>
      </c>
      <c r="S5904">
        <v>145</v>
      </c>
      <c r="T5904">
        <v>4</v>
      </c>
    </row>
    <row r="5905" spans="18:20" x14ac:dyDescent="0.25">
      <c r="R5905">
        <v>178</v>
      </c>
      <c r="S5905">
        <v>151</v>
      </c>
      <c r="T5905">
        <v>5</v>
      </c>
    </row>
    <row r="5906" spans="18:20" x14ac:dyDescent="0.25">
      <c r="R5906">
        <v>178</v>
      </c>
      <c r="S5906">
        <v>156</v>
      </c>
      <c r="T5906">
        <v>3</v>
      </c>
    </row>
    <row r="5907" spans="18:20" x14ac:dyDescent="0.25">
      <c r="R5907">
        <v>178</v>
      </c>
      <c r="S5907">
        <v>160</v>
      </c>
      <c r="T5907">
        <v>3</v>
      </c>
    </row>
    <row r="5908" spans="18:20" x14ac:dyDescent="0.25">
      <c r="R5908">
        <v>178</v>
      </c>
      <c r="S5908">
        <v>166</v>
      </c>
      <c r="T5908">
        <v>1</v>
      </c>
    </row>
    <row r="5909" spans="18:20" x14ac:dyDescent="0.25">
      <c r="R5909">
        <v>178</v>
      </c>
      <c r="S5909">
        <v>168</v>
      </c>
      <c r="T5909">
        <v>4</v>
      </c>
    </row>
    <row r="5910" spans="18:20" x14ac:dyDescent="0.25">
      <c r="R5910">
        <v>178</v>
      </c>
      <c r="S5910">
        <v>188</v>
      </c>
      <c r="T5910">
        <v>5</v>
      </c>
    </row>
    <row r="5911" spans="18:20" x14ac:dyDescent="0.25">
      <c r="R5911">
        <v>178</v>
      </c>
      <c r="S5911">
        <v>189</v>
      </c>
      <c r="T5911">
        <v>4</v>
      </c>
    </row>
    <row r="5912" spans="18:20" x14ac:dyDescent="0.25">
      <c r="R5912">
        <v>178</v>
      </c>
      <c r="S5912">
        <v>193</v>
      </c>
      <c r="T5912">
        <v>2</v>
      </c>
    </row>
    <row r="5913" spans="18:20" x14ac:dyDescent="0.25">
      <c r="R5913">
        <v>178</v>
      </c>
      <c r="S5913">
        <v>231</v>
      </c>
      <c r="T5913">
        <v>1</v>
      </c>
    </row>
    <row r="5914" spans="18:20" x14ac:dyDescent="0.25">
      <c r="R5914">
        <v>178</v>
      </c>
      <c r="S5914">
        <v>233</v>
      </c>
      <c r="T5914">
        <v>2</v>
      </c>
    </row>
    <row r="5915" spans="18:20" x14ac:dyDescent="0.25">
      <c r="R5915">
        <v>178</v>
      </c>
      <c r="S5915">
        <v>235</v>
      </c>
      <c r="T5915">
        <v>1</v>
      </c>
    </row>
    <row r="5916" spans="18:20" x14ac:dyDescent="0.25">
      <c r="R5916">
        <v>178</v>
      </c>
      <c r="S5916">
        <v>246</v>
      </c>
      <c r="T5916">
        <v>5</v>
      </c>
    </row>
    <row r="5917" spans="18:20" x14ac:dyDescent="0.25">
      <c r="R5917">
        <v>178</v>
      </c>
      <c r="S5917">
        <v>248</v>
      </c>
      <c r="T5917">
        <v>3</v>
      </c>
    </row>
    <row r="5918" spans="18:20" x14ac:dyDescent="0.25">
      <c r="R5918">
        <v>178</v>
      </c>
      <c r="S5918">
        <v>270</v>
      </c>
      <c r="T5918">
        <v>5</v>
      </c>
    </row>
    <row r="5919" spans="18:20" x14ac:dyDescent="0.25">
      <c r="R5919">
        <v>178</v>
      </c>
      <c r="S5919">
        <v>297</v>
      </c>
      <c r="T5919">
        <v>3</v>
      </c>
    </row>
    <row r="5920" spans="18:20" x14ac:dyDescent="0.25">
      <c r="R5920">
        <v>178</v>
      </c>
      <c r="S5920">
        <v>308</v>
      </c>
      <c r="T5920">
        <v>1</v>
      </c>
    </row>
    <row r="5921" spans="18:20" x14ac:dyDescent="0.25">
      <c r="R5921">
        <v>178</v>
      </c>
      <c r="S5921">
        <v>322</v>
      </c>
      <c r="T5921">
        <v>1</v>
      </c>
    </row>
    <row r="5922" spans="18:20" x14ac:dyDescent="0.25">
      <c r="R5922">
        <v>178</v>
      </c>
      <c r="S5922">
        <v>335</v>
      </c>
      <c r="T5922">
        <v>3</v>
      </c>
    </row>
    <row r="5923" spans="18:20" x14ac:dyDescent="0.25">
      <c r="R5923">
        <v>178</v>
      </c>
      <c r="S5923">
        <v>367</v>
      </c>
      <c r="T5923">
        <v>4</v>
      </c>
    </row>
    <row r="5924" spans="18:20" x14ac:dyDescent="0.25">
      <c r="R5924">
        <v>178</v>
      </c>
      <c r="S5924">
        <v>377</v>
      </c>
      <c r="T5924">
        <v>3</v>
      </c>
    </row>
    <row r="5925" spans="18:20" x14ac:dyDescent="0.25">
      <c r="R5925">
        <v>178</v>
      </c>
      <c r="S5925">
        <v>394</v>
      </c>
      <c r="T5925">
        <v>3</v>
      </c>
    </row>
    <row r="5926" spans="18:20" x14ac:dyDescent="0.25">
      <c r="R5926">
        <v>178</v>
      </c>
      <c r="S5926">
        <v>409</v>
      </c>
      <c r="T5926">
        <v>4</v>
      </c>
    </row>
    <row r="5927" spans="18:20" x14ac:dyDescent="0.25">
      <c r="R5927">
        <v>178</v>
      </c>
      <c r="S5927">
        <v>410</v>
      </c>
      <c r="T5927">
        <v>4</v>
      </c>
    </row>
    <row r="5928" spans="18:20" x14ac:dyDescent="0.25">
      <c r="R5928">
        <v>178</v>
      </c>
      <c r="S5928">
        <v>415</v>
      </c>
      <c r="T5928">
        <v>5</v>
      </c>
    </row>
    <row r="5929" spans="18:20" x14ac:dyDescent="0.25">
      <c r="R5929">
        <v>179</v>
      </c>
      <c r="S5929">
        <v>5</v>
      </c>
      <c r="T5929">
        <v>5</v>
      </c>
    </row>
    <row r="5930" spans="18:20" x14ac:dyDescent="0.25">
      <c r="R5930">
        <v>179</v>
      </c>
      <c r="S5930">
        <v>47</v>
      </c>
      <c r="T5930">
        <v>4</v>
      </c>
    </row>
    <row r="5931" spans="18:20" x14ac:dyDescent="0.25">
      <c r="R5931">
        <v>179</v>
      </c>
      <c r="S5931">
        <v>54</v>
      </c>
      <c r="T5931">
        <v>3</v>
      </c>
    </row>
    <row r="5932" spans="18:20" x14ac:dyDescent="0.25">
      <c r="R5932">
        <v>179</v>
      </c>
      <c r="S5932">
        <v>55</v>
      </c>
      <c r="T5932">
        <v>3</v>
      </c>
    </row>
    <row r="5933" spans="18:20" x14ac:dyDescent="0.25">
      <c r="R5933">
        <v>179</v>
      </c>
      <c r="S5933">
        <v>55</v>
      </c>
      <c r="T5933">
        <v>5</v>
      </c>
    </row>
    <row r="5934" spans="18:20" x14ac:dyDescent="0.25">
      <c r="R5934">
        <v>179</v>
      </c>
      <c r="S5934">
        <v>62</v>
      </c>
      <c r="T5934">
        <v>1</v>
      </c>
    </row>
    <row r="5935" spans="18:20" x14ac:dyDescent="0.25">
      <c r="R5935">
        <v>179</v>
      </c>
      <c r="S5935">
        <v>73</v>
      </c>
      <c r="T5935">
        <v>3</v>
      </c>
    </row>
    <row r="5936" spans="18:20" x14ac:dyDescent="0.25">
      <c r="R5936">
        <v>179</v>
      </c>
      <c r="S5936">
        <v>73</v>
      </c>
      <c r="T5936">
        <v>4</v>
      </c>
    </row>
    <row r="5937" spans="18:20" x14ac:dyDescent="0.25">
      <c r="R5937">
        <v>179</v>
      </c>
      <c r="S5937">
        <v>83</v>
      </c>
      <c r="T5937">
        <v>5</v>
      </c>
    </row>
    <row r="5938" spans="18:20" x14ac:dyDescent="0.25">
      <c r="R5938">
        <v>179</v>
      </c>
      <c r="S5938">
        <v>123</v>
      </c>
      <c r="T5938">
        <v>1</v>
      </c>
    </row>
    <row r="5939" spans="18:20" x14ac:dyDescent="0.25">
      <c r="R5939">
        <v>179</v>
      </c>
      <c r="S5939">
        <v>145</v>
      </c>
      <c r="T5939">
        <v>2</v>
      </c>
    </row>
    <row r="5940" spans="18:20" x14ac:dyDescent="0.25">
      <c r="R5940">
        <v>179</v>
      </c>
      <c r="S5940">
        <v>163</v>
      </c>
      <c r="T5940">
        <v>2</v>
      </c>
    </row>
    <row r="5941" spans="18:20" x14ac:dyDescent="0.25">
      <c r="R5941">
        <v>179</v>
      </c>
      <c r="S5941">
        <v>185</v>
      </c>
      <c r="T5941">
        <v>2</v>
      </c>
    </row>
    <row r="5942" spans="18:20" x14ac:dyDescent="0.25">
      <c r="R5942">
        <v>179</v>
      </c>
      <c r="S5942">
        <v>195</v>
      </c>
      <c r="T5942">
        <v>5</v>
      </c>
    </row>
    <row r="5943" spans="18:20" x14ac:dyDescent="0.25">
      <c r="R5943">
        <v>179</v>
      </c>
      <c r="S5943">
        <v>210</v>
      </c>
      <c r="T5943">
        <v>1</v>
      </c>
    </row>
    <row r="5944" spans="18:20" x14ac:dyDescent="0.25">
      <c r="R5944">
        <v>179</v>
      </c>
      <c r="S5944">
        <v>219</v>
      </c>
      <c r="T5944">
        <v>1</v>
      </c>
    </row>
    <row r="5945" spans="18:20" x14ac:dyDescent="0.25">
      <c r="R5945">
        <v>179</v>
      </c>
      <c r="S5945">
        <v>220</v>
      </c>
      <c r="T5945">
        <v>4</v>
      </c>
    </row>
    <row r="5946" spans="18:20" x14ac:dyDescent="0.25">
      <c r="R5946">
        <v>179</v>
      </c>
      <c r="S5946">
        <v>221</v>
      </c>
      <c r="T5946">
        <v>1</v>
      </c>
    </row>
    <row r="5947" spans="18:20" x14ac:dyDescent="0.25">
      <c r="R5947">
        <v>179</v>
      </c>
      <c r="S5947">
        <v>251</v>
      </c>
      <c r="T5947">
        <v>5</v>
      </c>
    </row>
    <row r="5948" spans="18:20" x14ac:dyDescent="0.25">
      <c r="R5948">
        <v>179</v>
      </c>
      <c r="S5948">
        <v>260</v>
      </c>
      <c r="T5948">
        <v>5</v>
      </c>
    </row>
    <row r="5949" spans="18:20" x14ac:dyDescent="0.25">
      <c r="R5949">
        <v>179</v>
      </c>
      <c r="S5949">
        <v>274</v>
      </c>
      <c r="T5949">
        <v>1</v>
      </c>
    </row>
    <row r="5950" spans="18:20" x14ac:dyDescent="0.25">
      <c r="R5950">
        <v>179</v>
      </c>
      <c r="S5950">
        <v>295</v>
      </c>
      <c r="T5950">
        <v>3</v>
      </c>
    </row>
    <row r="5951" spans="18:20" x14ac:dyDescent="0.25">
      <c r="R5951">
        <v>179</v>
      </c>
      <c r="S5951">
        <v>311</v>
      </c>
      <c r="T5951">
        <v>1</v>
      </c>
    </row>
    <row r="5952" spans="18:20" x14ac:dyDescent="0.25">
      <c r="R5952">
        <v>179</v>
      </c>
      <c r="S5952">
        <v>326</v>
      </c>
      <c r="T5952">
        <v>1</v>
      </c>
    </row>
    <row r="5953" spans="18:20" x14ac:dyDescent="0.25">
      <c r="R5953">
        <v>179</v>
      </c>
      <c r="S5953">
        <v>349</v>
      </c>
      <c r="T5953">
        <v>2</v>
      </c>
    </row>
    <row r="5954" spans="18:20" x14ac:dyDescent="0.25">
      <c r="R5954">
        <v>179</v>
      </c>
      <c r="S5954">
        <v>350</v>
      </c>
      <c r="T5954">
        <v>4</v>
      </c>
    </row>
    <row r="5955" spans="18:20" x14ac:dyDescent="0.25">
      <c r="R5955">
        <v>179</v>
      </c>
      <c r="S5955">
        <v>354</v>
      </c>
      <c r="T5955">
        <v>2</v>
      </c>
    </row>
    <row r="5956" spans="18:20" x14ac:dyDescent="0.25">
      <c r="R5956">
        <v>179</v>
      </c>
      <c r="S5956">
        <v>358</v>
      </c>
      <c r="T5956">
        <v>4</v>
      </c>
    </row>
    <row r="5957" spans="18:20" x14ac:dyDescent="0.25">
      <c r="R5957">
        <v>179</v>
      </c>
      <c r="S5957">
        <v>372</v>
      </c>
      <c r="T5957">
        <v>5</v>
      </c>
    </row>
    <row r="5958" spans="18:20" x14ac:dyDescent="0.25">
      <c r="R5958">
        <v>179</v>
      </c>
      <c r="S5958">
        <v>378</v>
      </c>
      <c r="T5958">
        <v>4</v>
      </c>
    </row>
    <row r="5959" spans="18:20" x14ac:dyDescent="0.25">
      <c r="R5959">
        <v>179</v>
      </c>
      <c r="S5959">
        <v>380</v>
      </c>
      <c r="T5959">
        <v>4</v>
      </c>
    </row>
    <row r="5960" spans="18:20" x14ac:dyDescent="0.25">
      <c r="R5960">
        <v>179</v>
      </c>
      <c r="S5960">
        <v>382</v>
      </c>
      <c r="T5960">
        <v>4</v>
      </c>
    </row>
    <row r="5961" spans="18:20" x14ac:dyDescent="0.25">
      <c r="R5961">
        <v>179</v>
      </c>
      <c r="S5961">
        <v>388</v>
      </c>
      <c r="T5961">
        <v>1</v>
      </c>
    </row>
    <row r="5962" spans="18:20" x14ac:dyDescent="0.25">
      <c r="R5962">
        <v>179</v>
      </c>
      <c r="S5962">
        <v>391</v>
      </c>
      <c r="T5962">
        <v>2</v>
      </c>
    </row>
    <row r="5963" spans="18:20" x14ac:dyDescent="0.25">
      <c r="R5963">
        <v>179</v>
      </c>
      <c r="S5963">
        <v>396</v>
      </c>
      <c r="T5963">
        <v>4</v>
      </c>
    </row>
    <row r="5964" spans="18:20" x14ac:dyDescent="0.25">
      <c r="R5964">
        <v>179</v>
      </c>
      <c r="S5964">
        <v>405</v>
      </c>
      <c r="T5964">
        <v>3</v>
      </c>
    </row>
    <row r="5965" spans="18:20" x14ac:dyDescent="0.25">
      <c r="R5965">
        <v>179</v>
      </c>
      <c r="S5965">
        <v>406</v>
      </c>
      <c r="T5965">
        <v>5</v>
      </c>
    </row>
    <row r="5966" spans="18:20" x14ac:dyDescent="0.25">
      <c r="R5966">
        <v>179</v>
      </c>
      <c r="S5966">
        <v>418</v>
      </c>
      <c r="T5966">
        <v>5</v>
      </c>
    </row>
    <row r="5967" spans="18:20" x14ac:dyDescent="0.25">
      <c r="R5967">
        <v>179</v>
      </c>
      <c r="S5967">
        <v>421</v>
      </c>
      <c r="T5967">
        <v>2</v>
      </c>
    </row>
    <row r="5968" spans="18:20" x14ac:dyDescent="0.25">
      <c r="R5968">
        <v>179</v>
      </c>
      <c r="S5968">
        <v>425</v>
      </c>
      <c r="T5968">
        <v>1</v>
      </c>
    </row>
    <row r="5969" spans="18:20" x14ac:dyDescent="0.25">
      <c r="R5969">
        <v>179</v>
      </c>
      <c r="S5969">
        <v>427</v>
      </c>
      <c r="T5969">
        <v>5</v>
      </c>
    </row>
    <row r="5970" spans="18:20" x14ac:dyDescent="0.25">
      <c r="R5970">
        <v>179</v>
      </c>
      <c r="S5970">
        <v>435</v>
      </c>
      <c r="T5970">
        <v>2</v>
      </c>
    </row>
    <row r="5971" spans="18:20" x14ac:dyDescent="0.25">
      <c r="R5971">
        <v>180</v>
      </c>
      <c r="S5971">
        <v>22</v>
      </c>
      <c r="T5971">
        <v>5</v>
      </c>
    </row>
    <row r="5972" spans="18:20" x14ac:dyDescent="0.25">
      <c r="R5972">
        <v>180</v>
      </c>
      <c r="S5972">
        <v>30</v>
      </c>
      <c r="T5972">
        <v>3</v>
      </c>
    </row>
    <row r="5973" spans="18:20" x14ac:dyDescent="0.25">
      <c r="R5973">
        <v>180</v>
      </c>
      <c r="S5973">
        <v>38</v>
      </c>
      <c r="T5973">
        <v>4</v>
      </c>
    </row>
    <row r="5974" spans="18:20" x14ac:dyDescent="0.25">
      <c r="R5974">
        <v>180</v>
      </c>
      <c r="S5974">
        <v>38</v>
      </c>
      <c r="T5974">
        <v>3</v>
      </c>
    </row>
    <row r="5975" spans="18:20" x14ac:dyDescent="0.25">
      <c r="R5975">
        <v>180</v>
      </c>
      <c r="S5975">
        <v>47</v>
      </c>
      <c r="T5975">
        <v>3</v>
      </c>
    </row>
    <row r="5976" spans="18:20" x14ac:dyDescent="0.25">
      <c r="R5976">
        <v>180</v>
      </c>
      <c r="S5976">
        <v>55</v>
      </c>
      <c r="T5976">
        <v>1</v>
      </c>
    </row>
    <row r="5977" spans="18:20" x14ac:dyDescent="0.25">
      <c r="R5977">
        <v>180</v>
      </c>
      <c r="S5977">
        <v>75</v>
      </c>
      <c r="T5977">
        <v>4</v>
      </c>
    </row>
    <row r="5978" spans="18:20" x14ac:dyDescent="0.25">
      <c r="R5978">
        <v>180</v>
      </c>
      <c r="S5978">
        <v>78</v>
      </c>
      <c r="T5978">
        <v>4</v>
      </c>
    </row>
    <row r="5979" spans="18:20" x14ac:dyDescent="0.25">
      <c r="R5979">
        <v>180</v>
      </c>
      <c r="S5979">
        <v>106</v>
      </c>
      <c r="T5979">
        <v>3</v>
      </c>
    </row>
    <row r="5980" spans="18:20" x14ac:dyDescent="0.25">
      <c r="R5980">
        <v>180</v>
      </c>
      <c r="S5980">
        <v>133</v>
      </c>
      <c r="T5980">
        <v>1</v>
      </c>
    </row>
    <row r="5981" spans="18:20" x14ac:dyDescent="0.25">
      <c r="R5981">
        <v>180</v>
      </c>
      <c r="S5981">
        <v>138</v>
      </c>
      <c r="T5981">
        <v>5</v>
      </c>
    </row>
    <row r="5982" spans="18:20" x14ac:dyDescent="0.25">
      <c r="R5982">
        <v>180</v>
      </c>
      <c r="S5982">
        <v>174</v>
      </c>
      <c r="T5982">
        <v>1</v>
      </c>
    </row>
    <row r="5983" spans="18:20" x14ac:dyDescent="0.25">
      <c r="R5983">
        <v>180</v>
      </c>
      <c r="S5983">
        <v>208</v>
      </c>
      <c r="T5983">
        <v>3</v>
      </c>
    </row>
    <row r="5984" spans="18:20" x14ac:dyDescent="0.25">
      <c r="R5984">
        <v>180</v>
      </c>
      <c r="S5984">
        <v>248</v>
      </c>
      <c r="T5984">
        <v>1</v>
      </c>
    </row>
    <row r="5985" spans="18:20" x14ac:dyDescent="0.25">
      <c r="R5985">
        <v>180</v>
      </c>
      <c r="S5985">
        <v>273</v>
      </c>
      <c r="T5985">
        <v>2</v>
      </c>
    </row>
    <row r="5986" spans="18:20" x14ac:dyDescent="0.25">
      <c r="R5986">
        <v>180</v>
      </c>
      <c r="S5986">
        <v>281</v>
      </c>
      <c r="T5986">
        <v>4</v>
      </c>
    </row>
    <row r="5987" spans="18:20" x14ac:dyDescent="0.25">
      <c r="R5987">
        <v>180</v>
      </c>
      <c r="S5987">
        <v>289</v>
      </c>
      <c r="T5987">
        <v>1</v>
      </c>
    </row>
    <row r="5988" spans="18:20" x14ac:dyDescent="0.25">
      <c r="R5988">
        <v>180</v>
      </c>
      <c r="S5988">
        <v>297</v>
      </c>
      <c r="T5988">
        <v>1</v>
      </c>
    </row>
    <row r="5989" spans="18:20" x14ac:dyDescent="0.25">
      <c r="R5989">
        <v>180</v>
      </c>
      <c r="S5989">
        <v>316</v>
      </c>
      <c r="T5989">
        <v>1</v>
      </c>
    </row>
    <row r="5990" spans="18:20" x14ac:dyDescent="0.25">
      <c r="R5990">
        <v>180</v>
      </c>
      <c r="S5990">
        <v>326</v>
      </c>
      <c r="T5990">
        <v>2</v>
      </c>
    </row>
    <row r="5991" spans="18:20" x14ac:dyDescent="0.25">
      <c r="R5991">
        <v>180</v>
      </c>
      <c r="S5991">
        <v>340</v>
      </c>
      <c r="T5991">
        <v>3</v>
      </c>
    </row>
    <row r="5992" spans="18:20" x14ac:dyDescent="0.25">
      <c r="R5992">
        <v>180</v>
      </c>
      <c r="S5992">
        <v>387</v>
      </c>
      <c r="T5992">
        <v>5</v>
      </c>
    </row>
    <row r="5993" spans="18:20" x14ac:dyDescent="0.25">
      <c r="R5993">
        <v>180</v>
      </c>
      <c r="S5993">
        <v>392</v>
      </c>
      <c r="T5993">
        <v>3</v>
      </c>
    </row>
    <row r="5994" spans="18:20" x14ac:dyDescent="0.25">
      <c r="R5994">
        <v>180</v>
      </c>
      <c r="S5994">
        <v>394</v>
      </c>
      <c r="T5994">
        <v>3</v>
      </c>
    </row>
    <row r="5995" spans="18:20" x14ac:dyDescent="0.25">
      <c r="R5995">
        <v>180</v>
      </c>
      <c r="S5995">
        <v>414</v>
      </c>
      <c r="T5995">
        <v>1</v>
      </c>
    </row>
    <row r="5996" spans="18:20" x14ac:dyDescent="0.25">
      <c r="R5996">
        <v>181</v>
      </c>
      <c r="S5996">
        <v>8</v>
      </c>
      <c r="T5996">
        <v>5</v>
      </c>
    </row>
    <row r="5997" spans="18:20" x14ac:dyDescent="0.25">
      <c r="R5997">
        <v>181</v>
      </c>
      <c r="S5997">
        <v>23</v>
      </c>
      <c r="T5997">
        <v>4</v>
      </c>
    </row>
    <row r="5998" spans="18:20" x14ac:dyDescent="0.25">
      <c r="R5998">
        <v>181</v>
      </c>
      <c r="S5998">
        <v>36</v>
      </c>
      <c r="T5998">
        <v>1</v>
      </c>
    </row>
    <row r="5999" spans="18:20" x14ac:dyDescent="0.25">
      <c r="R5999">
        <v>181</v>
      </c>
      <c r="S5999">
        <v>57</v>
      </c>
      <c r="T5999">
        <v>4</v>
      </c>
    </row>
    <row r="6000" spans="18:20" x14ac:dyDescent="0.25">
      <c r="R6000">
        <v>181</v>
      </c>
      <c r="S6000">
        <v>66</v>
      </c>
      <c r="T6000">
        <v>4</v>
      </c>
    </row>
    <row r="6001" spans="18:20" x14ac:dyDescent="0.25">
      <c r="R6001">
        <v>181</v>
      </c>
      <c r="S6001">
        <v>67</v>
      </c>
      <c r="T6001">
        <v>2</v>
      </c>
    </row>
    <row r="6002" spans="18:20" x14ac:dyDescent="0.25">
      <c r="R6002">
        <v>181</v>
      </c>
      <c r="S6002">
        <v>83</v>
      </c>
      <c r="T6002">
        <v>1</v>
      </c>
    </row>
    <row r="6003" spans="18:20" x14ac:dyDescent="0.25">
      <c r="R6003">
        <v>181</v>
      </c>
      <c r="S6003">
        <v>87</v>
      </c>
      <c r="T6003">
        <v>2</v>
      </c>
    </row>
    <row r="6004" spans="18:20" x14ac:dyDescent="0.25">
      <c r="R6004">
        <v>181</v>
      </c>
      <c r="S6004">
        <v>111</v>
      </c>
      <c r="T6004">
        <v>2</v>
      </c>
    </row>
    <row r="6005" spans="18:20" x14ac:dyDescent="0.25">
      <c r="R6005">
        <v>181</v>
      </c>
      <c r="S6005">
        <v>137</v>
      </c>
      <c r="T6005">
        <v>4</v>
      </c>
    </row>
    <row r="6006" spans="18:20" x14ac:dyDescent="0.25">
      <c r="R6006">
        <v>181</v>
      </c>
      <c r="S6006">
        <v>189</v>
      </c>
      <c r="T6006">
        <v>1</v>
      </c>
    </row>
    <row r="6007" spans="18:20" x14ac:dyDescent="0.25">
      <c r="R6007">
        <v>181</v>
      </c>
      <c r="S6007">
        <v>195</v>
      </c>
      <c r="T6007">
        <v>1</v>
      </c>
    </row>
    <row r="6008" spans="18:20" x14ac:dyDescent="0.25">
      <c r="R6008">
        <v>181</v>
      </c>
      <c r="S6008">
        <v>214</v>
      </c>
      <c r="T6008">
        <v>2</v>
      </c>
    </row>
    <row r="6009" spans="18:20" x14ac:dyDescent="0.25">
      <c r="R6009">
        <v>181</v>
      </c>
      <c r="S6009">
        <v>225</v>
      </c>
      <c r="T6009">
        <v>3</v>
      </c>
    </row>
    <row r="6010" spans="18:20" x14ac:dyDescent="0.25">
      <c r="R6010">
        <v>181</v>
      </c>
      <c r="S6010">
        <v>236</v>
      </c>
      <c r="T6010">
        <v>5</v>
      </c>
    </row>
    <row r="6011" spans="18:20" x14ac:dyDescent="0.25">
      <c r="R6011">
        <v>181</v>
      </c>
      <c r="S6011">
        <v>238</v>
      </c>
      <c r="T6011">
        <v>5</v>
      </c>
    </row>
    <row r="6012" spans="18:20" x14ac:dyDescent="0.25">
      <c r="R6012">
        <v>181</v>
      </c>
      <c r="S6012">
        <v>240</v>
      </c>
      <c r="T6012">
        <v>1</v>
      </c>
    </row>
    <row r="6013" spans="18:20" x14ac:dyDescent="0.25">
      <c r="R6013">
        <v>181</v>
      </c>
      <c r="S6013">
        <v>244</v>
      </c>
      <c r="T6013">
        <v>5</v>
      </c>
    </row>
    <row r="6014" spans="18:20" x14ac:dyDescent="0.25">
      <c r="R6014">
        <v>181</v>
      </c>
      <c r="S6014">
        <v>246</v>
      </c>
      <c r="T6014">
        <v>3</v>
      </c>
    </row>
    <row r="6015" spans="18:20" x14ac:dyDescent="0.25">
      <c r="R6015">
        <v>181</v>
      </c>
      <c r="S6015">
        <v>248</v>
      </c>
      <c r="T6015">
        <v>3</v>
      </c>
    </row>
    <row r="6016" spans="18:20" x14ac:dyDescent="0.25">
      <c r="R6016">
        <v>181</v>
      </c>
      <c r="S6016">
        <v>255</v>
      </c>
      <c r="T6016">
        <v>3</v>
      </c>
    </row>
    <row r="6017" spans="18:20" x14ac:dyDescent="0.25">
      <c r="R6017">
        <v>181</v>
      </c>
      <c r="S6017">
        <v>256</v>
      </c>
      <c r="T6017">
        <v>1</v>
      </c>
    </row>
    <row r="6018" spans="18:20" x14ac:dyDescent="0.25">
      <c r="R6018">
        <v>181</v>
      </c>
      <c r="S6018">
        <v>271</v>
      </c>
      <c r="T6018">
        <v>4</v>
      </c>
    </row>
    <row r="6019" spans="18:20" x14ac:dyDescent="0.25">
      <c r="R6019">
        <v>181</v>
      </c>
      <c r="S6019">
        <v>278</v>
      </c>
      <c r="T6019">
        <v>3</v>
      </c>
    </row>
    <row r="6020" spans="18:20" x14ac:dyDescent="0.25">
      <c r="R6020">
        <v>181</v>
      </c>
      <c r="S6020">
        <v>295</v>
      </c>
      <c r="T6020">
        <v>4</v>
      </c>
    </row>
    <row r="6021" spans="18:20" x14ac:dyDescent="0.25">
      <c r="R6021">
        <v>181</v>
      </c>
      <c r="S6021">
        <v>296</v>
      </c>
      <c r="T6021">
        <v>5</v>
      </c>
    </row>
    <row r="6022" spans="18:20" x14ac:dyDescent="0.25">
      <c r="R6022">
        <v>181</v>
      </c>
      <c r="S6022">
        <v>311</v>
      </c>
      <c r="T6022">
        <v>5</v>
      </c>
    </row>
    <row r="6023" spans="18:20" x14ac:dyDescent="0.25">
      <c r="R6023">
        <v>181</v>
      </c>
      <c r="S6023">
        <v>313</v>
      </c>
      <c r="T6023">
        <v>4</v>
      </c>
    </row>
    <row r="6024" spans="18:20" x14ac:dyDescent="0.25">
      <c r="R6024">
        <v>181</v>
      </c>
      <c r="S6024">
        <v>317</v>
      </c>
      <c r="T6024">
        <v>1</v>
      </c>
    </row>
    <row r="6025" spans="18:20" x14ac:dyDescent="0.25">
      <c r="R6025">
        <v>181</v>
      </c>
      <c r="S6025">
        <v>330</v>
      </c>
      <c r="T6025">
        <v>4</v>
      </c>
    </row>
    <row r="6026" spans="18:20" x14ac:dyDescent="0.25">
      <c r="R6026">
        <v>181</v>
      </c>
      <c r="S6026">
        <v>342</v>
      </c>
      <c r="T6026">
        <v>2</v>
      </c>
    </row>
    <row r="6027" spans="18:20" x14ac:dyDescent="0.25">
      <c r="R6027">
        <v>181</v>
      </c>
      <c r="S6027">
        <v>380</v>
      </c>
      <c r="T6027">
        <v>1</v>
      </c>
    </row>
    <row r="6028" spans="18:20" x14ac:dyDescent="0.25">
      <c r="R6028">
        <v>181</v>
      </c>
      <c r="S6028">
        <v>380</v>
      </c>
      <c r="T6028">
        <v>5</v>
      </c>
    </row>
    <row r="6029" spans="18:20" x14ac:dyDescent="0.25">
      <c r="R6029">
        <v>181</v>
      </c>
      <c r="S6029">
        <v>407</v>
      </c>
      <c r="T6029">
        <v>4</v>
      </c>
    </row>
    <row r="6030" spans="18:20" x14ac:dyDescent="0.25">
      <c r="R6030">
        <v>181</v>
      </c>
      <c r="S6030">
        <v>424</v>
      </c>
      <c r="T6030">
        <v>2</v>
      </c>
    </row>
    <row r="6031" spans="18:20" x14ac:dyDescent="0.25">
      <c r="R6031">
        <v>181</v>
      </c>
      <c r="S6031">
        <v>426</v>
      </c>
      <c r="T6031">
        <v>2</v>
      </c>
    </row>
    <row r="6032" spans="18:20" x14ac:dyDescent="0.25">
      <c r="R6032">
        <v>181</v>
      </c>
      <c r="S6032">
        <v>434</v>
      </c>
      <c r="T6032">
        <v>2</v>
      </c>
    </row>
    <row r="6033" spans="18:20" x14ac:dyDescent="0.25">
      <c r="R6033">
        <v>182</v>
      </c>
      <c r="S6033">
        <v>6</v>
      </c>
      <c r="T6033">
        <v>2</v>
      </c>
    </row>
    <row r="6034" spans="18:20" x14ac:dyDescent="0.25">
      <c r="R6034">
        <v>182</v>
      </c>
      <c r="S6034">
        <v>16</v>
      </c>
      <c r="T6034">
        <v>1</v>
      </c>
    </row>
    <row r="6035" spans="18:20" x14ac:dyDescent="0.25">
      <c r="R6035">
        <v>182</v>
      </c>
      <c r="S6035">
        <v>24</v>
      </c>
      <c r="T6035">
        <v>3</v>
      </c>
    </row>
    <row r="6036" spans="18:20" x14ac:dyDescent="0.25">
      <c r="R6036">
        <v>182</v>
      </c>
      <c r="S6036">
        <v>25</v>
      </c>
      <c r="T6036">
        <v>1</v>
      </c>
    </row>
    <row r="6037" spans="18:20" x14ac:dyDescent="0.25">
      <c r="R6037">
        <v>182</v>
      </c>
      <c r="S6037">
        <v>28</v>
      </c>
      <c r="T6037">
        <v>3</v>
      </c>
    </row>
    <row r="6038" spans="18:20" x14ac:dyDescent="0.25">
      <c r="R6038">
        <v>182</v>
      </c>
      <c r="S6038">
        <v>44</v>
      </c>
      <c r="T6038">
        <v>3</v>
      </c>
    </row>
    <row r="6039" spans="18:20" x14ac:dyDescent="0.25">
      <c r="R6039">
        <v>182</v>
      </c>
      <c r="S6039">
        <v>45</v>
      </c>
      <c r="T6039">
        <v>4</v>
      </c>
    </row>
    <row r="6040" spans="18:20" x14ac:dyDescent="0.25">
      <c r="R6040">
        <v>182</v>
      </c>
      <c r="S6040">
        <v>57</v>
      </c>
      <c r="T6040">
        <v>2</v>
      </c>
    </row>
    <row r="6041" spans="18:20" x14ac:dyDescent="0.25">
      <c r="R6041">
        <v>182</v>
      </c>
      <c r="S6041">
        <v>63</v>
      </c>
      <c r="T6041">
        <v>4</v>
      </c>
    </row>
    <row r="6042" spans="18:20" x14ac:dyDescent="0.25">
      <c r="R6042">
        <v>182</v>
      </c>
      <c r="S6042">
        <v>80</v>
      </c>
      <c r="T6042">
        <v>4</v>
      </c>
    </row>
    <row r="6043" spans="18:20" x14ac:dyDescent="0.25">
      <c r="R6043">
        <v>182</v>
      </c>
      <c r="S6043">
        <v>80</v>
      </c>
      <c r="T6043">
        <v>3</v>
      </c>
    </row>
    <row r="6044" spans="18:20" x14ac:dyDescent="0.25">
      <c r="R6044">
        <v>182</v>
      </c>
      <c r="S6044">
        <v>85</v>
      </c>
      <c r="T6044">
        <v>1</v>
      </c>
    </row>
    <row r="6045" spans="18:20" x14ac:dyDescent="0.25">
      <c r="R6045">
        <v>182</v>
      </c>
      <c r="S6045">
        <v>89</v>
      </c>
      <c r="T6045">
        <v>5</v>
      </c>
    </row>
    <row r="6046" spans="18:20" x14ac:dyDescent="0.25">
      <c r="R6046">
        <v>182</v>
      </c>
      <c r="S6046">
        <v>152</v>
      </c>
      <c r="T6046">
        <v>3</v>
      </c>
    </row>
    <row r="6047" spans="18:20" x14ac:dyDescent="0.25">
      <c r="R6047">
        <v>182</v>
      </c>
      <c r="S6047">
        <v>176</v>
      </c>
      <c r="T6047">
        <v>4</v>
      </c>
    </row>
    <row r="6048" spans="18:20" x14ac:dyDescent="0.25">
      <c r="R6048">
        <v>182</v>
      </c>
      <c r="S6048">
        <v>197</v>
      </c>
      <c r="T6048">
        <v>3</v>
      </c>
    </row>
    <row r="6049" spans="18:20" x14ac:dyDescent="0.25">
      <c r="R6049">
        <v>182</v>
      </c>
      <c r="S6049">
        <v>229</v>
      </c>
      <c r="T6049">
        <v>5</v>
      </c>
    </row>
    <row r="6050" spans="18:20" x14ac:dyDescent="0.25">
      <c r="R6050">
        <v>182</v>
      </c>
      <c r="S6050">
        <v>244</v>
      </c>
      <c r="T6050">
        <v>5</v>
      </c>
    </row>
    <row r="6051" spans="18:20" x14ac:dyDescent="0.25">
      <c r="R6051">
        <v>182</v>
      </c>
      <c r="S6051">
        <v>245</v>
      </c>
      <c r="T6051">
        <v>1</v>
      </c>
    </row>
    <row r="6052" spans="18:20" x14ac:dyDescent="0.25">
      <c r="R6052">
        <v>182</v>
      </c>
      <c r="S6052">
        <v>255</v>
      </c>
      <c r="T6052">
        <v>2</v>
      </c>
    </row>
    <row r="6053" spans="18:20" x14ac:dyDescent="0.25">
      <c r="R6053">
        <v>182</v>
      </c>
      <c r="S6053">
        <v>261</v>
      </c>
      <c r="T6053">
        <v>2</v>
      </c>
    </row>
    <row r="6054" spans="18:20" x14ac:dyDescent="0.25">
      <c r="R6054">
        <v>182</v>
      </c>
      <c r="S6054">
        <v>265</v>
      </c>
      <c r="T6054">
        <v>2</v>
      </c>
    </row>
    <row r="6055" spans="18:20" x14ac:dyDescent="0.25">
      <c r="R6055">
        <v>182</v>
      </c>
      <c r="S6055">
        <v>266</v>
      </c>
      <c r="T6055">
        <v>3</v>
      </c>
    </row>
    <row r="6056" spans="18:20" x14ac:dyDescent="0.25">
      <c r="R6056">
        <v>182</v>
      </c>
      <c r="S6056">
        <v>275</v>
      </c>
      <c r="T6056">
        <v>3</v>
      </c>
    </row>
    <row r="6057" spans="18:20" x14ac:dyDescent="0.25">
      <c r="R6057">
        <v>182</v>
      </c>
      <c r="S6057">
        <v>275</v>
      </c>
      <c r="T6057">
        <v>1</v>
      </c>
    </row>
    <row r="6058" spans="18:20" x14ac:dyDescent="0.25">
      <c r="R6058">
        <v>182</v>
      </c>
      <c r="S6058">
        <v>288</v>
      </c>
      <c r="T6058">
        <v>2</v>
      </c>
    </row>
    <row r="6059" spans="18:20" x14ac:dyDescent="0.25">
      <c r="R6059">
        <v>182</v>
      </c>
      <c r="S6059">
        <v>304</v>
      </c>
      <c r="T6059">
        <v>4</v>
      </c>
    </row>
    <row r="6060" spans="18:20" x14ac:dyDescent="0.25">
      <c r="R6060">
        <v>182</v>
      </c>
      <c r="S6060">
        <v>349</v>
      </c>
      <c r="T6060">
        <v>4</v>
      </c>
    </row>
    <row r="6061" spans="18:20" x14ac:dyDescent="0.25">
      <c r="R6061">
        <v>182</v>
      </c>
      <c r="S6061">
        <v>354</v>
      </c>
      <c r="T6061">
        <v>1</v>
      </c>
    </row>
    <row r="6062" spans="18:20" x14ac:dyDescent="0.25">
      <c r="R6062">
        <v>182</v>
      </c>
      <c r="S6062">
        <v>365</v>
      </c>
      <c r="T6062">
        <v>5</v>
      </c>
    </row>
    <row r="6063" spans="18:20" x14ac:dyDescent="0.25">
      <c r="R6063">
        <v>182</v>
      </c>
      <c r="S6063">
        <v>371</v>
      </c>
      <c r="T6063">
        <v>4</v>
      </c>
    </row>
    <row r="6064" spans="18:20" x14ac:dyDescent="0.25">
      <c r="R6064">
        <v>182</v>
      </c>
      <c r="S6064">
        <v>390</v>
      </c>
      <c r="T6064">
        <v>2</v>
      </c>
    </row>
    <row r="6065" spans="18:20" x14ac:dyDescent="0.25">
      <c r="R6065">
        <v>182</v>
      </c>
      <c r="S6065">
        <v>391</v>
      </c>
      <c r="T6065">
        <v>3</v>
      </c>
    </row>
    <row r="6066" spans="18:20" x14ac:dyDescent="0.25">
      <c r="R6066">
        <v>182</v>
      </c>
      <c r="S6066">
        <v>403</v>
      </c>
      <c r="T6066">
        <v>4</v>
      </c>
    </row>
    <row r="6067" spans="18:20" x14ac:dyDescent="0.25">
      <c r="R6067">
        <v>182</v>
      </c>
      <c r="S6067">
        <v>404</v>
      </c>
      <c r="T6067">
        <v>5</v>
      </c>
    </row>
    <row r="6068" spans="18:20" x14ac:dyDescent="0.25">
      <c r="R6068">
        <v>182</v>
      </c>
      <c r="S6068">
        <v>413</v>
      </c>
      <c r="T6068">
        <v>1</v>
      </c>
    </row>
    <row r="6069" spans="18:20" x14ac:dyDescent="0.25">
      <c r="R6069">
        <v>182</v>
      </c>
      <c r="S6069">
        <v>436</v>
      </c>
      <c r="T6069">
        <v>1</v>
      </c>
    </row>
    <row r="6070" spans="18:20" x14ac:dyDescent="0.25">
      <c r="R6070">
        <v>183</v>
      </c>
      <c r="S6070">
        <v>5</v>
      </c>
      <c r="T6070">
        <v>2</v>
      </c>
    </row>
    <row r="6071" spans="18:20" x14ac:dyDescent="0.25">
      <c r="R6071">
        <v>183</v>
      </c>
      <c r="S6071">
        <v>46</v>
      </c>
      <c r="T6071">
        <v>1</v>
      </c>
    </row>
    <row r="6072" spans="18:20" x14ac:dyDescent="0.25">
      <c r="R6072">
        <v>183</v>
      </c>
      <c r="S6072">
        <v>104</v>
      </c>
      <c r="T6072">
        <v>3</v>
      </c>
    </row>
    <row r="6073" spans="18:20" x14ac:dyDescent="0.25">
      <c r="R6073">
        <v>183</v>
      </c>
      <c r="S6073">
        <v>107</v>
      </c>
      <c r="T6073">
        <v>5</v>
      </c>
    </row>
    <row r="6074" spans="18:20" x14ac:dyDescent="0.25">
      <c r="R6074">
        <v>183</v>
      </c>
      <c r="S6074">
        <v>119</v>
      </c>
      <c r="T6074">
        <v>3</v>
      </c>
    </row>
    <row r="6075" spans="18:20" x14ac:dyDescent="0.25">
      <c r="R6075">
        <v>183</v>
      </c>
      <c r="S6075">
        <v>130</v>
      </c>
      <c r="T6075">
        <v>5</v>
      </c>
    </row>
    <row r="6076" spans="18:20" x14ac:dyDescent="0.25">
      <c r="R6076">
        <v>183</v>
      </c>
      <c r="S6076">
        <v>136</v>
      </c>
      <c r="T6076">
        <v>3</v>
      </c>
    </row>
    <row r="6077" spans="18:20" x14ac:dyDescent="0.25">
      <c r="R6077">
        <v>183</v>
      </c>
      <c r="S6077">
        <v>142</v>
      </c>
      <c r="T6077">
        <v>1</v>
      </c>
    </row>
    <row r="6078" spans="18:20" x14ac:dyDescent="0.25">
      <c r="R6078">
        <v>183</v>
      </c>
      <c r="S6078">
        <v>143</v>
      </c>
      <c r="T6078">
        <v>5</v>
      </c>
    </row>
    <row r="6079" spans="18:20" x14ac:dyDescent="0.25">
      <c r="R6079">
        <v>183</v>
      </c>
      <c r="S6079">
        <v>179</v>
      </c>
      <c r="T6079">
        <v>1</v>
      </c>
    </row>
    <row r="6080" spans="18:20" x14ac:dyDescent="0.25">
      <c r="R6080">
        <v>183</v>
      </c>
      <c r="S6080">
        <v>186</v>
      </c>
      <c r="T6080">
        <v>4</v>
      </c>
    </row>
    <row r="6081" spans="18:20" x14ac:dyDescent="0.25">
      <c r="R6081">
        <v>183</v>
      </c>
      <c r="S6081">
        <v>190</v>
      </c>
      <c r="T6081">
        <v>4</v>
      </c>
    </row>
    <row r="6082" spans="18:20" x14ac:dyDescent="0.25">
      <c r="R6082">
        <v>183</v>
      </c>
      <c r="S6082">
        <v>199</v>
      </c>
      <c r="T6082">
        <v>2</v>
      </c>
    </row>
    <row r="6083" spans="18:20" x14ac:dyDescent="0.25">
      <c r="R6083">
        <v>183</v>
      </c>
      <c r="S6083">
        <v>222</v>
      </c>
      <c r="T6083">
        <v>4</v>
      </c>
    </row>
    <row r="6084" spans="18:20" x14ac:dyDescent="0.25">
      <c r="R6084">
        <v>183</v>
      </c>
      <c r="S6084">
        <v>222</v>
      </c>
      <c r="T6084">
        <v>2</v>
      </c>
    </row>
    <row r="6085" spans="18:20" x14ac:dyDescent="0.25">
      <c r="R6085">
        <v>183</v>
      </c>
      <c r="S6085">
        <v>241</v>
      </c>
      <c r="T6085">
        <v>2</v>
      </c>
    </row>
    <row r="6086" spans="18:20" x14ac:dyDescent="0.25">
      <c r="R6086">
        <v>183</v>
      </c>
      <c r="S6086">
        <v>255</v>
      </c>
      <c r="T6086">
        <v>3</v>
      </c>
    </row>
    <row r="6087" spans="18:20" x14ac:dyDescent="0.25">
      <c r="R6087">
        <v>183</v>
      </c>
      <c r="S6087">
        <v>260</v>
      </c>
      <c r="T6087">
        <v>3</v>
      </c>
    </row>
    <row r="6088" spans="18:20" x14ac:dyDescent="0.25">
      <c r="R6088">
        <v>183</v>
      </c>
      <c r="S6088">
        <v>279</v>
      </c>
      <c r="T6088">
        <v>1</v>
      </c>
    </row>
    <row r="6089" spans="18:20" x14ac:dyDescent="0.25">
      <c r="R6089">
        <v>183</v>
      </c>
      <c r="S6089">
        <v>300</v>
      </c>
      <c r="T6089">
        <v>4</v>
      </c>
    </row>
    <row r="6090" spans="18:20" x14ac:dyDescent="0.25">
      <c r="R6090">
        <v>183</v>
      </c>
      <c r="S6090">
        <v>306</v>
      </c>
      <c r="T6090">
        <v>4</v>
      </c>
    </row>
    <row r="6091" spans="18:20" x14ac:dyDescent="0.25">
      <c r="R6091">
        <v>183</v>
      </c>
      <c r="S6091">
        <v>312</v>
      </c>
      <c r="T6091">
        <v>3</v>
      </c>
    </row>
    <row r="6092" spans="18:20" x14ac:dyDescent="0.25">
      <c r="R6092">
        <v>183</v>
      </c>
      <c r="S6092">
        <v>371</v>
      </c>
      <c r="T6092">
        <v>3</v>
      </c>
    </row>
    <row r="6093" spans="18:20" x14ac:dyDescent="0.25">
      <c r="R6093">
        <v>183</v>
      </c>
      <c r="S6093">
        <v>382</v>
      </c>
      <c r="T6093">
        <v>1</v>
      </c>
    </row>
    <row r="6094" spans="18:20" x14ac:dyDescent="0.25">
      <c r="R6094">
        <v>183</v>
      </c>
      <c r="S6094">
        <v>384</v>
      </c>
      <c r="T6094">
        <v>1</v>
      </c>
    </row>
    <row r="6095" spans="18:20" x14ac:dyDescent="0.25">
      <c r="R6095">
        <v>183</v>
      </c>
      <c r="S6095">
        <v>399</v>
      </c>
      <c r="T6095">
        <v>1</v>
      </c>
    </row>
    <row r="6096" spans="18:20" x14ac:dyDescent="0.25">
      <c r="R6096">
        <v>183</v>
      </c>
      <c r="S6096">
        <v>420</v>
      </c>
      <c r="T6096">
        <v>1</v>
      </c>
    </row>
    <row r="6097" spans="18:20" x14ac:dyDescent="0.25">
      <c r="R6097">
        <v>183</v>
      </c>
      <c r="S6097">
        <v>431</v>
      </c>
      <c r="T6097">
        <v>2</v>
      </c>
    </row>
    <row r="6098" spans="18:20" x14ac:dyDescent="0.25">
      <c r="R6098">
        <v>184</v>
      </c>
      <c r="S6098">
        <v>6</v>
      </c>
      <c r="T6098">
        <v>5</v>
      </c>
    </row>
    <row r="6099" spans="18:20" x14ac:dyDescent="0.25">
      <c r="R6099">
        <v>184</v>
      </c>
      <c r="S6099">
        <v>11</v>
      </c>
      <c r="T6099">
        <v>1</v>
      </c>
    </row>
    <row r="6100" spans="18:20" x14ac:dyDescent="0.25">
      <c r="R6100">
        <v>184</v>
      </c>
      <c r="S6100">
        <v>12</v>
      </c>
      <c r="T6100">
        <v>4</v>
      </c>
    </row>
    <row r="6101" spans="18:20" x14ac:dyDescent="0.25">
      <c r="R6101">
        <v>184</v>
      </c>
      <c r="S6101">
        <v>17</v>
      </c>
      <c r="T6101">
        <v>2</v>
      </c>
    </row>
    <row r="6102" spans="18:20" x14ac:dyDescent="0.25">
      <c r="R6102">
        <v>184</v>
      </c>
      <c r="S6102">
        <v>26</v>
      </c>
      <c r="T6102">
        <v>5</v>
      </c>
    </row>
    <row r="6103" spans="18:20" x14ac:dyDescent="0.25">
      <c r="R6103">
        <v>184</v>
      </c>
      <c r="S6103">
        <v>29</v>
      </c>
      <c r="T6103">
        <v>2</v>
      </c>
    </row>
    <row r="6104" spans="18:20" x14ac:dyDescent="0.25">
      <c r="R6104">
        <v>184</v>
      </c>
      <c r="S6104">
        <v>36</v>
      </c>
      <c r="T6104">
        <v>5</v>
      </c>
    </row>
    <row r="6105" spans="18:20" x14ac:dyDescent="0.25">
      <c r="R6105">
        <v>184</v>
      </c>
      <c r="S6105">
        <v>36</v>
      </c>
      <c r="T6105">
        <v>5</v>
      </c>
    </row>
    <row r="6106" spans="18:20" x14ac:dyDescent="0.25">
      <c r="R6106">
        <v>184</v>
      </c>
      <c r="S6106">
        <v>39</v>
      </c>
      <c r="T6106">
        <v>4</v>
      </c>
    </row>
    <row r="6107" spans="18:20" x14ac:dyDescent="0.25">
      <c r="R6107">
        <v>184</v>
      </c>
      <c r="S6107">
        <v>61</v>
      </c>
      <c r="T6107">
        <v>5</v>
      </c>
    </row>
    <row r="6108" spans="18:20" x14ac:dyDescent="0.25">
      <c r="R6108">
        <v>184</v>
      </c>
      <c r="S6108">
        <v>66</v>
      </c>
      <c r="T6108">
        <v>3</v>
      </c>
    </row>
    <row r="6109" spans="18:20" x14ac:dyDescent="0.25">
      <c r="R6109">
        <v>184</v>
      </c>
      <c r="S6109">
        <v>87</v>
      </c>
      <c r="T6109">
        <v>4</v>
      </c>
    </row>
    <row r="6110" spans="18:20" x14ac:dyDescent="0.25">
      <c r="R6110">
        <v>184</v>
      </c>
      <c r="S6110">
        <v>87</v>
      </c>
      <c r="T6110">
        <v>4</v>
      </c>
    </row>
    <row r="6111" spans="18:20" x14ac:dyDescent="0.25">
      <c r="R6111">
        <v>184</v>
      </c>
      <c r="S6111">
        <v>89</v>
      </c>
      <c r="T6111">
        <v>3</v>
      </c>
    </row>
    <row r="6112" spans="18:20" x14ac:dyDescent="0.25">
      <c r="R6112">
        <v>184</v>
      </c>
      <c r="S6112">
        <v>90</v>
      </c>
      <c r="T6112">
        <v>3</v>
      </c>
    </row>
    <row r="6113" spans="18:20" x14ac:dyDescent="0.25">
      <c r="R6113">
        <v>184</v>
      </c>
      <c r="S6113">
        <v>103</v>
      </c>
      <c r="T6113">
        <v>4</v>
      </c>
    </row>
    <row r="6114" spans="18:20" x14ac:dyDescent="0.25">
      <c r="R6114">
        <v>184</v>
      </c>
      <c r="S6114">
        <v>125</v>
      </c>
      <c r="T6114">
        <v>1</v>
      </c>
    </row>
    <row r="6115" spans="18:20" x14ac:dyDescent="0.25">
      <c r="R6115">
        <v>184</v>
      </c>
      <c r="S6115">
        <v>126</v>
      </c>
      <c r="T6115">
        <v>1</v>
      </c>
    </row>
    <row r="6116" spans="18:20" x14ac:dyDescent="0.25">
      <c r="R6116">
        <v>184</v>
      </c>
      <c r="S6116">
        <v>150</v>
      </c>
      <c r="T6116">
        <v>3</v>
      </c>
    </row>
    <row r="6117" spans="18:20" x14ac:dyDescent="0.25">
      <c r="R6117">
        <v>184</v>
      </c>
      <c r="S6117">
        <v>167</v>
      </c>
      <c r="T6117">
        <v>3</v>
      </c>
    </row>
    <row r="6118" spans="18:20" x14ac:dyDescent="0.25">
      <c r="R6118">
        <v>184</v>
      </c>
      <c r="S6118">
        <v>171</v>
      </c>
      <c r="T6118">
        <v>3</v>
      </c>
    </row>
    <row r="6119" spans="18:20" x14ac:dyDescent="0.25">
      <c r="R6119">
        <v>184</v>
      </c>
      <c r="S6119">
        <v>173</v>
      </c>
      <c r="T6119">
        <v>3</v>
      </c>
    </row>
    <row r="6120" spans="18:20" x14ac:dyDescent="0.25">
      <c r="R6120">
        <v>184</v>
      </c>
      <c r="S6120">
        <v>186</v>
      </c>
      <c r="T6120">
        <v>4</v>
      </c>
    </row>
    <row r="6121" spans="18:20" x14ac:dyDescent="0.25">
      <c r="R6121">
        <v>184</v>
      </c>
      <c r="S6121">
        <v>192</v>
      </c>
      <c r="T6121">
        <v>2</v>
      </c>
    </row>
    <row r="6122" spans="18:20" x14ac:dyDescent="0.25">
      <c r="R6122">
        <v>184</v>
      </c>
      <c r="S6122">
        <v>198</v>
      </c>
      <c r="T6122">
        <v>3</v>
      </c>
    </row>
    <row r="6123" spans="18:20" x14ac:dyDescent="0.25">
      <c r="R6123">
        <v>184</v>
      </c>
      <c r="S6123">
        <v>201</v>
      </c>
      <c r="T6123">
        <v>5</v>
      </c>
    </row>
    <row r="6124" spans="18:20" x14ac:dyDescent="0.25">
      <c r="R6124">
        <v>184</v>
      </c>
      <c r="S6124">
        <v>208</v>
      </c>
      <c r="T6124">
        <v>4</v>
      </c>
    </row>
    <row r="6125" spans="18:20" x14ac:dyDescent="0.25">
      <c r="R6125">
        <v>184</v>
      </c>
      <c r="S6125">
        <v>226</v>
      </c>
      <c r="T6125">
        <v>1</v>
      </c>
    </row>
    <row r="6126" spans="18:20" x14ac:dyDescent="0.25">
      <c r="R6126">
        <v>184</v>
      </c>
      <c r="S6126">
        <v>245</v>
      </c>
      <c r="T6126">
        <v>1</v>
      </c>
    </row>
    <row r="6127" spans="18:20" x14ac:dyDescent="0.25">
      <c r="R6127">
        <v>184</v>
      </c>
      <c r="S6127">
        <v>252</v>
      </c>
      <c r="T6127">
        <v>3</v>
      </c>
    </row>
    <row r="6128" spans="18:20" x14ac:dyDescent="0.25">
      <c r="R6128">
        <v>184</v>
      </c>
      <c r="S6128">
        <v>269</v>
      </c>
      <c r="T6128">
        <v>2</v>
      </c>
    </row>
    <row r="6129" spans="18:20" x14ac:dyDescent="0.25">
      <c r="R6129">
        <v>184</v>
      </c>
      <c r="S6129">
        <v>282</v>
      </c>
      <c r="T6129">
        <v>2</v>
      </c>
    </row>
    <row r="6130" spans="18:20" x14ac:dyDescent="0.25">
      <c r="R6130">
        <v>184</v>
      </c>
      <c r="S6130">
        <v>321</v>
      </c>
      <c r="T6130">
        <v>4</v>
      </c>
    </row>
    <row r="6131" spans="18:20" x14ac:dyDescent="0.25">
      <c r="R6131">
        <v>184</v>
      </c>
      <c r="S6131">
        <v>331</v>
      </c>
      <c r="T6131">
        <v>2</v>
      </c>
    </row>
    <row r="6132" spans="18:20" x14ac:dyDescent="0.25">
      <c r="R6132">
        <v>184</v>
      </c>
      <c r="S6132">
        <v>337</v>
      </c>
      <c r="T6132">
        <v>2</v>
      </c>
    </row>
    <row r="6133" spans="18:20" x14ac:dyDescent="0.25">
      <c r="R6133">
        <v>184</v>
      </c>
      <c r="S6133">
        <v>344</v>
      </c>
      <c r="T6133">
        <v>3</v>
      </c>
    </row>
    <row r="6134" spans="18:20" x14ac:dyDescent="0.25">
      <c r="R6134">
        <v>184</v>
      </c>
      <c r="S6134">
        <v>365</v>
      </c>
      <c r="T6134">
        <v>5</v>
      </c>
    </row>
    <row r="6135" spans="18:20" x14ac:dyDescent="0.25">
      <c r="R6135">
        <v>184</v>
      </c>
      <c r="S6135">
        <v>368</v>
      </c>
      <c r="T6135">
        <v>3</v>
      </c>
    </row>
    <row r="6136" spans="18:20" x14ac:dyDescent="0.25">
      <c r="R6136">
        <v>184</v>
      </c>
      <c r="S6136">
        <v>386</v>
      </c>
      <c r="T6136">
        <v>3</v>
      </c>
    </row>
    <row r="6137" spans="18:20" x14ac:dyDescent="0.25">
      <c r="R6137">
        <v>184</v>
      </c>
      <c r="S6137">
        <v>392</v>
      </c>
      <c r="T6137">
        <v>3</v>
      </c>
    </row>
    <row r="6138" spans="18:20" x14ac:dyDescent="0.25">
      <c r="R6138">
        <v>184</v>
      </c>
      <c r="S6138">
        <v>394</v>
      </c>
      <c r="T6138">
        <v>2</v>
      </c>
    </row>
    <row r="6139" spans="18:20" x14ac:dyDescent="0.25">
      <c r="R6139">
        <v>184</v>
      </c>
      <c r="S6139">
        <v>427</v>
      </c>
      <c r="T6139">
        <v>1</v>
      </c>
    </row>
    <row r="6140" spans="18:20" x14ac:dyDescent="0.25">
      <c r="R6140">
        <v>184</v>
      </c>
      <c r="S6140">
        <v>427</v>
      </c>
      <c r="T6140">
        <v>2</v>
      </c>
    </row>
    <row r="6141" spans="18:20" x14ac:dyDescent="0.25">
      <c r="R6141">
        <v>184</v>
      </c>
      <c r="S6141">
        <v>430</v>
      </c>
      <c r="T6141">
        <v>2</v>
      </c>
    </row>
    <row r="6142" spans="18:20" x14ac:dyDescent="0.25">
      <c r="R6142">
        <v>185</v>
      </c>
      <c r="S6142">
        <v>3</v>
      </c>
      <c r="T6142">
        <v>1</v>
      </c>
    </row>
    <row r="6143" spans="18:20" x14ac:dyDescent="0.25">
      <c r="R6143">
        <v>185</v>
      </c>
      <c r="S6143">
        <v>8</v>
      </c>
      <c r="T6143">
        <v>2</v>
      </c>
    </row>
    <row r="6144" spans="18:20" x14ac:dyDescent="0.25">
      <c r="R6144">
        <v>185</v>
      </c>
      <c r="S6144">
        <v>18</v>
      </c>
      <c r="T6144">
        <v>4</v>
      </c>
    </row>
    <row r="6145" spans="18:20" x14ac:dyDescent="0.25">
      <c r="R6145">
        <v>185</v>
      </c>
      <c r="S6145">
        <v>23</v>
      </c>
      <c r="T6145">
        <v>4</v>
      </c>
    </row>
    <row r="6146" spans="18:20" x14ac:dyDescent="0.25">
      <c r="R6146">
        <v>185</v>
      </c>
      <c r="S6146">
        <v>28</v>
      </c>
      <c r="T6146">
        <v>5</v>
      </c>
    </row>
    <row r="6147" spans="18:20" x14ac:dyDescent="0.25">
      <c r="R6147">
        <v>185</v>
      </c>
      <c r="S6147">
        <v>31</v>
      </c>
      <c r="T6147">
        <v>5</v>
      </c>
    </row>
    <row r="6148" spans="18:20" x14ac:dyDescent="0.25">
      <c r="R6148">
        <v>185</v>
      </c>
      <c r="S6148">
        <v>33</v>
      </c>
      <c r="T6148">
        <v>2</v>
      </c>
    </row>
    <row r="6149" spans="18:20" x14ac:dyDescent="0.25">
      <c r="R6149">
        <v>185</v>
      </c>
      <c r="S6149">
        <v>90</v>
      </c>
      <c r="T6149">
        <v>5</v>
      </c>
    </row>
    <row r="6150" spans="18:20" x14ac:dyDescent="0.25">
      <c r="R6150">
        <v>185</v>
      </c>
      <c r="S6150">
        <v>104</v>
      </c>
      <c r="T6150">
        <v>1</v>
      </c>
    </row>
    <row r="6151" spans="18:20" x14ac:dyDescent="0.25">
      <c r="R6151">
        <v>185</v>
      </c>
      <c r="S6151">
        <v>106</v>
      </c>
      <c r="T6151">
        <v>1</v>
      </c>
    </row>
    <row r="6152" spans="18:20" x14ac:dyDescent="0.25">
      <c r="R6152">
        <v>185</v>
      </c>
      <c r="S6152">
        <v>123</v>
      </c>
      <c r="T6152">
        <v>1</v>
      </c>
    </row>
    <row r="6153" spans="18:20" x14ac:dyDescent="0.25">
      <c r="R6153">
        <v>185</v>
      </c>
      <c r="S6153">
        <v>124</v>
      </c>
      <c r="T6153">
        <v>2</v>
      </c>
    </row>
    <row r="6154" spans="18:20" x14ac:dyDescent="0.25">
      <c r="R6154">
        <v>185</v>
      </c>
      <c r="S6154">
        <v>126</v>
      </c>
      <c r="T6154">
        <v>5</v>
      </c>
    </row>
    <row r="6155" spans="18:20" x14ac:dyDescent="0.25">
      <c r="R6155">
        <v>185</v>
      </c>
      <c r="S6155">
        <v>128</v>
      </c>
      <c r="T6155">
        <v>4</v>
      </c>
    </row>
    <row r="6156" spans="18:20" x14ac:dyDescent="0.25">
      <c r="R6156">
        <v>185</v>
      </c>
      <c r="S6156">
        <v>144</v>
      </c>
      <c r="T6156">
        <v>4</v>
      </c>
    </row>
    <row r="6157" spans="18:20" x14ac:dyDescent="0.25">
      <c r="R6157">
        <v>185</v>
      </c>
      <c r="S6157">
        <v>150</v>
      </c>
      <c r="T6157">
        <v>3</v>
      </c>
    </row>
    <row r="6158" spans="18:20" x14ac:dyDescent="0.25">
      <c r="R6158">
        <v>185</v>
      </c>
      <c r="S6158">
        <v>173</v>
      </c>
      <c r="T6158">
        <v>3</v>
      </c>
    </row>
    <row r="6159" spans="18:20" x14ac:dyDescent="0.25">
      <c r="R6159">
        <v>185</v>
      </c>
      <c r="S6159">
        <v>176</v>
      </c>
      <c r="T6159">
        <v>1</v>
      </c>
    </row>
    <row r="6160" spans="18:20" x14ac:dyDescent="0.25">
      <c r="R6160">
        <v>185</v>
      </c>
      <c r="S6160">
        <v>184</v>
      </c>
      <c r="T6160">
        <v>1</v>
      </c>
    </row>
    <row r="6161" spans="18:20" x14ac:dyDescent="0.25">
      <c r="R6161">
        <v>185</v>
      </c>
      <c r="S6161">
        <v>187</v>
      </c>
      <c r="T6161">
        <v>2</v>
      </c>
    </row>
    <row r="6162" spans="18:20" x14ac:dyDescent="0.25">
      <c r="R6162">
        <v>185</v>
      </c>
      <c r="S6162">
        <v>200</v>
      </c>
      <c r="T6162">
        <v>3</v>
      </c>
    </row>
    <row r="6163" spans="18:20" x14ac:dyDescent="0.25">
      <c r="R6163">
        <v>185</v>
      </c>
      <c r="S6163">
        <v>218</v>
      </c>
      <c r="T6163">
        <v>3</v>
      </c>
    </row>
    <row r="6164" spans="18:20" x14ac:dyDescent="0.25">
      <c r="R6164">
        <v>185</v>
      </c>
      <c r="S6164">
        <v>257</v>
      </c>
      <c r="T6164">
        <v>2</v>
      </c>
    </row>
    <row r="6165" spans="18:20" x14ac:dyDescent="0.25">
      <c r="R6165">
        <v>185</v>
      </c>
      <c r="S6165">
        <v>285</v>
      </c>
      <c r="T6165">
        <v>3</v>
      </c>
    </row>
    <row r="6166" spans="18:20" x14ac:dyDescent="0.25">
      <c r="R6166">
        <v>185</v>
      </c>
      <c r="S6166">
        <v>291</v>
      </c>
      <c r="T6166">
        <v>3</v>
      </c>
    </row>
    <row r="6167" spans="18:20" x14ac:dyDescent="0.25">
      <c r="R6167">
        <v>185</v>
      </c>
      <c r="S6167">
        <v>317</v>
      </c>
      <c r="T6167">
        <v>2</v>
      </c>
    </row>
    <row r="6168" spans="18:20" x14ac:dyDescent="0.25">
      <c r="R6168">
        <v>185</v>
      </c>
      <c r="S6168">
        <v>317</v>
      </c>
      <c r="T6168">
        <v>2</v>
      </c>
    </row>
    <row r="6169" spans="18:20" x14ac:dyDescent="0.25">
      <c r="R6169">
        <v>185</v>
      </c>
      <c r="S6169">
        <v>333</v>
      </c>
      <c r="T6169">
        <v>4</v>
      </c>
    </row>
    <row r="6170" spans="18:20" x14ac:dyDescent="0.25">
      <c r="R6170">
        <v>185</v>
      </c>
      <c r="S6170">
        <v>345</v>
      </c>
      <c r="T6170">
        <v>2</v>
      </c>
    </row>
    <row r="6171" spans="18:20" x14ac:dyDescent="0.25">
      <c r="R6171">
        <v>185</v>
      </c>
      <c r="S6171">
        <v>352</v>
      </c>
      <c r="T6171">
        <v>3</v>
      </c>
    </row>
    <row r="6172" spans="18:20" x14ac:dyDescent="0.25">
      <c r="R6172">
        <v>185</v>
      </c>
      <c r="S6172">
        <v>382</v>
      </c>
      <c r="T6172">
        <v>5</v>
      </c>
    </row>
    <row r="6173" spans="18:20" x14ac:dyDescent="0.25">
      <c r="R6173">
        <v>185</v>
      </c>
      <c r="S6173">
        <v>398</v>
      </c>
      <c r="T6173">
        <v>4</v>
      </c>
    </row>
    <row r="6174" spans="18:20" x14ac:dyDescent="0.25">
      <c r="R6174">
        <v>185</v>
      </c>
      <c r="S6174">
        <v>400</v>
      </c>
      <c r="T6174">
        <v>4</v>
      </c>
    </row>
    <row r="6175" spans="18:20" x14ac:dyDescent="0.25">
      <c r="R6175">
        <v>185</v>
      </c>
      <c r="S6175">
        <v>426</v>
      </c>
      <c r="T6175">
        <v>4</v>
      </c>
    </row>
    <row r="6176" spans="18:20" x14ac:dyDescent="0.25">
      <c r="R6176">
        <v>186</v>
      </c>
      <c r="S6176">
        <v>17</v>
      </c>
      <c r="T6176">
        <v>1</v>
      </c>
    </row>
    <row r="6177" spans="18:20" x14ac:dyDescent="0.25">
      <c r="R6177">
        <v>186</v>
      </c>
      <c r="S6177">
        <v>18</v>
      </c>
      <c r="T6177">
        <v>4</v>
      </c>
    </row>
    <row r="6178" spans="18:20" x14ac:dyDescent="0.25">
      <c r="R6178">
        <v>186</v>
      </c>
      <c r="S6178">
        <v>29</v>
      </c>
      <c r="T6178">
        <v>2</v>
      </c>
    </row>
    <row r="6179" spans="18:20" x14ac:dyDescent="0.25">
      <c r="R6179">
        <v>186</v>
      </c>
      <c r="S6179">
        <v>42</v>
      </c>
      <c r="T6179">
        <v>4</v>
      </c>
    </row>
    <row r="6180" spans="18:20" x14ac:dyDescent="0.25">
      <c r="R6180">
        <v>186</v>
      </c>
      <c r="S6180">
        <v>66</v>
      </c>
      <c r="T6180">
        <v>1</v>
      </c>
    </row>
    <row r="6181" spans="18:20" x14ac:dyDescent="0.25">
      <c r="R6181">
        <v>186</v>
      </c>
      <c r="S6181">
        <v>71</v>
      </c>
      <c r="T6181">
        <v>4</v>
      </c>
    </row>
    <row r="6182" spans="18:20" x14ac:dyDescent="0.25">
      <c r="R6182">
        <v>186</v>
      </c>
      <c r="S6182">
        <v>73</v>
      </c>
      <c r="T6182">
        <v>4</v>
      </c>
    </row>
    <row r="6183" spans="18:20" x14ac:dyDescent="0.25">
      <c r="R6183">
        <v>186</v>
      </c>
      <c r="S6183">
        <v>76</v>
      </c>
      <c r="T6183">
        <v>3</v>
      </c>
    </row>
    <row r="6184" spans="18:20" x14ac:dyDescent="0.25">
      <c r="R6184">
        <v>186</v>
      </c>
      <c r="S6184">
        <v>88</v>
      </c>
      <c r="T6184">
        <v>1</v>
      </c>
    </row>
    <row r="6185" spans="18:20" x14ac:dyDescent="0.25">
      <c r="R6185">
        <v>186</v>
      </c>
      <c r="S6185">
        <v>97</v>
      </c>
      <c r="T6185">
        <v>4</v>
      </c>
    </row>
    <row r="6186" spans="18:20" x14ac:dyDescent="0.25">
      <c r="R6186">
        <v>186</v>
      </c>
      <c r="S6186">
        <v>127</v>
      </c>
      <c r="T6186">
        <v>4</v>
      </c>
    </row>
    <row r="6187" spans="18:20" x14ac:dyDescent="0.25">
      <c r="R6187">
        <v>186</v>
      </c>
      <c r="S6187">
        <v>138</v>
      </c>
      <c r="T6187">
        <v>1</v>
      </c>
    </row>
    <row r="6188" spans="18:20" x14ac:dyDescent="0.25">
      <c r="R6188">
        <v>186</v>
      </c>
      <c r="S6188">
        <v>146</v>
      </c>
      <c r="T6188">
        <v>5</v>
      </c>
    </row>
    <row r="6189" spans="18:20" x14ac:dyDescent="0.25">
      <c r="R6189">
        <v>186</v>
      </c>
      <c r="S6189">
        <v>158</v>
      </c>
      <c r="T6189">
        <v>5</v>
      </c>
    </row>
    <row r="6190" spans="18:20" x14ac:dyDescent="0.25">
      <c r="R6190">
        <v>186</v>
      </c>
      <c r="S6190">
        <v>174</v>
      </c>
      <c r="T6190">
        <v>2</v>
      </c>
    </row>
    <row r="6191" spans="18:20" x14ac:dyDescent="0.25">
      <c r="R6191">
        <v>186</v>
      </c>
      <c r="S6191">
        <v>220</v>
      </c>
      <c r="T6191">
        <v>3</v>
      </c>
    </row>
    <row r="6192" spans="18:20" x14ac:dyDescent="0.25">
      <c r="R6192">
        <v>186</v>
      </c>
      <c r="S6192">
        <v>239</v>
      </c>
      <c r="T6192">
        <v>5</v>
      </c>
    </row>
    <row r="6193" spans="18:20" x14ac:dyDescent="0.25">
      <c r="R6193">
        <v>186</v>
      </c>
      <c r="S6193">
        <v>254</v>
      </c>
      <c r="T6193">
        <v>3</v>
      </c>
    </row>
    <row r="6194" spans="18:20" x14ac:dyDescent="0.25">
      <c r="R6194">
        <v>186</v>
      </c>
      <c r="S6194">
        <v>265</v>
      </c>
      <c r="T6194">
        <v>4</v>
      </c>
    </row>
    <row r="6195" spans="18:20" x14ac:dyDescent="0.25">
      <c r="R6195">
        <v>186</v>
      </c>
      <c r="S6195">
        <v>333</v>
      </c>
      <c r="T6195">
        <v>4</v>
      </c>
    </row>
    <row r="6196" spans="18:20" x14ac:dyDescent="0.25">
      <c r="R6196">
        <v>186</v>
      </c>
      <c r="S6196">
        <v>347</v>
      </c>
      <c r="T6196">
        <v>4</v>
      </c>
    </row>
    <row r="6197" spans="18:20" x14ac:dyDescent="0.25">
      <c r="R6197">
        <v>186</v>
      </c>
      <c r="S6197">
        <v>360</v>
      </c>
      <c r="T6197">
        <v>2</v>
      </c>
    </row>
    <row r="6198" spans="18:20" x14ac:dyDescent="0.25">
      <c r="R6198">
        <v>186</v>
      </c>
      <c r="S6198">
        <v>362</v>
      </c>
      <c r="T6198">
        <v>5</v>
      </c>
    </row>
    <row r="6199" spans="18:20" x14ac:dyDescent="0.25">
      <c r="R6199">
        <v>186</v>
      </c>
      <c r="S6199">
        <v>366</v>
      </c>
      <c r="T6199">
        <v>5</v>
      </c>
    </row>
    <row r="6200" spans="18:20" x14ac:dyDescent="0.25">
      <c r="R6200">
        <v>186</v>
      </c>
      <c r="S6200">
        <v>381</v>
      </c>
      <c r="T6200">
        <v>3</v>
      </c>
    </row>
    <row r="6201" spans="18:20" x14ac:dyDescent="0.25">
      <c r="R6201">
        <v>186</v>
      </c>
      <c r="S6201">
        <v>401</v>
      </c>
      <c r="T6201">
        <v>3</v>
      </c>
    </row>
    <row r="6202" spans="18:20" x14ac:dyDescent="0.25">
      <c r="R6202">
        <v>186</v>
      </c>
      <c r="S6202">
        <v>412</v>
      </c>
      <c r="T6202">
        <v>4</v>
      </c>
    </row>
    <row r="6203" spans="18:20" x14ac:dyDescent="0.25">
      <c r="R6203">
        <v>186</v>
      </c>
      <c r="S6203">
        <v>412</v>
      </c>
      <c r="T6203">
        <v>1</v>
      </c>
    </row>
    <row r="6204" spans="18:20" x14ac:dyDescent="0.25">
      <c r="R6204">
        <v>186</v>
      </c>
      <c r="S6204">
        <v>428</v>
      </c>
      <c r="T6204">
        <v>2</v>
      </c>
    </row>
    <row r="6205" spans="18:20" x14ac:dyDescent="0.25">
      <c r="R6205">
        <v>186</v>
      </c>
      <c r="S6205">
        <v>430</v>
      </c>
      <c r="T6205">
        <v>5</v>
      </c>
    </row>
    <row r="6206" spans="18:20" x14ac:dyDescent="0.25">
      <c r="R6206">
        <v>187</v>
      </c>
      <c r="S6206">
        <v>1</v>
      </c>
      <c r="T6206">
        <v>4</v>
      </c>
    </row>
    <row r="6207" spans="18:20" x14ac:dyDescent="0.25">
      <c r="R6207">
        <v>187</v>
      </c>
      <c r="S6207">
        <v>14</v>
      </c>
      <c r="T6207">
        <v>1</v>
      </c>
    </row>
    <row r="6208" spans="18:20" x14ac:dyDescent="0.25">
      <c r="R6208">
        <v>187</v>
      </c>
      <c r="S6208">
        <v>27</v>
      </c>
      <c r="T6208">
        <v>4</v>
      </c>
    </row>
    <row r="6209" spans="18:20" x14ac:dyDescent="0.25">
      <c r="R6209">
        <v>187</v>
      </c>
      <c r="S6209">
        <v>31</v>
      </c>
      <c r="T6209">
        <v>3</v>
      </c>
    </row>
    <row r="6210" spans="18:20" x14ac:dyDescent="0.25">
      <c r="R6210">
        <v>187</v>
      </c>
      <c r="S6210">
        <v>42</v>
      </c>
      <c r="T6210">
        <v>5</v>
      </c>
    </row>
    <row r="6211" spans="18:20" x14ac:dyDescent="0.25">
      <c r="R6211">
        <v>187</v>
      </c>
      <c r="S6211">
        <v>53</v>
      </c>
      <c r="T6211">
        <v>5</v>
      </c>
    </row>
    <row r="6212" spans="18:20" x14ac:dyDescent="0.25">
      <c r="R6212">
        <v>187</v>
      </c>
      <c r="S6212">
        <v>73</v>
      </c>
      <c r="T6212">
        <v>1</v>
      </c>
    </row>
    <row r="6213" spans="18:20" x14ac:dyDescent="0.25">
      <c r="R6213">
        <v>187</v>
      </c>
      <c r="S6213">
        <v>102</v>
      </c>
      <c r="T6213">
        <v>3</v>
      </c>
    </row>
    <row r="6214" spans="18:20" x14ac:dyDescent="0.25">
      <c r="R6214">
        <v>187</v>
      </c>
      <c r="S6214">
        <v>106</v>
      </c>
      <c r="T6214">
        <v>5</v>
      </c>
    </row>
    <row r="6215" spans="18:20" x14ac:dyDescent="0.25">
      <c r="R6215">
        <v>187</v>
      </c>
      <c r="S6215">
        <v>118</v>
      </c>
      <c r="T6215">
        <v>3</v>
      </c>
    </row>
    <row r="6216" spans="18:20" x14ac:dyDescent="0.25">
      <c r="R6216">
        <v>187</v>
      </c>
      <c r="S6216">
        <v>133</v>
      </c>
      <c r="T6216">
        <v>3</v>
      </c>
    </row>
    <row r="6217" spans="18:20" x14ac:dyDescent="0.25">
      <c r="R6217">
        <v>187</v>
      </c>
      <c r="S6217">
        <v>143</v>
      </c>
      <c r="T6217">
        <v>3</v>
      </c>
    </row>
    <row r="6218" spans="18:20" x14ac:dyDescent="0.25">
      <c r="R6218">
        <v>187</v>
      </c>
      <c r="S6218">
        <v>162</v>
      </c>
      <c r="T6218">
        <v>3</v>
      </c>
    </row>
    <row r="6219" spans="18:20" x14ac:dyDescent="0.25">
      <c r="R6219">
        <v>187</v>
      </c>
      <c r="S6219">
        <v>174</v>
      </c>
      <c r="T6219">
        <v>1</v>
      </c>
    </row>
    <row r="6220" spans="18:20" x14ac:dyDescent="0.25">
      <c r="R6220">
        <v>187</v>
      </c>
      <c r="S6220">
        <v>198</v>
      </c>
      <c r="T6220">
        <v>2</v>
      </c>
    </row>
    <row r="6221" spans="18:20" x14ac:dyDescent="0.25">
      <c r="R6221">
        <v>187</v>
      </c>
      <c r="S6221">
        <v>210</v>
      </c>
      <c r="T6221">
        <v>2</v>
      </c>
    </row>
    <row r="6222" spans="18:20" x14ac:dyDescent="0.25">
      <c r="R6222">
        <v>187</v>
      </c>
      <c r="S6222">
        <v>225</v>
      </c>
      <c r="T6222">
        <v>3</v>
      </c>
    </row>
    <row r="6223" spans="18:20" x14ac:dyDescent="0.25">
      <c r="R6223">
        <v>187</v>
      </c>
      <c r="S6223">
        <v>226</v>
      </c>
      <c r="T6223">
        <v>5</v>
      </c>
    </row>
    <row r="6224" spans="18:20" x14ac:dyDescent="0.25">
      <c r="R6224">
        <v>187</v>
      </c>
      <c r="S6224">
        <v>258</v>
      </c>
      <c r="T6224">
        <v>1</v>
      </c>
    </row>
    <row r="6225" spans="18:20" x14ac:dyDescent="0.25">
      <c r="R6225">
        <v>187</v>
      </c>
      <c r="S6225">
        <v>258</v>
      </c>
      <c r="T6225">
        <v>3</v>
      </c>
    </row>
    <row r="6226" spans="18:20" x14ac:dyDescent="0.25">
      <c r="R6226">
        <v>187</v>
      </c>
      <c r="S6226">
        <v>259</v>
      </c>
      <c r="T6226">
        <v>1</v>
      </c>
    </row>
    <row r="6227" spans="18:20" x14ac:dyDescent="0.25">
      <c r="R6227">
        <v>187</v>
      </c>
      <c r="S6227">
        <v>259</v>
      </c>
      <c r="T6227">
        <v>3</v>
      </c>
    </row>
    <row r="6228" spans="18:20" x14ac:dyDescent="0.25">
      <c r="R6228">
        <v>187</v>
      </c>
      <c r="S6228">
        <v>260</v>
      </c>
      <c r="T6228">
        <v>2</v>
      </c>
    </row>
    <row r="6229" spans="18:20" x14ac:dyDescent="0.25">
      <c r="R6229">
        <v>187</v>
      </c>
      <c r="S6229">
        <v>284</v>
      </c>
      <c r="T6229">
        <v>2</v>
      </c>
    </row>
    <row r="6230" spans="18:20" x14ac:dyDescent="0.25">
      <c r="R6230">
        <v>187</v>
      </c>
      <c r="S6230">
        <v>290</v>
      </c>
      <c r="T6230">
        <v>5</v>
      </c>
    </row>
    <row r="6231" spans="18:20" x14ac:dyDescent="0.25">
      <c r="R6231">
        <v>187</v>
      </c>
      <c r="S6231">
        <v>297</v>
      </c>
      <c r="T6231">
        <v>5</v>
      </c>
    </row>
    <row r="6232" spans="18:20" x14ac:dyDescent="0.25">
      <c r="R6232">
        <v>187</v>
      </c>
      <c r="S6232">
        <v>299</v>
      </c>
      <c r="T6232">
        <v>3</v>
      </c>
    </row>
    <row r="6233" spans="18:20" x14ac:dyDescent="0.25">
      <c r="R6233">
        <v>187</v>
      </c>
      <c r="S6233">
        <v>306</v>
      </c>
      <c r="T6233">
        <v>2</v>
      </c>
    </row>
    <row r="6234" spans="18:20" x14ac:dyDescent="0.25">
      <c r="R6234">
        <v>187</v>
      </c>
      <c r="S6234">
        <v>325</v>
      </c>
      <c r="T6234">
        <v>2</v>
      </c>
    </row>
    <row r="6235" spans="18:20" x14ac:dyDescent="0.25">
      <c r="R6235">
        <v>187</v>
      </c>
      <c r="S6235">
        <v>328</v>
      </c>
      <c r="T6235">
        <v>2</v>
      </c>
    </row>
    <row r="6236" spans="18:20" x14ac:dyDescent="0.25">
      <c r="R6236">
        <v>187</v>
      </c>
      <c r="S6236">
        <v>334</v>
      </c>
      <c r="T6236">
        <v>4</v>
      </c>
    </row>
    <row r="6237" spans="18:20" x14ac:dyDescent="0.25">
      <c r="R6237">
        <v>187</v>
      </c>
      <c r="S6237">
        <v>335</v>
      </c>
      <c r="T6237">
        <v>4</v>
      </c>
    </row>
    <row r="6238" spans="18:20" x14ac:dyDescent="0.25">
      <c r="R6238">
        <v>187</v>
      </c>
      <c r="S6238">
        <v>343</v>
      </c>
      <c r="T6238">
        <v>3</v>
      </c>
    </row>
    <row r="6239" spans="18:20" x14ac:dyDescent="0.25">
      <c r="R6239">
        <v>187</v>
      </c>
      <c r="S6239">
        <v>367</v>
      </c>
      <c r="T6239">
        <v>3</v>
      </c>
    </row>
    <row r="6240" spans="18:20" x14ac:dyDescent="0.25">
      <c r="R6240">
        <v>187</v>
      </c>
      <c r="S6240">
        <v>398</v>
      </c>
      <c r="T6240">
        <v>2</v>
      </c>
    </row>
    <row r="6241" spans="18:20" x14ac:dyDescent="0.25">
      <c r="R6241">
        <v>187</v>
      </c>
      <c r="S6241">
        <v>405</v>
      </c>
      <c r="T6241">
        <v>3</v>
      </c>
    </row>
    <row r="6242" spans="18:20" x14ac:dyDescent="0.25">
      <c r="R6242">
        <v>187</v>
      </c>
      <c r="S6242">
        <v>416</v>
      </c>
      <c r="T6242">
        <v>2</v>
      </c>
    </row>
    <row r="6243" spans="18:20" x14ac:dyDescent="0.25">
      <c r="R6243">
        <v>187</v>
      </c>
      <c r="S6243">
        <v>425</v>
      </c>
      <c r="T6243">
        <v>2</v>
      </c>
    </row>
    <row r="6244" spans="18:20" x14ac:dyDescent="0.25">
      <c r="R6244">
        <v>187</v>
      </c>
      <c r="S6244">
        <v>436</v>
      </c>
      <c r="T6244">
        <v>5</v>
      </c>
    </row>
    <row r="6245" spans="18:20" x14ac:dyDescent="0.25">
      <c r="R6245">
        <v>188</v>
      </c>
      <c r="S6245">
        <v>2</v>
      </c>
      <c r="T6245">
        <v>1</v>
      </c>
    </row>
    <row r="6246" spans="18:20" x14ac:dyDescent="0.25">
      <c r="R6246">
        <v>188</v>
      </c>
      <c r="S6246">
        <v>22</v>
      </c>
      <c r="T6246">
        <v>3</v>
      </c>
    </row>
    <row r="6247" spans="18:20" x14ac:dyDescent="0.25">
      <c r="R6247">
        <v>188</v>
      </c>
      <c r="S6247">
        <v>22</v>
      </c>
      <c r="T6247">
        <v>3</v>
      </c>
    </row>
    <row r="6248" spans="18:20" x14ac:dyDescent="0.25">
      <c r="R6248">
        <v>188</v>
      </c>
      <c r="S6248">
        <v>24</v>
      </c>
      <c r="T6248">
        <v>1</v>
      </c>
    </row>
    <row r="6249" spans="18:20" x14ac:dyDescent="0.25">
      <c r="R6249">
        <v>188</v>
      </c>
      <c r="S6249">
        <v>42</v>
      </c>
      <c r="T6249">
        <v>1</v>
      </c>
    </row>
    <row r="6250" spans="18:20" x14ac:dyDescent="0.25">
      <c r="R6250">
        <v>188</v>
      </c>
      <c r="S6250">
        <v>58</v>
      </c>
      <c r="T6250">
        <v>4</v>
      </c>
    </row>
    <row r="6251" spans="18:20" x14ac:dyDescent="0.25">
      <c r="R6251">
        <v>188</v>
      </c>
      <c r="S6251">
        <v>72</v>
      </c>
      <c r="T6251">
        <v>1</v>
      </c>
    </row>
    <row r="6252" spans="18:20" x14ac:dyDescent="0.25">
      <c r="R6252">
        <v>188</v>
      </c>
      <c r="S6252">
        <v>76</v>
      </c>
      <c r="T6252">
        <v>1</v>
      </c>
    </row>
    <row r="6253" spans="18:20" x14ac:dyDescent="0.25">
      <c r="R6253">
        <v>188</v>
      </c>
      <c r="S6253">
        <v>78</v>
      </c>
      <c r="T6253">
        <v>2</v>
      </c>
    </row>
    <row r="6254" spans="18:20" x14ac:dyDescent="0.25">
      <c r="R6254">
        <v>188</v>
      </c>
      <c r="S6254">
        <v>118</v>
      </c>
      <c r="T6254">
        <v>4</v>
      </c>
    </row>
    <row r="6255" spans="18:20" x14ac:dyDescent="0.25">
      <c r="R6255">
        <v>188</v>
      </c>
      <c r="S6255">
        <v>132</v>
      </c>
      <c r="T6255">
        <v>1</v>
      </c>
    </row>
    <row r="6256" spans="18:20" x14ac:dyDescent="0.25">
      <c r="R6256">
        <v>188</v>
      </c>
      <c r="S6256">
        <v>146</v>
      </c>
      <c r="T6256">
        <v>2</v>
      </c>
    </row>
    <row r="6257" spans="18:20" x14ac:dyDescent="0.25">
      <c r="R6257">
        <v>188</v>
      </c>
      <c r="S6257">
        <v>167</v>
      </c>
      <c r="T6257">
        <v>4</v>
      </c>
    </row>
    <row r="6258" spans="18:20" x14ac:dyDescent="0.25">
      <c r="R6258">
        <v>188</v>
      </c>
      <c r="S6258">
        <v>177</v>
      </c>
      <c r="T6258">
        <v>3</v>
      </c>
    </row>
    <row r="6259" spans="18:20" x14ac:dyDescent="0.25">
      <c r="R6259">
        <v>188</v>
      </c>
      <c r="S6259">
        <v>179</v>
      </c>
      <c r="T6259">
        <v>1</v>
      </c>
    </row>
    <row r="6260" spans="18:20" x14ac:dyDescent="0.25">
      <c r="R6260">
        <v>188</v>
      </c>
      <c r="S6260">
        <v>203</v>
      </c>
      <c r="T6260">
        <v>1</v>
      </c>
    </row>
    <row r="6261" spans="18:20" x14ac:dyDescent="0.25">
      <c r="R6261">
        <v>188</v>
      </c>
      <c r="S6261">
        <v>207</v>
      </c>
      <c r="T6261">
        <v>3</v>
      </c>
    </row>
    <row r="6262" spans="18:20" x14ac:dyDescent="0.25">
      <c r="R6262">
        <v>188</v>
      </c>
      <c r="S6262">
        <v>232</v>
      </c>
      <c r="T6262">
        <v>5</v>
      </c>
    </row>
    <row r="6263" spans="18:20" x14ac:dyDescent="0.25">
      <c r="R6263">
        <v>188</v>
      </c>
      <c r="S6263">
        <v>273</v>
      </c>
      <c r="T6263">
        <v>1</v>
      </c>
    </row>
    <row r="6264" spans="18:20" x14ac:dyDescent="0.25">
      <c r="R6264">
        <v>188</v>
      </c>
      <c r="S6264">
        <v>294</v>
      </c>
      <c r="T6264">
        <v>5</v>
      </c>
    </row>
    <row r="6265" spans="18:20" x14ac:dyDescent="0.25">
      <c r="R6265">
        <v>188</v>
      </c>
      <c r="S6265">
        <v>294</v>
      </c>
      <c r="T6265">
        <v>3</v>
      </c>
    </row>
    <row r="6266" spans="18:20" x14ac:dyDescent="0.25">
      <c r="R6266">
        <v>188</v>
      </c>
      <c r="S6266">
        <v>298</v>
      </c>
      <c r="T6266">
        <v>2</v>
      </c>
    </row>
    <row r="6267" spans="18:20" x14ac:dyDescent="0.25">
      <c r="R6267">
        <v>188</v>
      </c>
      <c r="S6267">
        <v>318</v>
      </c>
      <c r="T6267">
        <v>2</v>
      </c>
    </row>
    <row r="6268" spans="18:20" x14ac:dyDescent="0.25">
      <c r="R6268">
        <v>188</v>
      </c>
      <c r="S6268">
        <v>358</v>
      </c>
      <c r="T6268">
        <v>4</v>
      </c>
    </row>
    <row r="6269" spans="18:20" x14ac:dyDescent="0.25">
      <c r="R6269">
        <v>188</v>
      </c>
      <c r="S6269">
        <v>393</v>
      </c>
      <c r="T6269">
        <v>4</v>
      </c>
    </row>
    <row r="6270" spans="18:20" x14ac:dyDescent="0.25">
      <c r="R6270">
        <v>188</v>
      </c>
      <c r="S6270">
        <v>394</v>
      </c>
      <c r="T6270">
        <v>3</v>
      </c>
    </row>
    <row r="6271" spans="18:20" x14ac:dyDescent="0.25">
      <c r="R6271">
        <v>188</v>
      </c>
      <c r="S6271">
        <v>423</v>
      </c>
      <c r="T6271">
        <v>4</v>
      </c>
    </row>
    <row r="6272" spans="18:20" x14ac:dyDescent="0.25">
      <c r="R6272">
        <v>188</v>
      </c>
      <c r="S6272">
        <v>432</v>
      </c>
      <c r="T6272">
        <v>1</v>
      </c>
    </row>
    <row r="6273" spans="18:20" x14ac:dyDescent="0.25">
      <c r="R6273">
        <v>188</v>
      </c>
      <c r="S6273">
        <v>433</v>
      </c>
      <c r="T6273">
        <v>1</v>
      </c>
    </row>
    <row r="6274" spans="18:20" x14ac:dyDescent="0.25">
      <c r="R6274">
        <v>189</v>
      </c>
      <c r="S6274">
        <v>1</v>
      </c>
      <c r="T6274">
        <v>5</v>
      </c>
    </row>
    <row r="6275" spans="18:20" x14ac:dyDescent="0.25">
      <c r="R6275">
        <v>189</v>
      </c>
      <c r="S6275">
        <v>3</v>
      </c>
      <c r="T6275">
        <v>4</v>
      </c>
    </row>
    <row r="6276" spans="18:20" x14ac:dyDescent="0.25">
      <c r="R6276">
        <v>189</v>
      </c>
      <c r="S6276">
        <v>44</v>
      </c>
      <c r="T6276">
        <v>3</v>
      </c>
    </row>
    <row r="6277" spans="18:20" x14ac:dyDescent="0.25">
      <c r="R6277">
        <v>189</v>
      </c>
      <c r="S6277">
        <v>50</v>
      </c>
      <c r="T6277">
        <v>5</v>
      </c>
    </row>
    <row r="6278" spans="18:20" x14ac:dyDescent="0.25">
      <c r="R6278">
        <v>189</v>
      </c>
      <c r="S6278">
        <v>54</v>
      </c>
      <c r="T6278">
        <v>2</v>
      </c>
    </row>
    <row r="6279" spans="18:20" x14ac:dyDescent="0.25">
      <c r="R6279">
        <v>189</v>
      </c>
      <c r="S6279">
        <v>64</v>
      </c>
      <c r="T6279">
        <v>4</v>
      </c>
    </row>
    <row r="6280" spans="18:20" x14ac:dyDescent="0.25">
      <c r="R6280">
        <v>189</v>
      </c>
      <c r="S6280">
        <v>87</v>
      </c>
      <c r="T6280">
        <v>2</v>
      </c>
    </row>
    <row r="6281" spans="18:20" x14ac:dyDescent="0.25">
      <c r="R6281">
        <v>189</v>
      </c>
      <c r="S6281">
        <v>89</v>
      </c>
      <c r="T6281">
        <v>1</v>
      </c>
    </row>
    <row r="6282" spans="18:20" x14ac:dyDescent="0.25">
      <c r="R6282">
        <v>189</v>
      </c>
      <c r="S6282">
        <v>108</v>
      </c>
      <c r="T6282">
        <v>5</v>
      </c>
    </row>
    <row r="6283" spans="18:20" x14ac:dyDescent="0.25">
      <c r="R6283">
        <v>189</v>
      </c>
      <c r="S6283">
        <v>115</v>
      </c>
      <c r="T6283">
        <v>5</v>
      </c>
    </row>
    <row r="6284" spans="18:20" x14ac:dyDescent="0.25">
      <c r="R6284">
        <v>189</v>
      </c>
      <c r="S6284">
        <v>155</v>
      </c>
      <c r="T6284">
        <v>5</v>
      </c>
    </row>
    <row r="6285" spans="18:20" x14ac:dyDescent="0.25">
      <c r="R6285">
        <v>189</v>
      </c>
      <c r="S6285">
        <v>162</v>
      </c>
      <c r="T6285">
        <v>1</v>
      </c>
    </row>
    <row r="6286" spans="18:20" x14ac:dyDescent="0.25">
      <c r="R6286">
        <v>189</v>
      </c>
      <c r="S6286">
        <v>173</v>
      </c>
      <c r="T6286">
        <v>1</v>
      </c>
    </row>
    <row r="6287" spans="18:20" x14ac:dyDescent="0.25">
      <c r="R6287">
        <v>189</v>
      </c>
      <c r="S6287">
        <v>173</v>
      </c>
      <c r="T6287">
        <v>3</v>
      </c>
    </row>
    <row r="6288" spans="18:20" x14ac:dyDescent="0.25">
      <c r="R6288">
        <v>189</v>
      </c>
      <c r="S6288">
        <v>187</v>
      </c>
      <c r="T6288">
        <v>5</v>
      </c>
    </row>
    <row r="6289" spans="18:20" x14ac:dyDescent="0.25">
      <c r="R6289">
        <v>189</v>
      </c>
      <c r="S6289">
        <v>197</v>
      </c>
      <c r="T6289">
        <v>4</v>
      </c>
    </row>
    <row r="6290" spans="18:20" x14ac:dyDescent="0.25">
      <c r="R6290">
        <v>189</v>
      </c>
      <c r="S6290">
        <v>201</v>
      </c>
      <c r="T6290">
        <v>5</v>
      </c>
    </row>
    <row r="6291" spans="18:20" x14ac:dyDescent="0.25">
      <c r="R6291">
        <v>189</v>
      </c>
      <c r="S6291">
        <v>204</v>
      </c>
      <c r="T6291">
        <v>2</v>
      </c>
    </row>
    <row r="6292" spans="18:20" x14ac:dyDescent="0.25">
      <c r="R6292">
        <v>189</v>
      </c>
      <c r="S6292">
        <v>212</v>
      </c>
      <c r="T6292">
        <v>3</v>
      </c>
    </row>
    <row r="6293" spans="18:20" x14ac:dyDescent="0.25">
      <c r="R6293">
        <v>189</v>
      </c>
      <c r="S6293">
        <v>215</v>
      </c>
      <c r="T6293">
        <v>2</v>
      </c>
    </row>
    <row r="6294" spans="18:20" x14ac:dyDescent="0.25">
      <c r="R6294">
        <v>189</v>
      </c>
      <c r="S6294">
        <v>223</v>
      </c>
      <c r="T6294">
        <v>2</v>
      </c>
    </row>
    <row r="6295" spans="18:20" x14ac:dyDescent="0.25">
      <c r="R6295">
        <v>189</v>
      </c>
      <c r="S6295">
        <v>227</v>
      </c>
      <c r="T6295">
        <v>4</v>
      </c>
    </row>
    <row r="6296" spans="18:20" x14ac:dyDescent="0.25">
      <c r="R6296">
        <v>189</v>
      </c>
      <c r="S6296">
        <v>244</v>
      </c>
      <c r="T6296">
        <v>3</v>
      </c>
    </row>
    <row r="6297" spans="18:20" x14ac:dyDescent="0.25">
      <c r="R6297">
        <v>189</v>
      </c>
      <c r="S6297">
        <v>247</v>
      </c>
      <c r="T6297">
        <v>1</v>
      </c>
    </row>
    <row r="6298" spans="18:20" x14ac:dyDescent="0.25">
      <c r="R6298">
        <v>189</v>
      </c>
      <c r="S6298">
        <v>267</v>
      </c>
      <c r="T6298">
        <v>1</v>
      </c>
    </row>
    <row r="6299" spans="18:20" x14ac:dyDescent="0.25">
      <c r="R6299">
        <v>189</v>
      </c>
      <c r="S6299">
        <v>277</v>
      </c>
      <c r="T6299">
        <v>3</v>
      </c>
    </row>
    <row r="6300" spans="18:20" x14ac:dyDescent="0.25">
      <c r="R6300">
        <v>189</v>
      </c>
      <c r="S6300">
        <v>302</v>
      </c>
      <c r="T6300">
        <v>4</v>
      </c>
    </row>
    <row r="6301" spans="18:20" x14ac:dyDescent="0.25">
      <c r="R6301">
        <v>189</v>
      </c>
      <c r="S6301">
        <v>305</v>
      </c>
      <c r="T6301">
        <v>3</v>
      </c>
    </row>
    <row r="6302" spans="18:20" x14ac:dyDescent="0.25">
      <c r="R6302">
        <v>189</v>
      </c>
      <c r="S6302">
        <v>319</v>
      </c>
      <c r="T6302">
        <v>3</v>
      </c>
    </row>
    <row r="6303" spans="18:20" x14ac:dyDescent="0.25">
      <c r="R6303">
        <v>189</v>
      </c>
      <c r="S6303">
        <v>327</v>
      </c>
      <c r="T6303">
        <v>5</v>
      </c>
    </row>
    <row r="6304" spans="18:20" x14ac:dyDescent="0.25">
      <c r="R6304">
        <v>189</v>
      </c>
      <c r="S6304">
        <v>330</v>
      </c>
      <c r="T6304">
        <v>5</v>
      </c>
    </row>
    <row r="6305" spans="18:20" x14ac:dyDescent="0.25">
      <c r="R6305">
        <v>189</v>
      </c>
      <c r="S6305">
        <v>355</v>
      </c>
      <c r="T6305">
        <v>4</v>
      </c>
    </row>
    <row r="6306" spans="18:20" x14ac:dyDescent="0.25">
      <c r="R6306">
        <v>189</v>
      </c>
      <c r="S6306">
        <v>377</v>
      </c>
      <c r="T6306">
        <v>3</v>
      </c>
    </row>
    <row r="6307" spans="18:20" x14ac:dyDescent="0.25">
      <c r="R6307">
        <v>189</v>
      </c>
      <c r="S6307">
        <v>406</v>
      </c>
      <c r="T6307">
        <v>5</v>
      </c>
    </row>
    <row r="6308" spans="18:20" x14ac:dyDescent="0.25">
      <c r="R6308">
        <v>190</v>
      </c>
      <c r="S6308">
        <v>3</v>
      </c>
      <c r="T6308">
        <v>1</v>
      </c>
    </row>
    <row r="6309" spans="18:20" x14ac:dyDescent="0.25">
      <c r="R6309">
        <v>190</v>
      </c>
      <c r="S6309">
        <v>36</v>
      </c>
      <c r="T6309">
        <v>4</v>
      </c>
    </row>
    <row r="6310" spans="18:20" x14ac:dyDescent="0.25">
      <c r="R6310">
        <v>190</v>
      </c>
      <c r="S6310">
        <v>62</v>
      </c>
      <c r="T6310">
        <v>2</v>
      </c>
    </row>
    <row r="6311" spans="18:20" x14ac:dyDescent="0.25">
      <c r="R6311">
        <v>190</v>
      </c>
      <c r="S6311">
        <v>63</v>
      </c>
      <c r="T6311">
        <v>5</v>
      </c>
    </row>
    <row r="6312" spans="18:20" x14ac:dyDescent="0.25">
      <c r="R6312">
        <v>190</v>
      </c>
      <c r="S6312">
        <v>65</v>
      </c>
      <c r="T6312">
        <v>3</v>
      </c>
    </row>
    <row r="6313" spans="18:20" x14ac:dyDescent="0.25">
      <c r="R6313">
        <v>190</v>
      </c>
      <c r="S6313">
        <v>75</v>
      </c>
      <c r="T6313">
        <v>1</v>
      </c>
    </row>
    <row r="6314" spans="18:20" x14ac:dyDescent="0.25">
      <c r="R6314">
        <v>190</v>
      </c>
      <c r="S6314">
        <v>78</v>
      </c>
      <c r="T6314">
        <v>2</v>
      </c>
    </row>
    <row r="6315" spans="18:20" x14ac:dyDescent="0.25">
      <c r="R6315">
        <v>190</v>
      </c>
      <c r="S6315">
        <v>89</v>
      </c>
      <c r="T6315">
        <v>5</v>
      </c>
    </row>
    <row r="6316" spans="18:20" x14ac:dyDescent="0.25">
      <c r="R6316">
        <v>190</v>
      </c>
      <c r="S6316">
        <v>105</v>
      </c>
      <c r="T6316">
        <v>2</v>
      </c>
    </row>
    <row r="6317" spans="18:20" x14ac:dyDescent="0.25">
      <c r="R6317">
        <v>190</v>
      </c>
      <c r="S6317">
        <v>120</v>
      </c>
      <c r="T6317">
        <v>5</v>
      </c>
    </row>
    <row r="6318" spans="18:20" x14ac:dyDescent="0.25">
      <c r="R6318">
        <v>190</v>
      </c>
      <c r="S6318">
        <v>124</v>
      </c>
      <c r="T6318">
        <v>1</v>
      </c>
    </row>
    <row r="6319" spans="18:20" x14ac:dyDescent="0.25">
      <c r="R6319">
        <v>190</v>
      </c>
      <c r="S6319">
        <v>140</v>
      </c>
      <c r="T6319">
        <v>3</v>
      </c>
    </row>
    <row r="6320" spans="18:20" x14ac:dyDescent="0.25">
      <c r="R6320">
        <v>190</v>
      </c>
      <c r="S6320">
        <v>166</v>
      </c>
      <c r="T6320">
        <v>4</v>
      </c>
    </row>
    <row r="6321" spans="18:20" x14ac:dyDescent="0.25">
      <c r="R6321">
        <v>190</v>
      </c>
      <c r="S6321">
        <v>170</v>
      </c>
      <c r="T6321">
        <v>1</v>
      </c>
    </row>
    <row r="6322" spans="18:20" x14ac:dyDescent="0.25">
      <c r="R6322">
        <v>190</v>
      </c>
      <c r="S6322">
        <v>184</v>
      </c>
      <c r="T6322">
        <v>5</v>
      </c>
    </row>
    <row r="6323" spans="18:20" x14ac:dyDescent="0.25">
      <c r="R6323">
        <v>190</v>
      </c>
      <c r="S6323">
        <v>208</v>
      </c>
      <c r="T6323">
        <v>4</v>
      </c>
    </row>
    <row r="6324" spans="18:20" x14ac:dyDescent="0.25">
      <c r="R6324">
        <v>190</v>
      </c>
      <c r="S6324">
        <v>210</v>
      </c>
      <c r="T6324">
        <v>5</v>
      </c>
    </row>
    <row r="6325" spans="18:20" x14ac:dyDescent="0.25">
      <c r="R6325">
        <v>190</v>
      </c>
      <c r="S6325">
        <v>220</v>
      </c>
      <c r="T6325">
        <v>3</v>
      </c>
    </row>
    <row r="6326" spans="18:20" x14ac:dyDescent="0.25">
      <c r="R6326">
        <v>190</v>
      </c>
      <c r="S6326">
        <v>222</v>
      </c>
      <c r="T6326">
        <v>5</v>
      </c>
    </row>
    <row r="6327" spans="18:20" x14ac:dyDescent="0.25">
      <c r="R6327">
        <v>190</v>
      </c>
      <c r="S6327">
        <v>225</v>
      </c>
      <c r="T6327">
        <v>1</v>
      </c>
    </row>
    <row r="6328" spans="18:20" x14ac:dyDescent="0.25">
      <c r="R6328">
        <v>190</v>
      </c>
      <c r="S6328">
        <v>238</v>
      </c>
      <c r="T6328">
        <v>4</v>
      </c>
    </row>
    <row r="6329" spans="18:20" x14ac:dyDescent="0.25">
      <c r="R6329">
        <v>190</v>
      </c>
      <c r="S6329">
        <v>246</v>
      </c>
      <c r="T6329">
        <v>3</v>
      </c>
    </row>
    <row r="6330" spans="18:20" x14ac:dyDescent="0.25">
      <c r="R6330">
        <v>190</v>
      </c>
      <c r="S6330">
        <v>275</v>
      </c>
      <c r="T6330">
        <v>1</v>
      </c>
    </row>
    <row r="6331" spans="18:20" x14ac:dyDescent="0.25">
      <c r="R6331">
        <v>190</v>
      </c>
      <c r="S6331">
        <v>309</v>
      </c>
      <c r="T6331">
        <v>2</v>
      </c>
    </row>
    <row r="6332" spans="18:20" x14ac:dyDescent="0.25">
      <c r="R6332">
        <v>190</v>
      </c>
      <c r="S6332">
        <v>318</v>
      </c>
      <c r="T6332">
        <v>5</v>
      </c>
    </row>
    <row r="6333" spans="18:20" x14ac:dyDescent="0.25">
      <c r="R6333">
        <v>190</v>
      </c>
      <c r="S6333">
        <v>344</v>
      </c>
      <c r="T6333">
        <v>5</v>
      </c>
    </row>
    <row r="6334" spans="18:20" x14ac:dyDescent="0.25">
      <c r="R6334">
        <v>190</v>
      </c>
      <c r="S6334">
        <v>345</v>
      </c>
      <c r="T6334">
        <v>2</v>
      </c>
    </row>
    <row r="6335" spans="18:20" x14ac:dyDescent="0.25">
      <c r="R6335">
        <v>190</v>
      </c>
      <c r="S6335">
        <v>381</v>
      </c>
      <c r="T6335">
        <v>2</v>
      </c>
    </row>
    <row r="6336" spans="18:20" x14ac:dyDescent="0.25">
      <c r="R6336">
        <v>190</v>
      </c>
      <c r="S6336">
        <v>397</v>
      </c>
      <c r="T6336">
        <v>4</v>
      </c>
    </row>
    <row r="6337" spans="18:20" x14ac:dyDescent="0.25">
      <c r="R6337">
        <v>190</v>
      </c>
      <c r="S6337">
        <v>417</v>
      </c>
      <c r="T6337">
        <v>1</v>
      </c>
    </row>
    <row r="6338" spans="18:20" x14ac:dyDescent="0.25">
      <c r="R6338">
        <v>190</v>
      </c>
      <c r="S6338">
        <v>417</v>
      </c>
      <c r="T6338">
        <v>3</v>
      </c>
    </row>
    <row r="6339" spans="18:20" x14ac:dyDescent="0.25">
      <c r="R6339">
        <v>191</v>
      </c>
      <c r="S6339">
        <v>25</v>
      </c>
      <c r="T6339">
        <v>3</v>
      </c>
    </row>
    <row r="6340" spans="18:20" x14ac:dyDescent="0.25">
      <c r="R6340">
        <v>191</v>
      </c>
      <c r="S6340">
        <v>38</v>
      </c>
      <c r="T6340">
        <v>5</v>
      </c>
    </row>
    <row r="6341" spans="18:20" x14ac:dyDescent="0.25">
      <c r="R6341">
        <v>191</v>
      </c>
      <c r="S6341">
        <v>49</v>
      </c>
      <c r="T6341">
        <v>2</v>
      </c>
    </row>
    <row r="6342" spans="18:20" x14ac:dyDescent="0.25">
      <c r="R6342">
        <v>191</v>
      </c>
      <c r="S6342">
        <v>83</v>
      </c>
      <c r="T6342">
        <v>2</v>
      </c>
    </row>
    <row r="6343" spans="18:20" x14ac:dyDescent="0.25">
      <c r="R6343">
        <v>191</v>
      </c>
      <c r="S6343">
        <v>106</v>
      </c>
      <c r="T6343">
        <v>4</v>
      </c>
    </row>
    <row r="6344" spans="18:20" x14ac:dyDescent="0.25">
      <c r="R6344">
        <v>191</v>
      </c>
      <c r="S6344">
        <v>159</v>
      </c>
      <c r="T6344">
        <v>1</v>
      </c>
    </row>
    <row r="6345" spans="18:20" x14ac:dyDescent="0.25">
      <c r="R6345">
        <v>191</v>
      </c>
      <c r="S6345">
        <v>178</v>
      </c>
      <c r="T6345">
        <v>3</v>
      </c>
    </row>
    <row r="6346" spans="18:20" x14ac:dyDescent="0.25">
      <c r="R6346">
        <v>191</v>
      </c>
      <c r="S6346">
        <v>178</v>
      </c>
      <c r="T6346">
        <v>5</v>
      </c>
    </row>
    <row r="6347" spans="18:20" x14ac:dyDescent="0.25">
      <c r="R6347">
        <v>191</v>
      </c>
      <c r="S6347">
        <v>181</v>
      </c>
      <c r="T6347">
        <v>1</v>
      </c>
    </row>
    <row r="6348" spans="18:20" x14ac:dyDescent="0.25">
      <c r="R6348">
        <v>191</v>
      </c>
      <c r="S6348">
        <v>200</v>
      </c>
      <c r="T6348">
        <v>4</v>
      </c>
    </row>
    <row r="6349" spans="18:20" x14ac:dyDescent="0.25">
      <c r="R6349">
        <v>191</v>
      </c>
      <c r="S6349">
        <v>222</v>
      </c>
      <c r="T6349">
        <v>1</v>
      </c>
    </row>
    <row r="6350" spans="18:20" x14ac:dyDescent="0.25">
      <c r="R6350">
        <v>191</v>
      </c>
      <c r="S6350">
        <v>239</v>
      </c>
      <c r="T6350">
        <v>5</v>
      </c>
    </row>
    <row r="6351" spans="18:20" x14ac:dyDescent="0.25">
      <c r="R6351">
        <v>191</v>
      </c>
      <c r="S6351">
        <v>274</v>
      </c>
      <c r="T6351">
        <v>3</v>
      </c>
    </row>
    <row r="6352" spans="18:20" x14ac:dyDescent="0.25">
      <c r="R6352">
        <v>191</v>
      </c>
      <c r="S6352">
        <v>310</v>
      </c>
      <c r="T6352">
        <v>5</v>
      </c>
    </row>
    <row r="6353" spans="18:20" x14ac:dyDescent="0.25">
      <c r="R6353">
        <v>191</v>
      </c>
      <c r="S6353">
        <v>320</v>
      </c>
      <c r="T6353">
        <v>5</v>
      </c>
    </row>
    <row r="6354" spans="18:20" x14ac:dyDescent="0.25">
      <c r="R6354">
        <v>191</v>
      </c>
      <c r="S6354">
        <v>343</v>
      </c>
      <c r="T6354">
        <v>1</v>
      </c>
    </row>
    <row r="6355" spans="18:20" x14ac:dyDescent="0.25">
      <c r="R6355">
        <v>191</v>
      </c>
      <c r="S6355">
        <v>357</v>
      </c>
      <c r="T6355">
        <v>3</v>
      </c>
    </row>
    <row r="6356" spans="18:20" x14ac:dyDescent="0.25">
      <c r="R6356">
        <v>191</v>
      </c>
      <c r="S6356">
        <v>367</v>
      </c>
      <c r="T6356">
        <v>1</v>
      </c>
    </row>
    <row r="6357" spans="18:20" x14ac:dyDescent="0.25">
      <c r="R6357">
        <v>191</v>
      </c>
      <c r="S6357">
        <v>371</v>
      </c>
      <c r="T6357">
        <v>4</v>
      </c>
    </row>
    <row r="6358" spans="18:20" x14ac:dyDescent="0.25">
      <c r="R6358">
        <v>191</v>
      </c>
      <c r="S6358">
        <v>373</v>
      </c>
      <c r="T6358">
        <v>5</v>
      </c>
    </row>
    <row r="6359" spans="18:20" x14ac:dyDescent="0.25">
      <c r="R6359">
        <v>191</v>
      </c>
      <c r="S6359">
        <v>384</v>
      </c>
      <c r="T6359">
        <v>2</v>
      </c>
    </row>
    <row r="6360" spans="18:20" x14ac:dyDescent="0.25">
      <c r="R6360">
        <v>191</v>
      </c>
      <c r="S6360">
        <v>390</v>
      </c>
      <c r="T6360">
        <v>3</v>
      </c>
    </row>
    <row r="6361" spans="18:20" x14ac:dyDescent="0.25">
      <c r="R6361">
        <v>191</v>
      </c>
      <c r="S6361">
        <v>397</v>
      </c>
      <c r="T6361">
        <v>2</v>
      </c>
    </row>
    <row r="6362" spans="18:20" x14ac:dyDescent="0.25">
      <c r="R6362">
        <v>191</v>
      </c>
      <c r="S6362">
        <v>399</v>
      </c>
      <c r="T6362">
        <v>1</v>
      </c>
    </row>
    <row r="6363" spans="18:20" x14ac:dyDescent="0.25">
      <c r="R6363">
        <v>191</v>
      </c>
      <c r="S6363">
        <v>402</v>
      </c>
      <c r="T6363">
        <v>2</v>
      </c>
    </row>
    <row r="6364" spans="18:20" x14ac:dyDescent="0.25">
      <c r="R6364">
        <v>191</v>
      </c>
      <c r="S6364">
        <v>411</v>
      </c>
      <c r="T6364">
        <v>3</v>
      </c>
    </row>
    <row r="6365" spans="18:20" x14ac:dyDescent="0.25">
      <c r="R6365">
        <v>191</v>
      </c>
      <c r="S6365">
        <v>431</v>
      </c>
      <c r="T6365">
        <v>4</v>
      </c>
    </row>
    <row r="6366" spans="18:20" x14ac:dyDescent="0.25">
      <c r="R6366">
        <v>192</v>
      </c>
      <c r="S6366">
        <v>19</v>
      </c>
      <c r="T6366">
        <v>5</v>
      </c>
    </row>
    <row r="6367" spans="18:20" x14ac:dyDescent="0.25">
      <c r="R6367">
        <v>192</v>
      </c>
      <c r="S6367">
        <v>33</v>
      </c>
      <c r="T6367">
        <v>5</v>
      </c>
    </row>
    <row r="6368" spans="18:20" x14ac:dyDescent="0.25">
      <c r="R6368">
        <v>192</v>
      </c>
      <c r="S6368">
        <v>36</v>
      </c>
      <c r="T6368">
        <v>1</v>
      </c>
    </row>
    <row r="6369" spans="18:20" x14ac:dyDescent="0.25">
      <c r="R6369">
        <v>192</v>
      </c>
      <c r="S6369">
        <v>39</v>
      </c>
      <c r="T6369">
        <v>1</v>
      </c>
    </row>
    <row r="6370" spans="18:20" x14ac:dyDescent="0.25">
      <c r="R6370">
        <v>192</v>
      </c>
      <c r="S6370">
        <v>45</v>
      </c>
      <c r="T6370">
        <v>2</v>
      </c>
    </row>
    <row r="6371" spans="18:20" x14ac:dyDescent="0.25">
      <c r="R6371">
        <v>192</v>
      </c>
      <c r="S6371">
        <v>63</v>
      </c>
      <c r="T6371">
        <v>3</v>
      </c>
    </row>
    <row r="6372" spans="18:20" x14ac:dyDescent="0.25">
      <c r="R6372">
        <v>192</v>
      </c>
      <c r="S6372">
        <v>101</v>
      </c>
      <c r="T6372">
        <v>2</v>
      </c>
    </row>
    <row r="6373" spans="18:20" x14ac:dyDescent="0.25">
      <c r="R6373">
        <v>192</v>
      </c>
      <c r="S6373">
        <v>107</v>
      </c>
      <c r="T6373">
        <v>2</v>
      </c>
    </row>
    <row r="6374" spans="18:20" x14ac:dyDescent="0.25">
      <c r="R6374">
        <v>192</v>
      </c>
      <c r="S6374">
        <v>114</v>
      </c>
      <c r="T6374">
        <v>4</v>
      </c>
    </row>
    <row r="6375" spans="18:20" x14ac:dyDescent="0.25">
      <c r="R6375">
        <v>192</v>
      </c>
      <c r="S6375">
        <v>115</v>
      </c>
      <c r="T6375">
        <v>1</v>
      </c>
    </row>
    <row r="6376" spans="18:20" x14ac:dyDescent="0.25">
      <c r="R6376">
        <v>192</v>
      </c>
      <c r="S6376">
        <v>116</v>
      </c>
      <c r="T6376">
        <v>3</v>
      </c>
    </row>
    <row r="6377" spans="18:20" x14ac:dyDescent="0.25">
      <c r="R6377">
        <v>192</v>
      </c>
      <c r="S6377">
        <v>150</v>
      </c>
      <c r="T6377">
        <v>2</v>
      </c>
    </row>
    <row r="6378" spans="18:20" x14ac:dyDescent="0.25">
      <c r="R6378">
        <v>192</v>
      </c>
      <c r="S6378">
        <v>154</v>
      </c>
      <c r="T6378">
        <v>5</v>
      </c>
    </row>
    <row r="6379" spans="18:20" x14ac:dyDescent="0.25">
      <c r="R6379">
        <v>192</v>
      </c>
      <c r="S6379">
        <v>155</v>
      </c>
      <c r="T6379">
        <v>1</v>
      </c>
    </row>
    <row r="6380" spans="18:20" x14ac:dyDescent="0.25">
      <c r="R6380">
        <v>192</v>
      </c>
      <c r="S6380">
        <v>155</v>
      </c>
      <c r="T6380">
        <v>4</v>
      </c>
    </row>
    <row r="6381" spans="18:20" x14ac:dyDescent="0.25">
      <c r="R6381">
        <v>192</v>
      </c>
      <c r="S6381">
        <v>179</v>
      </c>
      <c r="T6381">
        <v>4</v>
      </c>
    </row>
    <row r="6382" spans="18:20" x14ac:dyDescent="0.25">
      <c r="R6382">
        <v>192</v>
      </c>
      <c r="S6382">
        <v>180</v>
      </c>
      <c r="T6382">
        <v>4</v>
      </c>
    </row>
    <row r="6383" spans="18:20" x14ac:dyDescent="0.25">
      <c r="R6383">
        <v>192</v>
      </c>
      <c r="S6383">
        <v>187</v>
      </c>
      <c r="T6383">
        <v>5</v>
      </c>
    </row>
    <row r="6384" spans="18:20" x14ac:dyDescent="0.25">
      <c r="R6384">
        <v>192</v>
      </c>
      <c r="S6384">
        <v>197</v>
      </c>
      <c r="T6384">
        <v>1</v>
      </c>
    </row>
    <row r="6385" spans="18:20" x14ac:dyDescent="0.25">
      <c r="R6385">
        <v>192</v>
      </c>
      <c r="S6385">
        <v>221</v>
      </c>
      <c r="T6385">
        <v>4</v>
      </c>
    </row>
    <row r="6386" spans="18:20" x14ac:dyDescent="0.25">
      <c r="R6386">
        <v>192</v>
      </c>
      <c r="S6386">
        <v>227</v>
      </c>
      <c r="T6386">
        <v>2</v>
      </c>
    </row>
    <row r="6387" spans="18:20" x14ac:dyDescent="0.25">
      <c r="R6387">
        <v>192</v>
      </c>
      <c r="S6387">
        <v>251</v>
      </c>
      <c r="T6387">
        <v>3</v>
      </c>
    </row>
    <row r="6388" spans="18:20" x14ac:dyDescent="0.25">
      <c r="R6388">
        <v>192</v>
      </c>
      <c r="S6388">
        <v>263</v>
      </c>
      <c r="T6388">
        <v>5</v>
      </c>
    </row>
    <row r="6389" spans="18:20" x14ac:dyDescent="0.25">
      <c r="R6389">
        <v>192</v>
      </c>
      <c r="S6389">
        <v>288</v>
      </c>
      <c r="T6389">
        <v>1</v>
      </c>
    </row>
    <row r="6390" spans="18:20" x14ac:dyDescent="0.25">
      <c r="R6390">
        <v>192</v>
      </c>
      <c r="S6390">
        <v>306</v>
      </c>
      <c r="T6390">
        <v>1</v>
      </c>
    </row>
    <row r="6391" spans="18:20" x14ac:dyDescent="0.25">
      <c r="R6391">
        <v>192</v>
      </c>
      <c r="S6391">
        <v>316</v>
      </c>
      <c r="T6391">
        <v>2</v>
      </c>
    </row>
    <row r="6392" spans="18:20" x14ac:dyDescent="0.25">
      <c r="R6392">
        <v>192</v>
      </c>
      <c r="S6392">
        <v>317</v>
      </c>
      <c r="T6392">
        <v>3</v>
      </c>
    </row>
    <row r="6393" spans="18:20" x14ac:dyDescent="0.25">
      <c r="R6393">
        <v>192</v>
      </c>
      <c r="S6393">
        <v>332</v>
      </c>
      <c r="T6393">
        <v>4</v>
      </c>
    </row>
    <row r="6394" spans="18:20" x14ac:dyDescent="0.25">
      <c r="R6394">
        <v>192</v>
      </c>
      <c r="S6394">
        <v>353</v>
      </c>
      <c r="T6394">
        <v>1</v>
      </c>
    </row>
    <row r="6395" spans="18:20" x14ac:dyDescent="0.25">
      <c r="R6395">
        <v>192</v>
      </c>
      <c r="S6395">
        <v>354</v>
      </c>
      <c r="T6395">
        <v>5</v>
      </c>
    </row>
    <row r="6396" spans="18:20" x14ac:dyDescent="0.25">
      <c r="R6396">
        <v>192</v>
      </c>
      <c r="S6396">
        <v>363</v>
      </c>
      <c r="T6396">
        <v>5</v>
      </c>
    </row>
    <row r="6397" spans="18:20" x14ac:dyDescent="0.25">
      <c r="R6397">
        <v>192</v>
      </c>
      <c r="S6397">
        <v>369</v>
      </c>
      <c r="T6397">
        <v>3</v>
      </c>
    </row>
    <row r="6398" spans="18:20" x14ac:dyDescent="0.25">
      <c r="R6398">
        <v>192</v>
      </c>
      <c r="S6398">
        <v>371</v>
      </c>
      <c r="T6398">
        <v>3</v>
      </c>
    </row>
    <row r="6399" spans="18:20" x14ac:dyDescent="0.25">
      <c r="R6399">
        <v>192</v>
      </c>
      <c r="S6399">
        <v>402</v>
      </c>
      <c r="T6399">
        <v>1</v>
      </c>
    </row>
    <row r="6400" spans="18:20" x14ac:dyDescent="0.25">
      <c r="R6400">
        <v>192</v>
      </c>
      <c r="S6400">
        <v>425</v>
      </c>
      <c r="T6400">
        <v>4</v>
      </c>
    </row>
    <row r="6401" spans="18:20" x14ac:dyDescent="0.25">
      <c r="R6401">
        <v>192</v>
      </c>
      <c r="S6401">
        <v>436</v>
      </c>
      <c r="T6401">
        <v>2</v>
      </c>
    </row>
    <row r="6402" spans="18:20" x14ac:dyDescent="0.25">
      <c r="R6402">
        <v>193</v>
      </c>
      <c r="S6402">
        <v>21</v>
      </c>
      <c r="T6402">
        <v>2</v>
      </c>
    </row>
    <row r="6403" spans="18:20" x14ac:dyDescent="0.25">
      <c r="R6403">
        <v>193</v>
      </c>
      <c r="S6403">
        <v>47</v>
      </c>
      <c r="T6403">
        <v>2</v>
      </c>
    </row>
    <row r="6404" spans="18:20" x14ac:dyDescent="0.25">
      <c r="R6404">
        <v>193</v>
      </c>
      <c r="S6404">
        <v>48</v>
      </c>
      <c r="T6404">
        <v>2</v>
      </c>
    </row>
    <row r="6405" spans="18:20" x14ac:dyDescent="0.25">
      <c r="R6405">
        <v>193</v>
      </c>
      <c r="S6405">
        <v>50</v>
      </c>
      <c r="T6405">
        <v>1</v>
      </c>
    </row>
    <row r="6406" spans="18:20" x14ac:dyDescent="0.25">
      <c r="R6406">
        <v>193</v>
      </c>
      <c r="S6406">
        <v>50</v>
      </c>
      <c r="T6406">
        <v>1</v>
      </c>
    </row>
    <row r="6407" spans="18:20" x14ac:dyDescent="0.25">
      <c r="R6407">
        <v>193</v>
      </c>
      <c r="S6407">
        <v>58</v>
      </c>
      <c r="T6407">
        <v>2</v>
      </c>
    </row>
    <row r="6408" spans="18:20" x14ac:dyDescent="0.25">
      <c r="R6408">
        <v>193</v>
      </c>
      <c r="S6408">
        <v>61</v>
      </c>
      <c r="T6408">
        <v>3</v>
      </c>
    </row>
    <row r="6409" spans="18:20" x14ac:dyDescent="0.25">
      <c r="R6409">
        <v>193</v>
      </c>
      <c r="S6409">
        <v>69</v>
      </c>
      <c r="T6409">
        <v>2</v>
      </c>
    </row>
    <row r="6410" spans="18:20" x14ac:dyDescent="0.25">
      <c r="R6410">
        <v>193</v>
      </c>
      <c r="S6410">
        <v>79</v>
      </c>
      <c r="T6410">
        <v>4</v>
      </c>
    </row>
    <row r="6411" spans="18:20" x14ac:dyDescent="0.25">
      <c r="R6411">
        <v>193</v>
      </c>
      <c r="S6411">
        <v>88</v>
      </c>
      <c r="T6411">
        <v>4</v>
      </c>
    </row>
    <row r="6412" spans="18:20" x14ac:dyDescent="0.25">
      <c r="R6412">
        <v>193</v>
      </c>
      <c r="S6412">
        <v>109</v>
      </c>
      <c r="T6412">
        <v>3</v>
      </c>
    </row>
    <row r="6413" spans="18:20" x14ac:dyDescent="0.25">
      <c r="R6413">
        <v>193</v>
      </c>
      <c r="S6413">
        <v>133</v>
      </c>
      <c r="T6413">
        <v>2</v>
      </c>
    </row>
    <row r="6414" spans="18:20" x14ac:dyDescent="0.25">
      <c r="R6414">
        <v>193</v>
      </c>
      <c r="S6414">
        <v>141</v>
      </c>
      <c r="T6414">
        <v>4</v>
      </c>
    </row>
    <row r="6415" spans="18:20" x14ac:dyDescent="0.25">
      <c r="R6415">
        <v>193</v>
      </c>
      <c r="S6415">
        <v>142</v>
      </c>
      <c r="T6415">
        <v>5</v>
      </c>
    </row>
    <row r="6416" spans="18:20" x14ac:dyDescent="0.25">
      <c r="R6416">
        <v>193</v>
      </c>
      <c r="S6416">
        <v>158</v>
      </c>
      <c r="T6416">
        <v>4</v>
      </c>
    </row>
    <row r="6417" spans="18:20" x14ac:dyDescent="0.25">
      <c r="R6417">
        <v>193</v>
      </c>
      <c r="S6417">
        <v>173</v>
      </c>
      <c r="T6417">
        <v>5</v>
      </c>
    </row>
    <row r="6418" spans="18:20" x14ac:dyDescent="0.25">
      <c r="R6418">
        <v>193</v>
      </c>
      <c r="S6418">
        <v>202</v>
      </c>
      <c r="T6418">
        <v>3</v>
      </c>
    </row>
    <row r="6419" spans="18:20" x14ac:dyDescent="0.25">
      <c r="R6419">
        <v>193</v>
      </c>
      <c r="S6419">
        <v>210</v>
      </c>
      <c r="T6419">
        <v>1</v>
      </c>
    </row>
    <row r="6420" spans="18:20" x14ac:dyDescent="0.25">
      <c r="R6420">
        <v>193</v>
      </c>
      <c r="S6420">
        <v>216</v>
      </c>
      <c r="T6420">
        <v>5</v>
      </c>
    </row>
    <row r="6421" spans="18:20" x14ac:dyDescent="0.25">
      <c r="R6421">
        <v>193</v>
      </c>
      <c r="S6421">
        <v>217</v>
      </c>
      <c r="T6421">
        <v>3</v>
      </c>
    </row>
    <row r="6422" spans="18:20" x14ac:dyDescent="0.25">
      <c r="R6422">
        <v>193</v>
      </c>
      <c r="S6422">
        <v>307</v>
      </c>
      <c r="T6422">
        <v>1</v>
      </c>
    </row>
    <row r="6423" spans="18:20" x14ac:dyDescent="0.25">
      <c r="R6423">
        <v>193</v>
      </c>
      <c r="S6423">
        <v>321</v>
      </c>
      <c r="T6423">
        <v>2</v>
      </c>
    </row>
    <row r="6424" spans="18:20" x14ac:dyDescent="0.25">
      <c r="R6424">
        <v>193</v>
      </c>
      <c r="S6424">
        <v>355</v>
      </c>
      <c r="T6424">
        <v>2</v>
      </c>
    </row>
    <row r="6425" spans="18:20" x14ac:dyDescent="0.25">
      <c r="R6425">
        <v>193</v>
      </c>
      <c r="S6425">
        <v>357</v>
      </c>
      <c r="T6425">
        <v>4</v>
      </c>
    </row>
    <row r="6426" spans="18:20" x14ac:dyDescent="0.25">
      <c r="R6426">
        <v>193</v>
      </c>
      <c r="S6426">
        <v>364</v>
      </c>
      <c r="T6426">
        <v>1</v>
      </c>
    </row>
    <row r="6427" spans="18:20" x14ac:dyDescent="0.25">
      <c r="R6427">
        <v>193</v>
      </c>
      <c r="S6427">
        <v>365</v>
      </c>
      <c r="T6427">
        <v>1</v>
      </c>
    </row>
    <row r="6428" spans="18:20" x14ac:dyDescent="0.25">
      <c r="R6428">
        <v>193</v>
      </c>
      <c r="S6428">
        <v>368</v>
      </c>
      <c r="T6428">
        <v>4</v>
      </c>
    </row>
    <row r="6429" spans="18:20" x14ac:dyDescent="0.25">
      <c r="R6429">
        <v>193</v>
      </c>
      <c r="S6429">
        <v>394</v>
      </c>
      <c r="T6429">
        <v>4</v>
      </c>
    </row>
    <row r="6430" spans="18:20" x14ac:dyDescent="0.25">
      <c r="R6430">
        <v>193</v>
      </c>
      <c r="S6430">
        <v>399</v>
      </c>
      <c r="T6430">
        <v>5</v>
      </c>
    </row>
    <row r="6431" spans="18:20" x14ac:dyDescent="0.25">
      <c r="R6431">
        <v>193</v>
      </c>
      <c r="S6431">
        <v>424</v>
      </c>
      <c r="T6431">
        <v>2</v>
      </c>
    </row>
    <row r="6432" spans="18:20" x14ac:dyDescent="0.25">
      <c r="R6432">
        <v>193</v>
      </c>
      <c r="S6432">
        <v>424</v>
      </c>
      <c r="T6432">
        <v>3</v>
      </c>
    </row>
    <row r="6433" spans="18:20" x14ac:dyDescent="0.25">
      <c r="R6433">
        <v>193</v>
      </c>
      <c r="S6433">
        <v>427</v>
      </c>
      <c r="T6433">
        <v>5</v>
      </c>
    </row>
    <row r="6434" spans="18:20" x14ac:dyDescent="0.25">
      <c r="R6434">
        <v>194</v>
      </c>
      <c r="S6434">
        <v>11</v>
      </c>
      <c r="T6434">
        <v>1</v>
      </c>
    </row>
    <row r="6435" spans="18:20" x14ac:dyDescent="0.25">
      <c r="R6435">
        <v>194</v>
      </c>
      <c r="S6435">
        <v>15</v>
      </c>
      <c r="T6435">
        <v>3</v>
      </c>
    </row>
    <row r="6436" spans="18:20" x14ac:dyDescent="0.25">
      <c r="R6436">
        <v>194</v>
      </c>
      <c r="S6436">
        <v>34</v>
      </c>
      <c r="T6436">
        <v>2</v>
      </c>
    </row>
    <row r="6437" spans="18:20" x14ac:dyDescent="0.25">
      <c r="R6437">
        <v>194</v>
      </c>
      <c r="S6437">
        <v>44</v>
      </c>
      <c r="T6437">
        <v>5</v>
      </c>
    </row>
    <row r="6438" spans="18:20" x14ac:dyDescent="0.25">
      <c r="R6438">
        <v>194</v>
      </c>
      <c r="S6438">
        <v>55</v>
      </c>
      <c r="T6438">
        <v>4</v>
      </c>
    </row>
    <row r="6439" spans="18:20" x14ac:dyDescent="0.25">
      <c r="R6439">
        <v>194</v>
      </c>
      <c r="S6439">
        <v>76</v>
      </c>
      <c r="T6439">
        <v>2</v>
      </c>
    </row>
    <row r="6440" spans="18:20" x14ac:dyDescent="0.25">
      <c r="R6440">
        <v>194</v>
      </c>
      <c r="S6440">
        <v>91</v>
      </c>
      <c r="T6440">
        <v>5</v>
      </c>
    </row>
    <row r="6441" spans="18:20" x14ac:dyDescent="0.25">
      <c r="R6441">
        <v>194</v>
      </c>
      <c r="S6441">
        <v>106</v>
      </c>
      <c r="T6441">
        <v>1</v>
      </c>
    </row>
    <row r="6442" spans="18:20" x14ac:dyDescent="0.25">
      <c r="R6442">
        <v>194</v>
      </c>
      <c r="S6442">
        <v>109</v>
      </c>
      <c r="T6442">
        <v>5</v>
      </c>
    </row>
    <row r="6443" spans="18:20" x14ac:dyDescent="0.25">
      <c r="R6443">
        <v>194</v>
      </c>
      <c r="S6443">
        <v>115</v>
      </c>
      <c r="T6443">
        <v>4</v>
      </c>
    </row>
    <row r="6444" spans="18:20" x14ac:dyDescent="0.25">
      <c r="R6444">
        <v>194</v>
      </c>
      <c r="S6444">
        <v>116</v>
      </c>
      <c r="T6444">
        <v>3</v>
      </c>
    </row>
    <row r="6445" spans="18:20" x14ac:dyDescent="0.25">
      <c r="R6445">
        <v>194</v>
      </c>
      <c r="S6445">
        <v>154</v>
      </c>
      <c r="T6445">
        <v>4</v>
      </c>
    </row>
    <row r="6446" spans="18:20" x14ac:dyDescent="0.25">
      <c r="R6446">
        <v>194</v>
      </c>
      <c r="S6446">
        <v>164</v>
      </c>
      <c r="T6446">
        <v>5</v>
      </c>
    </row>
    <row r="6447" spans="18:20" x14ac:dyDescent="0.25">
      <c r="R6447">
        <v>194</v>
      </c>
      <c r="S6447">
        <v>177</v>
      </c>
      <c r="T6447">
        <v>3</v>
      </c>
    </row>
    <row r="6448" spans="18:20" x14ac:dyDescent="0.25">
      <c r="R6448">
        <v>194</v>
      </c>
      <c r="S6448">
        <v>187</v>
      </c>
      <c r="T6448">
        <v>1</v>
      </c>
    </row>
    <row r="6449" spans="18:20" x14ac:dyDescent="0.25">
      <c r="R6449">
        <v>194</v>
      </c>
      <c r="S6449">
        <v>204</v>
      </c>
      <c r="T6449">
        <v>1</v>
      </c>
    </row>
    <row r="6450" spans="18:20" x14ac:dyDescent="0.25">
      <c r="R6450">
        <v>194</v>
      </c>
      <c r="S6450">
        <v>215</v>
      </c>
      <c r="T6450">
        <v>5</v>
      </c>
    </row>
    <row r="6451" spans="18:20" x14ac:dyDescent="0.25">
      <c r="R6451">
        <v>194</v>
      </c>
      <c r="S6451">
        <v>226</v>
      </c>
      <c r="T6451">
        <v>1</v>
      </c>
    </row>
    <row r="6452" spans="18:20" x14ac:dyDescent="0.25">
      <c r="R6452">
        <v>194</v>
      </c>
      <c r="S6452">
        <v>229</v>
      </c>
      <c r="T6452">
        <v>4</v>
      </c>
    </row>
    <row r="6453" spans="18:20" x14ac:dyDescent="0.25">
      <c r="R6453">
        <v>194</v>
      </c>
      <c r="S6453">
        <v>244</v>
      </c>
      <c r="T6453">
        <v>3</v>
      </c>
    </row>
    <row r="6454" spans="18:20" x14ac:dyDescent="0.25">
      <c r="R6454">
        <v>194</v>
      </c>
      <c r="S6454">
        <v>253</v>
      </c>
      <c r="T6454">
        <v>5</v>
      </c>
    </row>
    <row r="6455" spans="18:20" x14ac:dyDescent="0.25">
      <c r="R6455">
        <v>194</v>
      </c>
      <c r="S6455">
        <v>258</v>
      </c>
      <c r="T6455">
        <v>1</v>
      </c>
    </row>
    <row r="6456" spans="18:20" x14ac:dyDescent="0.25">
      <c r="R6456">
        <v>194</v>
      </c>
      <c r="S6456">
        <v>260</v>
      </c>
      <c r="T6456">
        <v>5</v>
      </c>
    </row>
    <row r="6457" spans="18:20" x14ac:dyDescent="0.25">
      <c r="R6457">
        <v>194</v>
      </c>
      <c r="S6457">
        <v>263</v>
      </c>
      <c r="T6457">
        <v>4</v>
      </c>
    </row>
    <row r="6458" spans="18:20" x14ac:dyDescent="0.25">
      <c r="R6458">
        <v>194</v>
      </c>
      <c r="S6458">
        <v>276</v>
      </c>
      <c r="T6458">
        <v>2</v>
      </c>
    </row>
    <row r="6459" spans="18:20" x14ac:dyDescent="0.25">
      <c r="R6459">
        <v>194</v>
      </c>
      <c r="S6459">
        <v>297</v>
      </c>
      <c r="T6459">
        <v>1</v>
      </c>
    </row>
    <row r="6460" spans="18:20" x14ac:dyDescent="0.25">
      <c r="R6460">
        <v>194</v>
      </c>
      <c r="S6460">
        <v>307</v>
      </c>
      <c r="T6460">
        <v>1</v>
      </c>
    </row>
    <row r="6461" spans="18:20" x14ac:dyDescent="0.25">
      <c r="R6461">
        <v>194</v>
      </c>
      <c r="S6461">
        <v>314</v>
      </c>
      <c r="T6461">
        <v>1</v>
      </c>
    </row>
    <row r="6462" spans="18:20" x14ac:dyDescent="0.25">
      <c r="R6462">
        <v>194</v>
      </c>
      <c r="S6462">
        <v>339</v>
      </c>
      <c r="T6462">
        <v>2</v>
      </c>
    </row>
    <row r="6463" spans="18:20" x14ac:dyDescent="0.25">
      <c r="R6463">
        <v>194</v>
      </c>
      <c r="S6463">
        <v>341</v>
      </c>
      <c r="T6463">
        <v>5</v>
      </c>
    </row>
    <row r="6464" spans="18:20" x14ac:dyDescent="0.25">
      <c r="R6464">
        <v>194</v>
      </c>
      <c r="S6464">
        <v>347</v>
      </c>
      <c r="T6464">
        <v>1</v>
      </c>
    </row>
    <row r="6465" spans="18:20" x14ac:dyDescent="0.25">
      <c r="R6465">
        <v>194</v>
      </c>
      <c r="S6465">
        <v>366</v>
      </c>
      <c r="T6465">
        <v>5</v>
      </c>
    </row>
    <row r="6466" spans="18:20" x14ac:dyDescent="0.25">
      <c r="R6466">
        <v>194</v>
      </c>
      <c r="S6466">
        <v>368</v>
      </c>
      <c r="T6466">
        <v>4</v>
      </c>
    </row>
    <row r="6467" spans="18:20" x14ac:dyDescent="0.25">
      <c r="R6467">
        <v>194</v>
      </c>
      <c r="S6467">
        <v>369</v>
      </c>
      <c r="T6467">
        <v>5</v>
      </c>
    </row>
    <row r="6468" spans="18:20" x14ac:dyDescent="0.25">
      <c r="R6468">
        <v>194</v>
      </c>
      <c r="S6468">
        <v>379</v>
      </c>
      <c r="T6468">
        <v>2</v>
      </c>
    </row>
    <row r="6469" spans="18:20" x14ac:dyDescent="0.25">
      <c r="R6469">
        <v>194</v>
      </c>
      <c r="S6469">
        <v>385</v>
      </c>
      <c r="T6469">
        <v>1</v>
      </c>
    </row>
    <row r="6470" spans="18:20" x14ac:dyDescent="0.25">
      <c r="R6470">
        <v>194</v>
      </c>
      <c r="S6470">
        <v>403</v>
      </c>
      <c r="T6470">
        <v>1</v>
      </c>
    </row>
    <row r="6471" spans="18:20" x14ac:dyDescent="0.25">
      <c r="R6471">
        <v>194</v>
      </c>
      <c r="S6471">
        <v>419</v>
      </c>
      <c r="T6471">
        <v>4</v>
      </c>
    </row>
    <row r="6472" spans="18:20" x14ac:dyDescent="0.25">
      <c r="R6472">
        <v>194</v>
      </c>
      <c r="S6472">
        <v>425</v>
      </c>
      <c r="T6472">
        <v>2</v>
      </c>
    </row>
    <row r="6473" spans="18:20" x14ac:dyDescent="0.25">
      <c r="R6473">
        <v>194</v>
      </c>
      <c r="S6473">
        <v>430</v>
      </c>
      <c r="T6473">
        <v>5</v>
      </c>
    </row>
    <row r="6474" spans="18:20" x14ac:dyDescent="0.25">
      <c r="R6474">
        <v>195</v>
      </c>
      <c r="S6474">
        <v>8</v>
      </c>
      <c r="T6474">
        <v>4</v>
      </c>
    </row>
    <row r="6475" spans="18:20" x14ac:dyDescent="0.25">
      <c r="R6475">
        <v>195</v>
      </c>
      <c r="S6475">
        <v>8</v>
      </c>
      <c r="T6475">
        <v>5</v>
      </c>
    </row>
    <row r="6476" spans="18:20" x14ac:dyDescent="0.25">
      <c r="R6476">
        <v>195</v>
      </c>
      <c r="S6476">
        <v>12</v>
      </c>
      <c r="T6476">
        <v>1</v>
      </c>
    </row>
    <row r="6477" spans="18:20" x14ac:dyDescent="0.25">
      <c r="R6477">
        <v>195</v>
      </c>
      <c r="S6477">
        <v>23</v>
      </c>
      <c r="T6477">
        <v>2</v>
      </c>
    </row>
    <row r="6478" spans="18:20" x14ac:dyDescent="0.25">
      <c r="R6478">
        <v>195</v>
      </c>
      <c r="S6478">
        <v>36</v>
      </c>
      <c r="T6478">
        <v>3</v>
      </c>
    </row>
    <row r="6479" spans="18:20" x14ac:dyDescent="0.25">
      <c r="R6479">
        <v>195</v>
      </c>
      <c r="S6479">
        <v>46</v>
      </c>
      <c r="T6479">
        <v>3</v>
      </c>
    </row>
    <row r="6480" spans="18:20" x14ac:dyDescent="0.25">
      <c r="R6480">
        <v>195</v>
      </c>
      <c r="S6480">
        <v>53</v>
      </c>
      <c r="T6480">
        <v>1</v>
      </c>
    </row>
    <row r="6481" spans="18:20" x14ac:dyDescent="0.25">
      <c r="R6481">
        <v>195</v>
      </c>
      <c r="S6481">
        <v>68</v>
      </c>
      <c r="T6481">
        <v>3</v>
      </c>
    </row>
    <row r="6482" spans="18:20" x14ac:dyDescent="0.25">
      <c r="R6482">
        <v>195</v>
      </c>
      <c r="S6482">
        <v>81</v>
      </c>
      <c r="T6482">
        <v>5</v>
      </c>
    </row>
    <row r="6483" spans="18:20" x14ac:dyDescent="0.25">
      <c r="R6483">
        <v>195</v>
      </c>
      <c r="S6483">
        <v>90</v>
      </c>
      <c r="T6483">
        <v>4</v>
      </c>
    </row>
    <row r="6484" spans="18:20" x14ac:dyDescent="0.25">
      <c r="R6484">
        <v>195</v>
      </c>
      <c r="S6484">
        <v>92</v>
      </c>
      <c r="T6484">
        <v>5</v>
      </c>
    </row>
    <row r="6485" spans="18:20" x14ac:dyDescent="0.25">
      <c r="R6485">
        <v>195</v>
      </c>
      <c r="S6485">
        <v>98</v>
      </c>
      <c r="T6485">
        <v>5</v>
      </c>
    </row>
    <row r="6486" spans="18:20" x14ac:dyDescent="0.25">
      <c r="R6486">
        <v>195</v>
      </c>
      <c r="S6486">
        <v>102</v>
      </c>
      <c r="T6486">
        <v>3</v>
      </c>
    </row>
    <row r="6487" spans="18:20" x14ac:dyDescent="0.25">
      <c r="R6487">
        <v>195</v>
      </c>
      <c r="S6487">
        <v>115</v>
      </c>
      <c r="T6487">
        <v>2</v>
      </c>
    </row>
    <row r="6488" spans="18:20" x14ac:dyDescent="0.25">
      <c r="R6488">
        <v>195</v>
      </c>
      <c r="S6488">
        <v>135</v>
      </c>
      <c r="T6488">
        <v>3</v>
      </c>
    </row>
    <row r="6489" spans="18:20" x14ac:dyDescent="0.25">
      <c r="R6489">
        <v>195</v>
      </c>
      <c r="S6489">
        <v>137</v>
      </c>
      <c r="T6489">
        <v>4</v>
      </c>
    </row>
    <row r="6490" spans="18:20" x14ac:dyDescent="0.25">
      <c r="R6490">
        <v>195</v>
      </c>
      <c r="S6490">
        <v>149</v>
      </c>
      <c r="T6490">
        <v>1</v>
      </c>
    </row>
    <row r="6491" spans="18:20" x14ac:dyDescent="0.25">
      <c r="R6491">
        <v>195</v>
      </c>
      <c r="S6491">
        <v>181</v>
      </c>
      <c r="T6491">
        <v>3</v>
      </c>
    </row>
    <row r="6492" spans="18:20" x14ac:dyDescent="0.25">
      <c r="R6492">
        <v>195</v>
      </c>
      <c r="S6492">
        <v>187</v>
      </c>
      <c r="T6492">
        <v>4</v>
      </c>
    </row>
    <row r="6493" spans="18:20" x14ac:dyDescent="0.25">
      <c r="R6493">
        <v>195</v>
      </c>
      <c r="S6493">
        <v>191</v>
      </c>
      <c r="T6493">
        <v>1</v>
      </c>
    </row>
    <row r="6494" spans="18:20" x14ac:dyDescent="0.25">
      <c r="R6494">
        <v>195</v>
      </c>
      <c r="S6494">
        <v>197</v>
      </c>
      <c r="T6494">
        <v>2</v>
      </c>
    </row>
    <row r="6495" spans="18:20" x14ac:dyDescent="0.25">
      <c r="R6495">
        <v>195</v>
      </c>
      <c r="S6495">
        <v>204</v>
      </c>
      <c r="T6495">
        <v>4</v>
      </c>
    </row>
    <row r="6496" spans="18:20" x14ac:dyDescent="0.25">
      <c r="R6496">
        <v>195</v>
      </c>
      <c r="S6496">
        <v>212</v>
      </c>
      <c r="T6496">
        <v>3</v>
      </c>
    </row>
    <row r="6497" spans="18:20" x14ac:dyDescent="0.25">
      <c r="R6497">
        <v>195</v>
      </c>
      <c r="S6497">
        <v>245</v>
      </c>
      <c r="T6497">
        <v>5</v>
      </c>
    </row>
    <row r="6498" spans="18:20" x14ac:dyDescent="0.25">
      <c r="R6498">
        <v>195</v>
      </c>
      <c r="S6498">
        <v>248</v>
      </c>
      <c r="T6498">
        <v>4</v>
      </c>
    </row>
    <row r="6499" spans="18:20" x14ac:dyDescent="0.25">
      <c r="R6499">
        <v>195</v>
      </c>
      <c r="S6499">
        <v>249</v>
      </c>
      <c r="T6499">
        <v>5</v>
      </c>
    </row>
    <row r="6500" spans="18:20" x14ac:dyDescent="0.25">
      <c r="R6500">
        <v>195</v>
      </c>
      <c r="S6500">
        <v>262</v>
      </c>
      <c r="T6500">
        <v>1</v>
      </c>
    </row>
    <row r="6501" spans="18:20" x14ac:dyDescent="0.25">
      <c r="R6501">
        <v>195</v>
      </c>
      <c r="S6501">
        <v>290</v>
      </c>
      <c r="T6501">
        <v>3</v>
      </c>
    </row>
    <row r="6502" spans="18:20" x14ac:dyDescent="0.25">
      <c r="R6502">
        <v>195</v>
      </c>
      <c r="S6502">
        <v>294</v>
      </c>
      <c r="T6502">
        <v>4</v>
      </c>
    </row>
    <row r="6503" spans="18:20" x14ac:dyDescent="0.25">
      <c r="R6503">
        <v>195</v>
      </c>
      <c r="S6503">
        <v>315</v>
      </c>
      <c r="T6503">
        <v>2</v>
      </c>
    </row>
    <row r="6504" spans="18:20" x14ac:dyDescent="0.25">
      <c r="R6504">
        <v>195</v>
      </c>
      <c r="S6504">
        <v>320</v>
      </c>
      <c r="T6504">
        <v>3</v>
      </c>
    </row>
    <row r="6505" spans="18:20" x14ac:dyDescent="0.25">
      <c r="R6505">
        <v>195</v>
      </c>
      <c r="S6505">
        <v>330</v>
      </c>
      <c r="T6505">
        <v>1</v>
      </c>
    </row>
    <row r="6506" spans="18:20" x14ac:dyDescent="0.25">
      <c r="R6506">
        <v>195</v>
      </c>
      <c r="S6506">
        <v>338</v>
      </c>
      <c r="T6506">
        <v>1</v>
      </c>
    </row>
    <row r="6507" spans="18:20" x14ac:dyDescent="0.25">
      <c r="R6507">
        <v>195</v>
      </c>
      <c r="S6507">
        <v>343</v>
      </c>
      <c r="T6507">
        <v>2</v>
      </c>
    </row>
    <row r="6508" spans="18:20" x14ac:dyDescent="0.25">
      <c r="R6508">
        <v>195</v>
      </c>
      <c r="S6508">
        <v>351</v>
      </c>
      <c r="T6508">
        <v>2</v>
      </c>
    </row>
    <row r="6509" spans="18:20" x14ac:dyDescent="0.25">
      <c r="R6509">
        <v>195</v>
      </c>
      <c r="S6509">
        <v>354</v>
      </c>
      <c r="T6509">
        <v>2</v>
      </c>
    </row>
    <row r="6510" spans="18:20" x14ac:dyDescent="0.25">
      <c r="R6510">
        <v>195</v>
      </c>
      <c r="S6510">
        <v>363</v>
      </c>
      <c r="T6510">
        <v>1</v>
      </c>
    </row>
    <row r="6511" spans="18:20" x14ac:dyDescent="0.25">
      <c r="R6511">
        <v>195</v>
      </c>
      <c r="S6511">
        <v>398</v>
      </c>
      <c r="T6511">
        <v>4</v>
      </c>
    </row>
    <row r="6512" spans="18:20" x14ac:dyDescent="0.25">
      <c r="R6512">
        <v>195</v>
      </c>
      <c r="S6512">
        <v>407</v>
      </c>
      <c r="T6512">
        <v>3</v>
      </c>
    </row>
    <row r="6513" spans="18:20" x14ac:dyDescent="0.25">
      <c r="R6513">
        <v>195</v>
      </c>
      <c r="S6513">
        <v>432</v>
      </c>
      <c r="T6513">
        <v>1</v>
      </c>
    </row>
    <row r="6514" spans="18:20" x14ac:dyDescent="0.25">
      <c r="R6514">
        <v>196</v>
      </c>
      <c r="S6514">
        <v>7</v>
      </c>
      <c r="T6514">
        <v>2</v>
      </c>
    </row>
    <row r="6515" spans="18:20" x14ac:dyDescent="0.25">
      <c r="R6515">
        <v>196</v>
      </c>
      <c r="S6515">
        <v>13</v>
      </c>
      <c r="T6515">
        <v>1</v>
      </c>
    </row>
    <row r="6516" spans="18:20" x14ac:dyDescent="0.25">
      <c r="R6516">
        <v>196</v>
      </c>
      <c r="S6516">
        <v>19</v>
      </c>
      <c r="T6516">
        <v>2</v>
      </c>
    </row>
    <row r="6517" spans="18:20" x14ac:dyDescent="0.25">
      <c r="R6517">
        <v>196</v>
      </c>
      <c r="S6517">
        <v>22</v>
      </c>
      <c r="T6517">
        <v>5</v>
      </c>
    </row>
    <row r="6518" spans="18:20" x14ac:dyDescent="0.25">
      <c r="R6518">
        <v>196</v>
      </c>
      <c r="S6518">
        <v>24</v>
      </c>
      <c r="T6518">
        <v>4</v>
      </c>
    </row>
    <row r="6519" spans="18:20" x14ac:dyDescent="0.25">
      <c r="R6519">
        <v>196</v>
      </c>
      <c r="S6519">
        <v>24</v>
      </c>
      <c r="T6519">
        <v>4</v>
      </c>
    </row>
    <row r="6520" spans="18:20" x14ac:dyDescent="0.25">
      <c r="R6520">
        <v>196</v>
      </c>
      <c r="S6520">
        <v>27</v>
      </c>
      <c r="T6520">
        <v>1</v>
      </c>
    </row>
    <row r="6521" spans="18:20" x14ac:dyDescent="0.25">
      <c r="R6521">
        <v>196</v>
      </c>
      <c r="S6521">
        <v>36</v>
      </c>
      <c r="T6521">
        <v>4</v>
      </c>
    </row>
    <row r="6522" spans="18:20" x14ac:dyDescent="0.25">
      <c r="R6522">
        <v>196</v>
      </c>
      <c r="S6522">
        <v>49</v>
      </c>
      <c r="T6522">
        <v>2</v>
      </c>
    </row>
    <row r="6523" spans="18:20" x14ac:dyDescent="0.25">
      <c r="R6523">
        <v>196</v>
      </c>
      <c r="S6523">
        <v>91</v>
      </c>
      <c r="T6523">
        <v>2</v>
      </c>
    </row>
    <row r="6524" spans="18:20" x14ac:dyDescent="0.25">
      <c r="R6524">
        <v>196</v>
      </c>
      <c r="S6524">
        <v>112</v>
      </c>
      <c r="T6524">
        <v>5</v>
      </c>
    </row>
    <row r="6525" spans="18:20" x14ac:dyDescent="0.25">
      <c r="R6525">
        <v>196</v>
      </c>
      <c r="S6525">
        <v>125</v>
      </c>
      <c r="T6525">
        <v>4</v>
      </c>
    </row>
    <row r="6526" spans="18:20" x14ac:dyDescent="0.25">
      <c r="R6526">
        <v>196</v>
      </c>
      <c r="S6526">
        <v>177</v>
      </c>
      <c r="T6526">
        <v>5</v>
      </c>
    </row>
    <row r="6527" spans="18:20" x14ac:dyDescent="0.25">
      <c r="R6527">
        <v>196</v>
      </c>
      <c r="S6527">
        <v>185</v>
      </c>
      <c r="T6527">
        <v>1</v>
      </c>
    </row>
    <row r="6528" spans="18:20" x14ac:dyDescent="0.25">
      <c r="R6528">
        <v>196</v>
      </c>
      <c r="S6528">
        <v>216</v>
      </c>
      <c r="T6528">
        <v>5</v>
      </c>
    </row>
    <row r="6529" spans="18:20" x14ac:dyDescent="0.25">
      <c r="R6529">
        <v>196</v>
      </c>
      <c r="S6529">
        <v>233</v>
      </c>
      <c r="T6529">
        <v>2</v>
      </c>
    </row>
    <row r="6530" spans="18:20" x14ac:dyDescent="0.25">
      <c r="R6530">
        <v>196</v>
      </c>
      <c r="S6530">
        <v>239</v>
      </c>
      <c r="T6530">
        <v>3</v>
      </c>
    </row>
    <row r="6531" spans="18:20" x14ac:dyDescent="0.25">
      <c r="R6531">
        <v>196</v>
      </c>
      <c r="S6531">
        <v>251</v>
      </c>
      <c r="T6531">
        <v>5</v>
      </c>
    </row>
    <row r="6532" spans="18:20" x14ac:dyDescent="0.25">
      <c r="R6532">
        <v>196</v>
      </c>
      <c r="S6532">
        <v>271</v>
      </c>
      <c r="T6532">
        <v>2</v>
      </c>
    </row>
    <row r="6533" spans="18:20" x14ac:dyDescent="0.25">
      <c r="R6533">
        <v>196</v>
      </c>
      <c r="S6533">
        <v>281</v>
      </c>
      <c r="T6533">
        <v>2</v>
      </c>
    </row>
    <row r="6534" spans="18:20" x14ac:dyDescent="0.25">
      <c r="R6534">
        <v>196</v>
      </c>
      <c r="S6534">
        <v>304</v>
      </c>
      <c r="T6534">
        <v>1</v>
      </c>
    </row>
    <row r="6535" spans="18:20" x14ac:dyDescent="0.25">
      <c r="R6535">
        <v>196</v>
      </c>
      <c r="S6535">
        <v>315</v>
      </c>
      <c r="T6535">
        <v>3</v>
      </c>
    </row>
    <row r="6536" spans="18:20" x14ac:dyDescent="0.25">
      <c r="R6536">
        <v>196</v>
      </c>
      <c r="S6536">
        <v>317</v>
      </c>
      <c r="T6536">
        <v>3</v>
      </c>
    </row>
    <row r="6537" spans="18:20" x14ac:dyDescent="0.25">
      <c r="R6537">
        <v>196</v>
      </c>
      <c r="S6537">
        <v>318</v>
      </c>
      <c r="T6537">
        <v>3</v>
      </c>
    </row>
    <row r="6538" spans="18:20" x14ac:dyDescent="0.25">
      <c r="R6538">
        <v>196</v>
      </c>
      <c r="S6538">
        <v>335</v>
      </c>
      <c r="T6538">
        <v>2</v>
      </c>
    </row>
    <row r="6539" spans="18:20" x14ac:dyDescent="0.25">
      <c r="R6539">
        <v>196</v>
      </c>
      <c r="S6539">
        <v>351</v>
      </c>
      <c r="T6539">
        <v>5</v>
      </c>
    </row>
    <row r="6540" spans="18:20" x14ac:dyDescent="0.25">
      <c r="R6540">
        <v>196</v>
      </c>
      <c r="S6540">
        <v>379</v>
      </c>
      <c r="T6540">
        <v>1</v>
      </c>
    </row>
    <row r="6541" spans="18:20" x14ac:dyDescent="0.25">
      <c r="R6541">
        <v>196</v>
      </c>
      <c r="S6541">
        <v>386</v>
      </c>
      <c r="T6541">
        <v>5</v>
      </c>
    </row>
    <row r="6542" spans="18:20" x14ac:dyDescent="0.25">
      <c r="R6542">
        <v>196</v>
      </c>
      <c r="S6542">
        <v>397</v>
      </c>
      <c r="T6542">
        <v>2</v>
      </c>
    </row>
    <row r="6543" spans="18:20" x14ac:dyDescent="0.25">
      <c r="R6543">
        <v>196</v>
      </c>
      <c r="S6543">
        <v>401</v>
      </c>
      <c r="T6543">
        <v>5</v>
      </c>
    </row>
    <row r="6544" spans="18:20" x14ac:dyDescent="0.25">
      <c r="R6544">
        <v>197</v>
      </c>
      <c r="S6544">
        <v>16</v>
      </c>
      <c r="T6544">
        <v>4</v>
      </c>
    </row>
    <row r="6545" spans="18:20" x14ac:dyDescent="0.25">
      <c r="R6545">
        <v>197</v>
      </c>
      <c r="S6545">
        <v>38</v>
      </c>
      <c r="T6545">
        <v>1</v>
      </c>
    </row>
    <row r="6546" spans="18:20" x14ac:dyDescent="0.25">
      <c r="R6546">
        <v>197</v>
      </c>
      <c r="S6546">
        <v>66</v>
      </c>
      <c r="T6546">
        <v>3</v>
      </c>
    </row>
    <row r="6547" spans="18:20" x14ac:dyDescent="0.25">
      <c r="R6547">
        <v>197</v>
      </c>
      <c r="S6547">
        <v>82</v>
      </c>
      <c r="T6547">
        <v>4</v>
      </c>
    </row>
    <row r="6548" spans="18:20" x14ac:dyDescent="0.25">
      <c r="R6548">
        <v>197</v>
      </c>
      <c r="S6548">
        <v>93</v>
      </c>
      <c r="T6548">
        <v>1</v>
      </c>
    </row>
    <row r="6549" spans="18:20" x14ac:dyDescent="0.25">
      <c r="R6549">
        <v>197</v>
      </c>
      <c r="S6549">
        <v>99</v>
      </c>
      <c r="T6549">
        <v>4</v>
      </c>
    </row>
    <row r="6550" spans="18:20" x14ac:dyDescent="0.25">
      <c r="R6550">
        <v>197</v>
      </c>
      <c r="S6550">
        <v>125</v>
      </c>
      <c r="T6550">
        <v>1</v>
      </c>
    </row>
    <row r="6551" spans="18:20" x14ac:dyDescent="0.25">
      <c r="R6551">
        <v>197</v>
      </c>
      <c r="S6551">
        <v>137</v>
      </c>
      <c r="T6551">
        <v>1</v>
      </c>
    </row>
    <row r="6552" spans="18:20" x14ac:dyDescent="0.25">
      <c r="R6552">
        <v>197</v>
      </c>
      <c r="S6552">
        <v>142</v>
      </c>
      <c r="T6552">
        <v>5</v>
      </c>
    </row>
    <row r="6553" spans="18:20" x14ac:dyDescent="0.25">
      <c r="R6553">
        <v>197</v>
      </c>
      <c r="S6553">
        <v>151</v>
      </c>
      <c r="T6553">
        <v>3</v>
      </c>
    </row>
    <row r="6554" spans="18:20" x14ac:dyDescent="0.25">
      <c r="R6554">
        <v>197</v>
      </c>
      <c r="S6554">
        <v>177</v>
      </c>
      <c r="T6554">
        <v>2</v>
      </c>
    </row>
    <row r="6555" spans="18:20" x14ac:dyDescent="0.25">
      <c r="R6555">
        <v>197</v>
      </c>
      <c r="S6555">
        <v>198</v>
      </c>
      <c r="T6555">
        <v>5</v>
      </c>
    </row>
    <row r="6556" spans="18:20" x14ac:dyDescent="0.25">
      <c r="R6556">
        <v>197</v>
      </c>
      <c r="S6556">
        <v>203</v>
      </c>
      <c r="T6556">
        <v>4</v>
      </c>
    </row>
    <row r="6557" spans="18:20" x14ac:dyDescent="0.25">
      <c r="R6557">
        <v>197</v>
      </c>
      <c r="S6557">
        <v>214</v>
      </c>
      <c r="T6557">
        <v>5</v>
      </c>
    </row>
    <row r="6558" spans="18:20" x14ac:dyDescent="0.25">
      <c r="R6558">
        <v>197</v>
      </c>
      <c r="S6558">
        <v>222</v>
      </c>
      <c r="T6558">
        <v>4</v>
      </c>
    </row>
    <row r="6559" spans="18:20" x14ac:dyDescent="0.25">
      <c r="R6559">
        <v>197</v>
      </c>
      <c r="S6559">
        <v>268</v>
      </c>
      <c r="T6559">
        <v>3</v>
      </c>
    </row>
    <row r="6560" spans="18:20" x14ac:dyDescent="0.25">
      <c r="R6560">
        <v>197</v>
      </c>
      <c r="S6560">
        <v>284</v>
      </c>
      <c r="T6560">
        <v>3</v>
      </c>
    </row>
    <row r="6561" spans="18:20" x14ac:dyDescent="0.25">
      <c r="R6561">
        <v>197</v>
      </c>
      <c r="S6561">
        <v>295</v>
      </c>
      <c r="T6561">
        <v>2</v>
      </c>
    </row>
    <row r="6562" spans="18:20" x14ac:dyDescent="0.25">
      <c r="R6562">
        <v>197</v>
      </c>
      <c r="S6562">
        <v>299</v>
      </c>
      <c r="T6562">
        <v>5</v>
      </c>
    </row>
    <row r="6563" spans="18:20" x14ac:dyDescent="0.25">
      <c r="R6563">
        <v>197</v>
      </c>
      <c r="S6563">
        <v>300</v>
      </c>
      <c r="T6563">
        <v>5</v>
      </c>
    </row>
    <row r="6564" spans="18:20" x14ac:dyDescent="0.25">
      <c r="R6564">
        <v>197</v>
      </c>
      <c r="S6564">
        <v>330</v>
      </c>
      <c r="T6564">
        <v>1</v>
      </c>
    </row>
    <row r="6565" spans="18:20" x14ac:dyDescent="0.25">
      <c r="R6565">
        <v>197</v>
      </c>
      <c r="S6565">
        <v>342</v>
      </c>
      <c r="T6565">
        <v>2</v>
      </c>
    </row>
    <row r="6566" spans="18:20" x14ac:dyDescent="0.25">
      <c r="R6566">
        <v>197</v>
      </c>
      <c r="S6566">
        <v>367</v>
      </c>
      <c r="T6566">
        <v>3</v>
      </c>
    </row>
    <row r="6567" spans="18:20" x14ac:dyDescent="0.25">
      <c r="R6567">
        <v>197</v>
      </c>
      <c r="S6567">
        <v>382</v>
      </c>
      <c r="T6567">
        <v>2</v>
      </c>
    </row>
    <row r="6568" spans="18:20" x14ac:dyDescent="0.25">
      <c r="R6568">
        <v>197</v>
      </c>
      <c r="S6568">
        <v>422</v>
      </c>
      <c r="T6568">
        <v>5</v>
      </c>
    </row>
    <row r="6569" spans="18:20" x14ac:dyDescent="0.25">
      <c r="R6569">
        <v>197</v>
      </c>
      <c r="S6569">
        <v>428</v>
      </c>
      <c r="T6569">
        <v>5</v>
      </c>
    </row>
    <row r="6570" spans="18:20" x14ac:dyDescent="0.25">
      <c r="R6570">
        <v>198</v>
      </c>
      <c r="S6570">
        <v>12</v>
      </c>
      <c r="T6570">
        <v>1</v>
      </c>
    </row>
    <row r="6571" spans="18:20" x14ac:dyDescent="0.25">
      <c r="R6571">
        <v>198</v>
      </c>
      <c r="S6571">
        <v>13</v>
      </c>
      <c r="T6571">
        <v>3</v>
      </c>
    </row>
    <row r="6572" spans="18:20" x14ac:dyDescent="0.25">
      <c r="R6572">
        <v>198</v>
      </c>
      <c r="S6572">
        <v>25</v>
      </c>
      <c r="T6572">
        <v>2</v>
      </c>
    </row>
    <row r="6573" spans="18:20" x14ac:dyDescent="0.25">
      <c r="R6573">
        <v>198</v>
      </c>
      <c r="S6573">
        <v>45</v>
      </c>
      <c r="T6573">
        <v>3</v>
      </c>
    </row>
    <row r="6574" spans="18:20" x14ac:dyDescent="0.25">
      <c r="R6574">
        <v>198</v>
      </c>
      <c r="S6574">
        <v>49</v>
      </c>
      <c r="T6574">
        <v>1</v>
      </c>
    </row>
    <row r="6575" spans="18:20" x14ac:dyDescent="0.25">
      <c r="R6575">
        <v>198</v>
      </c>
      <c r="S6575">
        <v>61</v>
      </c>
      <c r="T6575">
        <v>4</v>
      </c>
    </row>
    <row r="6576" spans="18:20" x14ac:dyDescent="0.25">
      <c r="R6576">
        <v>198</v>
      </c>
      <c r="S6576">
        <v>75</v>
      </c>
      <c r="T6576">
        <v>2</v>
      </c>
    </row>
    <row r="6577" spans="18:20" x14ac:dyDescent="0.25">
      <c r="R6577">
        <v>198</v>
      </c>
      <c r="S6577">
        <v>80</v>
      </c>
      <c r="T6577">
        <v>2</v>
      </c>
    </row>
    <row r="6578" spans="18:20" x14ac:dyDescent="0.25">
      <c r="R6578">
        <v>198</v>
      </c>
      <c r="S6578">
        <v>89</v>
      </c>
      <c r="T6578">
        <v>5</v>
      </c>
    </row>
    <row r="6579" spans="18:20" x14ac:dyDescent="0.25">
      <c r="R6579">
        <v>198</v>
      </c>
      <c r="S6579">
        <v>91</v>
      </c>
      <c r="T6579">
        <v>3</v>
      </c>
    </row>
    <row r="6580" spans="18:20" x14ac:dyDescent="0.25">
      <c r="R6580">
        <v>198</v>
      </c>
      <c r="S6580">
        <v>97</v>
      </c>
      <c r="T6580">
        <v>5</v>
      </c>
    </row>
    <row r="6581" spans="18:20" x14ac:dyDescent="0.25">
      <c r="R6581">
        <v>198</v>
      </c>
      <c r="S6581">
        <v>125</v>
      </c>
      <c r="T6581">
        <v>1</v>
      </c>
    </row>
    <row r="6582" spans="18:20" x14ac:dyDescent="0.25">
      <c r="R6582">
        <v>198</v>
      </c>
      <c r="S6582">
        <v>134</v>
      </c>
      <c r="T6582">
        <v>3</v>
      </c>
    </row>
    <row r="6583" spans="18:20" x14ac:dyDescent="0.25">
      <c r="R6583">
        <v>198</v>
      </c>
      <c r="S6583">
        <v>187</v>
      </c>
      <c r="T6583">
        <v>5</v>
      </c>
    </row>
    <row r="6584" spans="18:20" x14ac:dyDescent="0.25">
      <c r="R6584">
        <v>198</v>
      </c>
      <c r="S6584">
        <v>191</v>
      </c>
      <c r="T6584">
        <v>2</v>
      </c>
    </row>
    <row r="6585" spans="18:20" x14ac:dyDescent="0.25">
      <c r="R6585">
        <v>198</v>
      </c>
      <c r="S6585">
        <v>197</v>
      </c>
      <c r="T6585">
        <v>4</v>
      </c>
    </row>
    <row r="6586" spans="18:20" x14ac:dyDescent="0.25">
      <c r="R6586">
        <v>198</v>
      </c>
      <c r="S6586">
        <v>201</v>
      </c>
      <c r="T6586">
        <v>3</v>
      </c>
    </row>
    <row r="6587" spans="18:20" x14ac:dyDescent="0.25">
      <c r="R6587">
        <v>198</v>
      </c>
      <c r="S6587">
        <v>208</v>
      </c>
      <c r="T6587">
        <v>4</v>
      </c>
    </row>
    <row r="6588" spans="18:20" x14ac:dyDescent="0.25">
      <c r="R6588">
        <v>198</v>
      </c>
      <c r="S6588">
        <v>208</v>
      </c>
      <c r="T6588">
        <v>5</v>
      </c>
    </row>
    <row r="6589" spans="18:20" x14ac:dyDescent="0.25">
      <c r="R6589">
        <v>198</v>
      </c>
      <c r="S6589">
        <v>222</v>
      </c>
      <c r="T6589">
        <v>3</v>
      </c>
    </row>
    <row r="6590" spans="18:20" x14ac:dyDescent="0.25">
      <c r="R6590">
        <v>198</v>
      </c>
      <c r="S6590">
        <v>247</v>
      </c>
      <c r="T6590">
        <v>1</v>
      </c>
    </row>
    <row r="6591" spans="18:20" x14ac:dyDescent="0.25">
      <c r="R6591">
        <v>198</v>
      </c>
      <c r="S6591">
        <v>274</v>
      </c>
      <c r="T6591">
        <v>1</v>
      </c>
    </row>
    <row r="6592" spans="18:20" x14ac:dyDescent="0.25">
      <c r="R6592">
        <v>198</v>
      </c>
      <c r="S6592">
        <v>294</v>
      </c>
      <c r="T6592">
        <v>2</v>
      </c>
    </row>
    <row r="6593" spans="18:20" x14ac:dyDescent="0.25">
      <c r="R6593">
        <v>198</v>
      </c>
      <c r="S6593">
        <v>294</v>
      </c>
      <c r="T6593">
        <v>3</v>
      </c>
    </row>
    <row r="6594" spans="18:20" x14ac:dyDescent="0.25">
      <c r="R6594">
        <v>198</v>
      </c>
      <c r="S6594">
        <v>297</v>
      </c>
      <c r="T6594">
        <v>3</v>
      </c>
    </row>
    <row r="6595" spans="18:20" x14ac:dyDescent="0.25">
      <c r="R6595">
        <v>198</v>
      </c>
      <c r="S6595">
        <v>297</v>
      </c>
      <c r="T6595">
        <v>2</v>
      </c>
    </row>
    <row r="6596" spans="18:20" x14ac:dyDescent="0.25">
      <c r="R6596">
        <v>198</v>
      </c>
      <c r="S6596">
        <v>302</v>
      </c>
      <c r="T6596">
        <v>3</v>
      </c>
    </row>
    <row r="6597" spans="18:20" x14ac:dyDescent="0.25">
      <c r="R6597">
        <v>198</v>
      </c>
      <c r="S6597">
        <v>334</v>
      </c>
      <c r="T6597">
        <v>1</v>
      </c>
    </row>
    <row r="6598" spans="18:20" x14ac:dyDescent="0.25">
      <c r="R6598">
        <v>198</v>
      </c>
      <c r="S6598">
        <v>336</v>
      </c>
      <c r="T6598">
        <v>3</v>
      </c>
    </row>
    <row r="6599" spans="18:20" x14ac:dyDescent="0.25">
      <c r="R6599">
        <v>198</v>
      </c>
      <c r="S6599">
        <v>337</v>
      </c>
      <c r="T6599">
        <v>3</v>
      </c>
    </row>
    <row r="6600" spans="18:20" x14ac:dyDescent="0.25">
      <c r="R6600">
        <v>198</v>
      </c>
      <c r="S6600">
        <v>338</v>
      </c>
      <c r="T6600">
        <v>5</v>
      </c>
    </row>
    <row r="6601" spans="18:20" x14ac:dyDescent="0.25">
      <c r="R6601">
        <v>198</v>
      </c>
      <c r="S6601">
        <v>355</v>
      </c>
      <c r="T6601">
        <v>2</v>
      </c>
    </row>
    <row r="6602" spans="18:20" x14ac:dyDescent="0.25">
      <c r="R6602">
        <v>198</v>
      </c>
      <c r="S6602">
        <v>364</v>
      </c>
      <c r="T6602">
        <v>4</v>
      </c>
    </row>
    <row r="6603" spans="18:20" x14ac:dyDescent="0.25">
      <c r="R6603">
        <v>198</v>
      </c>
      <c r="S6603">
        <v>380</v>
      </c>
      <c r="T6603">
        <v>5</v>
      </c>
    </row>
    <row r="6604" spans="18:20" x14ac:dyDescent="0.25">
      <c r="R6604">
        <v>198</v>
      </c>
      <c r="S6604">
        <v>384</v>
      </c>
      <c r="T6604">
        <v>3</v>
      </c>
    </row>
    <row r="6605" spans="18:20" x14ac:dyDescent="0.25">
      <c r="R6605">
        <v>198</v>
      </c>
      <c r="S6605">
        <v>397</v>
      </c>
      <c r="T6605">
        <v>4</v>
      </c>
    </row>
    <row r="6606" spans="18:20" x14ac:dyDescent="0.25">
      <c r="R6606">
        <v>198</v>
      </c>
      <c r="S6606">
        <v>398</v>
      </c>
      <c r="T6606">
        <v>4</v>
      </c>
    </row>
    <row r="6607" spans="18:20" x14ac:dyDescent="0.25">
      <c r="R6607">
        <v>198</v>
      </c>
      <c r="S6607">
        <v>401</v>
      </c>
      <c r="T6607">
        <v>2</v>
      </c>
    </row>
    <row r="6608" spans="18:20" x14ac:dyDescent="0.25">
      <c r="R6608">
        <v>198</v>
      </c>
      <c r="S6608">
        <v>407</v>
      </c>
      <c r="T6608">
        <v>3</v>
      </c>
    </row>
    <row r="6609" spans="18:20" x14ac:dyDescent="0.25">
      <c r="R6609">
        <v>198</v>
      </c>
      <c r="S6609">
        <v>410</v>
      </c>
      <c r="T6609">
        <v>2</v>
      </c>
    </row>
    <row r="6610" spans="18:20" x14ac:dyDescent="0.25">
      <c r="R6610">
        <v>198</v>
      </c>
      <c r="S6610">
        <v>435</v>
      </c>
      <c r="T6610">
        <v>1</v>
      </c>
    </row>
    <row r="6611" spans="18:20" x14ac:dyDescent="0.25">
      <c r="R6611">
        <v>199</v>
      </c>
      <c r="S6611">
        <v>38</v>
      </c>
      <c r="T6611">
        <v>3</v>
      </c>
    </row>
    <row r="6612" spans="18:20" x14ac:dyDescent="0.25">
      <c r="R6612">
        <v>199</v>
      </c>
      <c r="S6612">
        <v>47</v>
      </c>
      <c r="T6612">
        <v>4</v>
      </c>
    </row>
    <row r="6613" spans="18:20" x14ac:dyDescent="0.25">
      <c r="R6613">
        <v>199</v>
      </c>
      <c r="S6613">
        <v>56</v>
      </c>
      <c r="T6613">
        <v>1</v>
      </c>
    </row>
    <row r="6614" spans="18:20" x14ac:dyDescent="0.25">
      <c r="R6614">
        <v>199</v>
      </c>
      <c r="S6614">
        <v>73</v>
      </c>
      <c r="T6614">
        <v>3</v>
      </c>
    </row>
    <row r="6615" spans="18:20" x14ac:dyDescent="0.25">
      <c r="R6615">
        <v>199</v>
      </c>
      <c r="S6615">
        <v>87</v>
      </c>
      <c r="T6615">
        <v>4</v>
      </c>
    </row>
    <row r="6616" spans="18:20" x14ac:dyDescent="0.25">
      <c r="R6616">
        <v>199</v>
      </c>
      <c r="S6616">
        <v>93</v>
      </c>
      <c r="T6616">
        <v>3</v>
      </c>
    </row>
    <row r="6617" spans="18:20" x14ac:dyDescent="0.25">
      <c r="R6617">
        <v>199</v>
      </c>
      <c r="S6617">
        <v>94</v>
      </c>
      <c r="T6617">
        <v>5</v>
      </c>
    </row>
    <row r="6618" spans="18:20" x14ac:dyDescent="0.25">
      <c r="R6618">
        <v>199</v>
      </c>
      <c r="S6618">
        <v>135</v>
      </c>
      <c r="T6618">
        <v>3</v>
      </c>
    </row>
    <row r="6619" spans="18:20" x14ac:dyDescent="0.25">
      <c r="R6619">
        <v>199</v>
      </c>
      <c r="S6619">
        <v>165</v>
      </c>
      <c r="T6619">
        <v>3</v>
      </c>
    </row>
    <row r="6620" spans="18:20" x14ac:dyDescent="0.25">
      <c r="R6620">
        <v>199</v>
      </c>
      <c r="S6620">
        <v>170</v>
      </c>
      <c r="T6620">
        <v>2</v>
      </c>
    </row>
    <row r="6621" spans="18:20" x14ac:dyDescent="0.25">
      <c r="R6621">
        <v>199</v>
      </c>
      <c r="S6621">
        <v>185</v>
      </c>
      <c r="T6621">
        <v>2</v>
      </c>
    </row>
    <row r="6622" spans="18:20" x14ac:dyDescent="0.25">
      <c r="R6622">
        <v>199</v>
      </c>
      <c r="S6622">
        <v>189</v>
      </c>
      <c r="T6622">
        <v>1</v>
      </c>
    </row>
    <row r="6623" spans="18:20" x14ac:dyDescent="0.25">
      <c r="R6623">
        <v>199</v>
      </c>
      <c r="S6623">
        <v>197</v>
      </c>
      <c r="T6623">
        <v>3</v>
      </c>
    </row>
    <row r="6624" spans="18:20" x14ac:dyDescent="0.25">
      <c r="R6624">
        <v>199</v>
      </c>
      <c r="S6624">
        <v>204</v>
      </c>
      <c r="T6624">
        <v>3</v>
      </c>
    </row>
    <row r="6625" spans="18:20" x14ac:dyDescent="0.25">
      <c r="R6625">
        <v>199</v>
      </c>
      <c r="S6625">
        <v>207</v>
      </c>
      <c r="T6625">
        <v>5</v>
      </c>
    </row>
    <row r="6626" spans="18:20" x14ac:dyDescent="0.25">
      <c r="R6626">
        <v>199</v>
      </c>
      <c r="S6626">
        <v>209</v>
      </c>
      <c r="T6626">
        <v>1</v>
      </c>
    </row>
    <row r="6627" spans="18:20" x14ac:dyDescent="0.25">
      <c r="R6627">
        <v>199</v>
      </c>
      <c r="S6627">
        <v>209</v>
      </c>
      <c r="T6627">
        <v>2</v>
      </c>
    </row>
    <row r="6628" spans="18:20" x14ac:dyDescent="0.25">
      <c r="R6628">
        <v>199</v>
      </c>
      <c r="S6628">
        <v>213</v>
      </c>
      <c r="T6628">
        <v>1</v>
      </c>
    </row>
    <row r="6629" spans="18:20" x14ac:dyDescent="0.25">
      <c r="R6629">
        <v>199</v>
      </c>
      <c r="S6629">
        <v>251</v>
      </c>
      <c r="T6629">
        <v>3</v>
      </c>
    </row>
    <row r="6630" spans="18:20" x14ac:dyDescent="0.25">
      <c r="R6630">
        <v>199</v>
      </c>
      <c r="S6630">
        <v>292</v>
      </c>
      <c r="T6630">
        <v>4</v>
      </c>
    </row>
    <row r="6631" spans="18:20" x14ac:dyDescent="0.25">
      <c r="R6631">
        <v>199</v>
      </c>
      <c r="S6631">
        <v>298</v>
      </c>
      <c r="T6631">
        <v>3</v>
      </c>
    </row>
    <row r="6632" spans="18:20" x14ac:dyDescent="0.25">
      <c r="R6632">
        <v>199</v>
      </c>
      <c r="S6632">
        <v>313</v>
      </c>
      <c r="T6632">
        <v>3</v>
      </c>
    </row>
    <row r="6633" spans="18:20" x14ac:dyDescent="0.25">
      <c r="R6633">
        <v>199</v>
      </c>
      <c r="S6633">
        <v>340</v>
      </c>
      <c r="T6633">
        <v>5</v>
      </c>
    </row>
    <row r="6634" spans="18:20" x14ac:dyDescent="0.25">
      <c r="R6634">
        <v>199</v>
      </c>
      <c r="S6634">
        <v>342</v>
      </c>
      <c r="T6634">
        <v>4</v>
      </c>
    </row>
    <row r="6635" spans="18:20" x14ac:dyDescent="0.25">
      <c r="R6635">
        <v>199</v>
      </c>
      <c r="S6635">
        <v>362</v>
      </c>
      <c r="T6635">
        <v>1</v>
      </c>
    </row>
    <row r="6636" spans="18:20" x14ac:dyDescent="0.25">
      <c r="R6636">
        <v>199</v>
      </c>
      <c r="S6636">
        <v>367</v>
      </c>
      <c r="T6636">
        <v>4</v>
      </c>
    </row>
    <row r="6637" spans="18:20" x14ac:dyDescent="0.25">
      <c r="R6637">
        <v>199</v>
      </c>
      <c r="S6637">
        <v>400</v>
      </c>
      <c r="T6637">
        <v>4</v>
      </c>
    </row>
    <row r="6638" spans="18:20" x14ac:dyDescent="0.25">
      <c r="R6638">
        <v>199</v>
      </c>
      <c r="S6638">
        <v>404</v>
      </c>
      <c r="T6638">
        <v>2</v>
      </c>
    </row>
    <row r="6639" spans="18:20" x14ac:dyDescent="0.25">
      <c r="R6639">
        <v>199</v>
      </c>
      <c r="S6639">
        <v>409</v>
      </c>
      <c r="T6639">
        <v>4</v>
      </c>
    </row>
    <row r="6640" spans="18:20" x14ac:dyDescent="0.25">
      <c r="R6640">
        <v>199</v>
      </c>
      <c r="S6640">
        <v>426</v>
      </c>
      <c r="T6640">
        <v>2</v>
      </c>
    </row>
    <row r="6641" spans="18:20" x14ac:dyDescent="0.25">
      <c r="R6641">
        <v>200</v>
      </c>
      <c r="S6641">
        <v>39</v>
      </c>
      <c r="T6641">
        <v>4</v>
      </c>
    </row>
    <row r="6642" spans="18:20" x14ac:dyDescent="0.25">
      <c r="R6642">
        <v>200</v>
      </c>
      <c r="S6642">
        <v>43</v>
      </c>
      <c r="T6642">
        <v>2</v>
      </c>
    </row>
    <row r="6643" spans="18:20" x14ac:dyDescent="0.25">
      <c r="R6643">
        <v>200</v>
      </c>
      <c r="S6643">
        <v>165</v>
      </c>
      <c r="T6643">
        <v>2</v>
      </c>
    </row>
    <row r="6644" spans="18:20" x14ac:dyDescent="0.25">
      <c r="R6644">
        <v>200</v>
      </c>
      <c r="S6644">
        <v>166</v>
      </c>
      <c r="T6644">
        <v>5</v>
      </c>
    </row>
    <row r="6645" spans="18:20" x14ac:dyDescent="0.25">
      <c r="R6645">
        <v>200</v>
      </c>
      <c r="S6645">
        <v>167</v>
      </c>
      <c r="T6645">
        <v>4</v>
      </c>
    </row>
    <row r="6646" spans="18:20" x14ac:dyDescent="0.25">
      <c r="R6646">
        <v>200</v>
      </c>
      <c r="S6646">
        <v>170</v>
      </c>
      <c r="T6646">
        <v>2</v>
      </c>
    </row>
    <row r="6647" spans="18:20" x14ac:dyDescent="0.25">
      <c r="R6647">
        <v>200</v>
      </c>
      <c r="S6647">
        <v>184</v>
      </c>
      <c r="T6647">
        <v>2</v>
      </c>
    </row>
    <row r="6648" spans="18:20" x14ac:dyDescent="0.25">
      <c r="R6648">
        <v>200</v>
      </c>
      <c r="S6648">
        <v>191</v>
      </c>
      <c r="T6648">
        <v>1</v>
      </c>
    </row>
    <row r="6649" spans="18:20" x14ac:dyDescent="0.25">
      <c r="R6649">
        <v>200</v>
      </c>
      <c r="S6649">
        <v>199</v>
      </c>
      <c r="T6649">
        <v>3</v>
      </c>
    </row>
    <row r="6650" spans="18:20" x14ac:dyDescent="0.25">
      <c r="R6650">
        <v>200</v>
      </c>
      <c r="S6650">
        <v>207</v>
      </c>
      <c r="T6650">
        <v>2</v>
      </c>
    </row>
    <row r="6651" spans="18:20" x14ac:dyDescent="0.25">
      <c r="R6651">
        <v>200</v>
      </c>
      <c r="S6651">
        <v>220</v>
      </c>
      <c r="T6651">
        <v>5</v>
      </c>
    </row>
    <row r="6652" spans="18:20" x14ac:dyDescent="0.25">
      <c r="R6652">
        <v>200</v>
      </c>
      <c r="S6652">
        <v>226</v>
      </c>
      <c r="T6652">
        <v>4</v>
      </c>
    </row>
    <row r="6653" spans="18:20" x14ac:dyDescent="0.25">
      <c r="R6653">
        <v>200</v>
      </c>
      <c r="S6653">
        <v>243</v>
      </c>
      <c r="T6653">
        <v>4</v>
      </c>
    </row>
    <row r="6654" spans="18:20" x14ac:dyDescent="0.25">
      <c r="R6654">
        <v>200</v>
      </c>
      <c r="S6654">
        <v>245</v>
      </c>
      <c r="T6654">
        <v>3</v>
      </c>
    </row>
    <row r="6655" spans="18:20" x14ac:dyDescent="0.25">
      <c r="R6655">
        <v>200</v>
      </c>
      <c r="S6655">
        <v>247</v>
      </c>
      <c r="T6655">
        <v>4</v>
      </c>
    </row>
    <row r="6656" spans="18:20" x14ac:dyDescent="0.25">
      <c r="R6656">
        <v>200</v>
      </c>
      <c r="S6656">
        <v>258</v>
      </c>
      <c r="T6656">
        <v>5</v>
      </c>
    </row>
    <row r="6657" spans="18:20" x14ac:dyDescent="0.25">
      <c r="R6657">
        <v>200</v>
      </c>
      <c r="S6657">
        <v>259</v>
      </c>
      <c r="T6657">
        <v>5</v>
      </c>
    </row>
    <row r="6658" spans="18:20" x14ac:dyDescent="0.25">
      <c r="R6658">
        <v>200</v>
      </c>
      <c r="S6658">
        <v>265</v>
      </c>
      <c r="T6658">
        <v>1</v>
      </c>
    </row>
    <row r="6659" spans="18:20" x14ac:dyDescent="0.25">
      <c r="R6659">
        <v>200</v>
      </c>
      <c r="S6659">
        <v>273</v>
      </c>
      <c r="T6659">
        <v>4</v>
      </c>
    </row>
    <row r="6660" spans="18:20" x14ac:dyDescent="0.25">
      <c r="R6660">
        <v>200</v>
      </c>
      <c r="S6660">
        <v>277</v>
      </c>
      <c r="T6660">
        <v>1</v>
      </c>
    </row>
    <row r="6661" spans="18:20" x14ac:dyDescent="0.25">
      <c r="R6661">
        <v>200</v>
      </c>
      <c r="S6661">
        <v>279</v>
      </c>
      <c r="T6661">
        <v>4</v>
      </c>
    </row>
    <row r="6662" spans="18:20" x14ac:dyDescent="0.25">
      <c r="R6662">
        <v>200</v>
      </c>
      <c r="S6662">
        <v>281</v>
      </c>
      <c r="T6662">
        <v>1</v>
      </c>
    </row>
    <row r="6663" spans="18:20" x14ac:dyDescent="0.25">
      <c r="R6663">
        <v>200</v>
      </c>
      <c r="S6663">
        <v>294</v>
      </c>
      <c r="T6663">
        <v>1</v>
      </c>
    </row>
    <row r="6664" spans="18:20" x14ac:dyDescent="0.25">
      <c r="R6664">
        <v>200</v>
      </c>
      <c r="S6664">
        <v>296</v>
      </c>
      <c r="T6664">
        <v>1</v>
      </c>
    </row>
    <row r="6665" spans="18:20" x14ac:dyDescent="0.25">
      <c r="R6665">
        <v>200</v>
      </c>
      <c r="S6665">
        <v>299</v>
      </c>
      <c r="T6665">
        <v>5</v>
      </c>
    </row>
    <row r="6666" spans="18:20" x14ac:dyDescent="0.25">
      <c r="R6666">
        <v>200</v>
      </c>
      <c r="S6666">
        <v>309</v>
      </c>
      <c r="T6666">
        <v>1</v>
      </c>
    </row>
    <row r="6667" spans="18:20" x14ac:dyDescent="0.25">
      <c r="R6667">
        <v>200</v>
      </c>
      <c r="S6667">
        <v>322</v>
      </c>
      <c r="T6667">
        <v>4</v>
      </c>
    </row>
    <row r="6668" spans="18:20" x14ac:dyDescent="0.25">
      <c r="R6668">
        <v>200</v>
      </c>
      <c r="S6668">
        <v>327</v>
      </c>
      <c r="T6668">
        <v>3</v>
      </c>
    </row>
    <row r="6669" spans="18:20" x14ac:dyDescent="0.25">
      <c r="R6669">
        <v>200</v>
      </c>
      <c r="S6669">
        <v>328</v>
      </c>
      <c r="T6669">
        <v>1</v>
      </c>
    </row>
    <row r="6670" spans="18:20" x14ac:dyDescent="0.25">
      <c r="R6670">
        <v>200</v>
      </c>
      <c r="S6670">
        <v>331</v>
      </c>
      <c r="T6670">
        <v>2</v>
      </c>
    </row>
    <row r="6671" spans="18:20" x14ac:dyDescent="0.25">
      <c r="R6671">
        <v>200</v>
      </c>
      <c r="S6671">
        <v>334</v>
      </c>
      <c r="T6671">
        <v>3</v>
      </c>
    </row>
    <row r="6672" spans="18:20" x14ac:dyDescent="0.25">
      <c r="R6672">
        <v>200</v>
      </c>
      <c r="S6672">
        <v>335</v>
      </c>
      <c r="T6672">
        <v>3</v>
      </c>
    </row>
    <row r="6673" spans="18:20" x14ac:dyDescent="0.25">
      <c r="R6673">
        <v>200</v>
      </c>
      <c r="S6673">
        <v>336</v>
      </c>
      <c r="T6673">
        <v>2</v>
      </c>
    </row>
    <row r="6674" spans="18:20" x14ac:dyDescent="0.25">
      <c r="R6674">
        <v>200</v>
      </c>
      <c r="S6674">
        <v>354</v>
      </c>
      <c r="T6674">
        <v>2</v>
      </c>
    </row>
    <row r="6675" spans="18:20" x14ac:dyDescent="0.25">
      <c r="R6675">
        <v>200</v>
      </c>
      <c r="S6675">
        <v>400</v>
      </c>
      <c r="T6675">
        <v>3</v>
      </c>
    </row>
    <row r="6676" spans="18:20" x14ac:dyDescent="0.25">
      <c r="R6676">
        <v>200</v>
      </c>
      <c r="S6676">
        <v>404</v>
      </c>
      <c r="T6676">
        <v>5</v>
      </c>
    </row>
    <row r="6677" spans="18:20" x14ac:dyDescent="0.25">
      <c r="R6677">
        <v>200</v>
      </c>
      <c r="S6677">
        <v>416</v>
      </c>
      <c r="T6677">
        <v>2</v>
      </c>
    </row>
    <row r="6678" spans="18:20" x14ac:dyDescent="0.25">
      <c r="R6678">
        <v>200</v>
      </c>
      <c r="S6678">
        <v>425</v>
      </c>
      <c r="T6678">
        <v>2</v>
      </c>
    </row>
    <row r="6679" spans="18:20" x14ac:dyDescent="0.25">
      <c r="R6679">
        <v>200</v>
      </c>
      <c r="S6679">
        <v>436</v>
      </c>
      <c r="T6679">
        <v>2</v>
      </c>
    </row>
    <row r="6680" spans="18:20" x14ac:dyDescent="0.25">
      <c r="R6680">
        <v>201</v>
      </c>
      <c r="S6680">
        <v>7</v>
      </c>
      <c r="T6680">
        <v>3</v>
      </c>
    </row>
    <row r="6681" spans="18:20" x14ac:dyDescent="0.25">
      <c r="R6681">
        <v>201</v>
      </c>
      <c r="S6681">
        <v>8</v>
      </c>
      <c r="T6681">
        <v>5</v>
      </c>
    </row>
    <row r="6682" spans="18:20" x14ac:dyDescent="0.25">
      <c r="R6682">
        <v>201</v>
      </c>
      <c r="S6682">
        <v>9</v>
      </c>
      <c r="T6682">
        <v>1</v>
      </c>
    </row>
    <row r="6683" spans="18:20" x14ac:dyDescent="0.25">
      <c r="R6683">
        <v>201</v>
      </c>
      <c r="S6683">
        <v>30</v>
      </c>
      <c r="T6683">
        <v>2</v>
      </c>
    </row>
    <row r="6684" spans="18:20" x14ac:dyDescent="0.25">
      <c r="R6684">
        <v>201</v>
      </c>
      <c r="S6684">
        <v>34</v>
      </c>
      <c r="T6684">
        <v>2</v>
      </c>
    </row>
    <row r="6685" spans="18:20" x14ac:dyDescent="0.25">
      <c r="R6685">
        <v>201</v>
      </c>
      <c r="S6685">
        <v>57</v>
      </c>
      <c r="T6685">
        <v>4</v>
      </c>
    </row>
    <row r="6686" spans="18:20" x14ac:dyDescent="0.25">
      <c r="R6686">
        <v>201</v>
      </c>
      <c r="S6686">
        <v>58</v>
      </c>
      <c r="T6686">
        <v>4</v>
      </c>
    </row>
    <row r="6687" spans="18:20" x14ac:dyDescent="0.25">
      <c r="R6687">
        <v>201</v>
      </c>
      <c r="S6687">
        <v>68</v>
      </c>
      <c r="T6687">
        <v>2</v>
      </c>
    </row>
    <row r="6688" spans="18:20" x14ac:dyDescent="0.25">
      <c r="R6688">
        <v>201</v>
      </c>
      <c r="S6688">
        <v>101</v>
      </c>
      <c r="T6688">
        <v>2</v>
      </c>
    </row>
    <row r="6689" spans="18:20" x14ac:dyDescent="0.25">
      <c r="R6689">
        <v>201</v>
      </c>
      <c r="S6689">
        <v>110</v>
      </c>
      <c r="T6689">
        <v>5</v>
      </c>
    </row>
    <row r="6690" spans="18:20" x14ac:dyDescent="0.25">
      <c r="R6690">
        <v>201</v>
      </c>
      <c r="S6690">
        <v>133</v>
      </c>
      <c r="T6690">
        <v>3</v>
      </c>
    </row>
    <row r="6691" spans="18:20" x14ac:dyDescent="0.25">
      <c r="R6691">
        <v>201</v>
      </c>
      <c r="S6691">
        <v>174</v>
      </c>
      <c r="T6691">
        <v>3</v>
      </c>
    </row>
    <row r="6692" spans="18:20" x14ac:dyDescent="0.25">
      <c r="R6692">
        <v>201</v>
      </c>
      <c r="S6692">
        <v>177</v>
      </c>
      <c r="T6692">
        <v>3</v>
      </c>
    </row>
    <row r="6693" spans="18:20" x14ac:dyDescent="0.25">
      <c r="R6693">
        <v>201</v>
      </c>
      <c r="S6693">
        <v>180</v>
      </c>
      <c r="T6693">
        <v>3</v>
      </c>
    </row>
    <row r="6694" spans="18:20" x14ac:dyDescent="0.25">
      <c r="R6694">
        <v>201</v>
      </c>
      <c r="S6694">
        <v>200</v>
      </c>
      <c r="T6694">
        <v>2</v>
      </c>
    </row>
    <row r="6695" spans="18:20" x14ac:dyDescent="0.25">
      <c r="R6695">
        <v>201</v>
      </c>
      <c r="S6695">
        <v>212</v>
      </c>
      <c r="T6695">
        <v>2</v>
      </c>
    </row>
    <row r="6696" spans="18:20" x14ac:dyDescent="0.25">
      <c r="R6696">
        <v>201</v>
      </c>
      <c r="S6696">
        <v>217</v>
      </c>
      <c r="T6696">
        <v>5</v>
      </c>
    </row>
    <row r="6697" spans="18:20" x14ac:dyDescent="0.25">
      <c r="R6697">
        <v>201</v>
      </c>
      <c r="S6697">
        <v>218</v>
      </c>
      <c r="T6697">
        <v>3</v>
      </c>
    </row>
    <row r="6698" spans="18:20" x14ac:dyDescent="0.25">
      <c r="R6698">
        <v>201</v>
      </c>
      <c r="S6698">
        <v>225</v>
      </c>
      <c r="T6698">
        <v>3</v>
      </c>
    </row>
    <row r="6699" spans="18:20" x14ac:dyDescent="0.25">
      <c r="R6699">
        <v>201</v>
      </c>
      <c r="S6699">
        <v>236</v>
      </c>
      <c r="T6699">
        <v>5</v>
      </c>
    </row>
    <row r="6700" spans="18:20" x14ac:dyDescent="0.25">
      <c r="R6700">
        <v>201</v>
      </c>
      <c r="S6700">
        <v>250</v>
      </c>
      <c r="T6700">
        <v>3</v>
      </c>
    </row>
    <row r="6701" spans="18:20" x14ac:dyDescent="0.25">
      <c r="R6701">
        <v>201</v>
      </c>
      <c r="S6701">
        <v>260</v>
      </c>
      <c r="T6701">
        <v>2</v>
      </c>
    </row>
    <row r="6702" spans="18:20" x14ac:dyDescent="0.25">
      <c r="R6702">
        <v>201</v>
      </c>
      <c r="S6702">
        <v>261</v>
      </c>
      <c r="T6702">
        <v>2</v>
      </c>
    </row>
    <row r="6703" spans="18:20" x14ac:dyDescent="0.25">
      <c r="R6703">
        <v>201</v>
      </c>
      <c r="S6703">
        <v>289</v>
      </c>
      <c r="T6703">
        <v>5</v>
      </c>
    </row>
    <row r="6704" spans="18:20" x14ac:dyDescent="0.25">
      <c r="R6704">
        <v>201</v>
      </c>
      <c r="S6704">
        <v>313</v>
      </c>
      <c r="T6704">
        <v>3</v>
      </c>
    </row>
    <row r="6705" spans="18:20" x14ac:dyDescent="0.25">
      <c r="R6705">
        <v>201</v>
      </c>
      <c r="S6705">
        <v>314</v>
      </c>
      <c r="T6705">
        <v>3</v>
      </c>
    </row>
    <row r="6706" spans="18:20" x14ac:dyDescent="0.25">
      <c r="R6706">
        <v>201</v>
      </c>
      <c r="S6706">
        <v>320</v>
      </c>
      <c r="T6706">
        <v>5</v>
      </c>
    </row>
    <row r="6707" spans="18:20" x14ac:dyDescent="0.25">
      <c r="R6707">
        <v>201</v>
      </c>
      <c r="S6707">
        <v>332</v>
      </c>
      <c r="T6707">
        <v>4</v>
      </c>
    </row>
    <row r="6708" spans="18:20" x14ac:dyDescent="0.25">
      <c r="R6708">
        <v>201</v>
      </c>
      <c r="S6708">
        <v>351</v>
      </c>
      <c r="T6708">
        <v>2</v>
      </c>
    </row>
    <row r="6709" spans="18:20" x14ac:dyDescent="0.25">
      <c r="R6709">
        <v>201</v>
      </c>
      <c r="S6709">
        <v>352</v>
      </c>
      <c r="T6709">
        <v>5</v>
      </c>
    </row>
    <row r="6710" spans="18:20" x14ac:dyDescent="0.25">
      <c r="R6710">
        <v>201</v>
      </c>
      <c r="S6710">
        <v>353</v>
      </c>
      <c r="T6710">
        <v>1</v>
      </c>
    </row>
    <row r="6711" spans="18:20" x14ac:dyDescent="0.25">
      <c r="R6711">
        <v>201</v>
      </c>
      <c r="S6711">
        <v>360</v>
      </c>
      <c r="T6711">
        <v>1</v>
      </c>
    </row>
    <row r="6712" spans="18:20" x14ac:dyDescent="0.25">
      <c r="R6712">
        <v>201</v>
      </c>
      <c r="S6712">
        <v>365</v>
      </c>
      <c r="T6712">
        <v>4</v>
      </c>
    </row>
    <row r="6713" spans="18:20" x14ac:dyDescent="0.25">
      <c r="R6713">
        <v>201</v>
      </c>
      <c r="S6713">
        <v>373</v>
      </c>
      <c r="T6713">
        <v>5</v>
      </c>
    </row>
    <row r="6714" spans="18:20" x14ac:dyDescent="0.25">
      <c r="R6714">
        <v>201</v>
      </c>
      <c r="S6714">
        <v>385</v>
      </c>
      <c r="T6714">
        <v>2</v>
      </c>
    </row>
    <row r="6715" spans="18:20" x14ac:dyDescent="0.25">
      <c r="R6715">
        <v>201</v>
      </c>
      <c r="S6715">
        <v>417</v>
      </c>
      <c r="T6715">
        <v>5</v>
      </c>
    </row>
    <row r="6716" spans="18:20" x14ac:dyDescent="0.25">
      <c r="R6716">
        <v>202</v>
      </c>
      <c r="S6716">
        <v>14</v>
      </c>
      <c r="T6716">
        <v>4</v>
      </c>
    </row>
    <row r="6717" spans="18:20" x14ac:dyDescent="0.25">
      <c r="R6717">
        <v>202</v>
      </c>
      <c r="S6717">
        <v>26</v>
      </c>
      <c r="T6717">
        <v>2</v>
      </c>
    </row>
    <row r="6718" spans="18:20" x14ac:dyDescent="0.25">
      <c r="R6718">
        <v>202</v>
      </c>
      <c r="S6718">
        <v>51</v>
      </c>
      <c r="T6718">
        <v>5</v>
      </c>
    </row>
    <row r="6719" spans="18:20" x14ac:dyDescent="0.25">
      <c r="R6719">
        <v>202</v>
      </c>
      <c r="S6719">
        <v>60</v>
      </c>
      <c r="T6719">
        <v>3</v>
      </c>
    </row>
    <row r="6720" spans="18:20" x14ac:dyDescent="0.25">
      <c r="R6720">
        <v>202</v>
      </c>
      <c r="S6720">
        <v>65</v>
      </c>
      <c r="T6720">
        <v>1</v>
      </c>
    </row>
    <row r="6721" spans="18:20" x14ac:dyDescent="0.25">
      <c r="R6721">
        <v>202</v>
      </c>
      <c r="S6721">
        <v>81</v>
      </c>
      <c r="T6721">
        <v>1</v>
      </c>
    </row>
    <row r="6722" spans="18:20" x14ac:dyDescent="0.25">
      <c r="R6722">
        <v>202</v>
      </c>
      <c r="S6722">
        <v>164</v>
      </c>
      <c r="T6722">
        <v>5</v>
      </c>
    </row>
    <row r="6723" spans="18:20" x14ac:dyDescent="0.25">
      <c r="R6723">
        <v>202</v>
      </c>
      <c r="S6723">
        <v>171</v>
      </c>
      <c r="T6723">
        <v>4</v>
      </c>
    </row>
    <row r="6724" spans="18:20" x14ac:dyDescent="0.25">
      <c r="R6724">
        <v>202</v>
      </c>
      <c r="S6724">
        <v>174</v>
      </c>
      <c r="T6724">
        <v>4</v>
      </c>
    </row>
    <row r="6725" spans="18:20" x14ac:dyDescent="0.25">
      <c r="R6725">
        <v>202</v>
      </c>
      <c r="S6725">
        <v>200</v>
      </c>
      <c r="T6725">
        <v>3</v>
      </c>
    </row>
    <row r="6726" spans="18:20" x14ac:dyDescent="0.25">
      <c r="R6726">
        <v>202</v>
      </c>
      <c r="S6726">
        <v>237</v>
      </c>
      <c r="T6726">
        <v>4</v>
      </c>
    </row>
    <row r="6727" spans="18:20" x14ac:dyDescent="0.25">
      <c r="R6727">
        <v>202</v>
      </c>
      <c r="S6727">
        <v>244</v>
      </c>
      <c r="T6727">
        <v>4</v>
      </c>
    </row>
    <row r="6728" spans="18:20" x14ac:dyDescent="0.25">
      <c r="R6728">
        <v>202</v>
      </c>
      <c r="S6728">
        <v>256</v>
      </c>
      <c r="T6728">
        <v>4</v>
      </c>
    </row>
    <row r="6729" spans="18:20" x14ac:dyDescent="0.25">
      <c r="R6729">
        <v>202</v>
      </c>
      <c r="S6729">
        <v>257</v>
      </c>
      <c r="T6729">
        <v>5</v>
      </c>
    </row>
    <row r="6730" spans="18:20" x14ac:dyDescent="0.25">
      <c r="R6730">
        <v>202</v>
      </c>
      <c r="S6730">
        <v>260</v>
      </c>
      <c r="T6730">
        <v>2</v>
      </c>
    </row>
    <row r="6731" spans="18:20" x14ac:dyDescent="0.25">
      <c r="R6731">
        <v>202</v>
      </c>
      <c r="S6731">
        <v>266</v>
      </c>
      <c r="T6731">
        <v>1</v>
      </c>
    </row>
    <row r="6732" spans="18:20" x14ac:dyDescent="0.25">
      <c r="R6732">
        <v>202</v>
      </c>
      <c r="S6732">
        <v>277</v>
      </c>
      <c r="T6732">
        <v>1</v>
      </c>
    </row>
    <row r="6733" spans="18:20" x14ac:dyDescent="0.25">
      <c r="R6733">
        <v>202</v>
      </c>
      <c r="S6733">
        <v>289</v>
      </c>
      <c r="T6733">
        <v>2</v>
      </c>
    </row>
    <row r="6734" spans="18:20" x14ac:dyDescent="0.25">
      <c r="R6734">
        <v>202</v>
      </c>
      <c r="S6734">
        <v>303</v>
      </c>
      <c r="T6734">
        <v>5</v>
      </c>
    </row>
    <row r="6735" spans="18:20" x14ac:dyDescent="0.25">
      <c r="R6735">
        <v>202</v>
      </c>
      <c r="S6735">
        <v>325</v>
      </c>
      <c r="T6735">
        <v>4</v>
      </c>
    </row>
    <row r="6736" spans="18:20" x14ac:dyDescent="0.25">
      <c r="R6736">
        <v>202</v>
      </c>
      <c r="S6736">
        <v>337</v>
      </c>
      <c r="T6736">
        <v>2</v>
      </c>
    </row>
    <row r="6737" spans="18:20" x14ac:dyDescent="0.25">
      <c r="R6737">
        <v>202</v>
      </c>
      <c r="S6737">
        <v>347</v>
      </c>
      <c r="T6737">
        <v>4</v>
      </c>
    </row>
    <row r="6738" spans="18:20" x14ac:dyDescent="0.25">
      <c r="R6738">
        <v>202</v>
      </c>
      <c r="S6738">
        <v>359</v>
      </c>
      <c r="T6738">
        <v>5</v>
      </c>
    </row>
    <row r="6739" spans="18:20" x14ac:dyDescent="0.25">
      <c r="R6739">
        <v>202</v>
      </c>
      <c r="S6739">
        <v>360</v>
      </c>
      <c r="T6739">
        <v>5</v>
      </c>
    </row>
    <row r="6740" spans="18:20" x14ac:dyDescent="0.25">
      <c r="R6740">
        <v>202</v>
      </c>
      <c r="S6740">
        <v>364</v>
      </c>
      <c r="T6740">
        <v>3</v>
      </c>
    </row>
    <row r="6741" spans="18:20" x14ac:dyDescent="0.25">
      <c r="R6741">
        <v>202</v>
      </c>
      <c r="S6741">
        <v>368</v>
      </c>
      <c r="T6741">
        <v>5</v>
      </c>
    </row>
    <row r="6742" spans="18:20" x14ac:dyDescent="0.25">
      <c r="R6742">
        <v>202</v>
      </c>
      <c r="S6742">
        <v>369</v>
      </c>
      <c r="T6742">
        <v>2</v>
      </c>
    </row>
    <row r="6743" spans="18:20" x14ac:dyDescent="0.25">
      <c r="R6743">
        <v>202</v>
      </c>
      <c r="S6743">
        <v>371</v>
      </c>
      <c r="T6743">
        <v>2</v>
      </c>
    </row>
    <row r="6744" spans="18:20" x14ac:dyDescent="0.25">
      <c r="R6744">
        <v>202</v>
      </c>
      <c r="S6744">
        <v>380</v>
      </c>
      <c r="T6744">
        <v>5</v>
      </c>
    </row>
    <row r="6745" spans="18:20" x14ac:dyDescent="0.25">
      <c r="R6745">
        <v>202</v>
      </c>
      <c r="S6745">
        <v>380</v>
      </c>
      <c r="T6745">
        <v>1</v>
      </c>
    </row>
    <row r="6746" spans="18:20" x14ac:dyDescent="0.25">
      <c r="R6746">
        <v>202</v>
      </c>
      <c r="S6746">
        <v>396</v>
      </c>
      <c r="T6746">
        <v>1</v>
      </c>
    </row>
    <row r="6747" spans="18:20" x14ac:dyDescent="0.25">
      <c r="R6747">
        <v>202</v>
      </c>
      <c r="S6747">
        <v>397</v>
      </c>
      <c r="T6747">
        <v>5</v>
      </c>
    </row>
    <row r="6748" spans="18:20" x14ac:dyDescent="0.25">
      <c r="R6748">
        <v>202</v>
      </c>
      <c r="S6748">
        <v>402</v>
      </c>
      <c r="T6748">
        <v>5</v>
      </c>
    </row>
    <row r="6749" spans="18:20" x14ac:dyDescent="0.25">
      <c r="R6749">
        <v>202</v>
      </c>
      <c r="S6749">
        <v>414</v>
      </c>
      <c r="T6749">
        <v>2</v>
      </c>
    </row>
    <row r="6750" spans="18:20" x14ac:dyDescent="0.25">
      <c r="R6750">
        <v>202</v>
      </c>
      <c r="S6750">
        <v>418</v>
      </c>
      <c r="T6750">
        <v>1</v>
      </c>
    </row>
    <row r="6751" spans="18:20" x14ac:dyDescent="0.25">
      <c r="R6751">
        <v>203</v>
      </c>
      <c r="S6751">
        <v>2</v>
      </c>
      <c r="T6751">
        <v>3</v>
      </c>
    </row>
    <row r="6752" spans="18:20" x14ac:dyDescent="0.25">
      <c r="R6752">
        <v>203</v>
      </c>
      <c r="S6752">
        <v>35</v>
      </c>
      <c r="T6752">
        <v>2</v>
      </c>
    </row>
    <row r="6753" spans="18:20" x14ac:dyDescent="0.25">
      <c r="R6753">
        <v>203</v>
      </c>
      <c r="S6753">
        <v>43</v>
      </c>
      <c r="T6753">
        <v>3</v>
      </c>
    </row>
    <row r="6754" spans="18:20" x14ac:dyDescent="0.25">
      <c r="R6754">
        <v>203</v>
      </c>
      <c r="S6754">
        <v>46</v>
      </c>
      <c r="T6754">
        <v>3</v>
      </c>
    </row>
    <row r="6755" spans="18:20" x14ac:dyDescent="0.25">
      <c r="R6755">
        <v>203</v>
      </c>
      <c r="S6755">
        <v>53</v>
      </c>
      <c r="T6755">
        <v>4</v>
      </c>
    </row>
    <row r="6756" spans="18:20" x14ac:dyDescent="0.25">
      <c r="R6756">
        <v>203</v>
      </c>
      <c r="S6756">
        <v>66</v>
      </c>
      <c r="T6756">
        <v>2</v>
      </c>
    </row>
    <row r="6757" spans="18:20" x14ac:dyDescent="0.25">
      <c r="R6757">
        <v>203</v>
      </c>
      <c r="S6757">
        <v>104</v>
      </c>
      <c r="T6757">
        <v>2</v>
      </c>
    </row>
    <row r="6758" spans="18:20" x14ac:dyDescent="0.25">
      <c r="R6758">
        <v>203</v>
      </c>
      <c r="S6758">
        <v>127</v>
      </c>
      <c r="T6758">
        <v>2</v>
      </c>
    </row>
    <row r="6759" spans="18:20" x14ac:dyDescent="0.25">
      <c r="R6759">
        <v>203</v>
      </c>
      <c r="S6759">
        <v>128</v>
      </c>
      <c r="T6759">
        <v>4</v>
      </c>
    </row>
    <row r="6760" spans="18:20" x14ac:dyDescent="0.25">
      <c r="R6760">
        <v>203</v>
      </c>
      <c r="S6760">
        <v>158</v>
      </c>
      <c r="T6760">
        <v>2</v>
      </c>
    </row>
    <row r="6761" spans="18:20" x14ac:dyDescent="0.25">
      <c r="R6761">
        <v>203</v>
      </c>
      <c r="S6761">
        <v>177</v>
      </c>
      <c r="T6761">
        <v>3</v>
      </c>
    </row>
    <row r="6762" spans="18:20" x14ac:dyDescent="0.25">
      <c r="R6762">
        <v>203</v>
      </c>
      <c r="S6762">
        <v>178</v>
      </c>
      <c r="T6762">
        <v>5</v>
      </c>
    </row>
    <row r="6763" spans="18:20" x14ac:dyDescent="0.25">
      <c r="R6763">
        <v>203</v>
      </c>
      <c r="S6763">
        <v>178</v>
      </c>
      <c r="T6763">
        <v>5</v>
      </c>
    </row>
    <row r="6764" spans="18:20" x14ac:dyDescent="0.25">
      <c r="R6764">
        <v>203</v>
      </c>
      <c r="S6764">
        <v>229</v>
      </c>
      <c r="T6764">
        <v>2</v>
      </c>
    </row>
    <row r="6765" spans="18:20" x14ac:dyDescent="0.25">
      <c r="R6765">
        <v>203</v>
      </c>
      <c r="S6765">
        <v>248</v>
      </c>
      <c r="T6765">
        <v>5</v>
      </c>
    </row>
    <row r="6766" spans="18:20" x14ac:dyDescent="0.25">
      <c r="R6766">
        <v>203</v>
      </c>
      <c r="S6766">
        <v>267</v>
      </c>
      <c r="T6766">
        <v>2</v>
      </c>
    </row>
    <row r="6767" spans="18:20" x14ac:dyDescent="0.25">
      <c r="R6767">
        <v>203</v>
      </c>
      <c r="S6767">
        <v>274</v>
      </c>
      <c r="T6767">
        <v>2</v>
      </c>
    </row>
    <row r="6768" spans="18:20" x14ac:dyDescent="0.25">
      <c r="R6768">
        <v>203</v>
      </c>
      <c r="S6768">
        <v>306</v>
      </c>
      <c r="T6768">
        <v>5</v>
      </c>
    </row>
    <row r="6769" spans="18:20" x14ac:dyDescent="0.25">
      <c r="R6769">
        <v>203</v>
      </c>
      <c r="S6769">
        <v>309</v>
      </c>
      <c r="T6769">
        <v>1</v>
      </c>
    </row>
    <row r="6770" spans="18:20" x14ac:dyDescent="0.25">
      <c r="R6770">
        <v>203</v>
      </c>
      <c r="S6770">
        <v>312</v>
      </c>
      <c r="T6770">
        <v>1</v>
      </c>
    </row>
    <row r="6771" spans="18:20" x14ac:dyDescent="0.25">
      <c r="R6771">
        <v>203</v>
      </c>
      <c r="S6771">
        <v>350</v>
      </c>
      <c r="T6771">
        <v>4</v>
      </c>
    </row>
    <row r="6772" spans="18:20" x14ac:dyDescent="0.25">
      <c r="R6772">
        <v>203</v>
      </c>
      <c r="S6772">
        <v>350</v>
      </c>
      <c r="T6772">
        <v>2</v>
      </c>
    </row>
    <row r="6773" spans="18:20" x14ac:dyDescent="0.25">
      <c r="R6773">
        <v>203</v>
      </c>
      <c r="S6773">
        <v>374</v>
      </c>
      <c r="T6773">
        <v>5</v>
      </c>
    </row>
    <row r="6774" spans="18:20" x14ac:dyDescent="0.25">
      <c r="R6774">
        <v>203</v>
      </c>
      <c r="S6774">
        <v>380</v>
      </c>
      <c r="T6774">
        <v>3</v>
      </c>
    </row>
    <row r="6775" spans="18:20" x14ac:dyDescent="0.25">
      <c r="R6775">
        <v>203</v>
      </c>
      <c r="S6775">
        <v>384</v>
      </c>
      <c r="T6775">
        <v>3</v>
      </c>
    </row>
    <row r="6776" spans="18:20" x14ac:dyDescent="0.25">
      <c r="R6776">
        <v>203</v>
      </c>
      <c r="S6776">
        <v>395</v>
      </c>
      <c r="T6776">
        <v>2</v>
      </c>
    </row>
    <row r="6777" spans="18:20" x14ac:dyDescent="0.25">
      <c r="R6777">
        <v>203</v>
      </c>
      <c r="S6777">
        <v>400</v>
      </c>
      <c r="T6777">
        <v>4</v>
      </c>
    </row>
    <row r="6778" spans="18:20" x14ac:dyDescent="0.25">
      <c r="R6778">
        <v>203</v>
      </c>
      <c r="S6778">
        <v>423</v>
      </c>
      <c r="T6778">
        <v>1</v>
      </c>
    </row>
    <row r="6779" spans="18:20" x14ac:dyDescent="0.25">
      <c r="R6779">
        <v>203</v>
      </c>
      <c r="S6779">
        <v>423</v>
      </c>
      <c r="T6779">
        <v>5</v>
      </c>
    </row>
    <row r="6780" spans="18:20" x14ac:dyDescent="0.25">
      <c r="R6780">
        <v>203</v>
      </c>
      <c r="S6780">
        <v>436</v>
      </c>
      <c r="T6780">
        <v>3</v>
      </c>
    </row>
    <row r="6781" spans="18:20" x14ac:dyDescent="0.25">
      <c r="R6781">
        <v>204</v>
      </c>
      <c r="S6781">
        <v>14</v>
      </c>
      <c r="T6781">
        <v>4</v>
      </c>
    </row>
    <row r="6782" spans="18:20" x14ac:dyDescent="0.25">
      <c r="R6782">
        <v>204</v>
      </c>
      <c r="S6782">
        <v>29</v>
      </c>
      <c r="T6782">
        <v>3</v>
      </c>
    </row>
    <row r="6783" spans="18:20" x14ac:dyDescent="0.25">
      <c r="R6783">
        <v>204</v>
      </c>
      <c r="S6783">
        <v>54</v>
      </c>
      <c r="T6783">
        <v>1</v>
      </c>
    </row>
    <row r="6784" spans="18:20" x14ac:dyDescent="0.25">
      <c r="R6784">
        <v>204</v>
      </c>
      <c r="S6784">
        <v>63</v>
      </c>
      <c r="T6784">
        <v>3</v>
      </c>
    </row>
    <row r="6785" spans="18:20" x14ac:dyDescent="0.25">
      <c r="R6785">
        <v>204</v>
      </c>
      <c r="S6785">
        <v>65</v>
      </c>
      <c r="T6785">
        <v>2</v>
      </c>
    </row>
    <row r="6786" spans="18:20" x14ac:dyDescent="0.25">
      <c r="R6786">
        <v>204</v>
      </c>
      <c r="S6786">
        <v>88</v>
      </c>
      <c r="T6786">
        <v>4</v>
      </c>
    </row>
    <row r="6787" spans="18:20" x14ac:dyDescent="0.25">
      <c r="R6787">
        <v>204</v>
      </c>
      <c r="S6787">
        <v>89</v>
      </c>
      <c r="T6787">
        <v>2</v>
      </c>
    </row>
    <row r="6788" spans="18:20" x14ac:dyDescent="0.25">
      <c r="R6788">
        <v>204</v>
      </c>
      <c r="S6788">
        <v>91</v>
      </c>
      <c r="T6788">
        <v>3</v>
      </c>
    </row>
    <row r="6789" spans="18:20" x14ac:dyDescent="0.25">
      <c r="R6789">
        <v>204</v>
      </c>
      <c r="S6789">
        <v>126</v>
      </c>
      <c r="T6789">
        <v>5</v>
      </c>
    </row>
    <row r="6790" spans="18:20" x14ac:dyDescent="0.25">
      <c r="R6790">
        <v>204</v>
      </c>
      <c r="S6790">
        <v>139</v>
      </c>
      <c r="T6790">
        <v>3</v>
      </c>
    </row>
    <row r="6791" spans="18:20" x14ac:dyDescent="0.25">
      <c r="R6791">
        <v>204</v>
      </c>
      <c r="S6791">
        <v>170</v>
      </c>
      <c r="T6791">
        <v>3</v>
      </c>
    </row>
    <row r="6792" spans="18:20" x14ac:dyDescent="0.25">
      <c r="R6792">
        <v>204</v>
      </c>
      <c r="S6792">
        <v>177</v>
      </c>
      <c r="T6792">
        <v>3</v>
      </c>
    </row>
    <row r="6793" spans="18:20" x14ac:dyDescent="0.25">
      <c r="R6793">
        <v>204</v>
      </c>
      <c r="S6793">
        <v>177</v>
      </c>
      <c r="T6793">
        <v>3</v>
      </c>
    </row>
    <row r="6794" spans="18:20" x14ac:dyDescent="0.25">
      <c r="R6794">
        <v>204</v>
      </c>
      <c r="S6794">
        <v>179</v>
      </c>
      <c r="T6794">
        <v>2</v>
      </c>
    </row>
    <row r="6795" spans="18:20" x14ac:dyDescent="0.25">
      <c r="R6795">
        <v>204</v>
      </c>
      <c r="S6795">
        <v>211</v>
      </c>
      <c r="T6795">
        <v>4</v>
      </c>
    </row>
    <row r="6796" spans="18:20" x14ac:dyDescent="0.25">
      <c r="R6796">
        <v>204</v>
      </c>
      <c r="S6796">
        <v>223</v>
      </c>
      <c r="T6796">
        <v>2</v>
      </c>
    </row>
    <row r="6797" spans="18:20" x14ac:dyDescent="0.25">
      <c r="R6797">
        <v>204</v>
      </c>
      <c r="S6797">
        <v>226</v>
      </c>
      <c r="T6797">
        <v>1</v>
      </c>
    </row>
    <row r="6798" spans="18:20" x14ac:dyDescent="0.25">
      <c r="R6798">
        <v>204</v>
      </c>
      <c r="S6798">
        <v>233</v>
      </c>
      <c r="T6798">
        <v>4</v>
      </c>
    </row>
    <row r="6799" spans="18:20" x14ac:dyDescent="0.25">
      <c r="R6799">
        <v>204</v>
      </c>
      <c r="S6799">
        <v>234</v>
      </c>
      <c r="T6799">
        <v>1</v>
      </c>
    </row>
    <row r="6800" spans="18:20" x14ac:dyDescent="0.25">
      <c r="R6800">
        <v>204</v>
      </c>
      <c r="S6800">
        <v>252</v>
      </c>
      <c r="T6800">
        <v>1</v>
      </c>
    </row>
    <row r="6801" spans="18:20" x14ac:dyDescent="0.25">
      <c r="R6801">
        <v>204</v>
      </c>
      <c r="S6801">
        <v>265</v>
      </c>
      <c r="T6801">
        <v>2</v>
      </c>
    </row>
    <row r="6802" spans="18:20" x14ac:dyDescent="0.25">
      <c r="R6802">
        <v>204</v>
      </c>
      <c r="S6802">
        <v>265</v>
      </c>
      <c r="T6802">
        <v>3</v>
      </c>
    </row>
    <row r="6803" spans="18:20" x14ac:dyDescent="0.25">
      <c r="R6803">
        <v>204</v>
      </c>
      <c r="S6803">
        <v>266</v>
      </c>
      <c r="T6803">
        <v>4</v>
      </c>
    </row>
    <row r="6804" spans="18:20" x14ac:dyDescent="0.25">
      <c r="R6804">
        <v>204</v>
      </c>
      <c r="S6804">
        <v>280</v>
      </c>
      <c r="T6804">
        <v>4</v>
      </c>
    </row>
    <row r="6805" spans="18:20" x14ac:dyDescent="0.25">
      <c r="R6805">
        <v>204</v>
      </c>
      <c r="S6805">
        <v>283</v>
      </c>
      <c r="T6805">
        <v>1</v>
      </c>
    </row>
    <row r="6806" spans="18:20" x14ac:dyDescent="0.25">
      <c r="R6806">
        <v>204</v>
      </c>
      <c r="S6806">
        <v>284</v>
      </c>
      <c r="T6806">
        <v>4</v>
      </c>
    </row>
    <row r="6807" spans="18:20" x14ac:dyDescent="0.25">
      <c r="R6807">
        <v>204</v>
      </c>
      <c r="S6807">
        <v>316</v>
      </c>
      <c r="T6807">
        <v>2</v>
      </c>
    </row>
    <row r="6808" spans="18:20" x14ac:dyDescent="0.25">
      <c r="R6808">
        <v>204</v>
      </c>
      <c r="S6808">
        <v>321</v>
      </c>
      <c r="T6808">
        <v>5</v>
      </c>
    </row>
    <row r="6809" spans="18:20" x14ac:dyDescent="0.25">
      <c r="R6809">
        <v>204</v>
      </c>
      <c r="S6809">
        <v>346</v>
      </c>
      <c r="T6809">
        <v>5</v>
      </c>
    </row>
    <row r="6810" spans="18:20" x14ac:dyDescent="0.25">
      <c r="R6810">
        <v>204</v>
      </c>
      <c r="S6810">
        <v>347</v>
      </c>
      <c r="T6810">
        <v>3</v>
      </c>
    </row>
    <row r="6811" spans="18:20" x14ac:dyDescent="0.25">
      <c r="R6811">
        <v>204</v>
      </c>
      <c r="S6811">
        <v>364</v>
      </c>
      <c r="T6811">
        <v>5</v>
      </c>
    </row>
    <row r="6812" spans="18:20" x14ac:dyDescent="0.25">
      <c r="R6812">
        <v>204</v>
      </c>
      <c r="S6812">
        <v>366</v>
      </c>
      <c r="T6812">
        <v>5</v>
      </c>
    </row>
    <row r="6813" spans="18:20" x14ac:dyDescent="0.25">
      <c r="R6813">
        <v>204</v>
      </c>
      <c r="S6813">
        <v>373</v>
      </c>
      <c r="T6813">
        <v>3</v>
      </c>
    </row>
    <row r="6814" spans="18:20" x14ac:dyDescent="0.25">
      <c r="R6814">
        <v>204</v>
      </c>
      <c r="S6814">
        <v>404</v>
      </c>
      <c r="T6814">
        <v>3</v>
      </c>
    </row>
    <row r="6815" spans="18:20" x14ac:dyDescent="0.25">
      <c r="R6815">
        <v>204</v>
      </c>
      <c r="S6815">
        <v>418</v>
      </c>
      <c r="T6815">
        <v>5</v>
      </c>
    </row>
    <row r="6816" spans="18:20" x14ac:dyDescent="0.25">
      <c r="R6816">
        <v>204</v>
      </c>
      <c r="S6816">
        <v>427</v>
      </c>
      <c r="T6816">
        <v>1</v>
      </c>
    </row>
    <row r="6817" spans="18:20" x14ac:dyDescent="0.25">
      <c r="R6817">
        <v>204</v>
      </c>
      <c r="S6817">
        <v>433</v>
      </c>
      <c r="T6817">
        <v>2</v>
      </c>
    </row>
    <row r="6818" spans="18:20" x14ac:dyDescent="0.25">
      <c r="R6818">
        <v>205</v>
      </c>
      <c r="S6818">
        <v>4</v>
      </c>
      <c r="T6818">
        <v>2</v>
      </c>
    </row>
    <row r="6819" spans="18:20" x14ac:dyDescent="0.25">
      <c r="R6819">
        <v>205</v>
      </c>
      <c r="S6819">
        <v>12</v>
      </c>
      <c r="T6819">
        <v>4</v>
      </c>
    </row>
    <row r="6820" spans="18:20" x14ac:dyDescent="0.25">
      <c r="R6820">
        <v>205</v>
      </c>
      <c r="S6820">
        <v>25</v>
      </c>
      <c r="T6820">
        <v>1</v>
      </c>
    </row>
    <row r="6821" spans="18:20" x14ac:dyDescent="0.25">
      <c r="R6821">
        <v>205</v>
      </c>
      <c r="S6821">
        <v>47</v>
      </c>
      <c r="T6821">
        <v>4</v>
      </c>
    </row>
    <row r="6822" spans="18:20" x14ac:dyDescent="0.25">
      <c r="R6822">
        <v>205</v>
      </c>
      <c r="S6822">
        <v>82</v>
      </c>
      <c r="T6822">
        <v>3</v>
      </c>
    </row>
    <row r="6823" spans="18:20" x14ac:dyDescent="0.25">
      <c r="R6823">
        <v>205</v>
      </c>
      <c r="S6823">
        <v>128</v>
      </c>
      <c r="T6823">
        <v>2</v>
      </c>
    </row>
    <row r="6824" spans="18:20" x14ac:dyDescent="0.25">
      <c r="R6824">
        <v>205</v>
      </c>
      <c r="S6824">
        <v>138</v>
      </c>
      <c r="T6824">
        <v>4</v>
      </c>
    </row>
    <row r="6825" spans="18:20" x14ac:dyDescent="0.25">
      <c r="R6825">
        <v>205</v>
      </c>
      <c r="S6825">
        <v>156</v>
      </c>
      <c r="T6825">
        <v>5</v>
      </c>
    </row>
    <row r="6826" spans="18:20" x14ac:dyDescent="0.25">
      <c r="R6826">
        <v>205</v>
      </c>
      <c r="S6826">
        <v>201</v>
      </c>
      <c r="T6826">
        <v>2</v>
      </c>
    </row>
    <row r="6827" spans="18:20" x14ac:dyDescent="0.25">
      <c r="R6827">
        <v>205</v>
      </c>
      <c r="S6827">
        <v>213</v>
      </c>
      <c r="T6827">
        <v>3</v>
      </c>
    </row>
    <row r="6828" spans="18:20" x14ac:dyDescent="0.25">
      <c r="R6828">
        <v>205</v>
      </c>
      <c r="S6828">
        <v>219</v>
      </c>
      <c r="T6828">
        <v>4</v>
      </c>
    </row>
    <row r="6829" spans="18:20" x14ac:dyDescent="0.25">
      <c r="R6829">
        <v>205</v>
      </c>
      <c r="S6829">
        <v>233</v>
      </c>
      <c r="T6829">
        <v>4</v>
      </c>
    </row>
    <row r="6830" spans="18:20" x14ac:dyDescent="0.25">
      <c r="R6830">
        <v>205</v>
      </c>
      <c r="S6830">
        <v>236</v>
      </c>
      <c r="T6830">
        <v>5</v>
      </c>
    </row>
    <row r="6831" spans="18:20" x14ac:dyDescent="0.25">
      <c r="R6831">
        <v>205</v>
      </c>
      <c r="S6831">
        <v>252</v>
      </c>
      <c r="T6831">
        <v>4</v>
      </c>
    </row>
    <row r="6832" spans="18:20" x14ac:dyDescent="0.25">
      <c r="R6832">
        <v>205</v>
      </c>
      <c r="S6832">
        <v>253</v>
      </c>
      <c r="T6832">
        <v>3</v>
      </c>
    </row>
    <row r="6833" spans="18:20" x14ac:dyDescent="0.25">
      <c r="R6833">
        <v>205</v>
      </c>
      <c r="S6833">
        <v>298</v>
      </c>
      <c r="T6833">
        <v>2</v>
      </c>
    </row>
    <row r="6834" spans="18:20" x14ac:dyDescent="0.25">
      <c r="R6834">
        <v>205</v>
      </c>
      <c r="S6834">
        <v>314</v>
      </c>
      <c r="T6834">
        <v>4</v>
      </c>
    </row>
    <row r="6835" spans="18:20" x14ac:dyDescent="0.25">
      <c r="R6835">
        <v>205</v>
      </c>
      <c r="S6835">
        <v>322</v>
      </c>
      <c r="T6835">
        <v>3</v>
      </c>
    </row>
    <row r="6836" spans="18:20" x14ac:dyDescent="0.25">
      <c r="R6836">
        <v>205</v>
      </c>
      <c r="S6836">
        <v>322</v>
      </c>
      <c r="T6836">
        <v>3</v>
      </c>
    </row>
    <row r="6837" spans="18:20" x14ac:dyDescent="0.25">
      <c r="R6837">
        <v>205</v>
      </c>
      <c r="S6837">
        <v>324</v>
      </c>
      <c r="T6837">
        <v>2</v>
      </c>
    </row>
    <row r="6838" spans="18:20" x14ac:dyDescent="0.25">
      <c r="R6838">
        <v>205</v>
      </c>
      <c r="S6838">
        <v>339</v>
      </c>
      <c r="T6838">
        <v>4</v>
      </c>
    </row>
    <row r="6839" spans="18:20" x14ac:dyDescent="0.25">
      <c r="R6839">
        <v>205</v>
      </c>
      <c r="S6839">
        <v>340</v>
      </c>
      <c r="T6839">
        <v>2</v>
      </c>
    </row>
    <row r="6840" spans="18:20" x14ac:dyDescent="0.25">
      <c r="R6840">
        <v>205</v>
      </c>
      <c r="S6840">
        <v>340</v>
      </c>
      <c r="T6840">
        <v>5</v>
      </c>
    </row>
    <row r="6841" spans="18:20" x14ac:dyDescent="0.25">
      <c r="R6841">
        <v>205</v>
      </c>
      <c r="S6841">
        <v>366</v>
      </c>
      <c r="T6841">
        <v>5</v>
      </c>
    </row>
    <row r="6842" spans="18:20" x14ac:dyDescent="0.25">
      <c r="R6842">
        <v>205</v>
      </c>
      <c r="S6842">
        <v>375</v>
      </c>
      <c r="T6842">
        <v>1</v>
      </c>
    </row>
    <row r="6843" spans="18:20" x14ac:dyDescent="0.25">
      <c r="R6843">
        <v>206</v>
      </c>
      <c r="S6843">
        <v>3</v>
      </c>
      <c r="T6843">
        <v>1</v>
      </c>
    </row>
    <row r="6844" spans="18:20" x14ac:dyDescent="0.25">
      <c r="R6844">
        <v>206</v>
      </c>
      <c r="S6844">
        <v>22</v>
      </c>
      <c r="T6844">
        <v>1</v>
      </c>
    </row>
    <row r="6845" spans="18:20" x14ac:dyDescent="0.25">
      <c r="R6845">
        <v>206</v>
      </c>
      <c r="S6845">
        <v>56</v>
      </c>
      <c r="T6845">
        <v>2</v>
      </c>
    </row>
    <row r="6846" spans="18:20" x14ac:dyDescent="0.25">
      <c r="R6846">
        <v>206</v>
      </c>
      <c r="S6846">
        <v>57</v>
      </c>
      <c r="T6846">
        <v>3</v>
      </c>
    </row>
    <row r="6847" spans="18:20" x14ac:dyDescent="0.25">
      <c r="R6847">
        <v>206</v>
      </c>
      <c r="S6847">
        <v>72</v>
      </c>
      <c r="T6847">
        <v>4</v>
      </c>
    </row>
    <row r="6848" spans="18:20" x14ac:dyDescent="0.25">
      <c r="R6848">
        <v>206</v>
      </c>
      <c r="S6848">
        <v>80</v>
      </c>
      <c r="T6848">
        <v>3</v>
      </c>
    </row>
    <row r="6849" spans="18:20" x14ac:dyDescent="0.25">
      <c r="R6849">
        <v>206</v>
      </c>
      <c r="S6849">
        <v>93</v>
      </c>
      <c r="T6849">
        <v>3</v>
      </c>
    </row>
    <row r="6850" spans="18:20" x14ac:dyDescent="0.25">
      <c r="R6850">
        <v>206</v>
      </c>
      <c r="S6850">
        <v>96</v>
      </c>
      <c r="T6850">
        <v>1</v>
      </c>
    </row>
    <row r="6851" spans="18:20" x14ac:dyDescent="0.25">
      <c r="R6851">
        <v>206</v>
      </c>
      <c r="S6851">
        <v>99</v>
      </c>
      <c r="T6851">
        <v>1</v>
      </c>
    </row>
    <row r="6852" spans="18:20" x14ac:dyDescent="0.25">
      <c r="R6852">
        <v>206</v>
      </c>
      <c r="S6852">
        <v>113</v>
      </c>
      <c r="T6852">
        <v>5</v>
      </c>
    </row>
    <row r="6853" spans="18:20" x14ac:dyDescent="0.25">
      <c r="R6853">
        <v>206</v>
      </c>
      <c r="S6853">
        <v>118</v>
      </c>
      <c r="T6853">
        <v>1</v>
      </c>
    </row>
    <row r="6854" spans="18:20" x14ac:dyDescent="0.25">
      <c r="R6854">
        <v>206</v>
      </c>
      <c r="S6854">
        <v>122</v>
      </c>
      <c r="T6854">
        <v>5</v>
      </c>
    </row>
    <row r="6855" spans="18:20" x14ac:dyDescent="0.25">
      <c r="R6855">
        <v>206</v>
      </c>
      <c r="S6855">
        <v>123</v>
      </c>
      <c r="T6855">
        <v>5</v>
      </c>
    </row>
    <row r="6856" spans="18:20" x14ac:dyDescent="0.25">
      <c r="R6856">
        <v>206</v>
      </c>
      <c r="S6856">
        <v>129</v>
      </c>
      <c r="T6856">
        <v>3</v>
      </c>
    </row>
    <row r="6857" spans="18:20" x14ac:dyDescent="0.25">
      <c r="R6857">
        <v>206</v>
      </c>
      <c r="S6857">
        <v>139</v>
      </c>
      <c r="T6857">
        <v>5</v>
      </c>
    </row>
    <row r="6858" spans="18:20" x14ac:dyDescent="0.25">
      <c r="R6858">
        <v>206</v>
      </c>
      <c r="S6858">
        <v>152</v>
      </c>
      <c r="T6858">
        <v>1</v>
      </c>
    </row>
    <row r="6859" spans="18:20" x14ac:dyDescent="0.25">
      <c r="R6859">
        <v>206</v>
      </c>
      <c r="S6859">
        <v>163</v>
      </c>
      <c r="T6859">
        <v>4</v>
      </c>
    </row>
    <row r="6860" spans="18:20" x14ac:dyDescent="0.25">
      <c r="R6860">
        <v>206</v>
      </c>
      <c r="S6860">
        <v>171</v>
      </c>
      <c r="T6860">
        <v>3</v>
      </c>
    </row>
    <row r="6861" spans="18:20" x14ac:dyDescent="0.25">
      <c r="R6861">
        <v>206</v>
      </c>
      <c r="S6861">
        <v>200</v>
      </c>
      <c r="T6861">
        <v>5</v>
      </c>
    </row>
    <row r="6862" spans="18:20" x14ac:dyDescent="0.25">
      <c r="R6862">
        <v>206</v>
      </c>
      <c r="S6862">
        <v>210</v>
      </c>
      <c r="T6862">
        <v>1</v>
      </c>
    </row>
    <row r="6863" spans="18:20" x14ac:dyDescent="0.25">
      <c r="R6863">
        <v>206</v>
      </c>
      <c r="S6863">
        <v>218</v>
      </c>
      <c r="T6863">
        <v>3</v>
      </c>
    </row>
    <row r="6864" spans="18:20" x14ac:dyDescent="0.25">
      <c r="R6864">
        <v>206</v>
      </c>
      <c r="S6864">
        <v>228</v>
      </c>
      <c r="T6864">
        <v>5</v>
      </c>
    </row>
    <row r="6865" spans="18:20" x14ac:dyDescent="0.25">
      <c r="R6865">
        <v>206</v>
      </c>
      <c r="S6865">
        <v>235</v>
      </c>
      <c r="T6865">
        <v>5</v>
      </c>
    </row>
    <row r="6866" spans="18:20" x14ac:dyDescent="0.25">
      <c r="R6866">
        <v>206</v>
      </c>
      <c r="S6866">
        <v>240</v>
      </c>
      <c r="T6866">
        <v>4</v>
      </c>
    </row>
    <row r="6867" spans="18:20" x14ac:dyDescent="0.25">
      <c r="R6867">
        <v>206</v>
      </c>
      <c r="S6867">
        <v>259</v>
      </c>
      <c r="T6867">
        <v>2</v>
      </c>
    </row>
    <row r="6868" spans="18:20" x14ac:dyDescent="0.25">
      <c r="R6868">
        <v>206</v>
      </c>
      <c r="S6868">
        <v>266</v>
      </c>
      <c r="T6868">
        <v>5</v>
      </c>
    </row>
    <row r="6869" spans="18:20" x14ac:dyDescent="0.25">
      <c r="R6869">
        <v>206</v>
      </c>
      <c r="S6869">
        <v>266</v>
      </c>
      <c r="T6869">
        <v>4</v>
      </c>
    </row>
    <row r="6870" spans="18:20" x14ac:dyDescent="0.25">
      <c r="R6870">
        <v>206</v>
      </c>
      <c r="S6870">
        <v>269</v>
      </c>
      <c r="T6870">
        <v>2</v>
      </c>
    </row>
    <row r="6871" spans="18:20" x14ac:dyDescent="0.25">
      <c r="R6871">
        <v>206</v>
      </c>
      <c r="S6871">
        <v>285</v>
      </c>
      <c r="T6871">
        <v>4</v>
      </c>
    </row>
    <row r="6872" spans="18:20" x14ac:dyDescent="0.25">
      <c r="R6872">
        <v>206</v>
      </c>
      <c r="S6872">
        <v>297</v>
      </c>
      <c r="T6872">
        <v>4</v>
      </c>
    </row>
    <row r="6873" spans="18:20" x14ac:dyDescent="0.25">
      <c r="R6873">
        <v>206</v>
      </c>
      <c r="S6873">
        <v>299</v>
      </c>
      <c r="T6873">
        <v>2</v>
      </c>
    </row>
    <row r="6874" spans="18:20" x14ac:dyDescent="0.25">
      <c r="R6874">
        <v>206</v>
      </c>
      <c r="S6874">
        <v>301</v>
      </c>
      <c r="T6874">
        <v>4</v>
      </c>
    </row>
    <row r="6875" spans="18:20" x14ac:dyDescent="0.25">
      <c r="R6875">
        <v>206</v>
      </c>
      <c r="S6875">
        <v>307</v>
      </c>
      <c r="T6875">
        <v>1</v>
      </c>
    </row>
    <row r="6876" spans="18:20" x14ac:dyDescent="0.25">
      <c r="R6876">
        <v>206</v>
      </c>
      <c r="S6876">
        <v>321</v>
      </c>
      <c r="T6876">
        <v>5</v>
      </c>
    </row>
    <row r="6877" spans="18:20" x14ac:dyDescent="0.25">
      <c r="R6877">
        <v>206</v>
      </c>
      <c r="S6877">
        <v>332</v>
      </c>
      <c r="T6877">
        <v>3</v>
      </c>
    </row>
    <row r="6878" spans="18:20" x14ac:dyDescent="0.25">
      <c r="R6878">
        <v>206</v>
      </c>
      <c r="S6878">
        <v>362</v>
      </c>
      <c r="T6878">
        <v>3</v>
      </c>
    </row>
    <row r="6879" spans="18:20" x14ac:dyDescent="0.25">
      <c r="R6879">
        <v>206</v>
      </c>
      <c r="S6879">
        <v>399</v>
      </c>
      <c r="T6879">
        <v>3</v>
      </c>
    </row>
    <row r="6880" spans="18:20" x14ac:dyDescent="0.25">
      <c r="R6880">
        <v>206</v>
      </c>
      <c r="S6880">
        <v>415</v>
      </c>
      <c r="T6880">
        <v>2</v>
      </c>
    </row>
    <row r="6881" spans="18:20" x14ac:dyDescent="0.25">
      <c r="R6881">
        <v>206</v>
      </c>
      <c r="S6881">
        <v>422</v>
      </c>
      <c r="T6881">
        <v>2</v>
      </c>
    </row>
    <row r="6882" spans="18:20" x14ac:dyDescent="0.25">
      <c r="R6882">
        <v>206</v>
      </c>
      <c r="S6882">
        <v>429</v>
      </c>
      <c r="T6882">
        <v>1</v>
      </c>
    </row>
    <row r="6883" spans="18:20" x14ac:dyDescent="0.25">
      <c r="R6883">
        <v>207</v>
      </c>
      <c r="S6883">
        <v>18</v>
      </c>
      <c r="T6883">
        <v>3</v>
      </c>
    </row>
    <row r="6884" spans="18:20" x14ac:dyDescent="0.25">
      <c r="R6884">
        <v>207</v>
      </c>
      <c r="S6884">
        <v>26</v>
      </c>
      <c r="T6884">
        <v>4</v>
      </c>
    </row>
    <row r="6885" spans="18:20" x14ac:dyDescent="0.25">
      <c r="R6885">
        <v>207</v>
      </c>
      <c r="S6885">
        <v>35</v>
      </c>
      <c r="T6885">
        <v>5</v>
      </c>
    </row>
    <row r="6886" spans="18:20" x14ac:dyDescent="0.25">
      <c r="R6886">
        <v>207</v>
      </c>
      <c r="S6886">
        <v>43</v>
      </c>
      <c r="T6886">
        <v>2</v>
      </c>
    </row>
    <row r="6887" spans="18:20" x14ac:dyDescent="0.25">
      <c r="R6887">
        <v>207</v>
      </c>
      <c r="S6887">
        <v>45</v>
      </c>
      <c r="T6887">
        <v>2</v>
      </c>
    </row>
    <row r="6888" spans="18:20" x14ac:dyDescent="0.25">
      <c r="R6888">
        <v>207</v>
      </c>
      <c r="S6888">
        <v>61</v>
      </c>
      <c r="T6888">
        <v>1</v>
      </c>
    </row>
    <row r="6889" spans="18:20" x14ac:dyDescent="0.25">
      <c r="R6889">
        <v>207</v>
      </c>
      <c r="S6889">
        <v>61</v>
      </c>
      <c r="T6889">
        <v>5</v>
      </c>
    </row>
    <row r="6890" spans="18:20" x14ac:dyDescent="0.25">
      <c r="R6890">
        <v>207</v>
      </c>
      <c r="S6890">
        <v>71</v>
      </c>
      <c r="T6890">
        <v>4</v>
      </c>
    </row>
    <row r="6891" spans="18:20" x14ac:dyDescent="0.25">
      <c r="R6891">
        <v>207</v>
      </c>
      <c r="S6891">
        <v>73</v>
      </c>
      <c r="T6891">
        <v>1</v>
      </c>
    </row>
    <row r="6892" spans="18:20" x14ac:dyDescent="0.25">
      <c r="R6892">
        <v>207</v>
      </c>
      <c r="S6892">
        <v>79</v>
      </c>
      <c r="T6892">
        <v>3</v>
      </c>
    </row>
    <row r="6893" spans="18:20" x14ac:dyDescent="0.25">
      <c r="R6893">
        <v>207</v>
      </c>
      <c r="S6893">
        <v>79</v>
      </c>
      <c r="T6893">
        <v>4</v>
      </c>
    </row>
    <row r="6894" spans="18:20" x14ac:dyDescent="0.25">
      <c r="R6894">
        <v>207</v>
      </c>
      <c r="S6894">
        <v>88</v>
      </c>
      <c r="T6894">
        <v>2</v>
      </c>
    </row>
    <row r="6895" spans="18:20" x14ac:dyDescent="0.25">
      <c r="R6895">
        <v>207</v>
      </c>
      <c r="S6895">
        <v>88</v>
      </c>
      <c r="T6895">
        <v>5</v>
      </c>
    </row>
    <row r="6896" spans="18:20" x14ac:dyDescent="0.25">
      <c r="R6896">
        <v>207</v>
      </c>
      <c r="S6896">
        <v>102</v>
      </c>
      <c r="T6896">
        <v>1</v>
      </c>
    </row>
    <row r="6897" spans="18:20" x14ac:dyDescent="0.25">
      <c r="R6897">
        <v>207</v>
      </c>
      <c r="S6897">
        <v>112</v>
      </c>
      <c r="T6897">
        <v>3</v>
      </c>
    </row>
    <row r="6898" spans="18:20" x14ac:dyDescent="0.25">
      <c r="R6898">
        <v>207</v>
      </c>
      <c r="S6898">
        <v>125</v>
      </c>
      <c r="T6898">
        <v>5</v>
      </c>
    </row>
    <row r="6899" spans="18:20" x14ac:dyDescent="0.25">
      <c r="R6899">
        <v>207</v>
      </c>
      <c r="S6899">
        <v>136</v>
      </c>
      <c r="T6899">
        <v>5</v>
      </c>
    </row>
    <row r="6900" spans="18:20" x14ac:dyDescent="0.25">
      <c r="R6900">
        <v>207</v>
      </c>
      <c r="S6900">
        <v>136</v>
      </c>
      <c r="T6900">
        <v>2</v>
      </c>
    </row>
    <row r="6901" spans="18:20" x14ac:dyDescent="0.25">
      <c r="R6901">
        <v>207</v>
      </c>
      <c r="S6901">
        <v>144</v>
      </c>
      <c r="T6901">
        <v>2</v>
      </c>
    </row>
    <row r="6902" spans="18:20" x14ac:dyDescent="0.25">
      <c r="R6902">
        <v>207</v>
      </c>
      <c r="S6902">
        <v>220</v>
      </c>
      <c r="T6902">
        <v>2</v>
      </c>
    </row>
    <row r="6903" spans="18:20" x14ac:dyDescent="0.25">
      <c r="R6903">
        <v>207</v>
      </c>
      <c r="S6903">
        <v>220</v>
      </c>
      <c r="T6903">
        <v>4</v>
      </c>
    </row>
    <row r="6904" spans="18:20" x14ac:dyDescent="0.25">
      <c r="R6904">
        <v>207</v>
      </c>
      <c r="S6904">
        <v>235</v>
      </c>
      <c r="T6904">
        <v>4</v>
      </c>
    </row>
    <row r="6905" spans="18:20" x14ac:dyDescent="0.25">
      <c r="R6905">
        <v>207</v>
      </c>
      <c r="S6905">
        <v>260</v>
      </c>
      <c r="T6905">
        <v>1</v>
      </c>
    </row>
    <row r="6906" spans="18:20" x14ac:dyDescent="0.25">
      <c r="R6906">
        <v>207</v>
      </c>
      <c r="S6906">
        <v>300</v>
      </c>
      <c r="T6906">
        <v>2</v>
      </c>
    </row>
    <row r="6907" spans="18:20" x14ac:dyDescent="0.25">
      <c r="R6907">
        <v>207</v>
      </c>
      <c r="S6907">
        <v>338</v>
      </c>
      <c r="T6907">
        <v>2</v>
      </c>
    </row>
    <row r="6908" spans="18:20" x14ac:dyDescent="0.25">
      <c r="R6908">
        <v>207</v>
      </c>
      <c r="S6908">
        <v>342</v>
      </c>
      <c r="T6908">
        <v>5</v>
      </c>
    </row>
    <row r="6909" spans="18:20" x14ac:dyDescent="0.25">
      <c r="R6909">
        <v>207</v>
      </c>
      <c r="S6909">
        <v>386</v>
      </c>
      <c r="T6909">
        <v>5</v>
      </c>
    </row>
    <row r="6910" spans="18:20" x14ac:dyDescent="0.25">
      <c r="R6910">
        <v>207</v>
      </c>
      <c r="S6910">
        <v>417</v>
      </c>
      <c r="T6910">
        <v>3</v>
      </c>
    </row>
    <row r="6911" spans="18:20" x14ac:dyDescent="0.25">
      <c r="R6911">
        <v>208</v>
      </c>
      <c r="S6911">
        <v>20</v>
      </c>
      <c r="T6911">
        <v>5</v>
      </c>
    </row>
    <row r="6912" spans="18:20" x14ac:dyDescent="0.25">
      <c r="R6912">
        <v>208</v>
      </c>
      <c r="S6912">
        <v>57</v>
      </c>
      <c r="T6912">
        <v>4</v>
      </c>
    </row>
    <row r="6913" spans="18:20" x14ac:dyDescent="0.25">
      <c r="R6913">
        <v>208</v>
      </c>
      <c r="S6913">
        <v>62</v>
      </c>
      <c r="T6913">
        <v>5</v>
      </c>
    </row>
    <row r="6914" spans="18:20" x14ac:dyDescent="0.25">
      <c r="R6914">
        <v>208</v>
      </c>
      <c r="S6914">
        <v>74</v>
      </c>
      <c r="T6914">
        <v>4</v>
      </c>
    </row>
    <row r="6915" spans="18:20" x14ac:dyDescent="0.25">
      <c r="R6915">
        <v>208</v>
      </c>
      <c r="S6915">
        <v>74</v>
      </c>
      <c r="T6915">
        <v>2</v>
      </c>
    </row>
    <row r="6916" spans="18:20" x14ac:dyDescent="0.25">
      <c r="R6916">
        <v>208</v>
      </c>
      <c r="S6916">
        <v>87</v>
      </c>
      <c r="T6916">
        <v>5</v>
      </c>
    </row>
    <row r="6917" spans="18:20" x14ac:dyDescent="0.25">
      <c r="R6917">
        <v>208</v>
      </c>
      <c r="S6917">
        <v>88</v>
      </c>
      <c r="T6917">
        <v>1</v>
      </c>
    </row>
    <row r="6918" spans="18:20" x14ac:dyDescent="0.25">
      <c r="R6918">
        <v>208</v>
      </c>
      <c r="S6918">
        <v>102</v>
      </c>
      <c r="T6918">
        <v>2</v>
      </c>
    </row>
    <row r="6919" spans="18:20" x14ac:dyDescent="0.25">
      <c r="R6919">
        <v>208</v>
      </c>
      <c r="S6919">
        <v>119</v>
      </c>
      <c r="T6919">
        <v>3</v>
      </c>
    </row>
    <row r="6920" spans="18:20" x14ac:dyDescent="0.25">
      <c r="R6920">
        <v>208</v>
      </c>
      <c r="S6920">
        <v>137</v>
      </c>
      <c r="T6920">
        <v>4</v>
      </c>
    </row>
    <row r="6921" spans="18:20" x14ac:dyDescent="0.25">
      <c r="R6921">
        <v>208</v>
      </c>
      <c r="S6921">
        <v>159</v>
      </c>
      <c r="T6921">
        <v>4</v>
      </c>
    </row>
    <row r="6922" spans="18:20" x14ac:dyDescent="0.25">
      <c r="R6922">
        <v>208</v>
      </c>
      <c r="S6922">
        <v>168</v>
      </c>
      <c r="T6922">
        <v>1</v>
      </c>
    </row>
    <row r="6923" spans="18:20" x14ac:dyDescent="0.25">
      <c r="R6923">
        <v>208</v>
      </c>
      <c r="S6923">
        <v>174</v>
      </c>
      <c r="T6923">
        <v>4</v>
      </c>
    </row>
    <row r="6924" spans="18:20" x14ac:dyDescent="0.25">
      <c r="R6924">
        <v>208</v>
      </c>
      <c r="S6924">
        <v>178</v>
      </c>
      <c r="T6924">
        <v>4</v>
      </c>
    </row>
    <row r="6925" spans="18:20" x14ac:dyDescent="0.25">
      <c r="R6925">
        <v>208</v>
      </c>
      <c r="S6925">
        <v>195</v>
      </c>
      <c r="T6925">
        <v>1</v>
      </c>
    </row>
    <row r="6926" spans="18:20" x14ac:dyDescent="0.25">
      <c r="R6926">
        <v>208</v>
      </c>
      <c r="S6926">
        <v>212</v>
      </c>
      <c r="T6926">
        <v>4</v>
      </c>
    </row>
    <row r="6927" spans="18:20" x14ac:dyDescent="0.25">
      <c r="R6927">
        <v>208</v>
      </c>
      <c r="S6927">
        <v>217</v>
      </c>
      <c r="T6927">
        <v>3</v>
      </c>
    </row>
    <row r="6928" spans="18:20" x14ac:dyDescent="0.25">
      <c r="R6928">
        <v>208</v>
      </c>
      <c r="S6928">
        <v>222</v>
      </c>
      <c r="T6928">
        <v>4</v>
      </c>
    </row>
    <row r="6929" spans="18:20" x14ac:dyDescent="0.25">
      <c r="R6929">
        <v>208</v>
      </c>
      <c r="S6929">
        <v>222</v>
      </c>
      <c r="T6929">
        <v>1</v>
      </c>
    </row>
    <row r="6930" spans="18:20" x14ac:dyDescent="0.25">
      <c r="R6930">
        <v>208</v>
      </c>
      <c r="S6930">
        <v>234</v>
      </c>
      <c r="T6930">
        <v>4</v>
      </c>
    </row>
    <row r="6931" spans="18:20" x14ac:dyDescent="0.25">
      <c r="R6931">
        <v>208</v>
      </c>
      <c r="S6931">
        <v>241</v>
      </c>
      <c r="T6931">
        <v>2</v>
      </c>
    </row>
    <row r="6932" spans="18:20" x14ac:dyDescent="0.25">
      <c r="R6932">
        <v>208</v>
      </c>
      <c r="S6932">
        <v>265</v>
      </c>
      <c r="T6932">
        <v>4</v>
      </c>
    </row>
    <row r="6933" spans="18:20" x14ac:dyDescent="0.25">
      <c r="R6933">
        <v>208</v>
      </c>
      <c r="S6933">
        <v>289</v>
      </c>
      <c r="T6933">
        <v>1</v>
      </c>
    </row>
    <row r="6934" spans="18:20" x14ac:dyDescent="0.25">
      <c r="R6934">
        <v>208</v>
      </c>
      <c r="S6934">
        <v>298</v>
      </c>
      <c r="T6934">
        <v>1</v>
      </c>
    </row>
    <row r="6935" spans="18:20" x14ac:dyDescent="0.25">
      <c r="R6935">
        <v>208</v>
      </c>
      <c r="S6935">
        <v>308</v>
      </c>
      <c r="T6935">
        <v>4</v>
      </c>
    </row>
    <row r="6936" spans="18:20" x14ac:dyDescent="0.25">
      <c r="R6936">
        <v>208</v>
      </c>
      <c r="S6936">
        <v>312</v>
      </c>
      <c r="T6936">
        <v>4</v>
      </c>
    </row>
    <row r="6937" spans="18:20" x14ac:dyDescent="0.25">
      <c r="R6937">
        <v>208</v>
      </c>
      <c r="S6937">
        <v>314</v>
      </c>
      <c r="T6937">
        <v>1</v>
      </c>
    </row>
    <row r="6938" spans="18:20" x14ac:dyDescent="0.25">
      <c r="R6938">
        <v>208</v>
      </c>
      <c r="S6938">
        <v>325</v>
      </c>
      <c r="T6938">
        <v>3</v>
      </c>
    </row>
    <row r="6939" spans="18:20" x14ac:dyDescent="0.25">
      <c r="R6939">
        <v>208</v>
      </c>
      <c r="S6939">
        <v>363</v>
      </c>
      <c r="T6939">
        <v>4</v>
      </c>
    </row>
    <row r="6940" spans="18:20" x14ac:dyDescent="0.25">
      <c r="R6940">
        <v>208</v>
      </c>
      <c r="S6940">
        <v>376</v>
      </c>
      <c r="T6940">
        <v>5</v>
      </c>
    </row>
    <row r="6941" spans="18:20" x14ac:dyDescent="0.25">
      <c r="R6941">
        <v>208</v>
      </c>
      <c r="S6941">
        <v>379</v>
      </c>
      <c r="T6941">
        <v>4</v>
      </c>
    </row>
    <row r="6942" spans="18:20" x14ac:dyDescent="0.25">
      <c r="R6942">
        <v>208</v>
      </c>
      <c r="S6942">
        <v>385</v>
      </c>
      <c r="T6942">
        <v>4</v>
      </c>
    </row>
    <row r="6943" spans="18:20" x14ac:dyDescent="0.25">
      <c r="R6943">
        <v>208</v>
      </c>
      <c r="S6943">
        <v>408</v>
      </c>
      <c r="T6943">
        <v>5</v>
      </c>
    </row>
    <row r="6944" spans="18:20" x14ac:dyDescent="0.25">
      <c r="R6944">
        <v>208</v>
      </c>
      <c r="S6944">
        <v>412</v>
      </c>
      <c r="T6944">
        <v>1</v>
      </c>
    </row>
    <row r="6945" spans="18:20" x14ac:dyDescent="0.25">
      <c r="R6945">
        <v>208</v>
      </c>
      <c r="S6945">
        <v>428</v>
      </c>
      <c r="T6945">
        <v>5</v>
      </c>
    </row>
    <row r="6946" spans="18:20" x14ac:dyDescent="0.25">
      <c r="R6946">
        <v>208</v>
      </c>
      <c r="S6946">
        <v>428</v>
      </c>
      <c r="T6946">
        <v>4</v>
      </c>
    </row>
    <row r="6947" spans="18:20" x14ac:dyDescent="0.25">
      <c r="R6947">
        <v>208</v>
      </c>
      <c r="S6947">
        <v>430</v>
      </c>
      <c r="T6947">
        <v>2</v>
      </c>
    </row>
    <row r="6948" spans="18:20" x14ac:dyDescent="0.25">
      <c r="R6948">
        <v>208</v>
      </c>
      <c r="S6948">
        <v>436</v>
      </c>
      <c r="T6948">
        <v>5</v>
      </c>
    </row>
    <row r="6949" spans="18:20" x14ac:dyDescent="0.25">
      <c r="R6949">
        <v>209</v>
      </c>
      <c r="S6949">
        <v>36</v>
      </c>
      <c r="T6949">
        <v>4</v>
      </c>
    </row>
    <row r="6950" spans="18:20" x14ac:dyDescent="0.25">
      <c r="R6950">
        <v>209</v>
      </c>
      <c r="S6950">
        <v>96</v>
      </c>
      <c r="T6950">
        <v>1</v>
      </c>
    </row>
    <row r="6951" spans="18:20" x14ac:dyDescent="0.25">
      <c r="R6951">
        <v>209</v>
      </c>
      <c r="S6951">
        <v>98</v>
      </c>
      <c r="T6951">
        <v>1</v>
      </c>
    </row>
    <row r="6952" spans="18:20" x14ac:dyDescent="0.25">
      <c r="R6952">
        <v>209</v>
      </c>
      <c r="S6952">
        <v>113</v>
      </c>
      <c r="T6952">
        <v>3</v>
      </c>
    </row>
    <row r="6953" spans="18:20" x14ac:dyDescent="0.25">
      <c r="R6953">
        <v>209</v>
      </c>
      <c r="S6953">
        <v>114</v>
      </c>
      <c r="T6953">
        <v>4</v>
      </c>
    </row>
    <row r="6954" spans="18:20" x14ac:dyDescent="0.25">
      <c r="R6954">
        <v>209</v>
      </c>
      <c r="S6954">
        <v>114</v>
      </c>
      <c r="T6954">
        <v>5</v>
      </c>
    </row>
    <row r="6955" spans="18:20" x14ac:dyDescent="0.25">
      <c r="R6955">
        <v>209</v>
      </c>
      <c r="S6955">
        <v>170</v>
      </c>
      <c r="T6955">
        <v>4</v>
      </c>
    </row>
    <row r="6956" spans="18:20" x14ac:dyDescent="0.25">
      <c r="R6956">
        <v>209</v>
      </c>
      <c r="S6956">
        <v>174</v>
      </c>
      <c r="T6956">
        <v>1</v>
      </c>
    </row>
    <row r="6957" spans="18:20" x14ac:dyDescent="0.25">
      <c r="R6957">
        <v>209</v>
      </c>
      <c r="S6957">
        <v>215</v>
      </c>
      <c r="T6957">
        <v>3</v>
      </c>
    </row>
    <row r="6958" spans="18:20" x14ac:dyDescent="0.25">
      <c r="R6958">
        <v>209</v>
      </c>
      <c r="S6958">
        <v>242</v>
      </c>
      <c r="T6958">
        <v>1</v>
      </c>
    </row>
    <row r="6959" spans="18:20" x14ac:dyDescent="0.25">
      <c r="R6959">
        <v>209</v>
      </c>
      <c r="S6959">
        <v>261</v>
      </c>
      <c r="T6959">
        <v>5</v>
      </c>
    </row>
    <row r="6960" spans="18:20" x14ac:dyDescent="0.25">
      <c r="R6960">
        <v>209</v>
      </c>
      <c r="S6960">
        <v>264</v>
      </c>
      <c r="T6960">
        <v>4</v>
      </c>
    </row>
    <row r="6961" spans="18:20" x14ac:dyDescent="0.25">
      <c r="R6961">
        <v>209</v>
      </c>
      <c r="S6961">
        <v>267</v>
      </c>
      <c r="T6961">
        <v>4</v>
      </c>
    </row>
    <row r="6962" spans="18:20" x14ac:dyDescent="0.25">
      <c r="R6962">
        <v>209</v>
      </c>
      <c r="S6962">
        <v>274</v>
      </c>
      <c r="T6962">
        <v>1</v>
      </c>
    </row>
    <row r="6963" spans="18:20" x14ac:dyDescent="0.25">
      <c r="R6963">
        <v>209</v>
      </c>
      <c r="S6963">
        <v>278</v>
      </c>
      <c r="T6963">
        <v>5</v>
      </c>
    </row>
    <row r="6964" spans="18:20" x14ac:dyDescent="0.25">
      <c r="R6964">
        <v>209</v>
      </c>
      <c r="S6964">
        <v>305</v>
      </c>
      <c r="T6964">
        <v>1</v>
      </c>
    </row>
    <row r="6965" spans="18:20" x14ac:dyDescent="0.25">
      <c r="R6965">
        <v>209</v>
      </c>
      <c r="S6965">
        <v>342</v>
      </c>
      <c r="T6965">
        <v>1</v>
      </c>
    </row>
    <row r="6966" spans="18:20" x14ac:dyDescent="0.25">
      <c r="R6966">
        <v>209</v>
      </c>
      <c r="S6966">
        <v>357</v>
      </c>
      <c r="T6966">
        <v>4</v>
      </c>
    </row>
    <row r="6967" spans="18:20" x14ac:dyDescent="0.25">
      <c r="R6967">
        <v>209</v>
      </c>
      <c r="S6967">
        <v>363</v>
      </c>
      <c r="T6967">
        <v>5</v>
      </c>
    </row>
    <row r="6968" spans="18:20" x14ac:dyDescent="0.25">
      <c r="R6968">
        <v>209</v>
      </c>
      <c r="S6968">
        <v>373</v>
      </c>
      <c r="T6968">
        <v>2</v>
      </c>
    </row>
    <row r="6969" spans="18:20" x14ac:dyDescent="0.25">
      <c r="R6969">
        <v>209</v>
      </c>
      <c r="S6969">
        <v>379</v>
      </c>
      <c r="T6969">
        <v>1</v>
      </c>
    </row>
    <row r="6970" spans="18:20" x14ac:dyDescent="0.25">
      <c r="R6970">
        <v>209</v>
      </c>
      <c r="S6970">
        <v>380</v>
      </c>
      <c r="T6970">
        <v>5</v>
      </c>
    </row>
    <row r="6971" spans="18:20" x14ac:dyDescent="0.25">
      <c r="R6971">
        <v>209</v>
      </c>
      <c r="S6971">
        <v>385</v>
      </c>
      <c r="T6971">
        <v>5</v>
      </c>
    </row>
    <row r="6972" spans="18:20" x14ac:dyDescent="0.25">
      <c r="R6972">
        <v>209</v>
      </c>
      <c r="S6972">
        <v>394</v>
      </c>
      <c r="T6972">
        <v>5</v>
      </c>
    </row>
    <row r="6973" spans="18:20" x14ac:dyDescent="0.25">
      <c r="R6973">
        <v>209</v>
      </c>
      <c r="S6973">
        <v>394</v>
      </c>
      <c r="T6973">
        <v>3</v>
      </c>
    </row>
    <row r="6974" spans="18:20" x14ac:dyDescent="0.25">
      <c r="R6974">
        <v>209</v>
      </c>
      <c r="S6974">
        <v>397</v>
      </c>
      <c r="T6974">
        <v>5</v>
      </c>
    </row>
    <row r="6975" spans="18:20" x14ac:dyDescent="0.25">
      <c r="R6975">
        <v>209</v>
      </c>
      <c r="S6975">
        <v>398</v>
      </c>
      <c r="T6975">
        <v>2</v>
      </c>
    </row>
    <row r="6976" spans="18:20" x14ac:dyDescent="0.25">
      <c r="R6976">
        <v>209</v>
      </c>
      <c r="S6976">
        <v>400</v>
      </c>
      <c r="T6976">
        <v>4</v>
      </c>
    </row>
    <row r="6977" spans="18:20" x14ac:dyDescent="0.25">
      <c r="R6977">
        <v>209</v>
      </c>
      <c r="S6977">
        <v>413</v>
      </c>
      <c r="T6977">
        <v>1</v>
      </c>
    </row>
    <row r="6978" spans="18:20" x14ac:dyDescent="0.25">
      <c r="R6978">
        <v>210</v>
      </c>
      <c r="S6978">
        <v>28</v>
      </c>
      <c r="T6978">
        <v>4</v>
      </c>
    </row>
    <row r="6979" spans="18:20" x14ac:dyDescent="0.25">
      <c r="R6979">
        <v>210</v>
      </c>
      <c r="S6979">
        <v>36</v>
      </c>
      <c r="T6979">
        <v>3</v>
      </c>
    </row>
    <row r="6980" spans="18:20" x14ac:dyDescent="0.25">
      <c r="R6980">
        <v>210</v>
      </c>
      <c r="S6980">
        <v>37</v>
      </c>
      <c r="T6980">
        <v>2</v>
      </c>
    </row>
    <row r="6981" spans="18:20" x14ac:dyDescent="0.25">
      <c r="R6981">
        <v>210</v>
      </c>
      <c r="S6981">
        <v>56</v>
      </c>
      <c r="T6981">
        <v>3</v>
      </c>
    </row>
    <row r="6982" spans="18:20" x14ac:dyDescent="0.25">
      <c r="R6982">
        <v>210</v>
      </c>
      <c r="S6982">
        <v>61</v>
      </c>
      <c r="T6982">
        <v>3</v>
      </c>
    </row>
    <row r="6983" spans="18:20" x14ac:dyDescent="0.25">
      <c r="R6983">
        <v>210</v>
      </c>
      <c r="S6983">
        <v>77</v>
      </c>
      <c r="T6983">
        <v>1</v>
      </c>
    </row>
    <row r="6984" spans="18:20" x14ac:dyDescent="0.25">
      <c r="R6984">
        <v>210</v>
      </c>
      <c r="S6984">
        <v>94</v>
      </c>
      <c r="T6984">
        <v>5</v>
      </c>
    </row>
    <row r="6985" spans="18:20" x14ac:dyDescent="0.25">
      <c r="R6985">
        <v>210</v>
      </c>
      <c r="S6985">
        <v>101</v>
      </c>
      <c r="T6985">
        <v>1</v>
      </c>
    </row>
    <row r="6986" spans="18:20" x14ac:dyDescent="0.25">
      <c r="R6986">
        <v>210</v>
      </c>
      <c r="S6986">
        <v>107</v>
      </c>
      <c r="T6986">
        <v>1</v>
      </c>
    </row>
    <row r="6987" spans="18:20" x14ac:dyDescent="0.25">
      <c r="R6987">
        <v>210</v>
      </c>
      <c r="S6987">
        <v>109</v>
      </c>
      <c r="T6987">
        <v>3</v>
      </c>
    </row>
    <row r="6988" spans="18:20" x14ac:dyDescent="0.25">
      <c r="R6988">
        <v>210</v>
      </c>
      <c r="S6988">
        <v>122</v>
      </c>
      <c r="T6988">
        <v>4</v>
      </c>
    </row>
    <row r="6989" spans="18:20" x14ac:dyDescent="0.25">
      <c r="R6989">
        <v>210</v>
      </c>
      <c r="S6989">
        <v>123</v>
      </c>
      <c r="T6989">
        <v>5</v>
      </c>
    </row>
    <row r="6990" spans="18:20" x14ac:dyDescent="0.25">
      <c r="R6990">
        <v>210</v>
      </c>
      <c r="S6990">
        <v>123</v>
      </c>
      <c r="T6990">
        <v>3</v>
      </c>
    </row>
    <row r="6991" spans="18:20" x14ac:dyDescent="0.25">
      <c r="R6991">
        <v>210</v>
      </c>
      <c r="S6991">
        <v>136</v>
      </c>
      <c r="T6991">
        <v>1</v>
      </c>
    </row>
    <row r="6992" spans="18:20" x14ac:dyDescent="0.25">
      <c r="R6992">
        <v>210</v>
      </c>
      <c r="S6992">
        <v>225</v>
      </c>
      <c r="T6992">
        <v>4</v>
      </c>
    </row>
    <row r="6993" spans="18:20" x14ac:dyDescent="0.25">
      <c r="R6993">
        <v>210</v>
      </c>
      <c r="S6993">
        <v>231</v>
      </c>
      <c r="T6993">
        <v>4</v>
      </c>
    </row>
    <row r="6994" spans="18:20" x14ac:dyDescent="0.25">
      <c r="R6994">
        <v>210</v>
      </c>
      <c r="S6994">
        <v>234</v>
      </c>
      <c r="T6994">
        <v>3</v>
      </c>
    </row>
    <row r="6995" spans="18:20" x14ac:dyDescent="0.25">
      <c r="R6995">
        <v>210</v>
      </c>
      <c r="S6995">
        <v>245</v>
      </c>
      <c r="T6995">
        <v>1</v>
      </c>
    </row>
    <row r="6996" spans="18:20" x14ac:dyDescent="0.25">
      <c r="R6996">
        <v>210</v>
      </c>
      <c r="S6996">
        <v>275</v>
      </c>
      <c r="T6996">
        <v>2</v>
      </c>
    </row>
    <row r="6997" spans="18:20" x14ac:dyDescent="0.25">
      <c r="R6997">
        <v>210</v>
      </c>
      <c r="S6997">
        <v>285</v>
      </c>
      <c r="T6997">
        <v>2</v>
      </c>
    </row>
    <row r="6998" spans="18:20" x14ac:dyDescent="0.25">
      <c r="R6998">
        <v>210</v>
      </c>
      <c r="S6998">
        <v>303</v>
      </c>
      <c r="T6998">
        <v>5</v>
      </c>
    </row>
    <row r="6999" spans="18:20" x14ac:dyDescent="0.25">
      <c r="R6999">
        <v>210</v>
      </c>
      <c r="S6999">
        <v>304</v>
      </c>
      <c r="T6999">
        <v>3</v>
      </c>
    </row>
    <row r="7000" spans="18:20" x14ac:dyDescent="0.25">
      <c r="R7000">
        <v>210</v>
      </c>
      <c r="S7000">
        <v>306</v>
      </c>
      <c r="T7000">
        <v>1</v>
      </c>
    </row>
    <row r="7001" spans="18:20" x14ac:dyDescent="0.25">
      <c r="R7001">
        <v>210</v>
      </c>
      <c r="S7001">
        <v>325</v>
      </c>
      <c r="T7001">
        <v>2</v>
      </c>
    </row>
    <row r="7002" spans="18:20" x14ac:dyDescent="0.25">
      <c r="R7002">
        <v>210</v>
      </c>
      <c r="S7002">
        <v>336</v>
      </c>
      <c r="T7002">
        <v>4</v>
      </c>
    </row>
    <row r="7003" spans="18:20" x14ac:dyDescent="0.25">
      <c r="R7003">
        <v>210</v>
      </c>
      <c r="S7003">
        <v>375</v>
      </c>
      <c r="T7003">
        <v>2</v>
      </c>
    </row>
    <row r="7004" spans="18:20" x14ac:dyDescent="0.25">
      <c r="R7004">
        <v>210</v>
      </c>
      <c r="S7004">
        <v>393</v>
      </c>
      <c r="T7004">
        <v>1</v>
      </c>
    </row>
    <row r="7005" spans="18:20" x14ac:dyDescent="0.25">
      <c r="R7005">
        <v>210</v>
      </c>
      <c r="S7005">
        <v>405</v>
      </c>
      <c r="T7005">
        <v>2</v>
      </c>
    </row>
    <row r="7006" spans="18:20" x14ac:dyDescent="0.25">
      <c r="R7006">
        <v>210</v>
      </c>
      <c r="S7006">
        <v>406</v>
      </c>
      <c r="T7006">
        <v>3</v>
      </c>
    </row>
    <row r="7007" spans="18:20" x14ac:dyDescent="0.25">
      <c r="R7007">
        <v>210</v>
      </c>
      <c r="S7007">
        <v>416</v>
      </c>
      <c r="T7007">
        <v>3</v>
      </c>
    </row>
    <row r="7008" spans="18:20" x14ac:dyDescent="0.25">
      <c r="R7008">
        <v>210</v>
      </c>
      <c r="S7008">
        <v>423</v>
      </c>
      <c r="T7008">
        <v>5</v>
      </c>
    </row>
    <row r="7009" spans="18:20" x14ac:dyDescent="0.25">
      <c r="R7009">
        <v>210</v>
      </c>
      <c r="S7009">
        <v>434</v>
      </c>
      <c r="T7009">
        <v>1</v>
      </c>
    </row>
    <row r="7010" spans="18:20" x14ac:dyDescent="0.25">
      <c r="R7010">
        <v>211</v>
      </c>
      <c r="S7010">
        <v>9</v>
      </c>
      <c r="T7010">
        <v>3</v>
      </c>
    </row>
    <row r="7011" spans="18:20" x14ac:dyDescent="0.25">
      <c r="R7011">
        <v>211</v>
      </c>
      <c r="S7011">
        <v>13</v>
      </c>
      <c r="T7011">
        <v>2</v>
      </c>
    </row>
    <row r="7012" spans="18:20" x14ac:dyDescent="0.25">
      <c r="R7012">
        <v>211</v>
      </c>
      <c r="S7012">
        <v>18</v>
      </c>
      <c r="T7012">
        <v>4</v>
      </c>
    </row>
    <row r="7013" spans="18:20" x14ac:dyDescent="0.25">
      <c r="R7013">
        <v>211</v>
      </c>
      <c r="S7013">
        <v>31</v>
      </c>
      <c r="T7013">
        <v>5</v>
      </c>
    </row>
    <row r="7014" spans="18:20" x14ac:dyDescent="0.25">
      <c r="R7014">
        <v>211</v>
      </c>
      <c r="S7014">
        <v>37</v>
      </c>
      <c r="T7014">
        <v>5</v>
      </c>
    </row>
    <row r="7015" spans="18:20" x14ac:dyDescent="0.25">
      <c r="R7015">
        <v>211</v>
      </c>
      <c r="S7015">
        <v>43</v>
      </c>
      <c r="T7015">
        <v>2</v>
      </c>
    </row>
    <row r="7016" spans="18:20" x14ac:dyDescent="0.25">
      <c r="R7016">
        <v>211</v>
      </c>
      <c r="S7016">
        <v>49</v>
      </c>
      <c r="T7016">
        <v>5</v>
      </c>
    </row>
    <row r="7017" spans="18:20" x14ac:dyDescent="0.25">
      <c r="R7017">
        <v>211</v>
      </c>
      <c r="S7017">
        <v>74</v>
      </c>
      <c r="T7017">
        <v>2</v>
      </c>
    </row>
    <row r="7018" spans="18:20" x14ac:dyDescent="0.25">
      <c r="R7018">
        <v>211</v>
      </c>
      <c r="S7018">
        <v>76</v>
      </c>
      <c r="T7018">
        <v>2</v>
      </c>
    </row>
    <row r="7019" spans="18:20" x14ac:dyDescent="0.25">
      <c r="R7019">
        <v>211</v>
      </c>
      <c r="S7019">
        <v>80</v>
      </c>
      <c r="T7019">
        <v>1</v>
      </c>
    </row>
    <row r="7020" spans="18:20" x14ac:dyDescent="0.25">
      <c r="R7020">
        <v>211</v>
      </c>
      <c r="S7020">
        <v>84</v>
      </c>
      <c r="T7020">
        <v>4</v>
      </c>
    </row>
    <row r="7021" spans="18:20" x14ac:dyDescent="0.25">
      <c r="R7021">
        <v>211</v>
      </c>
      <c r="S7021">
        <v>87</v>
      </c>
      <c r="T7021">
        <v>2</v>
      </c>
    </row>
    <row r="7022" spans="18:20" x14ac:dyDescent="0.25">
      <c r="R7022">
        <v>211</v>
      </c>
      <c r="S7022">
        <v>105</v>
      </c>
      <c r="T7022">
        <v>2</v>
      </c>
    </row>
    <row r="7023" spans="18:20" x14ac:dyDescent="0.25">
      <c r="R7023">
        <v>211</v>
      </c>
      <c r="S7023">
        <v>125</v>
      </c>
      <c r="T7023">
        <v>5</v>
      </c>
    </row>
    <row r="7024" spans="18:20" x14ac:dyDescent="0.25">
      <c r="R7024">
        <v>211</v>
      </c>
      <c r="S7024">
        <v>144</v>
      </c>
      <c r="T7024">
        <v>4</v>
      </c>
    </row>
    <row r="7025" spans="18:20" x14ac:dyDescent="0.25">
      <c r="R7025">
        <v>211</v>
      </c>
      <c r="S7025">
        <v>162</v>
      </c>
      <c r="T7025">
        <v>4</v>
      </c>
    </row>
    <row r="7026" spans="18:20" x14ac:dyDescent="0.25">
      <c r="R7026">
        <v>211</v>
      </c>
      <c r="S7026">
        <v>182</v>
      </c>
      <c r="T7026">
        <v>2</v>
      </c>
    </row>
    <row r="7027" spans="18:20" x14ac:dyDescent="0.25">
      <c r="R7027">
        <v>211</v>
      </c>
      <c r="S7027">
        <v>188</v>
      </c>
      <c r="T7027">
        <v>2</v>
      </c>
    </row>
    <row r="7028" spans="18:20" x14ac:dyDescent="0.25">
      <c r="R7028">
        <v>211</v>
      </c>
      <c r="S7028">
        <v>202</v>
      </c>
      <c r="T7028">
        <v>5</v>
      </c>
    </row>
    <row r="7029" spans="18:20" x14ac:dyDescent="0.25">
      <c r="R7029">
        <v>211</v>
      </c>
      <c r="S7029">
        <v>224</v>
      </c>
      <c r="T7029">
        <v>4</v>
      </c>
    </row>
    <row r="7030" spans="18:20" x14ac:dyDescent="0.25">
      <c r="R7030">
        <v>211</v>
      </c>
      <c r="S7030">
        <v>226</v>
      </c>
      <c r="T7030">
        <v>3</v>
      </c>
    </row>
    <row r="7031" spans="18:20" x14ac:dyDescent="0.25">
      <c r="R7031">
        <v>211</v>
      </c>
      <c r="S7031">
        <v>249</v>
      </c>
      <c r="T7031">
        <v>2</v>
      </c>
    </row>
    <row r="7032" spans="18:20" x14ac:dyDescent="0.25">
      <c r="R7032">
        <v>211</v>
      </c>
      <c r="S7032">
        <v>259</v>
      </c>
      <c r="T7032">
        <v>3</v>
      </c>
    </row>
    <row r="7033" spans="18:20" x14ac:dyDescent="0.25">
      <c r="R7033">
        <v>211</v>
      </c>
      <c r="S7033">
        <v>266</v>
      </c>
      <c r="T7033">
        <v>2</v>
      </c>
    </row>
    <row r="7034" spans="18:20" x14ac:dyDescent="0.25">
      <c r="R7034">
        <v>211</v>
      </c>
      <c r="S7034">
        <v>281</v>
      </c>
      <c r="T7034">
        <v>3</v>
      </c>
    </row>
    <row r="7035" spans="18:20" x14ac:dyDescent="0.25">
      <c r="R7035">
        <v>211</v>
      </c>
      <c r="S7035">
        <v>304</v>
      </c>
      <c r="T7035">
        <v>2</v>
      </c>
    </row>
    <row r="7036" spans="18:20" x14ac:dyDescent="0.25">
      <c r="R7036">
        <v>211</v>
      </c>
      <c r="S7036">
        <v>334</v>
      </c>
      <c r="T7036">
        <v>4</v>
      </c>
    </row>
    <row r="7037" spans="18:20" x14ac:dyDescent="0.25">
      <c r="R7037">
        <v>211</v>
      </c>
      <c r="S7037">
        <v>355</v>
      </c>
      <c r="T7037">
        <v>1</v>
      </c>
    </row>
    <row r="7038" spans="18:20" x14ac:dyDescent="0.25">
      <c r="R7038">
        <v>212</v>
      </c>
      <c r="S7038">
        <v>5</v>
      </c>
      <c r="T7038">
        <v>3</v>
      </c>
    </row>
    <row r="7039" spans="18:20" x14ac:dyDescent="0.25">
      <c r="R7039">
        <v>212</v>
      </c>
      <c r="S7039">
        <v>16</v>
      </c>
      <c r="T7039">
        <v>1</v>
      </c>
    </row>
    <row r="7040" spans="18:20" x14ac:dyDescent="0.25">
      <c r="R7040">
        <v>212</v>
      </c>
      <c r="S7040">
        <v>38</v>
      </c>
      <c r="T7040">
        <v>4</v>
      </c>
    </row>
    <row r="7041" spans="18:20" x14ac:dyDescent="0.25">
      <c r="R7041">
        <v>212</v>
      </c>
      <c r="S7041">
        <v>66</v>
      </c>
      <c r="T7041">
        <v>1</v>
      </c>
    </row>
    <row r="7042" spans="18:20" x14ac:dyDescent="0.25">
      <c r="R7042">
        <v>212</v>
      </c>
      <c r="S7042">
        <v>68</v>
      </c>
      <c r="T7042">
        <v>3</v>
      </c>
    </row>
    <row r="7043" spans="18:20" x14ac:dyDescent="0.25">
      <c r="R7043">
        <v>212</v>
      </c>
      <c r="S7043">
        <v>81</v>
      </c>
      <c r="T7043">
        <v>1</v>
      </c>
    </row>
    <row r="7044" spans="18:20" x14ac:dyDescent="0.25">
      <c r="R7044">
        <v>212</v>
      </c>
      <c r="S7044">
        <v>93</v>
      </c>
      <c r="T7044">
        <v>4</v>
      </c>
    </row>
    <row r="7045" spans="18:20" x14ac:dyDescent="0.25">
      <c r="R7045">
        <v>212</v>
      </c>
      <c r="S7045">
        <v>95</v>
      </c>
      <c r="T7045">
        <v>4</v>
      </c>
    </row>
    <row r="7046" spans="18:20" x14ac:dyDescent="0.25">
      <c r="R7046">
        <v>212</v>
      </c>
      <c r="S7046">
        <v>100</v>
      </c>
      <c r="T7046">
        <v>5</v>
      </c>
    </row>
    <row r="7047" spans="18:20" x14ac:dyDescent="0.25">
      <c r="R7047">
        <v>212</v>
      </c>
      <c r="S7047">
        <v>100</v>
      </c>
      <c r="T7047">
        <v>3</v>
      </c>
    </row>
    <row r="7048" spans="18:20" x14ac:dyDescent="0.25">
      <c r="R7048">
        <v>212</v>
      </c>
      <c r="S7048">
        <v>109</v>
      </c>
      <c r="T7048">
        <v>1</v>
      </c>
    </row>
    <row r="7049" spans="18:20" x14ac:dyDescent="0.25">
      <c r="R7049">
        <v>212</v>
      </c>
      <c r="S7049">
        <v>111</v>
      </c>
      <c r="T7049">
        <v>5</v>
      </c>
    </row>
    <row r="7050" spans="18:20" x14ac:dyDescent="0.25">
      <c r="R7050">
        <v>212</v>
      </c>
      <c r="S7050">
        <v>124</v>
      </c>
      <c r="T7050">
        <v>3</v>
      </c>
    </row>
    <row r="7051" spans="18:20" x14ac:dyDescent="0.25">
      <c r="R7051">
        <v>212</v>
      </c>
      <c r="S7051">
        <v>140</v>
      </c>
      <c r="T7051">
        <v>4</v>
      </c>
    </row>
    <row r="7052" spans="18:20" x14ac:dyDescent="0.25">
      <c r="R7052">
        <v>212</v>
      </c>
      <c r="S7052">
        <v>192</v>
      </c>
      <c r="T7052">
        <v>1</v>
      </c>
    </row>
    <row r="7053" spans="18:20" x14ac:dyDescent="0.25">
      <c r="R7053">
        <v>212</v>
      </c>
      <c r="S7053">
        <v>192</v>
      </c>
      <c r="T7053">
        <v>4</v>
      </c>
    </row>
    <row r="7054" spans="18:20" x14ac:dyDescent="0.25">
      <c r="R7054">
        <v>212</v>
      </c>
      <c r="S7054">
        <v>201</v>
      </c>
      <c r="T7054">
        <v>3</v>
      </c>
    </row>
    <row r="7055" spans="18:20" x14ac:dyDescent="0.25">
      <c r="R7055">
        <v>212</v>
      </c>
      <c r="S7055">
        <v>209</v>
      </c>
      <c r="T7055">
        <v>3</v>
      </c>
    </row>
    <row r="7056" spans="18:20" x14ac:dyDescent="0.25">
      <c r="R7056">
        <v>212</v>
      </c>
      <c r="S7056">
        <v>219</v>
      </c>
      <c r="T7056">
        <v>3</v>
      </c>
    </row>
    <row r="7057" spans="18:20" x14ac:dyDescent="0.25">
      <c r="R7057">
        <v>212</v>
      </c>
      <c r="S7057">
        <v>231</v>
      </c>
      <c r="T7057">
        <v>4</v>
      </c>
    </row>
    <row r="7058" spans="18:20" x14ac:dyDescent="0.25">
      <c r="R7058">
        <v>212</v>
      </c>
      <c r="S7058">
        <v>239</v>
      </c>
      <c r="T7058">
        <v>1</v>
      </c>
    </row>
    <row r="7059" spans="18:20" x14ac:dyDescent="0.25">
      <c r="R7059">
        <v>212</v>
      </c>
      <c r="S7059">
        <v>248</v>
      </c>
      <c r="T7059">
        <v>3</v>
      </c>
    </row>
    <row r="7060" spans="18:20" x14ac:dyDescent="0.25">
      <c r="R7060">
        <v>212</v>
      </c>
      <c r="S7060">
        <v>281</v>
      </c>
      <c r="T7060">
        <v>4</v>
      </c>
    </row>
    <row r="7061" spans="18:20" x14ac:dyDescent="0.25">
      <c r="R7061">
        <v>212</v>
      </c>
      <c r="S7061">
        <v>285</v>
      </c>
      <c r="T7061">
        <v>5</v>
      </c>
    </row>
    <row r="7062" spans="18:20" x14ac:dyDescent="0.25">
      <c r="R7062">
        <v>212</v>
      </c>
      <c r="S7062">
        <v>290</v>
      </c>
      <c r="T7062">
        <v>3</v>
      </c>
    </row>
    <row r="7063" spans="18:20" x14ac:dyDescent="0.25">
      <c r="R7063">
        <v>212</v>
      </c>
      <c r="S7063">
        <v>293</v>
      </c>
      <c r="T7063">
        <v>1</v>
      </c>
    </row>
    <row r="7064" spans="18:20" x14ac:dyDescent="0.25">
      <c r="R7064">
        <v>212</v>
      </c>
      <c r="S7064">
        <v>302</v>
      </c>
      <c r="T7064">
        <v>4</v>
      </c>
    </row>
    <row r="7065" spans="18:20" x14ac:dyDescent="0.25">
      <c r="R7065">
        <v>212</v>
      </c>
      <c r="S7065">
        <v>305</v>
      </c>
      <c r="T7065">
        <v>1</v>
      </c>
    </row>
    <row r="7066" spans="18:20" x14ac:dyDescent="0.25">
      <c r="R7066">
        <v>212</v>
      </c>
      <c r="S7066">
        <v>320</v>
      </c>
      <c r="T7066">
        <v>5</v>
      </c>
    </row>
    <row r="7067" spans="18:20" x14ac:dyDescent="0.25">
      <c r="R7067">
        <v>212</v>
      </c>
      <c r="S7067">
        <v>330</v>
      </c>
      <c r="T7067">
        <v>3</v>
      </c>
    </row>
    <row r="7068" spans="18:20" x14ac:dyDescent="0.25">
      <c r="R7068">
        <v>212</v>
      </c>
      <c r="S7068">
        <v>333</v>
      </c>
      <c r="T7068">
        <v>5</v>
      </c>
    </row>
    <row r="7069" spans="18:20" x14ac:dyDescent="0.25">
      <c r="R7069">
        <v>212</v>
      </c>
      <c r="S7069">
        <v>359</v>
      </c>
      <c r="T7069">
        <v>1</v>
      </c>
    </row>
    <row r="7070" spans="18:20" x14ac:dyDescent="0.25">
      <c r="R7070">
        <v>212</v>
      </c>
      <c r="S7070">
        <v>369</v>
      </c>
      <c r="T7070">
        <v>5</v>
      </c>
    </row>
    <row r="7071" spans="18:20" x14ac:dyDescent="0.25">
      <c r="R7071">
        <v>212</v>
      </c>
      <c r="S7071">
        <v>370</v>
      </c>
      <c r="T7071">
        <v>3</v>
      </c>
    </row>
    <row r="7072" spans="18:20" x14ac:dyDescent="0.25">
      <c r="R7072">
        <v>212</v>
      </c>
      <c r="S7072">
        <v>398</v>
      </c>
      <c r="T7072">
        <v>4</v>
      </c>
    </row>
    <row r="7073" spans="18:20" x14ac:dyDescent="0.25">
      <c r="R7073">
        <v>212</v>
      </c>
      <c r="S7073">
        <v>405</v>
      </c>
      <c r="T7073">
        <v>4</v>
      </c>
    </row>
    <row r="7074" spans="18:20" x14ac:dyDescent="0.25">
      <c r="R7074">
        <v>212</v>
      </c>
      <c r="S7074">
        <v>424</v>
      </c>
      <c r="T7074">
        <v>1</v>
      </c>
    </row>
    <row r="7075" spans="18:20" x14ac:dyDescent="0.25">
      <c r="R7075">
        <v>212</v>
      </c>
      <c r="S7075">
        <v>425</v>
      </c>
      <c r="T7075">
        <v>5</v>
      </c>
    </row>
    <row r="7076" spans="18:20" x14ac:dyDescent="0.25">
      <c r="R7076">
        <v>213</v>
      </c>
      <c r="S7076">
        <v>11</v>
      </c>
      <c r="T7076">
        <v>2</v>
      </c>
    </row>
    <row r="7077" spans="18:20" x14ac:dyDescent="0.25">
      <c r="R7077">
        <v>213</v>
      </c>
      <c r="S7077">
        <v>26</v>
      </c>
      <c r="T7077">
        <v>3</v>
      </c>
    </row>
    <row r="7078" spans="18:20" x14ac:dyDescent="0.25">
      <c r="R7078">
        <v>213</v>
      </c>
      <c r="S7078">
        <v>34</v>
      </c>
      <c r="T7078">
        <v>3</v>
      </c>
    </row>
    <row r="7079" spans="18:20" x14ac:dyDescent="0.25">
      <c r="R7079">
        <v>213</v>
      </c>
      <c r="S7079">
        <v>35</v>
      </c>
      <c r="T7079">
        <v>3</v>
      </c>
    </row>
    <row r="7080" spans="18:20" x14ac:dyDescent="0.25">
      <c r="R7080">
        <v>213</v>
      </c>
      <c r="S7080">
        <v>35</v>
      </c>
      <c r="T7080">
        <v>4</v>
      </c>
    </row>
    <row r="7081" spans="18:20" x14ac:dyDescent="0.25">
      <c r="R7081">
        <v>213</v>
      </c>
      <c r="S7081">
        <v>54</v>
      </c>
      <c r="T7081">
        <v>5</v>
      </c>
    </row>
    <row r="7082" spans="18:20" x14ac:dyDescent="0.25">
      <c r="R7082">
        <v>213</v>
      </c>
      <c r="S7082">
        <v>74</v>
      </c>
      <c r="T7082">
        <v>2</v>
      </c>
    </row>
    <row r="7083" spans="18:20" x14ac:dyDescent="0.25">
      <c r="R7083">
        <v>213</v>
      </c>
      <c r="S7083">
        <v>80</v>
      </c>
      <c r="T7083">
        <v>5</v>
      </c>
    </row>
    <row r="7084" spans="18:20" x14ac:dyDescent="0.25">
      <c r="R7084">
        <v>213</v>
      </c>
      <c r="S7084">
        <v>97</v>
      </c>
      <c r="T7084">
        <v>4</v>
      </c>
    </row>
    <row r="7085" spans="18:20" x14ac:dyDescent="0.25">
      <c r="R7085">
        <v>213</v>
      </c>
      <c r="S7085">
        <v>100</v>
      </c>
      <c r="T7085">
        <v>2</v>
      </c>
    </row>
    <row r="7086" spans="18:20" x14ac:dyDescent="0.25">
      <c r="R7086">
        <v>213</v>
      </c>
      <c r="S7086">
        <v>115</v>
      </c>
      <c r="T7086">
        <v>5</v>
      </c>
    </row>
    <row r="7087" spans="18:20" x14ac:dyDescent="0.25">
      <c r="R7087">
        <v>213</v>
      </c>
      <c r="S7087">
        <v>146</v>
      </c>
      <c r="T7087">
        <v>3</v>
      </c>
    </row>
    <row r="7088" spans="18:20" x14ac:dyDescent="0.25">
      <c r="R7088">
        <v>213</v>
      </c>
      <c r="S7088">
        <v>162</v>
      </c>
      <c r="T7088">
        <v>1</v>
      </c>
    </row>
    <row r="7089" spans="18:20" x14ac:dyDescent="0.25">
      <c r="R7089">
        <v>213</v>
      </c>
      <c r="S7089">
        <v>169</v>
      </c>
      <c r="T7089">
        <v>4</v>
      </c>
    </row>
    <row r="7090" spans="18:20" x14ac:dyDescent="0.25">
      <c r="R7090">
        <v>213</v>
      </c>
      <c r="S7090">
        <v>180</v>
      </c>
      <c r="T7090">
        <v>5</v>
      </c>
    </row>
    <row r="7091" spans="18:20" x14ac:dyDescent="0.25">
      <c r="R7091">
        <v>213</v>
      </c>
      <c r="S7091">
        <v>227</v>
      </c>
      <c r="T7091">
        <v>5</v>
      </c>
    </row>
    <row r="7092" spans="18:20" x14ac:dyDescent="0.25">
      <c r="R7092">
        <v>213</v>
      </c>
      <c r="S7092">
        <v>237</v>
      </c>
      <c r="T7092">
        <v>3</v>
      </c>
    </row>
    <row r="7093" spans="18:20" x14ac:dyDescent="0.25">
      <c r="R7093">
        <v>213</v>
      </c>
      <c r="S7093">
        <v>249</v>
      </c>
      <c r="T7093">
        <v>2</v>
      </c>
    </row>
    <row r="7094" spans="18:20" x14ac:dyDescent="0.25">
      <c r="R7094">
        <v>213</v>
      </c>
      <c r="S7094">
        <v>257</v>
      </c>
      <c r="T7094">
        <v>2</v>
      </c>
    </row>
    <row r="7095" spans="18:20" x14ac:dyDescent="0.25">
      <c r="R7095">
        <v>213</v>
      </c>
      <c r="S7095">
        <v>259</v>
      </c>
      <c r="T7095">
        <v>1</v>
      </c>
    </row>
    <row r="7096" spans="18:20" x14ac:dyDescent="0.25">
      <c r="R7096">
        <v>213</v>
      </c>
      <c r="S7096">
        <v>268</v>
      </c>
      <c r="T7096">
        <v>5</v>
      </c>
    </row>
    <row r="7097" spans="18:20" x14ac:dyDescent="0.25">
      <c r="R7097">
        <v>213</v>
      </c>
      <c r="S7097">
        <v>298</v>
      </c>
      <c r="T7097">
        <v>1</v>
      </c>
    </row>
    <row r="7098" spans="18:20" x14ac:dyDescent="0.25">
      <c r="R7098">
        <v>213</v>
      </c>
      <c r="S7098">
        <v>300</v>
      </c>
      <c r="T7098">
        <v>2</v>
      </c>
    </row>
    <row r="7099" spans="18:20" x14ac:dyDescent="0.25">
      <c r="R7099">
        <v>213</v>
      </c>
      <c r="S7099">
        <v>303</v>
      </c>
      <c r="T7099">
        <v>2</v>
      </c>
    </row>
    <row r="7100" spans="18:20" x14ac:dyDescent="0.25">
      <c r="R7100">
        <v>213</v>
      </c>
      <c r="S7100">
        <v>308</v>
      </c>
      <c r="T7100">
        <v>3</v>
      </c>
    </row>
    <row r="7101" spans="18:20" x14ac:dyDescent="0.25">
      <c r="R7101">
        <v>213</v>
      </c>
      <c r="S7101">
        <v>384</v>
      </c>
      <c r="T7101">
        <v>5</v>
      </c>
    </row>
    <row r="7102" spans="18:20" x14ac:dyDescent="0.25">
      <c r="R7102">
        <v>213</v>
      </c>
      <c r="S7102">
        <v>400</v>
      </c>
      <c r="T7102">
        <v>4</v>
      </c>
    </row>
    <row r="7103" spans="18:20" x14ac:dyDescent="0.25">
      <c r="R7103">
        <v>213</v>
      </c>
      <c r="S7103">
        <v>417</v>
      </c>
      <c r="T7103">
        <v>2</v>
      </c>
    </row>
    <row r="7104" spans="18:20" x14ac:dyDescent="0.25">
      <c r="R7104">
        <v>213</v>
      </c>
      <c r="S7104">
        <v>417</v>
      </c>
      <c r="T7104">
        <v>2</v>
      </c>
    </row>
    <row r="7105" spans="18:20" x14ac:dyDescent="0.25">
      <c r="R7105">
        <v>213</v>
      </c>
      <c r="S7105">
        <v>436</v>
      </c>
      <c r="T7105">
        <v>4</v>
      </c>
    </row>
    <row r="7106" spans="18:20" x14ac:dyDescent="0.25">
      <c r="R7106">
        <v>214</v>
      </c>
      <c r="S7106">
        <v>25</v>
      </c>
      <c r="T7106">
        <v>3</v>
      </c>
    </row>
    <row r="7107" spans="18:20" x14ac:dyDescent="0.25">
      <c r="R7107">
        <v>214</v>
      </c>
      <c r="S7107">
        <v>89</v>
      </c>
      <c r="T7107">
        <v>2</v>
      </c>
    </row>
    <row r="7108" spans="18:20" x14ac:dyDescent="0.25">
      <c r="R7108">
        <v>214</v>
      </c>
      <c r="S7108">
        <v>99</v>
      </c>
      <c r="T7108">
        <v>3</v>
      </c>
    </row>
    <row r="7109" spans="18:20" x14ac:dyDescent="0.25">
      <c r="R7109">
        <v>214</v>
      </c>
      <c r="S7109">
        <v>104</v>
      </c>
      <c r="T7109">
        <v>1</v>
      </c>
    </row>
    <row r="7110" spans="18:20" x14ac:dyDescent="0.25">
      <c r="R7110">
        <v>214</v>
      </c>
      <c r="S7110">
        <v>134</v>
      </c>
      <c r="T7110">
        <v>5</v>
      </c>
    </row>
    <row r="7111" spans="18:20" x14ac:dyDescent="0.25">
      <c r="R7111">
        <v>214</v>
      </c>
      <c r="S7111">
        <v>136</v>
      </c>
      <c r="T7111">
        <v>5</v>
      </c>
    </row>
    <row r="7112" spans="18:20" x14ac:dyDescent="0.25">
      <c r="R7112">
        <v>214</v>
      </c>
      <c r="S7112">
        <v>146</v>
      </c>
      <c r="T7112">
        <v>3</v>
      </c>
    </row>
    <row r="7113" spans="18:20" x14ac:dyDescent="0.25">
      <c r="R7113">
        <v>214</v>
      </c>
      <c r="S7113">
        <v>156</v>
      </c>
      <c r="T7113">
        <v>3</v>
      </c>
    </row>
    <row r="7114" spans="18:20" x14ac:dyDescent="0.25">
      <c r="R7114">
        <v>214</v>
      </c>
      <c r="S7114">
        <v>158</v>
      </c>
      <c r="T7114">
        <v>3</v>
      </c>
    </row>
    <row r="7115" spans="18:20" x14ac:dyDescent="0.25">
      <c r="R7115">
        <v>214</v>
      </c>
      <c r="S7115">
        <v>160</v>
      </c>
      <c r="T7115">
        <v>4</v>
      </c>
    </row>
    <row r="7116" spans="18:20" x14ac:dyDescent="0.25">
      <c r="R7116">
        <v>214</v>
      </c>
      <c r="S7116">
        <v>164</v>
      </c>
      <c r="T7116">
        <v>2</v>
      </c>
    </row>
    <row r="7117" spans="18:20" x14ac:dyDescent="0.25">
      <c r="R7117">
        <v>214</v>
      </c>
      <c r="S7117">
        <v>177</v>
      </c>
      <c r="T7117">
        <v>4</v>
      </c>
    </row>
    <row r="7118" spans="18:20" x14ac:dyDescent="0.25">
      <c r="R7118">
        <v>214</v>
      </c>
      <c r="S7118">
        <v>195</v>
      </c>
      <c r="T7118">
        <v>3</v>
      </c>
    </row>
    <row r="7119" spans="18:20" x14ac:dyDescent="0.25">
      <c r="R7119">
        <v>214</v>
      </c>
      <c r="S7119">
        <v>204</v>
      </c>
      <c r="T7119">
        <v>2</v>
      </c>
    </row>
    <row r="7120" spans="18:20" x14ac:dyDescent="0.25">
      <c r="R7120">
        <v>214</v>
      </c>
      <c r="S7120">
        <v>215</v>
      </c>
      <c r="T7120">
        <v>2</v>
      </c>
    </row>
    <row r="7121" spans="18:20" x14ac:dyDescent="0.25">
      <c r="R7121">
        <v>214</v>
      </c>
      <c r="S7121">
        <v>247</v>
      </c>
      <c r="T7121">
        <v>2</v>
      </c>
    </row>
    <row r="7122" spans="18:20" x14ac:dyDescent="0.25">
      <c r="R7122">
        <v>214</v>
      </c>
      <c r="S7122">
        <v>252</v>
      </c>
      <c r="T7122">
        <v>4</v>
      </c>
    </row>
    <row r="7123" spans="18:20" x14ac:dyDescent="0.25">
      <c r="R7123">
        <v>214</v>
      </c>
      <c r="S7123">
        <v>265</v>
      </c>
      <c r="T7123">
        <v>3</v>
      </c>
    </row>
    <row r="7124" spans="18:20" x14ac:dyDescent="0.25">
      <c r="R7124">
        <v>214</v>
      </c>
      <c r="S7124">
        <v>268</v>
      </c>
      <c r="T7124">
        <v>5</v>
      </c>
    </row>
    <row r="7125" spans="18:20" x14ac:dyDescent="0.25">
      <c r="R7125">
        <v>214</v>
      </c>
      <c r="S7125">
        <v>279</v>
      </c>
      <c r="T7125">
        <v>3</v>
      </c>
    </row>
    <row r="7126" spans="18:20" x14ac:dyDescent="0.25">
      <c r="R7126">
        <v>214</v>
      </c>
      <c r="S7126">
        <v>280</v>
      </c>
      <c r="T7126">
        <v>2</v>
      </c>
    </row>
    <row r="7127" spans="18:20" x14ac:dyDescent="0.25">
      <c r="R7127">
        <v>214</v>
      </c>
      <c r="S7127">
        <v>285</v>
      </c>
      <c r="T7127">
        <v>2</v>
      </c>
    </row>
    <row r="7128" spans="18:20" x14ac:dyDescent="0.25">
      <c r="R7128">
        <v>214</v>
      </c>
      <c r="S7128">
        <v>285</v>
      </c>
      <c r="T7128">
        <v>5</v>
      </c>
    </row>
    <row r="7129" spans="18:20" x14ac:dyDescent="0.25">
      <c r="R7129">
        <v>214</v>
      </c>
      <c r="S7129">
        <v>317</v>
      </c>
      <c r="T7129">
        <v>5</v>
      </c>
    </row>
    <row r="7130" spans="18:20" x14ac:dyDescent="0.25">
      <c r="R7130">
        <v>214</v>
      </c>
      <c r="S7130">
        <v>322</v>
      </c>
      <c r="T7130">
        <v>4</v>
      </c>
    </row>
    <row r="7131" spans="18:20" x14ac:dyDescent="0.25">
      <c r="R7131">
        <v>214</v>
      </c>
      <c r="S7131">
        <v>346</v>
      </c>
      <c r="T7131">
        <v>1</v>
      </c>
    </row>
    <row r="7132" spans="18:20" x14ac:dyDescent="0.25">
      <c r="R7132">
        <v>214</v>
      </c>
      <c r="S7132">
        <v>350</v>
      </c>
      <c r="T7132">
        <v>3</v>
      </c>
    </row>
    <row r="7133" spans="18:20" x14ac:dyDescent="0.25">
      <c r="R7133">
        <v>214</v>
      </c>
      <c r="S7133">
        <v>378</v>
      </c>
      <c r="T7133">
        <v>5</v>
      </c>
    </row>
    <row r="7134" spans="18:20" x14ac:dyDescent="0.25">
      <c r="R7134">
        <v>214</v>
      </c>
      <c r="S7134">
        <v>385</v>
      </c>
      <c r="T7134">
        <v>4</v>
      </c>
    </row>
    <row r="7135" spans="18:20" x14ac:dyDescent="0.25">
      <c r="R7135">
        <v>214</v>
      </c>
      <c r="S7135">
        <v>390</v>
      </c>
      <c r="T7135">
        <v>5</v>
      </c>
    </row>
    <row r="7136" spans="18:20" x14ac:dyDescent="0.25">
      <c r="R7136">
        <v>214</v>
      </c>
      <c r="S7136">
        <v>415</v>
      </c>
      <c r="T7136">
        <v>3</v>
      </c>
    </row>
    <row r="7137" spans="18:20" x14ac:dyDescent="0.25">
      <c r="R7137">
        <v>214</v>
      </c>
      <c r="S7137">
        <v>424</v>
      </c>
      <c r="T7137">
        <v>3</v>
      </c>
    </row>
    <row r="7138" spans="18:20" x14ac:dyDescent="0.25">
      <c r="R7138">
        <v>214</v>
      </c>
      <c r="S7138">
        <v>427</v>
      </c>
      <c r="T7138">
        <v>1</v>
      </c>
    </row>
    <row r="7139" spans="18:20" x14ac:dyDescent="0.25">
      <c r="R7139">
        <v>215</v>
      </c>
      <c r="S7139">
        <v>17</v>
      </c>
      <c r="T7139">
        <v>2</v>
      </c>
    </row>
    <row r="7140" spans="18:20" x14ac:dyDescent="0.25">
      <c r="R7140">
        <v>215</v>
      </c>
      <c r="S7140">
        <v>49</v>
      </c>
      <c r="T7140">
        <v>3</v>
      </c>
    </row>
    <row r="7141" spans="18:20" x14ac:dyDescent="0.25">
      <c r="R7141">
        <v>215</v>
      </c>
      <c r="S7141">
        <v>50</v>
      </c>
      <c r="T7141">
        <v>1</v>
      </c>
    </row>
    <row r="7142" spans="18:20" x14ac:dyDescent="0.25">
      <c r="R7142">
        <v>215</v>
      </c>
      <c r="S7142">
        <v>56</v>
      </c>
      <c r="T7142">
        <v>4</v>
      </c>
    </row>
    <row r="7143" spans="18:20" x14ac:dyDescent="0.25">
      <c r="R7143">
        <v>215</v>
      </c>
      <c r="S7143">
        <v>78</v>
      </c>
      <c r="T7143">
        <v>1</v>
      </c>
    </row>
    <row r="7144" spans="18:20" x14ac:dyDescent="0.25">
      <c r="R7144">
        <v>215</v>
      </c>
      <c r="S7144">
        <v>100</v>
      </c>
      <c r="T7144">
        <v>5</v>
      </c>
    </row>
    <row r="7145" spans="18:20" x14ac:dyDescent="0.25">
      <c r="R7145">
        <v>215</v>
      </c>
      <c r="S7145">
        <v>109</v>
      </c>
      <c r="T7145">
        <v>4</v>
      </c>
    </row>
    <row r="7146" spans="18:20" x14ac:dyDescent="0.25">
      <c r="R7146">
        <v>215</v>
      </c>
      <c r="S7146">
        <v>123</v>
      </c>
      <c r="T7146">
        <v>3</v>
      </c>
    </row>
    <row r="7147" spans="18:20" x14ac:dyDescent="0.25">
      <c r="R7147">
        <v>215</v>
      </c>
      <c r="S7147">
        <v>144</v>
      </c>
      <c r="T7147">
        <v>5</v>
      </c>
    </row>
    <row r="7148" spans="18:20" x14ac:dyDescent="0.25">
      <c r="R7148">
        <v>215</v>
      </c>
      <c r="S7148">
        <v>181</v>
      </c>
      <c r="T7148">
        <v>4</v>
      </c>
    </row>
    <row r="7149" spans="18:20" x14ac:dyDescent="0.25">
      <c r="R7149">
        <v>215</v>
      </c>
      <c r="S7149">
        <v>182</v>
      </c>
      <c r="T7149">
        <v>2</v>
      </c>
    </row>
    <row r="7150" spans="18:20" x14ac:dyDescent="0.25">
      <c r="R7150">
        <v>215</v>
      </c>
      <c r="S7150">
        <v>193</v>
      </c>
      <c r="T7150">
        <v>3</v>
      </c>
    </row>
    <row r="7151" spans="18:20" x14ac:dyDescent="0.25">
      <c r="R7151">
        <v>215</v>
      </c>
      <c r="S7151">
        <v>201</v>
      </c>
      <c r="T7151">
        <v>2</v>
      </c>
    </row>
    <row r="7152" spans="18:20" x14ac:dyDescent="0.25">
      <c r="R7152">
        <v>215</v>
      </c>
      <c r="S7152">
        <v>220</v>
      </c>
      <c r="T7152">
        <v>4</v>
      </c>
    </row>
    <row r="7153" spans="18:20" x14ac:dyDescent="0.25">
      <c r="R7153">
        <v>215</v>
      </c>
      <c r="S7153">
        <v>230</v>
      </c>
      <c r="T7153">
        <v>2</v>
      </c>
    </row>
    <row r="7154" spans="18:20" x14ac:dyDescent="0.25">
      <c r="R7154">
        <v>215</v>
      </c>
      <c r="S7154">
        <v>235</v>
      </c>
      <c r="T7154">
        <v>5</v>
      </c>
    </row>
    <row r="7155" spans="18:20" x14ac:dyDescent="0.25">
      <c r="R7155">
        <v>215</v>
      </c>
      <c r="S7155">
        <v>291</v>
      </c>
      <c r="T7155">
        <v>4</v>
      </c>
    </row>
    <row r="7156" spans="18:20" x14ac:dyDescent="0.25">
      <c r="R7156">
        <v>215</v>
      </c>
      <c r="S7156">
        <v>321</v>
      </c>
      <c r="T7156">
        <v>3</v>
      </c>
    </row>
    <row r="7157" spans="18:20" x14ac:dyDescent="0.25">
      <c r="R7157">
        <v>215</v>
      </c>
      <c r="S7157">
        <v>327</v>
      </c>
      <c r="T7157">
        <v>2</v>
      </c>
    </row>
    <row r="7158" spans="18:20" x14ac:dyDescent="0.25">
      <c r="R7158">
        <v>215</v>
      </c>
      <c r="S7158">
        <v>330</v>
      </c>
      <c r="T7158">
        <v>4</v>
      </c>
    </row>
    <row r="7159" spans="18:20" x14ac:dyDescent="0.25">
      <c r="R7159">
        <v>215</v>
      </c>
      <c r="S7159">
        <v>331</v>
      </c>
      <c r="T7159">
        <v>5</v>
      </c>
    </row>
    <row r="7160" spans="18:20" x14ac:dyDescent="0.25">
      <c r="R7160">
        <v>215</v>
      </c>
      <c r="S7160">
        <v>334</v>
      </c>
      <c r="T7160">
        <v>5</v>
      </c>
    </row>
    <row r="7161" spans="18:20" x14ac:dyDescent="0.25">
      <c r="R7161">
        <v>215</v>
      </c>
      <c r="S7161">
        <v>342</v>
      </c>
      <c r="T7161">
        <v>3</v>
      </c>
    </row>
    <row r="7162" spans="18:20" x14ac:dyDescent="0.25">
      <c r="R7162">
        <v>215</v>
      </c>
      <c r="S7162">
        <v>348</v>
      </c>
      <c r="T7162">
        <v>2</v>
      </c>
    </row>
    <row r="7163" spans="18:20" x14ac:dyDescent="0.25">
      <c r="R7163">
        <v>215</v>
      </c>
      <c r="S7163">
        <v>381</v>
      </c>
      <c r="T7163">
        <v>3</v>
      </c>
    </row>
    <row r="7164" spans="18:20" x14ac:dyDescent="0.25">
      <c r="R7164">
        <v>215</v>
      </c>
      <c r="S7164">
        <v>385</v>
      </c>
      <c r="T7164">
        <v>4</v>
      </c>
    </row>
    <row r="7165" spans="18:20" x14ac:dyDescent="0.25">
      <c r="R7165">
        <v>215</v>
      </c>
      <c r="S7165">
        <v>388</v>
      </c>
      <c r="T7165">
        <v>2</v>
      </c>
    </row>
    <row r="7166" spans="18:20" x14ac:dyDescent="0.25">
      <c r="R7166">
        <v>215</v>
      </c>
      <c r="S7166">
        <v>412</v>
      </c>
      <c r="T7166">
        <v>2</v>
      </c>
    </row>
    <row r="7167" spans="18:20" x14ac:dyDescent="0.25">
      <c r="R7167">
        <v>215</v>
      </c>
      <c r="S7167">
        <v>425</v>
      </c>
      <c r="T7167">
        <v>1</v>
      </c>
    </row>
    <row r="7168" spans="18:20" x14ac:dyDescent="0.25">
      <c r="R7168">
        <v>215</v>
      </c>
      <c r="S7168">
        <v>430</v>
      </c>
      <c r="T7168">
        <v>2</v>
      </c>
    </row>
    <row r="7169" spans="18:20" x14ac:dyDescent="0.25">
      <c r="R7169">
        <v>215</v>
      </c>
      <c r="S7169">
        <v>434</v>
      </c>
      <c r="T7169">
        <v>4</v>
      </c>
    </row>
    <row r="7170" spans="18:20" x14ac:dyDescent="0.25">
      <c r="R7170">
        <v>216</v>
      </c>
      <c r="S7170">
        <v>12</v>
      </c>
      <c r="T7170">
        <v>5</v>
      </c>
    </row>
    <row r="7171" spans="18:20" x14ac:dyDescent="0.25">
      <c r="R7171">
        <v>216</v>
      </c>
      <c r="S7171">
        <v>17</v>
      </c>
      <c r="T7171">
        <v>2</v>
      </c>
    </row>
    <row r="7172" spans="18:20" x14ac:dyDescent="0.25">
      <c r="R7172">
        <v>216</v>
      </c>
      <c r="S7172">
        <v>26</v>
      </c>
      <c r="T7172">
        <v>2</v>
      </c>
    </row>
    <row r="7173" spans="18:20" x14ac:dyDescent="0.25">
      <c r="R7173">
        <v>216</v>
      </c>
      <c r="S7173">
        <v>42</v>
      </c>
      <c r="T7173">
        <v>3</v>
      </c>
    </row>
    <row r="7174" spans="18:20" x14ac:dyDescent="0.25">
      <c r="R7174">
        <v>216</v>
      </c>
      <c r="S7174">
        <v>43</v>
      </c>
      <c r="T7174">
        <v>4</v>
      </c>
    </row>
    <row r="7175" spans="18:20" x14ac:dyDescent="0.25">
      <c r="R7175">
        <v>216</v>
      </c>
      <c r="S7175">
        <v>90</v>
      </c>
      <c r="T7175">
        <v>5</v>
      </c>
    </row>
    <row r="7176" spans="18:20" x14ac:dyDescent="0.25">
      <c r="R7176">
        <v>216</v>
      </c>
      <c r="S7176">
        <v>106</v>
      </c>
      <c r="T7176">
        <v>4</v>
      </c>
    </row>
    <row r="7177" spans="18:20" x14ac:dyDescent="0.25">
      <c r="R7177">
        <v>216</v>
      </c>
      <c r="S7177">
        <v>110</v>
      </c>
      <c r="T7177">
        <v>4</v>
      </c>
    </row>
    <row r="7178" spans="18:20" x14ac:dyDescent="0.25">
      <c r="R7178">
        <v>216</v>
      </c>
      <c r="S7178">
        <v>133</v>
      </c>
      <c r="T7178">
        <v>1</v>
      </c>
    </row>
    <row r="7179" spans="18:20" x14ac:dyDescent="0.25">
      <c r="R7179">
        <v>216</v>
      </c>
      <c r="S7179">
        <v>140</v>
      </c>
      <c r="T7179">
        <v>4</v>
      </c>
    </row>
    <row r="7180" spans="18:20" x14ac:dyDescent="0.25">
      <c r="R7180">
        <v>216</v>
      </c>
      <c r="S7180">
        <v>184</v>
      </c>
      <c r="T7180">
        <v>5</v>
      </c>
    </row>
    <row r="7181" spans="18:20" x14ac:dyDescent="0.25">
      <c r="R7181">
        <v>216</v>
      </c>
      <c r="S7181">
        <v>193</v>
      </c>
      <c r="T7181">
        <v>3</v>
      </c>
    </row>
    <row r="7182" spans="18:20" x14ac:dyDescent="0.25">
      <c r="R7182">
        <v>216</v>
      </c>
      <c r="S7182">
        <v>207</v>
      </c>
      <c r="T7182">
        <v>2</v>
      </c>
    </row>
    <row r="7183" spans="18:20" x14ac:dyDescent="0.25">
      <c r="R7183">
        <v>216</v>
      </c>
      <c r="S7183">
        <v>223</v>
      </c>
      <c r="T7183">
        <v>3</v>
      </c>
    </row>
    <row r="7184" spans="18:20" x14ac:dyDescent="0.25">
      <c r="R7184">
        <v>216</v>
      </c>
      <c r="S7184">
        <v>248</v>
      </c>
      <c r="T7184">
        <v>5</v>
      </c>
    </row>
    <row r="7185" spans="18:20" x14ac:dyDescent="0.25">
      <c r="R7185">
        <v>216</v>
      </c>
      <c r="S7185">
        <v>258</v>
      </c>
      <c r="T7185">
        <v>3</v>
      </c>
    </row>
    <row r="7186" spans="18:20" x14ac:dyDescent="0.25">
      <c r="R7186">
        <v>216</v>
      </c>
      <c r="S7186">
        <v>297</v>
      </c>
      <c r="T7186">
        <v>1</v>
      </c>
    </row>
    <row r="7187" spans="18:20" x14ac:dyDescent="0.25">
      <c r="R7187">
        <v>216</v>
      </c>
      <c r="S7187">
        <v>299</v>
      </c>
      <c r="T7187">
        <v>1</v>
      </c>
    </row>
    <row r="7188" spans="18:20" x14ac:dyDescent="0.25">
      <c r="R7188">
        <v>216</v>
      </c>
      <c r="S7188">
        <v>315</v>
      </c>
      <c r="T7188">
        <v>1</v>
      </c>
    </row>
    <row r="7189" spans="18:20" x14ac:dyDescent="0.25">
      <c r="R7189">
        <v>216</v>
      </c>
      <c r="S7189">
        <v>323</v>
      </c>
      <c r="T7189">
        <v>1</v>
      </c>
    </row>
    <row r="7190" spans="18:20" x14ac:dyDescent="0.25">
      <c r="R7190">
        <v>216</v>
      </c>
      <c r="S7190">
        <v>330</v>
      </c>
      <c r="T7190">
        <v>3</v>
      </c>
    </row>
    <row r="7191" spans="18:20" x14ac:dyDescent="0.25">
      <c r="R7191">
        <v>216</v>
      </c>
      <c r="S7191">
        <v>345</v>
      </c>
      <c r="T7191">
        <v>2</v>
      </c>
    </row>
    <row r="7192" spans="18:20" x14ac:dyDescent="0.25">
      <c r="R7192">
        <v>216</v>
      </c>
      <c r="S7192">
        <v>345</v>
      </c>
      <c r="T7192">
        <v>5</v>
      </c>
    </row>
    <row r="7193" spans="18:20" x14ac:dyDescent="0.25">
      <c r="R7193">
        <v>216</v>
      </c>
      <c r="S7193">
        <v>350</v>
      </c>
      <c r="T7193">
        <v>2</v>
      </c>
    </row>
    <row r="7194" spans="18:20" x14ac:dyDescent="0.25">
      <c r="R7194">
        <v>216</v>
      </c>
      <c r="S7194">
        <v>354</v>
      </c>
      <c r="T7194">
        <v>4</v>
      </c>
    </row>
    <row r="7195" spans="18:20" x14ac:dyDescent="0.25">
      <c r="R7195">
        <v>216</v>
      </c>
      <c r="S7195">
        <v>356</v>
      </c>
      <c r="T7195">
        <v>4</v>
      </c>
    </row>
    <row r="7196" spans="18:20" x14ac:dyDescent="0.25">
      <c r="R7196">
        <v>216</v>
      </c>
      <c r="S7196">
        <v>359</v>
      </c>
      <c r="T7196">
        <v>4</v>
      </c>
    </row>
    <row r="7197" spans="18:20" x14ac:dyDescent="0.25">
      <c r="R7197">
        <v>216</v>
      </c>
      <c r="S7197">
        <v>362</v>
      </c>
      <c r="T7197">
        <v>4</v>
      </c>
    </row>
    <row r="7198" spans="18:20" x14ac:dyDescent="0.25">
      <c r="R7198">
        <v>216</v>
      </c>
      <c r="S7198">
        <v>376</v>
      </c>
      <c r="T7198">
        <v>4</v>
      </c>
    </row>
    <row r="7199" spans="18:20" x14ac:dyDescent="0.25">
      <c r="R7199">
        <v>216</v>
      </c>
      <c r="S7199">
        <v>381</v>
      </c>
      <c r="T7199">
        <v>5</v>
      </c>
    </row>
    <row r="7200" spans="18:20" x14ac:dyDescent="0.25">
      <c r="R7200">
        <v>216</v>
      </c>
      <c r="S7200">
        <v>394</v>
      </c>
      <c r="T7200">
        <v>2</v>
      </c>
    </row>
    <row r="7201" spans="18:20" x14ac:dyDescent="0.25">
      <c r="R7201">
        <v>216</v>
      </c>
      <c r="S7201">
        <v>396</v>
      </c>
      <c r="T7201">
        <v>5</v>
      </c>
    </row>
    <row r="7202" spans="18:20" x14ac:dyDescent="0.25">
      <c r="R7202">
        <v>216</v>
      </c>
      <c r="S7202">
        <v>412</v>
      </c>
      <c r="T7202">
        <v>4</v>
      </c>
    </row>
    <row r="7203" spans="18:20" x14ac:dyDescent="0.25">
      <c r="R7203">
        <v>216</v>
      </c>
      <c r="S7203">
        <v>413</v>
      </c>
      <c r="T7203">
        <v>1</v>
      </c>
    </row>
    <row r="7204" spans="18:20" x14ac:dyDescent="0.25">
      <c r="R7204">
        <v>216</v>
      </c>
      <c r="S7204">
        <v>434</v>
      </c>
      <c r="T7204">
        <v>1</v>
      </c>
    </row>
    <row r="7205" spans="18:20" x14ac:dyDescent="0.25">
      <c r="R7205">
        <v>217</v>
      </c>
      <c r="S7205">
        <v>2</v>
      </c>
      <c r="T7205">
        <v>3</v>
      </c>
    </row>
    <row r="7206" spans="18:20" x14ac:dyDescent="0.25">
      <c r="R7206">
        <v>217</v>
      </c>
      <c r="S7206">
        <v>12</v>
      </c>
      <c r="T7206">
        <v>4</v>
      </c>
    </row>
    <row r="7207" spans="18:20" x14ac:dyDescent="0.25">
      <c r="R7207">
        <v>217</v>
      </c>
      <c r="S7207">
        <v>14</v>
      </c>
      <c r="T7207">
        <v>2</v>
      </c>
    </row>
    <row r="7208" spans="18:20" x14ac:dyDescent="0.25">
      <c r="R7208">
        <v>217</v>
      </c>
      <c r="S7208">
        <v>54</v>
      </c>
      <c r="T7208">
        <v>3</v>
      </c>
    </row>
    <row r="7209" spans="18:20" x14ac:dyDescent="0.25">
      <c r="R7209">
        <v>217</v>
      </c>
      <c r="S7209">
        <v>64</v>
      </c>
      <c r="T7209">
        <v>1</v>
      </c>
    </row>
    <row r="7210" spans="18:20" x14ac:dyDescent="0.25">
      <c r="R7210">
        <v>217</v>
      </c>
      <c r="S7210">
        <v>76</v>
      </c>
      <c r="T7210">
        <v>1</v>
      </c>
    </row>
    <row r="7211" spans="18:20" x14ac:dyDescent="0.25">
      <c r="R7211">
        <v>217</v>
      </c>
      <c r="S7211">
        <v>80</v>
      </c>
      <c r="T7211">
        <v>5</v>
      </c>
    </row>
    <row r="7212" spans="18:20" x14ac:dyDescent="0.25">
      <c r="R7212">
        <v>217</v>
      </c>
      <c r="S7212">
        <v>132</v>
      </c>
      <c r="T7212">
        <v>1</v>
      </c>
    </row>
    <row r="7213" spans="18:20" x14ac:dyDescent="0.25">
      <c r="R7213">
        <v>217</v>
      </c>
      <c r="S7213">
        <v>147</v>
      </c>
      <c r="T7213">
        <v>2</v>
      </c>
    </row>
    <row r="7214" spans="18:20" x14ac:dyDescent="0.25">
      <c r="R7214">
        <v>217</v>
      </c>
      <c r="S7214">
        <v>153</v>
      </c>
      <c r="T7214">
        <v>5</v>
      </c>
    </row>
    <row r="7215" spans="18:20" x14ac:dyDescent="0.25">
      <c r="R7215">
        <v>217</v>
      </c>
      <c r="S7215">
        <v>165</v>
      </c>
      <c r="T7215">
        <v>1</v>
      </c>
    </row>
    <row r="7216" spans="18:20" x14ac:dyDescent="0.25">
      <c r="R7216">
        <v>217</v>
      </c>
      <c r="S7216">
        <v>178</v>
      </c>
      <c r="T7216">
        <v>2</v>
      </c>
    </row>
    <row r="7217" spans="18:20" x14ac:dyDescent="0.25">
      <c r="R7217">
        <v>217</v>
      </c>
      <c r="S7217">
        <v>197</v>
      </c>
      <c r="T7217">
        <v>5</v>
      </c>
    </row>
    <row r="7218" spans="18:20" x14ac:dyDescent="0.25">
      <c r="R7218">
        <v>217</v>
      </c>
      <c r="S7218">
        <v>208</v>
      </c>
      <c r="T7218">
        <v>3</v>
      </c>
    </row>
    <row r="7219" spans="18:20" x14ac:dyDescent="0.25">
      <c r="R7219">
        <v>217</v>
      </c>
      <c r="S7219">
        <v>236</v>
      </c>
      <c r="T7219">
        <v>2</v>
      </c>
    </row>
    <row r="7220" spans="18:20" x14ac:dyDescent="0.25">
      <c r="R7220">
        <v>217</v>
      </c>
      <c r="S7220">
        <v>246</v>
      </c>
      <c r="T7220">
        <v>5</v>
      </c>
    </row>
    <row r="7221" spans="18:20" x14ac:dyDescent="0.25">
      <c r="R7221">
        <v>217</v>
      </c>
      <c r="S7221">
        <v>252</v>
      </c>
      <c r="T7221">
        <v>2</v>
      </c>
    </row>
    <row r="7222" spans="18:20" x14ac:dyDescent="0.25">
      <c r="R7222">
        <v>217</v>
      </c>
      <c r="S7222">
        <v>253</v>
      </c>
      <c r="T7222">
        <v>3</v>
      </c>
    </row>
    <row r="7223" spans="18:20" x14ac:dyDescent="0.25">
      <c r="R7223">
        <v>217</v>
      </c>
      <c r="S7223">
        <v>268</v>
      </c>
      <c r="T7223">
        <v>1</v>
      </c>
    </row>
    <row r="7224" spans="18:20" x14ac:dyDescent="0.25">
      <c r="R7224">
        <v>217</v>
      </c>
      <c r="S7224">
        <v>271</v>
      </c>
      <c r="T7224">
        <v>4</v>
      </c>
    </row>
    <row r="7225" spans="18:20" x14ac:dyDescent="0.25">
      <c r="R7225">
        <v>217</v>
      </c>
      <c r="S7225">
        <v>278</v>
      </c>
      <c r="T7225">
        <v>2</v>
      </c>
    </row>
    <row r="7226" spans="18:20" x14ac:dyDescent="0.25">
      <c r="R7226">
        <v>217</v>
      </c>
      <c r="S7226">
        <v>309</v>
      </c>
      <c r="T7226">
        <v>2</v>
      </c>
    </row>
    <row r="7227" spans="18:20" x14ac:dyDescent="0.25">
      <c r="R7227">
        <v>217</v>
      </c>
      <c r="S7227">
        <v>337</v>
      </c>
      <c r="T7227">
        <v>3</v>
      </c>
    </row>
    <row r="7228" spans="18:20" x14ac:dyDescent="0.25">
      <c r="R7228">
        <v>217</v>
      </c>
      <c r="S7228">
        <v>361</v>
      </c>
      <c r="T7228">
        <v>4</v>
      </c>
    </row>
    <row r="7229" spans="18:20" x14ac:dyDescent="0.25">
      <c r="R7229">
        <v>217</v>
      </c>
      <c r="S7229">
        <v>362</v>
      </c>
      <c r="T7229">
        <v>3</v>
      </c>
    </row>
    <row r="7230" spans="18:20" x14ac:dyDescent="0.25">
      <c r="R7230">
        <v>217</v>
      </c>
      <c r="S7230">
        <v>374</v>
      </c>
      <c r="T7230">
        <v>1</v>
      </c>
    </row>
    <row r="7231" spans="18:20" x14ac:dyDescent="0.25">
      <c r="R7231">
        <v>217</v>
      </c>
      <c r="S7231">
        <v>393</v>
      </c>
      <c r="T7231">
        <v>3</v>
      </c>
    </row>
    <row r="7232" spans="18:20" x14ac:dyDescent="0.25">
      <c r="R7232">
        <v>217</v>
      </c>
      <c r="S7232">
        <v>419</v>
      </c>
      <c r="T7232">
        <v>4</v>
      </c>
    </row>
    <row r="7233" spans="18:20" x14ac:dyDescent="0.25">
      <c r="R7233">
        <v>217</v>
      </c>
      <c r="S7233">
        <v>420</v>
      </c>
      <c r="T7233">
        <v>1</v>
      </c>
    </row>
    <row r="7234" spans="18:20" x14ac:dyDescent="0.25">
      <c r="R7234">
        <v>217</v>
      </c>
      <c r="S7234">
        <v>429</v>
      </c>
      <c r="T7234">
        <v>5</v>
      </c>
    </row>
    <row r="7235" spans="18:20" x14ac:dyDescent="0.25">
      <c r="R7235">
        <v>217</v>
      </c>
      <c r="S7235">
        <v>436</v>
      </c>
      <c r="T7235">
        <v>1</v>
      </c>
    </row>
    <row r="7236" spans="18:20" x14ac:dyDescent="0.25">
      <c r="R7236">
        <v>218</v>
      </c>
      <c r="S7236">
        <v>18</v>
      </c>
      <c r="T7236">
        <v>4</v>
      </c>
    </row>
    <row r="7237" spans="18:20" x14ac:dyDescent="0.25">
      <c r="R7237">
        <v>218</v>
      </c>
      <c r="S7237">
        <v>25</v>
      </c>
      <c r="T7237">
        <v>1</v>
      </c>
    </row>
    <row r="7238" spans="18:20" x14ac:dyDescent="0.25">
      <c r="R7238">
        <v>218</v>
      </c>
      <c r="S7238">
        <v>59</v>
      </c>
      <c r="T7238">
        <v>1</v>
      </c>
    </row>
    <row r="7239" spans="18:20" x14ac:dyDescent="0.25">
      <c r="R7239">
        <v>218</v>
      </c>
      <c r="S7239">
        <v>63</v>
      </c>
      <c r="T7239">
        <v>3</v>
      </c>
    </row>
    <row r="7240" spans="18:20" x14ac:dyDescent="0.25">
      <c r="R7240">
        <v>218</v>
      </c>
      <c r="S7240">
        <v>70</v>
      </c>
      <c r="T7240">
        <v>2</v>
      </c>
    </row>
    <row r="7241" spans="18:20" x14ac:dyDescent="0.25">
      <c r="R7241">
        <v>218</v>
      </c>
      <c r="S7241">
        <v>73</v>
      </c>
      <c r="T7241">
        <v>1</v>
      </c>
    </row>
    <row r="7242" spans="18:20" x14ac:dyDescent="0.25">
      <c r="R7242">
        <v>218</v>
      </c>
      <c r="S7242">
        <v>76</v>
      </c>
      <c r="T7242">
        <v>4</v>
      </c>
    </row>
    <row r="7243" spans="18:20" x14ac:dyDescent="0.25">
      <c r="R7243">
        <v>218</v>
      </c>
      <c r="S7243">
        <v>106</v>
      </c>
      <c r="T7243">
        <v>3</v>
      </c>
    </row>
    <row r="7244" spans="18:20" x14ac:dyDescent="0.25">
      <c r="R7244">
        <v>218</v>
      </c>
      <c r="S7244">
        <v>140</v>
      </c>
      <c r="T7244">
        <v>4</v>
      </c>
    </row>
    <row r="7245" spans="18:20" x14ac:dyDescent="0.25">
      <c r="R7245">
        <v>218</v>
      </c>
      <c r="S7245">
        <v>173</v>
      </c>
      <c r="T7245">
        <v>2</v>
      </c>
    </row>
    <row r="7246" spans="18:20" x14ac:dyDescent="0.25">
      <c r="R7246">
        <v>218</v>
      </c>
      <c r="S7246">
        <v>178</v>
      </c>
      <c r="T7246">
        <v>5</v>
      </c>
    </row>
    <row r="7247" spans="18:20" x14ac:dyDescent="0.25">
      <c r="R7247">
        <v>218</v>
      </c>
      <c r="S7247">
        <v>181</v>
      </c>
      <c r="T7247">
        <v>1</v>
      </c>
    </row>
    <row r="7248" spans="18:20" x14ac:dyDescent="0.25">
      <c r="R7248">
        <v>218</v>
      </c>
      <c r="S7248">
        <v>181</v>
      </c>
      <c r="T7248">
        <v>4</v>
      </c>
    </row>
    <row r="7249" spans="18:20" x14ac:dyDescent="0.25">
      <c r="R7249">
        <v>218</v>
      </c>
      <c r="S7249">
        <v>187</v>
      </c>
      <c r="T7249">
        <v>4</v>
      </c>
    </row>
    <row r="7250" spans="18:20" x14ac:dyDescent="0.25">
      <c r="R7250">
        <v>218</v>
      </c>
      <c r="S7250">
        <v>200</v>
      </c>
      <c r="T7250">
        <v>5</v>
      </c>
    </row>
    <row r="7251" spans="18:20" x14ac:dyDescent="0.25">
      <c r="R7251">
        <v>218</v>
      </c>
      <c r="S7251">
        <v>202</v>
      </c>
      <c r="T7251">
        <v>5</v>
      </c>
    </row>
    <row r="7252" spans="18:20" x14ac:dyDescent="0.25">
      <c r="R7252">
        <v>218</v>
      </c>
      <c r="S7252">
        <v>238</v>
      </c>
      <c r="T7252">
        <v>1</v>
      </c>
    </row>
    <row r="7253" spans="18:20" x14ac:dyDescent="0.25">
      <c r="R7253">
        <v>218</v>
      </c>
      <c r="S7253">
        <v>246</v>
      </c>
      <c r="T7253">
        <v>2</v>
      </c>
    </row>
    <row r="7254" spans="18:20" x14ac:dyDescent="0.25">
      <c r="R7254">
        <v>218</v>
      </c>
      <c r="S7254">
        <v>250</v>
      </c>
      <c r="T7254">
        <v>3</v>
      </c>
    </row>
    <row r="7255" spans="18:20" x14ac:dyDescent="0.25">
      <c r="R7255">
        <v>218</v>
      </c>
      <c r="S7255">
        <v>273</v>
      </c>
      <c r="T7255">
        <v>5</v>
      </c>
    </row>
    <row r="7256" spans="18:20" x14ac:dyDescent="0.25">
      <c r="R7256">
        <v>218</v>
      </c>
      <c r="S7256">
        <v>274</v>
      </c>
      <c r="T7256">
        <v>2</v>
      </c>
    </row>
    <row r="7257" spans="18:20" x14ac:dyDescent="0.25">
      <c r="R7257">
        <v>218</v>
      </c>
      <c r="S7257">
        <v>282</v>
      </c>
      <c r="T7257">
        <v>1</v>
      </c>
    </row>
    <row r="7258" spans="18:20" x14ac:dyDescent="0.25">
      <c r="R7258">
        <v>218</v>
      </c>
      <c r="S7258">
        <v>282</v>
      </c>
      <c r="T7258">
        <v>3</v>
      </c>
    </row>
    <row r="7259" spans="18:20" x14ac:dyDescent="0.25">
      <c r="R7259">
        <v>218</v>
      </c>
      <c r="S7259">
        <v>298</v>
      </c>
      <c r="T7259">
        <v>4</v>
      </c>
    </row>
    <row r="7260" spans="18:20" x14ac:dyDescent="0.25">
      <c r="R7260">
        <v>218</v>
      </c>
      <c r="S7260">
        <v>311</v>
      </c>
      <c r="T7260">
        <v>1</v>
      </c>
    </row>
    <row r="7261" spans="18:20" x14ac:dyDescent="0.25">
      <c r="R7261">
        <v>218</v>
      </c>
      <c r="S7261">
        <v>338</v>
      </c>
      <c r="T7261">
        <v>1</v>
      </c>
    </row>
    <row r="7262" spans="18:20" x14ac:dyDescent="0.25">
      <c r="R7262">
        <v>218</v>
      </c>
      <c r="S7262">
        <v>355</v>
      </c>
      <c r="T7262">
        <v>2</v>
      </c>
    </row>
    <row r="7263" spans="18:20" x14ac:dyDescent="0.25">
      <c r="R7263">
        <v>218</v>
      </c>
      <c r="S7263">
        <v>405</v>
      </c>
      <c r="T7263">
        <v>1</v>
      </c>
    </row>
    <row r="7264" spans="18:20" x14ac:dyDescent="0.25">
      <c r="R7264">
        <v>218</v>
      </c>
      <c r="S7264">
        <v>408</v>
      </c>
      <c r="T7264">
        <v>1</v>
      </c>
    </row>
    <row r="7265" spans="18:20" x14ac:dyDescent="0.25">
      <c r="R7265">
        <v>219</v>
      </c>
      <c r="S7265">
        <v>31</v>
      </c>
      <c r="T7265">
        <v>5</v>
      </c>
    </row>
    <row r="7266" spans="18:20" x14ac:dyDescent="0.25">
      <c r="R7266">
        <v>219</v>
      </c>
      <c r="S7266">
        <v>70</v>
      </c>
      <c r="T7266">
        <v>2</v>
      </c>
    </row>
    <row r="7267" spans="18:20" x14ac:dyDescent="0.25">
      <c r="R7267">
        <v>219</v>
      </c>
      <c r="S7267">
        <v>72</v>
      </c>
      <c r="T7267">
        <v>4</v>
      </c>
    </row>
    <row r="7268" spans="18:20" x14ac:dyDescent="0.25">
      <c r="R7268">
        <v>219</v>
      </c>
      <c r="S7268">
        <v>84</v>
      </c>
      <c r="T7268">
        <v>5</v>
      </c>
    </row>
    <row r="7269" spans="18:20" x14ac:dyDescent="0.25">
      <c r="R7269">
        <v>219</v>
      </c>
      <c r="S7269">
        <v>86</v>
      </c>
      <c r="T7269">
        <v>1</v>
      </c>
    </row>
    <row r="7270" spans="18:20" x14ac:dyDescent="0.25">
      <c r="R7270">
        <v>219</v>
      </c>
      <c r="S7270">
        <v>89</v>
      </c>
      <c r="T7270">
        <v>2</v>
      </c>
    </row>
    <row r="7271" spans="18:20" x14ac:dyDescent="0.25">
      <c r="R7271">
        <v>219</v>
      </c>
      <c r="S7271">
        <v>91</v>
      </c>
      <c r="T7271">
        <v>4</v>
      </c>
    </row>
    <row r="7272" spans="18:20" x14ac:dyDescent="0.25">
      <c r="R7272">
        <v>219</v>
      </c>
      <c r="S7272">
        <v>98</v>
      </c>
      <c r="T7272">
        <v>5</v>
      </c>
    </row>
    <row r="7273" spans="18:20" x14ac:dyDescent="0.25">
      <c r="R7273">
        <v>219</v>
      </c>
      <c r="S7273">
        <v>100</v>
      </c>
      <c r="T7273">
        <v>2</v>
      </c>
    </row>
    <row r="7274" spans="18:20" x14ac:dyDescent="0.25">
      <c r="R7274">
        <v>219</v>
      </c>
      <c r="S7274">
        <v>111</v>
      </c>
      <c r="T7274">
        <v>3</v>
      </c>
    </row>
    <row r="7275" spans="18:20" x14ac:dyDescent="0.25">
      <c r="R7275">
        <v>219</v>
      </c>
      <c r="S7275">
        <v>111</v>
      </c>
      <c r="T7275">
        <v>3</v>
      </c>
    </row>
    <row r="7276" spans="18:20" x14ac:dyDescent="0.25">
      <c r="R7276">
        <v>219</v>
      </c>
      <c r="S7276">
        <v>137</v>
      </c>
      <c r="T7276">
        <v>1</v>
      </c>
    </row>
    <row r="7277" spans="18:20" x14ac:dyDescent="0.25">
      <c r="R7277">
        <v>219</v>
      </c>
      <c r="S7277">
        <v>146</v>
      </c>
      <c r="T7277">
        <v>2</v>
      </c>
    </row>
    <row r="7278" spans="18:20" x14ac:dyDescent="0.25">
      <c r="R7278">
        <v>219</v>
      </c>
      <c r="S7278">
        <v>171</v>
      </c>
      <c r="T7278">
        <v>3</v>
      </c>
    </row>
    <row r="7279" spans="18:20" x14ac:dyDescent="0.25">
      <c r="R7279">
        <v>219</v>
      </c>
      <c r="S7279">
        <v>177</v>
      </c>
      <c r="T7279">
        <v>5</v>
      </c>
    </row>
    <row r="7280" spans="18:20" x14ac:dyDescent="0.25">
      <c r="R7280">
        <v>219</v>
      </c>
      <c r="S7280">
        <v>181</v>
      </c>
      <c r="T7280">
        <v>5</v>
      </c>
    </row>
    <row r="7281" spans="18:20" x14ac:dyDescent="0.25">
      <c r="R7281">
        <v>219</v>
      </c>
      <c r="S7281">
        <v>208</v>
      </c>
      <c r="T7281">
        <v>2</v>
      </c>
    </row>
    <row r="7282" spans="18:20" x14ac:dyDescent="0.25">
      <c r="R7282">
        <v>219</v>
      </c>
      <c r="S7282">
        <v>215</v>
      </c>
      <c r="T7282">
        <v>5</v>
      </c>
    </row>
    <row r="7283" spans="18:20" x14ac:dyDescent="0.25">
      <c r="R7283">
        <v>219</v>
      </c>
      <c r="S7283">
        <v>221</v>
      </c>
      <c r="T7283">
        <v>1</v>
      </c>
    </row>
    <row r="7284" spans="18:20" x14ac:dyDescent="0.25">
      <c r="R7284">
        <v>219</v>
      </c>
      <c r="S7284">
        <v>258</v>
      </c>
      <c r="T7284">
        <v>2</v>
      </c>
    </row>
    <row r="7285" spans="18:20" x14ac:dyDescent="0.25">
      <c r="R7285">
        <v>219</v>
      </c>
      <c r="S7285">
        <v>307</v>
      </c>
      <c r="T7285">
        <v>3</v>
      </c>
    </row>
    <row r="7286" spans="18:20" x14ac:dyDescent="0.25">
      <c r="R7286">
        <v>219</v>
      </c>
      <c r="S7286">
        <v>322</v>
      </c>
      <c r="T7286">
        <v>1</v>
      </c>
    </row>
    <row r="7287" spans="18:20" x14ac:dyDescent="0.25">
      <c r="R7287">
        <v>219</v>
      </c>
      <c r="S7287">
        <v>356</v>
      </c>
      <c r="T7287">
        <v>3</v>
      </c>
    </row>
    <row r="7288" spans="18:20" x14ac:dyDescent="0.25">
      <c r="R7288">
        <v>219</v>
      </c>
      <c r="S7288">
        <v>357</v>
      </c>
      <c r="T7288">
        <v>2</v>
      </c>
    </row>
    <row r="7289" spans="18:20" x14ac:dyDescent="0.25">
      <c r="R7289">
        <v>219</v>
      </c>
      <c r="S7289">
        <v>380</v>
      </c>
      <c r="T7289">
        <v>4</v>
      </c>
    </row>
    <row r="7290" spans="18:20" x14ac:dyDescent="0.25">
      <c r="R7290">
        <v>219</v>
      </c>
      <c r="S7290">
        <v>413</v>
      </c>
      <c r="T7290">
        <v>3</v>
      </c>
    </row>
    <row r="7291" spans="18:20" x14ac:dyDescent="0.25">
      <c r="R7291">
        <v>219</v>
      </c>
      <c r="S7291">
        <v>421</v>
      </c>
      <c r="T7291">
        <v>4</v>
      </c>
    </row>
    <row r="7292" spans="18:20" x14ac:dyDescent="0.25">
      <c r="R7292">
        <v>219</v>
      </c>
      <c r="S7292">
        <v>423</v>
      </c>
      <c r="T7292">
        <v>1</v>
      </c>
    </row>
    <row r="7293" spans="18:20" x14ac:dyDescent="0.25">
      <c r="R7293">
        <v>219</v>
      </c>
      <c r="S7293">
        <v>430</v>
      </c>
      <c r="T7293">
        <v>3</v>
      </c>
    </row>
    <row r="7294" spans="18:20" x14ac:dyDescent="0.25">
      <c r="R7294">
        <v>220</v>
      </c>
      <c r="S7294">
        <v>3</v>
      </c>
      <c r="T7294">
        <v>1</v>
      </c>
    </row>
    <row r="7295" spans="18:20" x14ac:dyDescent="0.25">
      <c r="R7295">
        <v>220</v>
      </c>
      <c r="S7295">
        <v>4</v>
      </c>
      <c r="T7295">
        <v>4</v>
      </c>
    </row>
    <row r="7296" spans="18:20" x14ac:dyDescent="0.25">
      <c r="R7296">
        <v>220</v>
      </c>
      <c r="S7296">
        <v>39</v>
      </c>
      <c r="T7296">
        <v>4</v>
      </c>
    </row>
    <row r="7297" spans="18:20" x14ac:dyDescent="0.25">
      <c r="R7297">
        <v>220</v>
      </c>
      <c r="S7297">
        <v>40</v>
      </c>
      <c r="T7297">
        <v>5</v>
      </c>
    </row>
    <row r="7298" spans="18:20" x14ac:dyDescent="0.25">
      <c r="R7298">
        <v>220</v>
      </c>
      <c r="S7298">
        <v>75</v>
      </c>
      <c r="T7298">
        <v>1</v>
      </c>
    </row>
    <row r="7299" spans="18:20" x14ac:dyDescent="0.25">
      <c r="R7299">
        <v>220</v>
      </c>
      <c r="S7299">
        <v>136</v>
      </c>
      <c r="T7299">
        <v>5</v>
      </c>
    </row>
    <row r="7300" spans="18:20" x14ac:dyDescent="0.25">
      <c r="R7300">
        <v>220</v>
      </c>
      <c r="S7300">
        <v>139</v>
      </c>
      <c r="T7300">
        <v>1</v>
      </c>
    </row>
    <row r="7301" spans="18:20" x14ac:dyDescent="0.25">
      <c r="R7301">
        <v>220</v>
      </c>
      <c r="S7301">
        <v>152</v>
      </c>
      <c r="T7301">
        <v>2</v>
      </c>
    </row>
    <row r="7302" spans="18:20" x14ac:dyDescent="0.25">
      <c r="R7302">
        <v>220</v>
      </c>
      <c r="S7302">
        <v>154</v>
      </c>
      <c r="T7302">
        <v>5</v>
      </c>
    </row>
    <row r="7303" spans="18:20" x14ac:dyDescent="0.25">
      <c r="R7303">
        <v>220</v>
      </c>
      <c r="S7303">
        <v>160</v>
      </c>
      <c r="T7303">
        <v>3</v>
      </c>
    </row>
    <row r="7304" spans="18:20" x14ac:dyDescent="0.25">
      <c r="R7304">
        <v>220</v>
      </c>
      <c r="S7304">
        <v>171</v>
      </c>
      <c r="T7304">
        <v>5</v>
      </c>
    </row>
    <row r="7305" spans="18:20" x14ac:dyDescent="0.25">
      <c r="R7305">
        <v>220</v>
      </c>
      <c r="S7305">
        <v>187</v>
      </c>
      <c r="T7305">
        <v>2</v>
      </c>
    </row>
    <row r="7306" spans="18:20" x14ac:dyDescent="0.25">
      <c r="R7306">
        <v>220</v>
      </c>
      <c r="S7306">
        <v>191</v>
      </c>
      <c r="T7306">
        <v>2</v>
      </c>
    </row>
    <row r="7307" spans="18:20" x14ac:dyDescent="0.25">
      <c r="R7307">
        <v>220</v>
      </c>
      <c r="S7307">
        <v>211</v>
      </c>
      <c r="T7307">
        <v>4</v>
      </c>
    </row>
    <row r="7308" spans="18:20" x14ac:dyDescent="0.25">
      <c r="R7308">
        <v>220</v>
      </c>
      <c r="S7308">
        <v>240</v>
      </c>
      <c r="T7308">
        <v>2</v>
      </c>
    </row>
    <row r="7309" spans="18:20" x14ac:dyDescent="0.25">
      <c r="R7309">
        <v>220</v>
      </c>
      <c r="S7309">
        <v>270</v>
      </c>
      <c r="T7309">
        <v>4</v>
      </c>
    </row>
    <row r="7310" spans="18:20" x14ac:dyDescent="0.25">
      <c r="R7310">
        <v>220</v>
      </c>
      <c r="S7310">
        <v>271</v>
      </c>
      <c r="T7310">
        <v>1</v>
      </c>
    </row>
    <row r="7311" spans="18:20" x14ac:dyDescent="0.25">
      <c r="R7311">
        <v>220</v>
      </c>
      <c r="S7311">
        <v>300</v>
      </c>
      <c r="T7311">
        <v>3</v>
      </c>
    </row>
    <row r="7312" spans="18:20" x14ac:dyDescent="0.25">
      <c r="R7312">
        <v>220</v>
      </c>
      <c r="S7312">
        <v>329</v>
      </c>
      <c r="T7312">
        <v>1</v>
      </c>
    </row>
    <row r="7313" spans="18:20" x14ac:dyDescent="0.25">
      <c r="R7313">
        <v>220</v>
      </c>
      <c r="S7313">
        <v>362</v>
      </c>
      <c r="T7313">
        <v>1</v>
      </c>
    </row>
    <row r="7314" spans="18:20" x14ac:dyDescent="0.25">
      <c r="R7314">
        <v>220</v>
      </c>
      <c r="S7314">
        <v>368</v>
      </c>
      <c r="T7314">
        <v>3</v>
      </c>
    </row>
    <row r="7315" spans="18:20" x14ac:dyDescent="0.25">
      <c r="R7315">
        <v>220</v>
      </c>
      <c r="S7315">
        <v>371</v>
      </c>
      <c r="T7315">
        <v>2</v>
      </c>
    </row>
    <row r="7316" spans="18:20" x14ac:dyDescent="0.25">
      <c r="R7316">
        <v>220</v>
      </c>
      <c r="S7316">
        <v>382</v>
      </c>
      <c r="T7316">
        <v>3</v>
      </c>
    </row>
    <row r="7317" spans="18:20" x14ac:dyDescent="0.25">
      <c r="R7317">
        <v>220</v>
      </c>
      <c r="S7317">
        <v>387</v>
      </c>
      <c r="T7317">
        <v>3</v>
      </c>
    </row>
    <row r="7318" spans="18:20" x14ac:dyDescent="0.25">
      <c r="R7318">
        <v>220</v>
      </c>
      <c r="S7318">
        <v>390</v>
      </c>
      <c r="T7318">
        <v>1</v>
      </c>
    </row>
    <row r="7319" spans="18:20" x14ac:dyDescent="0.25">
      <c r="R7319">
        <v>220</v>
      </c>
      <c r="S7319">
        <v>394</v>
      </c>
      <c r="T7319">
        <v>2</v>
      </c>
    </row>
    <row r="7320" spans="18:20" x14ac:dyDescent="0.25">
      <c r="R7320">
        <v>220</v>
      </c>
      <c r="S7320">
        <v>399</v>
      </c>
      <c r="T7320">
        <v>1</v>
      </c>
    </row>
    <row r="7321" spans="18:20" x14ac:dyDescent="0.25">
      <c r="R7321">
        <v>220</v>
      </c>
      <c r="S7321">
        <v>401</v>
      </c>
      <c r="T7321">
        <v>3</v>
      </c>
    </row>
    <row r="7322" spans="18:20" x14ac:dyDescent="0.25">
      <c r="R7322">
        <v>220</v>
      </c>
      <c r="S7322">
        <v>415</v>
      </c>
      <c r="T7322">
        <v>1</v>
      </c>
    </row>
    <row r="7323" spans="18:20" x14ac:dyDescent="0.25">
      <c r="R7323">
        <v>220</v>
      </c>
      <c r="S7323">
        <v>422</v>
      </c>
      <c r="T7323">
        <v>2</v>
      </c>
    </row>
    <row r="7324" spans="18:20" x14ac:dyDescent="0.25">
      <c r="R7324">
        <v>221</v>
      </c>
      <c r="S7324">
        <v>21</v>
      </c>
      <c r="T7324">
        <v>4</v>
      </c>
    </row>
    <row r="7325" spans="18:20" x14ac:dyDescent="0.25">
      <c r="R7325">
        <v>221</v>
      </c>
      <c r="S7325">
        <v>26</v>
      </c>
      <c r="T7325">
        <v>2</v>
      </c>
    </row>
    <row r="7326" spans="18:20" x14ac:dyDescent="0.25">
      <c r="R7326">
        <v>221</v>
      </c>
      <c r="S7326">
        <v>71</v>
      </c>
      <c r="T7326">
        <v>1</v>
      </c>
    </row>
    <row r="7327" spans="18:20" x14ac:dyDescent="0.25">
      <c r="R7327">
        <v>221</v>
      </c>
      <c r="S7327">
        <v>76</v>
      </c>
      <c r="T7327">
        <v>2</v>
      </c>
    </row>
    <row r="7328" spans="18:20" x14ac:dyDescent="0.25">
      <c r="R7328">
        <v>221</v>
      </c>
      <c r="S7328">
        <v>80</v>
      </c>
      <c r="T7328">
        <v>4</v>
      </c>
    </row>
    <row r="7329" spans="18:20" x14ac:dyDescent="0.25">
      <c r="R7329">
        <v>221</v>
      </c>
      <c r="S7329">
        <v>91</v>
      </c>
      <c r="T7329">
        <v>4</v>
      </c>
    </row>
    <row r="7330" spans="18:20" x14ac:dyDescent="0.25">
      <c r="R7330">
        <v>221</v>
      </c>
      <c r="S7330">
        <v>95</v>
      </c>
      <c r="T7330">
        <v>2</v>
      </c>
    </row>
    <row r="7331" spans="18:20" x14ac:dyDescent="0.25">
      <c r="R7331">
        <v>221</v>
      </c>
      <c r="S7331">
        <v>110</v>
      </c>
      <c r="T7331">
        <v>4</v>
      </c>
    </row>
    <row r="7332" spans="18:20" x14ac:dyDescent="0.25">
      <c r="R7332">
        <v>221</v>
      </c>
      <c r="S7332">
        <v>118</v>
      </c>
      <c r="T7332">
        <v>3</v>
      </c>
    </row>
    <row r="7333" spans="18:20" x14ac:dyDescent="0.25">
      <c r="R7333">
        <v>221</v>
      </c>
      <c r="S7333">
        <v>138</v>
      </c>
      <c r="T7333">
        <v>5</v>
      </c>
    </row>
    <row r="7334" spans="18:20" x14ac:dyDescent="0.25">
      <c r="R7334">
        <v>221</v>
      </c>
      <c r="S7334">
        <v>142</v>
      </c>
      <c r="T7334">
        <v>1</v>
      </c>
    </row>
    <row r="7335" spans="18:20" x14ac:dyDescent="0.25">
      <c r="R7335">
        <v>221</v>
      </c>
      <c r="S7335">
        <v>176</v>
      </c>
      <c r="T7335">
        <v>3</v>
      </c>
    </row>
    <row r="7336" spans="18:20" x14ac:dyDescent="0.25">
      <c r="R7336">
        <v>221</v>
      </c>
      <c r="S7336">
        <v>189</v>
      </c>
      <c r="T7336">
        <v>1</v>
      </c>
    </row>
    <row r="7337" spans="18:20" x14ac:dyDescent="0.25">
      <c r="R7337">
        <v>221</v>
      </c>
      <c r="S7337">
        <v>196</v>
      </c>
      <c r="T7337">
        <v>2</v>
      </c>
    </row>
    <row r="7338" spans="18:20" x14ac:dyDescent="0.25">
      <c r="R7338">
        <v>221</v>
      </c>
      <c r="S7338">
        <v>220</v>
      </c>
      <c r="T7338">
        <v>1</v>
      </c>
    </row>
    <row r="7339" spans="18:20" x14ac:dyDescent="0.25">
      <c r="R7339">
        <v>221</v>
      </c>
      <c r="S7339">
        <v>221</v>
      </c>
      <c r="T7339">
        <v>5</v>
      </c>
    </row>
    <row r="7340" spans="18:20" x14ac:dyDescent="0.25">
      <c r="R7340">
        <v>221</v>
      </c>
      <c r="S7340">
        <v>227</v>
      </c>
      <c r="T7340">
        <v>4</v>
      </c>
    </row>
    <row r="7341" spans="18:20" x14ac:dyDescent="0.25">
      <c r="R7341">
        <v>221</v>
      </c>
      <c r="S7341">
        <v>261</v>
      </c>
      <c r="T7341">
        <v>1</v>
      </c>
    </row>
    <row r="7342" spans="18:20" x14ac:dyDescent="0.25">
      <c r="R7342">
        <v>221</v>
      </c>
      <c r="S7342">
        <v>262</v>
      </c>
      <c r="T7342">
        <v>5</v>
      </c>
    </row>
    <row r="7343" spans="18:20" x14ac:dyDescent="0.25">
      <c r="R7343">
        <v>221</v>
      </c>
      <c r="S7343">
        <v>332</v>
      </c>
      <c r="T7343">
        <v>3</v>
      </c>
    </row>
    <row r="7344" spans="18:20" x14ac:dyDescent="0.25">
      <c r="R7344">
        <v>221</v>
      </c>
      <c r="S7344">
        <v>336</v>
      </c>
      <c r="T7344">
        <v>2</v>
      </c>
    </row>
    <row r="7345" spans="18:20" x14ac:dyDescent="0.25">
      <c r="R7345">
        <v>221</v>
      </c>
      <c r="S7345">
        <v>356</v>
      </c>
      <c r="T7345">
        <v>3</v>
      </c>
    </row>
    <row r="7346" spans="18:20" x14ac:dyDescent="0.25">
      <c r="R7346">
        <v>221</v>
      </c>
      <c r="S7346">
        <v>385</v>
      </c>
      <c r="T7346">
        <v>1</v>
      </c>
    </row>
    <row r="7347" spans="18:20" x14ac:dyDescent="0.25">
      <c r="R7347">
        <v>221</v>
      </c>
      <c r="S7347">
        <v>386</v>
      </c>
      <c r="T7347">
        <v>4</v>
      </c>
    </row>
    <row r="7348" spans="18:20" x14ac:dyDescent="0.25">
      <c r="R7348">
        <v>221</v>
      </c>
      <c r="S7348">
        <v>398</v>
      </c>
      <c r="T7348">
        <v>3</v>
      </c>
    </row>
    <row r="7349" spans="18:20" x14ac:dyDescent="0.25">
      <c r="R7349">
        <v>221</v>
      </c>
      <c r="S7349">
        <v>405</v>
      </c>
      <c r="T7349">
        <v>3</v>
      </c>
    </row>
    <row r="7350" spans="18:20" x14ac:dyDescent="0.25">
      <c r="R7350">
        <v>221</v>
      </c>
      <c r="S7350">
        <v>411</v>
      </c>
      <c r="T7350">
        <v>4</v>
      </c>
    </row>
    <row r="7351" spans="18:20" x14ac:dyDescent="0.25">
      <c r="R7351">
        <v>221</v>
      </c>
      <c r="S7351">
        <v>421</v>
      </c>
      <c r="T7351">
        <v>4</v>
      </c>
    </row>
    <row r="7352" spans="18:20" x14ac:dyDescent="0.25">
      <c r="R7352">
        <v>222</v>
      </c>
      <c r="S7352">
        <v>5</v>
      </c>
      <c r="T7352">
        <v>4</v>
      </c>
    </row>
    <row r="7353" spans="18:20" x14ac:dyDescent="0.25">
      <c r="R7353">
        <v>222</v>
      </c>
      <c r="S7353">
        <v>8</v>
      </c>
      <c r="T7353">
        <v>1</v>
      </c>
    </row>
    <row r="7354" spans="18:20" x14ac:dyDescent="0.25">
      <c r="R7354">
        <v>222</v>
      </c>
      <c r="S7354">
        <v>12</v>
      </c>
      <c r="T7354">
        <v>4</v>
      </c>
    </row>
    <row r="7355" spans="18:20" x14ac:dyDescent="0.25">
      <c r="R7355">
        <v>222</v>
      </c>
      <c r="S7355">
        <v>25</v>
      </c>
      <c r="T7355">
        <v>1</v>
      </c>
    </row>
    <row r="7356" spans="18:20" x14ac:dyDescent="0.25">
      <c r="R7356">
        <v>222</v>
      </c>
      <c r="S7356">
        <v>35</v>
      </c>
      <c r="T7356">
        <v>4</v>
      </c>
    </row>
    <row r="7357" spans="18:20" x14ac:dyDescent="0.25">
      <c r="R7357">
        <v>222</v>
      </c>
      <c r="S7357">
        <v>43</v>
      </c>
      <c r="T7357">
        <v>1</v>
      </c>
    </row>
    <row r="7358" spans="18:20" x14ac:dyDescent="0.25">
      <c r="R7358">
        <v>222</v>
      </c>
      <c r="S7358">
        <v>70</v>
      </c>
      <c r="T7358">
        <v>4</v>
      </c>
    </row>
    <row r="7359" spans="18:20" x14ac:dyDescent="0.25">
      <c r="R7359">
        <v>222</v>
      </c>
      <c r="S7359">
        <v>71</v>
      </c>
      <c r="T7359">
        <v>2</v>
      </c>
    </row>
    <row r="7360" spans="18:20" x14ac:dyDescent="0.25">
      <c r="R7360">
        <v>222</v>
      </c>
      <c r="S7360">
        <v>75</v>
      </c>
      <c r="T7360">
        <v>3</v>
      </c>
    </row>
    <row r="7361" spans="18:20" x14ac:dyDescent="0.25">
      <c r="R7361">
        <v>222</v>
      </c>
      <c r="S7361">
        <v>80</v>
      </c>
      <c r="T7361">
        <v>5</v>
      </c>
    </row>
    <row r="7362" spans="18:20" x14ac:dyDescent="0.25">
      <c r="R7362">
        <v>222</v>
      </c>
      <c r="S7362">
        <v>89</v>
      </c>
      <c r="T7362">
        <v>1</v>
      </c>
    </row>
    <row r="7363" spans="18:20" x14ac:dyDescent="0.25">
      <c r="R7363">
        <v>222</v>
      </c>
      <c r="S7363">
        <v>89</v>
      </c>
      <c r="T7363">
        <v>2</v>
      </c>
    </row>
    <row r="7364" spans="18:20" x14ac:dyDescent="0.25">
      <c r="R7364">
        <v>222</v>
      </c>
      <c r="S7364">
        <v>104</v>
      </c>
      <c r="T7364">
        <v>2</v>
      </c>
    </row>
    <row r="7365" spans="18:20" x14ac:dyDescent="0.25">
      <c r="R7365">
        <v>222</v>
      </c>
      <c r="S7365">
        <v>127</v>
      </c>
      <c r="T7365">
        <v>4</v>
      </c>
    </row>
    <row r="7366" spans="18:20" x14ac:dyDescent="0.25">
      <c r="R7366">
        <v>222</v>
      </c>
      <c r="S7366">
        <v>134</v>
      </c>
      <c r="T7366">
        <v>4</v>
      </c>
    </row>
    <row r="7367" spans="18:20" x14ac:dyDescent="0.25">
      <c r="R7367">
        <v>222</v>
      </c>
      <c r="S7367">
        <v>138</v>
      </c>
      <c r="T7367">
        <v>5</v>
      </c>
    </row>
    <row r="7368" spans="18:20" x14ac:dyDescent="0.25">
      <c r="R7368">
        <v>222</v>
      </c>
      <c r="S7368">
        <v>144</v>
      </c>
      <c r="T7368">
        <v>1</v>
      </c>
    </row>
    <row r="7369" spans="18:20" x14ac:dyDescent="0.25">
      <c r="R7369">
        <v>222</v>
      </c>
      <c r="S7369">
        <v>154</v>
      </c>
      <c r="T7369">
        <v>4</v>
      </c>
    </row>
    <row r="7370" spans="18:20" x14ac:dyDescent="0.25">
      <c r="R7370">
        <v>222</v>
      </c>
      <c r="S7370">
        <v>169</v>
      </c>
      <c r="T7370">
        <v>5</v>
      </c>
    </row>
    <row r="7371" spans="18:20" x14ac:dyDescent="0.25">
      <c r="R7371">
        <v>222</v>
      </c>
      <c r="S7371">
        <v>183</v>
      </c>
      <c r="T7371">
        <v>1</v>
      </c>
    </row>
    <row r="7372" spans="18:20" x14ac:dyDescent="0.25">
      <c r="R7372">
        <v>222</v>
      </c>
      <c r="S7372">
        <v>186</v>
      </c>
      <c r="T7372">
        <v>3</v>
      </c>
    </row>
    <row r="7373" spans="18:20" x14ac:dyDescent="0.25">
      <c r="R7373">
        <v>222</v>
      </c>
      <c r="S7373">
        <v>194</v>
      </c>
      <c r="T7373">
        <v>2</v>
      </c>
    </row>
    <row r="7374" spans="18:20" x14ac:dyDescent="0.25">
      <c r="R7374">
        <v>222</v>
      </c>
      <c r="S7374">
        <v>211</v>
      </c>
      <c r="T7374">
        <v>3</v>
      </c>
    </row>
    <row r="7375" spans="18:20" x14ac:dyDescent="0.25">
      <c r="R7375">
        <v>222</v>
      </c>
      <c r="S7375">
        <v>216</v>
      </c>
      <c r="T7375">
        <v>4</v>
      </c>
    </row>
    <row r="7376" spans="18:20" x14ac:dyDescent="0.25">
      <c r="R7376">
        <v>222</v>
      </c>
      <c r="S7376">
        <v>225</v>
      </c>
      <c r="T7376">
        <v>2</v>
      </c>
    </row>
    <row r="7377" spans="18:20" x14ac:dyDescent="0.25">
      <c r="R7377">
        <v>222</v>
      </c>
      <c r="S7377">
        <v>235</v>
      </c>
      <c r="T7377">
        <v>5</v>
      </c>
    </row>
    <row r="7378" spans="18:20" x14ac:dyDescent="0.25">
      <c r="R7378">
        <v>222</v>
      </c>
      <c r="S7378">
        <v>248</v>
      </c>
      <c r="T7378">
        <v>5</v>
      </c>
    </row>
    <row r="7379" spans="18:20" x14ac:dyDescent="0.25">
      <c r="R7379">
        <v>222</v>
      </c>
      <c r="S7379">
        <v>277</v>
      </c>
      <c r="T7379">
        <v>4</v>
      </c>
    </row>
    <row r="7380" spans="18:20" x14ac:dyDescent="0.25">
      <c r="R7380">
        <v>222</v>
      </c>
      <c r="S7380">
        <v>298</v>
      </c>
      <c r="T7380">
        <v>4</v>
      </c>
    </row>
    <row r="7381" spans="18:20" x14ac:dyDescent="0.25">
      <c r="R7381">
        <v>222</v>
      </c>
      <c r="S7381">
        <v>333</v>
      </c>
      <c r="T7381">
        <v>5</v>
      </c>
    </row>
    <row r="7382" spans="18:20" x14ac:dyDescent="0.25">
      <c r="R7382">
        <v>222</v>
      </c>
      <c r="S7382">
        <v>335</v>
      </c>
      <c r="T7382">
        <v>1</v>
      </c>
    </row>
    <row r="7383" spans="18:20" x14ac:dyDescent="0.25">
      <c r="R7383">
        <v>222</v>
      </c>
      <c r="S7383">
        <v>346</v>
      </c>
      <c r="T7383">
        <v>2</v>
      </c>
    </row>
    <row r="7384" spans="18:20" x14ac:dyDescent="0.25">
      <c r="R7384">
        <v>222</v>
      </c>
      <c r="S7384">
        <v>381</v>
      </c>
      <c r="T7384">
        <v>2</v>
      </c>
    </row>
    <row r="7385" spans="18:20" x14ac:dyDescent="0.25">
      <c r="R7385">
        <v>222</v>
      </c>
      <c r="S7385">
        <v>419</v>
      </c>
      <c r="T7385">
        <v>1</v>
      </c>
    </row>
    <row r="7386" spans="18:20" x14ac:dyDescent="0.25">
      <c r="R7386">
        <v>222</v>
      </c>
      <c r="S7386">
        <v>436</v>
      </c>
      <c r="T7386">
        <v>2</v>
      </c>
    </row>
    <row r="7387" spans="18:20" x14ac:dyDescent="0.25">
      <c r="R7387">
        <v>223</v>
      </c>
      <c r="S7387">
        <v>11</v>
      </c>
      <c r="T7387">
        <v>4</v>
      </c>
    </row>
    <row r="7388" spans="18:20" x14ac:dyDescent="0.25">
      <c r="R7388">
        <v>223</v>
      </c>
      <c r="S7388">
        <v>12</v>
      </c>
      <c r="T7388">
        <v>1</v>
      </c>
    </row>
    <row r="7389" spans="18:20" x14ac:dyDescent="0.25">
      <c r="R7389">
        <v>223</v>
      </c>
      <c r="S7389">
        <v>13</v>
      </c>
      <c r="T7389">
        <v>4</v>
      </c>
    </row>
    <row r="7390" spans="18:20" x14ac:dyDescent="0.25">
      <c r="R7390">
        <v>223</v>
      </c>
      <c r="S7390">
        <v>19</v>
      </c>
      <c r="T7390">
        <v>5</v>
      </c>
    </row>
    <row r="7391" spans="18:20" x14ac:dyDescent="0.25">
      <c r="R7391">
        <v>223</v>
      </c>
      <c r="S7391">
        <v>35</v>
      </c>
      <c r="T7391">
        <v>2</v>
      </c>
    </row>
    <row r="7392" spans="18:20" x14ac:dyDescent="0.25">
      <c r="R7392">
        <v>223</v>
      </c>
      <c r="S7392">
        <v>36</v>
      </c>
      <c r="T7392">
        <v>3</v>
      </c>
    </row>
    <row r="7393" spans="18:20" x14ac:dyDescent="0.25">
      <c r="R7393">
        <v>223</v>
      </c>
      <c r="S7393">
        <v>41</v>
      </c>
      <c r="T7393">
        <v>4</v>
      </c>
    </row>
    <row r="7394" spans="18:20" x14ac:dyDescent="0.25">
      <c r="R7394">
        <v>223</v>
      </c>
      <c r="S7394">
        <v>62</v>
      </c>
      <c r="T7394">
        <v>1</v>
      </c>
    </row>
    <row r="7395" spans="18:20" x14ac:dyDescent="0.25">
      <c r="R7395">
        <v>223</v>
      </c>
      <c r="S7395">
        <v>66</v>
      </c>
      <c r="T7395">
        <v>2</v>
      </c>
    </row>
    <row r="7396" spans="18:20" x14ac:dyDescent="0.25">
      <c r="R7396">
        <v>223</v>
      </c>
      <c r="S7396">
        <v>75</v>
      </c>
      <c r="T7396">
        <v>2</v>
      </c>
    </row>
    <row r="7397" spans="18:20" x14ac:dyDescent="0.25">
      <c r="R7397">
        <v>223</v>
      </c>
      <c r="S7397">
        <v>78</v>
      </c>
      <c r="T7397">
        <v>1</v>
      </c>
    </row>
    <row r="7398" spans="18:20" x14ac:dyDescent="0.25">
      <c r="R7398">
        <v>223</v>
      </c>
      <c r="S7398">
        <v>95</v>
      </c>
      <c r="T7398">
        <v>4</v>
      </c>
    </row>
    <row r="7399" spans="18:20" x14ac:dyDescent="0.25">
      <c r="R7399">
        <v>223</v>
      </c>
      <c r="S7399">
        <v>97</v>
      </c>
      <c r="T7399">
        <v>4</v>
      </c>
    </row>
    <row r="7400" spans="18:20" x14ac:dyDescent="0.25">
      <c r="R7400">
        <v>223</v>
      </c>
      <c r="S7400">
        <v>106</v>
      </c>
      <c r="T7400">
        <v>3</v>
      </c>
    </row>
    <row r="7401" spans="18:20" x14ac:dyDescent="0.25">
      <c r="R7401">
        <v>223</v>
      </c>
      <c r="S7401">
        <v>107</v>
      </c>
      <c r="T7401">
        <v>5</v>
      </c>
    </row>
    <row r="7402" spans="18:20" x14ac:dyDescent="0.25">
      <c r="R7402">
        <v>223</v>
      </c>
      <c r="S7402">
        <v>124</v>
      </c>
      <c r="T7402">
        <v>2</v>
      </c>
    </row>
    <row r="7403" spans="18:20" x14ac:dyDescent="0.25">
      <c r="R7403">
        <v>223</v>
      </c>
      <c r="S7403">
        <v>132</v>
      </c>
      <c r="T7403">
        <v>2</v>
      </c>
    </row>
    <row r="7404" spans="18:20" x14ac:dyDescent="0.25">
      <c r="R7404">
        <v>223</v>
      </c>
      <c r="S7404">
        <v>160</v>
      </c>
      <c r="T7404">
        <v>5</v>
      </c>
    </row>
    <row r="7405" spans="18:20" x14ac:dyDescent="0.25">
      <c r="R7405">
        <v>223</v>
      </c>
      <c r="S7405">
        <v>181</v>
      </c>
      <c r="T7405">
        <v>5</v>
      </c>
    </row>
    <row r="7406" spans="18:20" x14ac:dyDescent="0.25">
      <c r="R7406">
        <v>223</v>
      </c>
      <c r="S7406">
        <v>181</v>
      </c>
      <c r="T7406">
        <v>4</v>
      </c>
    </row>
    <row r="7407" spans="18:20" x14ac:dyDescent="0.25">
      <c r="R7407">
        <v>223</v>
      </c>
      <c r="S7407">
        <v>222</v>
      </c>
      <c r="T7407">
        <v>1</v>
      </c>
    </row>
    <row r="7408" spans="18:20" x14ac:dyDescent="0.25">
      <c r="R7408">
        <v>223</v>
      </c>
      <c r="S7408">
        <v>231</v>
      </c>
      <c r="T7408">
        <v>3</v>
      </c>
    </row>
    <row r="7409" spans="18:20" x14ac:dyDescent="0.25">
      <c r="R7409">
        <v>223</v>
      </c>
      <c r="S7409">
        <v>233</v>
      </c>
      <c r="T7409">
        <v>5</v>
      </c>
    </row>
    <row r="7410" spans="18:20" x14ac:dyDescent="0.25">
      <c r="R7410">
        <v>223</v>
      </c>
      <c r="S7410">
        <v>262</v>
      </c>
      <c r="T7410">
        <v>1</v>
      </c>
    </row>
    <row r="7411" spans="18:20" x14ac:dyDescent="0.25">
      <c r="R7411">
        <v>223</v>
      </c>
      <c r="S7411">
        <v>275</v>
      </c>
      <c r="T7411">
        <v>1</v>
      </c>
    </row>
    <row r="7412" spans="18:20" x14ac:dyDescent="0.25">
      <c r="R7412">
        <v>223</v>
      </c>
      <c r="S7412">
        <v>289</v>
      </c>
      <c r="T7412">
        <v>5</v>
      </c>
    </row>
    <row r="7413" spans="18:20" x14ac:dyDescent="0.25">
      <c r="R7413">
        <v>223</v>
      </c>
      <c r="S7413">
        <v>290</v>
      </c>
      <c r="T7413">
        <v>3</v>
      </c>
    </row>
    <row r="7414" spans="18:20" x14ac:dyDescent="0.25">
      <c r="R7414">
        <v>223</v>
      </c>
      <c r="S7414">
        <v>292</v>
      </c>
      <c r="T7414">
        <v>1</v>
      </c>
    </row>
    <row r="7415" spans="18:20" x14ac:dyDescent="0.25">
      <c r="R7415">
        <v>223</v>
      </c>
      <c r="S7415">
        <v>296</v>
      </c>
      <c r="T7415">
        <v>2</v>
      </c>
    </row>
    <row r="7416" spans="18:20" x14ac:dyDescent="0.25">
      <c r="R7416">
        <v>223</v>
      </c>
      <c r="S7416">
        <v>299</v>
      </c>
      <c r="T7416">
        <v>3</v>
      </c>
    </row>
    <row r="7417" spans="18:20" x14ac:dyDescent="0.25">
      <c r="R7417">
        <v>223</v>
      </c>
      <c r="S7417">
        <v>299</v>
      </c>
      <c r="T7417">
        <v>5</v>
      </c>
    </row>
    <row r="7418" spans="18:20" x14ac:dyDescent="0.25">
      <c r="R7418">
        <v>223</v>
      </c>
      <c r="S7418">
        <v>326</v>
      </c>
      <c r="T7418">
        <v>3</v>
      </c>
    </row>
    <row r="7419" spans="18:20" x14ac:dyDescent="0.25">
      <c r="R7419">
        <v>223</v>
      </c>
      <c r="S7419">
        <v>346</v>
      </c>
      <c r="T7419">
        <v>2</v>
      </c>
    </row>
    <row r="7420" spans="18:20" x14ac:dyDescent="0.25">
      <c r="R7420">
        <v>223</v>
      </c>
      <c r="S7420">
        <v>357</v>
      </c>
      <c r="T7420">
        <v>4</v>
      </c>
    </row>
    <row r="7421" spans="18:20" x14ac:dyDescent="0.25">
      <c r="R7421">
        <v>223</v>
      </c>
      <c r="S7421">
        <v>370</v>
      </c>
      <c r="T7421">
        <v>5</v>
      </c>
    </row>
    <row r="7422" spans="18:20" x14ac:dyDescent="0.25">
      <c r="R7422">
        <v>223</v>
      </c>
      <c r="S7422">
        <v>425</v>
      </c>
      <c r="T7422">
        <v>3</v>
      </c>
    </row>
    <row r="7423" spans="18:20" x14ac:dyDescent="0.25">
      <c r="R7423">
        <v>224</v>
      </c>
      <c r="S7423">
        <v>25</v>
      </c>
      <c r="T7423">
        <v>1</v>
      </c>
    </row>
    <row r="7424" spans="18:20" x14ac:dyDescent="0.25">
      <c r="R7424">
        <v>224</v>
      </c>
      <c r="S7424">
        <v>30</v>
      </c>
      <c r="T7424">
        <v>5</v>
      </c>
    </row>
    <row r="7425" spans="18:20" x14ac:dyDescent="0.25">
      <c r="R7425">
        <v>224</v>
      </c>
      <c r="S7425">
        <v>35</v>
      </c>
      <c r="T7425">
        <v>4</v>
      </c>
    </row>
    <row r="7426" spans="18:20" x14ac:dyDescent="0.25">
      <c r="R7426">
        <v>224</v>
      </c>
      <c r="S7426">
        <v>42</v>
      </c>
      <c r="T7426">
        <v>4</v>
      </c>
    </row>
    <row r="7427" spans="18:20" x14ac:dyDescent="0.25">
      <c r="R7427">
        <v>224</v>
      </c>
      <c r="S7427">
        <v>42</v>
      </c>
      <c r="T7427">
        <v>1</v>
      </c>
    </row>
    <row r="7428" spans="18:20" x14ac:dyDescent="0.25">
      <c r="R7428">
        <v>224</v>
      </c>
      <c r="S7428">
        <v>55</v>
      </c>
      <c r="T7428">
        <v>4</v>
      </c>
    </row>
    <row r="7429" spans="18:20" x14ac:dyDescent="0.25">
      <c r="R7429">
        <v>224</v>
      </c>
      <c r="S7429">
        <v>56</v>
      </c>
      <c r="T7429">
        <v>3</v>
      </c>
    </row>
    <row r="7430" spans="18:20" x14ac:dyDescent="0.25">
      <c r="R7430">
        <v>224</v>
      </c>
      <c r="S7430">
        <v>66</v>
      </c>
      <c r="T7430">
        <v>3</v>
      </c>
    </row>
    <row r="7431" spans="18:20" x14ac:dyDescent="0.25">
      <c r="R7431">
        <v>224</v>
      </c>
      <c r="S7431">
        <v>80</v>
      </c>
      <c r="T7431">
        <v>3</v>
      </c>
    </row>
    <row r="7432" spans="18:20" x14ac:dyDescent="0.25">
      <c r="R7432">
        <v>224</v>
      </c>
      <c r="S7432">
        <v>139</v>
      </c>
      <c r="T7432">
        <v>5</v>
      </c>
    </row>
    <row r="7433" spans="18:20" x14ac:dyDescent="0.25">
      <c r="R7433">
        <v>224</v>
      </c>
      <c r="S7433">
        <v>164</v>
      </c>
      <c r="T7433">
        <v>1</v>
      </c>
    </row>
    <row r="7434" spans="18:20" x14ac:dyDescent="0.25">
      <c r="R7434">
        <v>224</v>
      </c>
      <c r="S7434">
        <v>169</v>
      </c>
      <c r="T7434">
        <v>5</v>
      </c>
    </row>
    <row r="7435" spans="18:20" x14ac:dyDescent="0.25">
      <c r="R7435">
        <v>224</v>
      </c>
      <c r="S7435">
        <v>172</v>
      </c>
      <c r="T7435">
        <v>2</v>
      </c>
    </row>
    <row r="7436" spans="18:20" x14ac:dyDescent="0.25">
      <c r="R7436">
        <v>224</v>
      </c>
      <c r="S7436">
        <v>174</v>
      </c>
      <c r="T7436">
        <v>4</v>
      </c>
    </row>
    <row r="7437" spans="18:20" x14ac:dyDescent="0.25">
      <c r="R7437">
        <v>224</v>
      </c>
      <c r="S7437">
        <v>201</v>
      </c>
      <c r="T7437">
        <v>2</v>
      </c>
    </row>
    <row r="7438" spans="18:20" x14ac:dyDescent="0.25">
      <c r="R7438">
        <v>224</v>
      </c>
      <c r="S7438">
        <v>202</v>
      </c>
      <c r="T7438">
        <v>1</v>
      </c>
    </row>
    <row r="7439" spans="18:20" x14ac:dyDescent="0.25">
      <c r="R7439">
        <v>224</v>
      </c>
      <c r="S7439">
        <v>211</v>
      </c>
      <c r="T7439">
        <v>5</v>
      </c>
    </row>
    <row r="7440" spans="18:20" x14ac:dyDescent="0.25">
      <c r="R7440">
        <v>224</v>
      </c>
      <c r="S7440">
        <v>213</v>
      </c>
      <c r="T7440">
        <v>3</v>
      </c>
    </row>
    <row r="7441" spans="18:20" x14ac:dyDescent="0.25">
      <c r="R7441">
        <v>224</v>
      </c>
      <c r="S7441">
        <v>236</v>
      </c>
      <c r="T7441">
        <v>3</v>
      </c>
    </row>
    <row r="7442" spans="18:20" x14ac:dyDescent="0.25">
      <c r="R7442">
        <v>224</v>
      </c>
      <c r="S7442">
        <v>243</v>
      </c>
      <c r="T7442">
        <v>4</v>
      </c>
    </row>
    <row r="7443" spans="18:20" x14ac:dyDescent="0.25">
      <c r="R7443">
        <v>224</v>
      </c>
      <c r="S7443">
        <v>261</v>
      </c>
      <c r="T7443">
        <v>4</v>
      </c>
    </row>
    <row r="7444" spans="18:20" x14ac:dyDescent="0.25">
      <c r="R7444">
        <v>224</v>
      </c>
      <c r="S7444">
        <v>268</v>
      </c>
      <c r="T7444">
        <v>2</v>
      </c>
    </row>
    <row r="7445" spans="18:20" x14ac:dyDescent="0.25">
      <c r="R7445">
        <v>224</v>
      </c>
      <c r="S7445">
        <v>271</v>
      </c>
      <c r="T7445">
        <v>2</v>
      </c>
    </row>
    <row r="7446" spans="18:20" x14ac:dyDescent="0.25">
      <c r="R7446">
        <v>224</v>
      </c>
      <c r="S7446">
        <v>275</v>
      </c>
      <c r="T7446">
        <v>3</v>
      </c>
    </row>
    <row r="7447" spans="18:20" x14ac:dyDescent="0.25">
      <c r="R7447">
        <v>224</v>
      </c>
      <c r="S7447">
        <v>283</v>
      </c>
      <c r="T7447">
        <v>3</v>
      </c>
    </row>
    <row r="7448" spans="18:20" x14ac:dyDescent="0.25">
      <c r="R7448">
        <v>224</v>
      </c>
      <c r="S7448">
        <v>298</v>
      </c>
      <c r="T7448">
        <v>1</v>
      </c>
    </row>
    <row r="7449" spans="18:20" x14ac:dyDescent="0.25">
      <c r="R7449">
        <v>224</v>
      </c>
      <c r="S7449">
        <v>299</v>
      </c>
      <c r="T7449">
        <v>4</v>
      </c>
    </row>
    <row r="7450" spans="18:20" x14ac:dyDescent="0.25">
      <c r="R7450">
        <v>224</v>
      </c>
      <c r="S7450">
        <v>324</v>
      </c>
      <c r="T7450">
        <v>5</v>
      </c>
    </row>
    <row r="7451" spans="18:20" x14ac:dyDescent="0.25">
      <c r="R7451">
        <v>224</v>
      </c>
      <c r="S7451">
        <v>333</v>
      </c>
      <c r="T7451">
        <v>5</v>
      </c>
    </row>
    <row r="7452" spans="18:20" x14ac:dyDescent="0.25">
      <c r="R7452">
        <v>224</v>
      </c>
      <c r="S7452">
        <v>337</v>
      </c>
      <c r="T7452">
        <v>3</v>
      </c>
    </row>
    <row r="7453" spans="18:20" x14ac:dyDescent="0.25">
      <c r="R7453">
        <v>224</v>
      </c>
      <c r="S7453">
        <v>353</v>
      </c>
      <c r="T7453">
        <v>5</v>
      </c>
    </row>
    <row r="7454" spans="18:20" x14ac:dyDescent="0.25">
      <c r="R7454">
        <v>224</v>
      </c>
      <c r="S7454">
        <v>386</v>
      </c>
      <c r="T7454">
        <v>3</v>
      </c>
    </row>
    <row r="7455" spans="18:20" x14ac:dyDescent="0.25">
      <c r="R7455">
        <v>224</v>
      </c>
      <c r="S7455">
        <v>391</v>
      </c>
      <c r="T7455">
        <v>2</v>
      </c>
    </row>
    <row r="7456" spans="18:20" x14ac:dyDescent="0.25">
      <c r="R7456">
        <v>224</v>
      </c>
      <c r="S7456">
        <v>413</v>
      </c>
      <c r="T7456">
        <v>3</v>
      </c>
    </row>
    <row r="7457" spans="18:20" x14ac:dyDescent="0.25">
      <c r="R7457">
        <v>224</v>
      </c>
      <c r="S7457">
        <v>420</v>
      </c>
      <c r="T7457">
        <v>3</v>
      </c>
    </row>
    <row r="7458" spans="18:20" x14ac:dyDescent="0.25">
      <c r="R7458">
        <v>224</v>
      </c>
      <c r="S7458">
        <v>432</v>
      </c>
      <c r="T7458">
        <v>4</v>
      </c>
    </row>
    <row r="7459" spans="18:20" x14ac:dyDescent="0.25">
      <c r="R7459">
        <v>224</v>
      </c>
      <c r="S7459">
        <v>435</v>
      </c>
      <c r="T7459">
        <v>1</v>
      </c>
    </row>
    <row r="7460" spans="18:20" x14ac:dyDescent="0.25">
      <c r="R7460">
        <v>225</v>
      </c>
      <c r="S7460">
        <v>30</v>
      </c>
      <c r="T7460">
        <v>5</v>
      </c>
    </row>
    <row r="7461" spans="18:20" x14ac:dyDescent="0.25">
      <c r="R7461">
        <v>225</v>
      </c>
      <c r="S7461">
        <v>42</v>
      </c>
      <c r="T7461">
        <v>2</v>
      </c>
    </row>
    <row r="7462" spans="18:20" x14ac:dyDescent="0.25">
      <c r="R7462">
        <v>225</v>
      </c>
      <c r="S7462">
        <v>61</v>
      </c>
      <c r="T7462">
        <v>4</v>
      </c>
    </row>
    <row r="7463" spans="18:20" x14ac:dyDescent="0.25">
      <c r="R7463">
        <v>225</v>
      </c>
      <c r="S7463">
        <v>71</v>
      </c>
      <c r="T7463">
        <v>2</v>
      </c>
    </row>
    <row r="7464" spans="18:20" x14ac:dyDescent="0.25">
      <c r="R7464">
        <v>225</v>
      </c>
      <c r="S7464">
        <v>90</v>
      </c>
      <c r="T7464">
        <v>5</v>
      </c>
    </row>
    <row r="7465" spans="18:20" x14ac:dyDescent="0.25">
      <c r="R7465">
        <v>225</v>
      </c>
      <c r="S7465">
        <v>103</v>
      </c>
      <c r="T7465">
        <v>3</v>
      </c>
    </row>
    <row r="7466" spans="18:20" x14ac:dyDescent="0.25">
      <c r="R7466">
        <v>225</v>
      </c>
      <c r="S7466">
        <v>123</v>
      </c>
      <c r="T7466">
        <v>3</v>
      </c>
    </row>
    <row r="7467" spans="18:20" x14ac:dyDescent="0.25">
      <c r="R7467">
        <v>225</v>
      </c>
      <c r="S7467">
        <v>166</v>
      </c>
      <c r="T7467">
        <v>3</v>
      </c>
    </row>
    <row r="7468" spans="18:20" x14ac:dyDescent="0.25">
      <c r="R7468">
        <v>225</v>
      </c>
      <c r="S7468">
        <v>168</v>
      </c>
      <c r="T7468">
        <v>3</v>
      </c>
    </row>
    <row r="7469" spans="18:20" x14ac:dyDescent="0.25">
      <c r="R7469">
        <v>225</v>
      </c>
      <c r="S7469">
        <v>177</v>
      </c>
      <c r="T7469">
        <v>2</v>
      </c>
    </row>
    <row r="7470" spans="18:20" x14ac:dyDescent="0.25">
      <c r="R7470">
        <v>225</v>
      </c>
      <c r="S7470">
        <v>185</v>
      </c>
      <c r="T7470">
        <v>3</v>
      </c>
    </row>
    <row r="7471" spans="18:20" x14ac:dyDescent="0.25">
      <c r="R7471">
        <v>225</v>
      </c>
      <c r="S7471">
        <v>194</v>
      </c>
      <c r="T7471">
        <v>3</v>
      </c>
    </row>
    <row r="7472" spans="18:20" x14ac:dyDescent="0.25">
      <c r="R7472">
        <v>225</v>
      </c>
      <c r="S7472">
        <v>200</v>
      </c>
      <c r="T7472">
        <v>5</v>
      </c>
    </row>
    <row r="7473" spans="18:20" x14ac:dyDescent="0.25">
      <c r="R7473">
        <v>225</v>
      </c>
      <c r="S7473">
        <v>218</v>
      </c>
      <c r="T7473">
        <v>3</v>
      </c>
    </row>
    <row r="7474" spans="18:20" x14ac:dyDescent="0.25">
      <c r="R7474">
        <v>225</v>
      </c>
      <c r="S7474">
        <v>224</v>
      </c>
      <c r="T7474">
        <v>4</v>
      </c>
    </row>
    <row r="7475" spans="18:20" x14ac:dyDescent="0.25">
      <c r="R7475">
        <v>225</v>
      </c>
      <c r="S7475">
        <v>236</v>
      </c>
      <c r="T7475">
        <v>2</v>
      </c>
    </row>
    <row r="7476" spans="18:20" x14ac:dyDescent="0.25">
      <c r="R7476">
        <v>225</v>
      </c>
      <c r="S7476">
        <v>239</v>
      </c>
      <c r="T7476">
        <v>3</v>
      </c>
    </row>
    <row r="7477" spans="18:20" x14ac:dyDescent="0.25">
      <c r="R7477">
        <v>225</v>
      </c>
      <c r="S7477">
        <v>247</v>
      </c>
      <c r="T7477">
        <v>3</v>
      </c>
    </row>
    <row r="7478" spans="18:20" x14ac:dyDescent="0.25">
      <c r="R7478">
        <v>225</v>
      </c>
      <c r="S7478">
        <v>247</v>
      </c>
      <c r="T7478">
        <v>3</v>
      </c>
    </row>
    <row r="7479" spans="18:20" x14ac:dyDescent="0.25">
      <c r="R7479">
        <v>225</v>
      </c>
      <c r="S7479">
        <v>255</v>
      </c>
      <c r="T7479">
        <v>2</v>
      </c>
    </row>
    <row r="7480" spans="18:20" x14ac:dyDescent="0.25">
      <c r="R7480">
        <v>225</v>
      </c>
      <c r="S7480">
        <v>293</v>
      </c>
      <c r="T7480">
        <v>5</v>
      </c>
    </row>
    <row r="7481" spans="18:20" x14ac:dyDescent="0.25">
      <c r="R7481">
        <v>225</v>
      </c>
      <c r="S7481">
        <v>298</v>
      </c>
      <c r="T7481">
        <v>1</v>
      </c>
    </row>
    <row r="7482" spans="18:20" x14ac:dyDescent="0.25">
      <c r="R7482">
        <v>225</v>
      </c>
      <c r="S7482">
        <v>312</v>
      </c>
      <c r="T7482">
        <v>4</v>
      </c>
    </row>
    <row r="7483" spans="18:20" x14ac:dyDescent="0.25">
      <c r="R7483">
        <v>225</v>
      </c>
      <c r="S7483">
        <v>316</v>
      </c>
      <c r="T7483">
        <v>5</v>
      </c>
    </row>
    <row r="7484" spans="18:20" x14ac:dyDescent="0.25">
      <c r="R7484">
        <v>225</v>
      </c>
      <c r="S7484">
        <v>341</v>
      </c>
      <c r="T7484">
        <v>2</v>
      </c>
    </row>
    <row r="7485" spans="18:20" x14ac:dyDescent="0.25">
      <c r="R7485">
        <v>225</v>
      </c>
      <c r="S7485">
        <v>360</v>
      </c>
      <c r="T7485">
        <v>3</v>
      </c>
    </row>
    <row r="7486" spans="18:20" x14ac:dyDescent="0.25">
      <c r="R7486">
        <v>225</v>
      </c>
      <c r="S7486">
        <v>377</v>
      </c>
      <c r="T7486">
        <v>5</v>
      </c>
    </row>
    <row r="7487" spans="18:20" x14ac:dyDescent="0.25">
      <c r="R7487">
        <v>225</v>
      </c>
      <c r="S7487">
        <v>380</v>
      </c>
      <c r="T7487">
        <v>1</v>
      </c>
    </row>
    <row r="7488" spans="18:20" x14ac:dyDescent="0.25">
      <c r="R7488">
        <v>225</v>
      </c>
      <c r="S7488">
        <v>401</v>
      </c>
      <c r="T7488">
        <v>5</v>
      </c>
    </row>
    <row r="7489" spans="18:20" x14ac:dyDescent="0.25">
      <c r="R7489">
        <v>225</v>
      </c>
      <c r="S7489">
        <v>415</v>
      </c>
      <c r="T7489">
        <v>4</v>
      </c>
    </row>
    <row r="7490" spans="18:20" x14ac:dyDescent="0.25">
      <c r="R7490">
        <v>226</v>
      </c>
      <c r="S7490">
        <v>5</v>
      </c>
      <c r="T7490">
        <v>2</v>
      </c>
    </row>
    <row r="7491" spans="18:20" x14ac:dyDescent="0.25">
      <c r="R7491">
        <v>226</v>
      </c>
      <c r="S7491">
        <v>14</v>
      </c>
      <c r="T7491">
        <v>2</v>
      </c>
    </row>
    <row r="7492" spans="18:20" x14ac:dyDescent="0.25">
      <c r="R7492">
        <v>226</v>
      </c>
      <c r="S7492">
        <v>29</v>
      </c>
      <c r="T7492">
        <v>4</v>
      </c>
    </row>
    <row r="7493" spans="18:20" x14ac:dyDescent="0.25">
      <c r="R7493">
        <v>226</v>
      </c>
      <c r="S7493">
        <v>32</v>
      </c>
      <c r="T7493">
        <v>1</v>
      </c>
    </row>
    <row r="7494" spans="18:20" x14ac:dyDescent="0.25">
      <c r="R7494">
        <v>226</v>
      </c>
      <c r="S7494">
        <v>33</v>
      </c>
      <c r="T7494">
        <v>2</v>
      </c>
    </row>
    <row r="7495" spans="18:20" x14ac:dyDescent="0.25">
      <c r="R7495">
        <v>226</v>
      </c>
      <c r="S7495">
        <v>36</v>
      </c>
      <c r="T7495">
        <v>5</v>
      </c>
    </row>
    <row r="7496" spans="18:20" x14ac:dyDescent="0.25">
      <c r="R7496">
        <v>226</v>
      </c>
      <c r="S7496">
        <v>55</v>
      </c>
      <c r="T7496">
        <v>5</v>
      </c>
    </row>
    <row r="7497" spans="18:20" x14ac:dyDescent="0.25">
      <c r="R7497">
        <v>226</v>
      </c>
      <c r="S7497">
        <v>87</v>
      </c>
      <c r="T7497">
        <v>4</v>
      </c>
    </row>
    <row r="7498" spans="18:20" x14ac:dyDescent="0.25">
      <c r="R7498">
        <v>226</v>
      </c>
      <c r="S7498">
        <v>93</v>
      </c>
      <c r="T7498">
        <v>1</v>
      </c>
    </row>
    <row r="7499" spans="18:20" x14ac:dyDescent="0.25">
      <c r="R7499">
        <v>226</v>
      </c>
      <c r="S7499">
        <v>105</v>
      </c>
      <c r="T7499">
        <v>1</v>
      </c>
    </row>
    <row r="7500" spans="18:20" x14ac:dyDescent="0.25">
      <c r="R7500">
        <v>226</v>
      </c>
      <c r="S7500">
        <v>120</v>
      </c>
      <c r="T7500">
        <v>2</v>
      </c>
    </row>
    <row r="7501" spans="18:20" x14ac:dyDescent="0.25">
      <c r="R7501">
        <v>226</v>
      </c>
      <c r="S7501">
        <v>148</v>
      </c>
      <c r="T7501">
        <v>4</v>
      </c>
    </row>
    <row r="7502" spans="18:20" x14ac:dyDescent="0.25">
      <c r="R7502">
        <v>226</v>
      </c>
      <c r="S7502">
        <v>156</v>
      </c>
      <c r="T7502">
        <v>1</v>
      </c>
    </row>
    <row r="7503" spans="18:20" x14ac:dyDescent="0.25">
      <c r="R7503">
        <v>226</v>
      </c>
      <c r="S7503">
        <v>191</v>
      </c>
      <c r="T7503">
        <v>5</v>
      </c>
    </row>
    <row r="7504" spans="18:20" x14ac:dyDescent="0.25">
      <c r="R7504">
        <v>226</v>
      </c>
      <c r="S7504">
        <v>196</v>
      </c>
      <c r="T7504">
        <v>5</v>
      </c>
    </row>
    <row r="7505" spans="18:20" x14ac:dyDescent="0.25">
      <c r="R7505">
        <v>226</v>
      </c>
      <c r="S7505">
        <v>204</v>
      </c>
      <c r="T7505">
        <v>5</v>
      </c>
    </row>
    <row r="7506" spans="18:20" x14ac:dyDescent="0.25">
      <c r="R7506">
        <v>226</v>
      </c>
      <c r="S7506">
        <v>211</v>
      </c>
      <c r="T7506">
        <v>4</v>
      </c>
    </row>
    <row r="7507" spans="18:20" x14ac:dyDescent="0.25">
      <c r="R7507">
        <v>226</v>
      </c>
      <c r="S7507">
        <v>223</v>
      </c>
      <c r="T7507">
        <v>3</v>
      </c>
    </row>
    <row r="7508" spans="18:20" x14ac:dyDescent="0.25">
      <c r="R7508">
        <v>226</v>
      </c>
      <c r="S7508">
        <v>233</v>
      </c>
      <c r="T7508">
        <v>4</v>
      </c>
    </row>
    <row r="7509" spans="18:20" x14ac:dyDescent="0.25">
      <c r="R7509">
        <v>226</v>
      </c>
      <c r="S7509">
        <v>252</v>
      </c>
      <c r="T7509">
        <v>3</v>
      </c>
    </row>
    <row r="7510" spans="18:20" x14ac:dyDescent="0.25">
      <c r="R7510">
        <v>226</v>
      </c>
      <c r="S7510">
        <v>298</v>
      </c>
      <c r="T7510">
        <v>1</v>
      </c>
    </row>
    <row r="7511" spans="18:20" x14ac:dyDescent="0.25">
      <c r="R7511">
        <v>226</v>
      </c>
      <c r="S7511">
        <v>303</v>
      </c>
      <c r="T7511">
        <v>4</v>
      </c>
    </row>
    <row r="7512" spans="18:20" x14ac:dyDescent="0.25">
      <c r="R7512">
        <v>226</v>
      </c>
      <c r="S7512">
        <v>310</v>
      </c>
      <c r="T7512">
        <v>3</v>
      </c>
    </row>
    <row r="7513" spans="18:20" x14ac:dyDescent="0.25">
      <c r="R7513">
        <v>226</v>
      </c>
      <c r="S7513">
        <v>318</v>
      </c>
      <c r="T7513">
        <v>3</v>
      </c>
    </row>
    <row r="7514" spans="18:20" x14ac:dyDescent="0.25">
      <c r="R7514">
        <v>226</v>
      </c>
      <c r="S7514">
        <v>319</v>
      </c>
      <c r="T7514">
        <v>2</v>
      </c>
    </row>
    <row r="7515" spans="18:20" x14ac:dyDescent="0.25">
      <c r="R7515">
        <v>226</v>
      </c>
      <c r="S7515">
        <v>326</v>
      </c>
      <c r="T7515">
        <v>4</v>
      </c>
    </row>
    <row r="7516" spans="18:20" x14ac:dyDescent="0.25">
      <c r="R7516">
        <v>226</v>
      </c>
      <c r="S7516">
        <v>330</v>
      </c>
      <c r="T7516">
        <v>1</v>
      </c>
    </row>
    <row r="7517" spans="18:20" x14ac:dyDescent="0.25">
      <c r="R7517">
        <v>226</v>
      </c>
      <c r="S7517">
        <v>339</v>
      </c>
      <c r="T7517">
        <v>2</v>
      </c>
    </row>
    <row r="7518" spans="18:20" x14ac:dyDescent="0.25">
      <c r="R7518">
        <v>226</v>
      </c>
      <c r="S7518">
        <v>363</v>
      </c>
      <c r="T7518">
        <v>5</v>
      </c>
    </row>
    <row r="7519" spans="18:20" x14ac:dyDescent="0.25">
      <c r="R7519">
        <v>226</v>
      </c>
      <c r="S7519">
        <v>395</v>
      </c>
      <c r="T7519">
        <v>4</v>
      </c>
    </row>
    <row r="7520" spans="18:20" x14ac:dyDescent="0.25">
      <c r="R7520">
        <v>226</v>
      </c>
      <c r="S7520">
        <v>400</v>
      </c>
      <c r="T7520">
        <v>5</v>
      </c>
    </row>
    <row r="7521" spans="18:20" x14ac:dyDescent="0.25">
      <c r="R7521">
        <v>226</v>
      </c>
      <c r="S7521">
        <v>402</v>
      </c>
      <c r="T7521">
        <v>2</v>
      </c>
    </row>
    <row r="7522" spans="18:20" x14ac:dyDescent="0.25">
      <c r="R7522">
        <v>226</v>
      </c>
      <c r="S7522">
        <v>406</v>
      </c>
      <c r="T7522">
        <v>4</v>
      </c>
    </row>
    <row r="7523" spans="18:20" x14ac:dyDescent="0.25">
      <c r="R7523">
        <v>226</v>
      </c>
      <c r="S7523">
        <v>411</v>
      </c>
      <c r="T7523">
        <v>5</v>
      </c>
    </row>
    <row r="7524" spans="18:20" x14ac:dyDescent="0.25">
      <c r="R7524">
        <v>226</v>
      </c>
      <c r="S7524">
        <v>418</v>
      </c>
      <c r="T7524">
        <v>5</v>
      </c>
    </row>
    <row r="7525" spans="18:20" x14ac:dyDescent="0.25">
      <c r="R7525">
        <v>227</v>
      </c>
      <c r="S7525">
        <v>1</v>
      </c>
      <c r="T7525">
        <v>5</v>
      </c>
    </row>
    <row r="7526" spans="18:20" x14ac:dyDescent="0.25">
      <c r="R7526">
        <v>227</v>
      </c>
      <c r="S7526">
        <v>2</v>
      </c>
      <c r="T7526">
        <v>5</v>
      </c>
    </row>
    <row r="7527" spans="18:20" x14ac:dyDescent="0.25">
      <c r="R7527">
        <v>227</v>
      </c>
      <c r="S7527">
        <v>5</v>
      </c>
      <c r="T7527">
        <v>4</v>
      </c>
    </row>
    <row r="7528" spans="18:20" x14ac:dyDescent="0.25">
      <c r="R7528">
        <v>227</v>
      </c>
      <c r="S7528">
        <v>62</v>
      </c>
      <c r="T7528">
        <v>3</v>
      </c>
    </row>
    <row r="7529" spans="18:20" x14ac:dyDescent="0.25">
      <c r="R7529">
        <v>227</v>
      </c>
      <c r="S7529">
        <v>64</v>
      </c>
      <c r="T7529">
        <v>3</v>
      </c>
    </row>
    <row r="7530" spans="18:20" x14ac:dyDescent="0.25">
      <c r="R7530">
        <v>227</v>
      </c>
      <c r="S7530">
        <v>72</v>
      </c>
      <c r="T7530">
        <v>1</v>
      </c>
    </row>
    <row r="7531" spans="18:20" x14ac:dyDescent="0.25">
      <c r="R7531">
        <v>227</v>
      </c>
      <c r="S7531">
        <v>74</v>
      </c>
      <c r="T7531">
        <v>5</v>
      </c>
    </row>
    <row r="7532" spans="18:20" x14ac:dyDescent="0.25">
      <c r="R7532">
        <v>227</v>
      </c>
      <c r="S7532">
        <v>90</v>
      </c>
      <c r="T7532">
        <v>1</v>
      </c>
    </row>
    <row r="7533" spans="18:20" x14ac:dyDescent="0.25">
      <c r="R7533">
        <v>227</v>
      </c>
      <c r="S7533">
        <v>96</v>
      </c>
      <c r="T7533">
        <v>5</v>
      </c>
    </row>
    <row r="7534" spans="18:20" x14ac:dyDescent="0.25">
      <c r="R7534">
        <v>227</v>
      </c>
      <c r="S7534">
        <v>97</v>
      </c>
      <c r="T7534">
        <v>4</v>
      </c>
    </row>
    <row r="7535" spans="18:20" x14ac:dyDescent="0.25">
      <c r="R7535">
        <v>227</v>
      </c>
      <c r="S7535">
        <v>97</v>
      </c>
      <c r="T7535">
        <v>4</v>
      </c>
    </row>
    <row r="7536" spans="18:20" x14ac:dyDescent="0.25">
      <c r="R7536">
        <v>227</v>
      </c>
      <c r="S7536">
        <v>104</v>
      </c>
      <c r="T7536">
        <v>2</v>
      </c>
    </row>
    <row r="7537" spans="18:20" x14ac:dyDescent="0.25">
      <c r="R7537">
        <v>227</v>
      </c>
      <c r="S7537">
        <v>113</v>
      </c>
      <c r="T7537">
        <v>1</v>
      </c>
    </row>
    <row r="7538" spans="18:20" x14ac:dyDescent="0.25">
      <c r="R7538">
        <v>227</v>
      </c>
      <c r="S7538">
        <v>115</v>
      </c>
      <c r="T7538">
        <v>4</v>
      </c>
    </row>
    <row r="7539" spans="18:20" x14ac:dyDescent="0.25">
      <c r="R7539">
        <v>227</v>
      </c>
      <c r="S7539">
        <v>118</v>
      </c>
      <c r="T7539">
        <v>2</v>
      </c>
    </row>
    <row r="7540" spans="18:20" x14ac:dyDescent="0.25">
      <c r="R7540">
        <v>227</v>
      </c>
      <c r="S7540">
        <v>158</v>
      </c>
      <c r="T7540">
        <v>3</v>
      </c>
    </row>
    <row r="7541" spans="18:20" x14ac:dyDescent="0.25">
      <c r="R7541">
        <v>227</v>
      </c>
      <c r="S7541">
        <v>175</v>
      </c>
      <c r="T7541">
        <v>4</v>
      </c>
    </row>
    <row r="7542" spans="18:20" x14ac:dyDescent="0.25">
      <c r="R7542">
        <v>227</v>
      </c>
      <c r="S7542">
        <v>176</v>
      </c>
      <c r="T7542">
        <v>4</v>
      </c>
    </row>
    <row r="7543" spans="18:20" x14ac:dyDescent="0.25">
      <c r="R7543">
        <v>227</v>
      </c>
      <c r="S7543">
        <v>179</v>
      </c>
      <c r="T7543">
        <v>4</v>
      </c>
    </row>
    <row r="7544" spans="18:20" x14ac:dyDescent="0.25">
      <c r="R7544">
        <v>227</v>
      </c>
      <c r="S7544">
        <v>192</v>
      </c>
      <c r="T7544">
        <v>3</v>
      </c>
    </row>
    <row r="7545" spans="18:20" x14ac:dyDescent="0.25">
      <c r="R7545">
        <v>227</v>
      </c>
      <c r="S7545">
        <v>194</v>
      </c>
      <c r="T7545">
        <v>4</v>
      </c>
    </row>
    <row r="7546" spans="18:20" x14ac:dyDescent="0.25">
      <c r="R7546">
        <v>227</v>
      </c>
      <c r="S7546">
        <v>198</v>
      </c>
      <c r="T7546">
        <v>3</v>
      </c>
    </row>
    <row r="7547" spans="18:20" x14ac:dyDescent="0.25">
      <c r="R7547">
        <v>227</v>
      </c>
      <c r="S7547">
        <v>211</v>
      </c>
      <c r="T7547">
        <v>3</v>
      </c>
    </row>
    <row r="7548" spans="18:20" x14ac:dyDescent="0.25">
      <c r="R7548">
        <v>227</v>
      </c>
      <c r="S7548">
        <v>219</v>
      </c>
      <c r="T7548">
        <v>2</v>
      </c>
    </row>
    <row r="7549" spans="18:20" x14ac:dyDescent="0.25">
      <c r="R7549">
        <v>227</v>
      </c>
      <c r="S7549">
        <v>225</v>
      </c>
      <c r="T7549">
        <v>1</v>
      </c>
    </row>
    <row r="7550" spans="18:20" x14ac:dyDescent="0.25">
      <c r="R7550">
        <v>227</v>
      </c>
      <c r="S7550">
        <v>234</v>
      </c>
      <c r="T7550">
        <v>1</v>
      </c>
    </row>
    <row r="7551" spans="18:20" x14ac:dyDescent="0.25">
      <c r="R7551">
        <v>227</v>
      </c>
      <c r="S7551">
        <v>238</v>
      </c>
      <c r="T7551">
        <v>1</v>
      </c>
    </row>
    <row r="7552" spans="18:20" x14ac:dyDescent="0.25">
      <c r="R7552">
        <v>227</v>
      </c>
      <c r="S7552">
        <v>250</v>
      </c>
      <c r="T7552">
        <v>2</v>
      </c>
    </row>
    <row r="7553" spans="18:20" x14ac:dyDescent="0.25">
      <c r="R7553">
        <v>227</v>
      </c>
      <c r="S7553">
        <v>255</v>
      </c>
      <c r="T7553">
        <v>5</v>
      </c>
    </row>
    <row r="7554" spans="18:20" x14ac:dyDescent="0.25">
      <c r="R7554">
        <v>227</v>
      </c>
      <c r="S7554">
        <v>280</v>
      </c>
      <c r="T7554">
        <v>1</v>
      </c>
    </row>
    <row r="7555" spans="18:20" x14ac:dyDescent="0.25">
      <c r="R7555">
        <v>227</v>
      </c>
      <c r="S7555">
        <v>289</v>
      </c>
      <c r="T7555">
        <v>3</v>
      </c>
    </row>
    <row r="7556" spans="18:20" x14ac:dyDescent="0.25">
      <c r="R7556">
        <v>227</v>
      </c>
      <c r="S7556">
        <v>295</v>
      </c>
      <c r="T7556">
        <v>5</v>
      </c>
    </row>
    <row r="7557" spans="18:20" x14ac:dyDescent="0.25">
      <c r="R7557">
        <v>227</v>
      </c>
      <c r="S7557">
        <v>317</v>
      </c>
      <c r="T7557">
        <v>4</v>
      </c>
    </row>
    <row r="7558" spans="18:20" x14ac:dyDescent="0.25">
      <c r="R7558">
        <v>227</v>
      </c>
      <c r="S7558">
        <v>318</v>
      </c>
      <c r="T7558">
        <v>4</v>
      </c>
    </row>
    <row r="7559" spans="18:20" x14ac:dyDescent="0.25">
      <c r="R7559">
        <v>227</v>
      </c>
      <c r="S7559">
        <v>327</v>
      </c>
      <c r="T7559">
        <v>2</v>
      </c>
    </row>
    <row r="7560" spans="18:20" x14ac:dyDescent="0.25">
      <c r="R7560">
        <v>227</v>
      </c>
      <c r="S7560">
        <v>336</v>
      </c>
      <c r="T7560">
        <v>3</v>
      </c>
    </row>
    <row r="7561" spans="18:20" x14ac:dyDescent="0.25">
      <c r="R7561">
        <v>227</v>
      </c>
      <c r="S7561">
        <v>338</v>
      </c>
      <c r="T7561">
        <v>4</v>
      </c>
    </row>
    <row r="7562" spans="18:20" x14ac:dyDescent="0.25">
      <c r="R7562">
        <v>227</v>
      </c>
      <c r="S7562">
        <v>411</v>
      </c>
      <c r="T7562">
        <v>4</v>
      </c>
    </row>
    <row r="7563" spans="18:20" x14ac:dyDescent="0.25">
      <c r="R7563">
        <v>227</v>
      </c>
      <c r="S7563">
        <v>414</v>
      </c>
      <c r="T7563">
        <v>4</v>
      </c>
    </row>
    <row r="7564" spans="18:20" x14ac:dyDescent="0.25">
      <c r="R7564">
        <v>227</v>
      </c>
      <c r="S7564">
        <v>422</v>
      </c>
      <c r="T7564">
        <v>1</v>
      </c>
    </row>
    <row r="7565" spans="18:20" x14ac:dyDescent="0.25">
      <c r="R7565">
        <v>227</v>
      </c>
      <c r="S7565">
        <v>426</v>
      </c>
      <c r="T7565">
        <v>1</v>
      </c>
    </row>
    <row r="7566" spans="18:20" x14ac:dyDescent="0.25">
      <c r="R7566">
        <v>227</v>
      </c>
      <c r="S7566">
        <v>426</v>
      </c>
      <c r="T7566">
        <v>4</v>
      </c>
    </row>
    <row r="7567" spans="18:20" x14ac:dyDescent="0.25">
      <c r="R7567">
        <v>227</v>
      </c>
      <c r="S7567">
        <v>427</v>
      </c>
      <c r="T7567">
        <v>5</v>
      </c>
    </row>
    <row r="7568" spans="18:20" x14ac:dyDescent="0.25">
      <c r="R7568">
        <v>228</v>
      </c>
      <c r="S7568">
        <v>29</v>
      </c>
      <c r="T7568">
        <v>1</v>
      </c>
    </row>
    <row r="7569" spans="18:20" x14ac:dyDescent="0.25">
      <c r="R7569">
        <v>228</v>
      </c>
      <c r="S7569">
        <v>29</v>
      </c>
      <c r="T7569">
        <v>4</v>
      </c>
    </row>
    <row r="7570" spans="18:20" x14ac:dyDescent="0.25">
      <c r="R7570">
        <v>228</v>
      </c>
      <c r="S7570">
        <v>34</v>
      </c>
      <c r="T7570">
        <v>2</v>
      </c>
    </row>
    <row r="7571" spans="18:20" x14ac:dyDescent="0.25">
      <c r="R7571">
        <v>228</v>
      </c>
      <c r="S7571">
        <v>37</v>
      </c>
      <c r="T7571">
        <v>5</v>
      </c>
    </row>
    <row r="7572" spans="18:20" x14ac:dyDescent="0.25">
      <c r="R7572">
        <v>228</v>
      </c>
      <c r="S7572">
        <v>40</v>
      </c>
      <c r="T7572">
        <v>1</v>
      </c>
    </row>
    <row r="7573" spans="18:20" x14ac:dyDescent="0.25">
      <c r="R7573">
        <v>228</v>
      </c>
      <c r="S7573">
        <v>65</v>
      </c>
      <c r="T7573">
        <v>3</v>
      </c>
    </row>
    <row r="7574" spans="18:20" x14ac:dyDescent="0.25">
      <c r="R7574">
        <v>228</v>
      </c>
      <c r="S7574">
        <v>69</v>
      </c>
      <c r="T7574">
        <v>2</v>
      </c>
    </row>
    <row r="7575" spans="18:20" x14ac:dyDescent="0.25">
      <c r="R7575">
        <v>228</v>
      </c>
      <c r="S7575">
        <v>69</v>
      </c>
      <c r="T7575">
        <v>5</v>
      </c>
    </row>
    <row r="7576" spans="18:20" x14ac:dyDescent="0.25">
      <c r="R7576">
        <v>228</v>
      </c>
      <c r="S7576">
        <v>70</v>
      </c>
      <c r="T7576">
        <v>2</v>
      </c>
    </row>
    <row r="7577" spans="18:20" x14ac:dyDescent="0.25">
      <c r="R7577">
        <v>228</v>
      </c>
      <c r="S7577">
        <v>82</v>
      </c>
      <c r="T7577">
        <v>4</v>
      </c>
    </row>
    <row r="7578" spans="18:20" x14ac:dyDescent="0.25">
      <c r="R7578">
        <v>228</v>
      </c>
      <c r="S7578">
        <v>107</v>
      </c>
      <c r="T7578">
        <v>2</v>
      </c>
    </row>
    <row r="7579" spans="18:20" x14ac:dyDescent="0.25">
      <c r="R7579">
        <v>228</v>
      </c>
      <c r="S7579">
        <v>120</v>
      </c>
      <c r="T7579">
        <v>3</v>
      </c>
    </row>
    <row r="7580" spans="18:20" x14ac:dyDescent="0.25">
      <c r="R7580">
        <v>228</v>
      </c>
      <c r="S7580">
        <v>120</v>
      </c>
      <c r="T7580">
        <v>1</v>
      </c>
    </row>
    <row r="7581" spans="18:20" x14ac:dyDescent="0.25">
      <c r="R7581">
        <v>228</v>
      </c>
      <c r="S7581">
        <v>154</v>
      </c>
      <c r="T7581">
        <v>2</v>
      </c>
    </row>
    <row r="7582" spans="18:20" x14ac:dyDescent="0.25">
      <c r="R7582">
        <v>228</v>
      </c>
      <c r="S7582">
        <v>177</v>
      </c>
      <c r="T7582">
        <v>2</v>
      </c>
    </row>
    <row r="7583" spans="18:20" x14ac:dyDescent="0.25">
      <c r="R7583">
        <v>228</v>
      </c>
      <c r="S7583">
        <v>192</v>
      </c>
      <c r="T7583">
        <v>3</v>
      </c>
    </row>
    <row r="7584" spans="18:20" x14ac:dyDescent="0.25">
      <c r="R7584">
        <v>228</v>
      </c>
      <c r="S7584">
        <v>212</v>
      </c>
      <c r="T7584">
        <v>5</v>
      </c>
    </row>
    <row r="7585" spans="18:20" x14ac:dyDescent="0.25">
      <c r="R7585">
        <v>228</v>
      </c>
      <c r="S7585">
        <v>216</v>
      </c>
      <c r="T7585">
        <v>4</v>
      </c>
    </row>
    <row r="7586" spans="18:20" x14ac:dyDescent="0.25">
      <c r="R7586">
        <v>228</v>
      </c>
      <c r="S7586">
        <v>217</v>
      </c>
      <c r="T7586">
        <v>2</v>
      </c>
    </row>
    <row r="7587" spans="18:20" x14ac:dyDescent="0.25">
      <c r="R7587">
        <v>228</v>
      </c>
      <c r="S7587">
        <v>222</v>
      </c>
      <c r="T7587">
        <v>3</v>
      </c>
    </row>
    <row r="7588" spans="18:20" x14ac:dyDescent="0.25">
      <c r="R7588">
        <v>228</v>
      </c>
      <c r="S7588">
        <v>225</v>
      </c>
      <c r="T7588">
        <v>1</v>
      </c>
    </row>
    <row r="7589" spans="18:20" x14ac:dyDescent="0.25">
      <c r="R7589">
        <v>228</v>
      </c>
      <c r="S7589">
        <v>248</v>
      </c>
      <c r="T7589">
        <v>3</v>
      </c>
    </row>
    <row r="7590" spans="18:20" x14ac:dyDescent="0.25">
      <c r="R7590">
        <v>228</v>
      </c>
      <c r="S7590">
        <v>252</v>
      </c>
      <c r="T7590">
        <v>3</v>
      </c>
    </row>
    <row r="7591" spans="18:20" x14ac:dyDescent="0.25">
      <c r="R7591">
        <v>228</v>
      </c>
      <c r="S7591">
        <v>252</v>
      </c>
      <c r="T7591">
        <v>5</v>
      </c>
    </row>
    <row r="7592" spans="18:20" x14ac:dyDescent="0.25">
      <c r="R7592">
        <v>228</v>
      </c>
      <c r="S7592">
        <v>267</v>
      </c>
      <c r="T7592">
        <v>3</v>
      </c>
    </row>
    <row r="7593" spans="18:20" x14ac:dyDescent="0.25">
      <c r="R7593">
        <v>228</v>
      </c>
      <c r="S7593">
        <v>269</v>
      </c>
      <c r="T7593">
        <v>2</v>
      </c>
    </row>
    <row r="7594" spans="18:20" x14ac:dyDescent="0.25">
      <c r="R7594">
        <v>228</v>
      </c>
      <c r="S7594">
        <v>290</v>
      </c>
      <c r="T7594">
        <v>3</v>
      </c>
    </row>
    <row r="7595" spans="18:20" x14ac:dyDescent="0.25">
      <c r="R7595">
        <v>228</v>
      </c>
      <c r="S7595">
        <v>292</v>
      </c>
      <c r="T7595">
        <v>5</v>
      </c>
    </row>
    <row r="7596" spans="18:20" x14ac:dyDescent="0.25">
      <c r="R7596">
        <v>228</v>
      </c>
      <c r="S7596">
        <v>309</v>
      </c>
      <c r="T7596">
        <v>5</v>
      </c>
    </row>
    <row r="7597" spans="18:20" x14ac:dyDescent="0.25">
      <c r="R7597">
        <v>228</v>
      </c>
      <c r="S7597">
        <v>310</v>
      </c>
      <c r="T7597">
        <v>4</v>
      </c>
    </row>
    <row r="7598" spans="18:20" x14ac:dyDescent="0.25">
      <c r="R7598">
        <v>228</v>
      </c>
      <c r="S7598">
        <v>314</v>
      </c>
      <c r="T7598">
        <v>5</v>
      </c>
    </row>
    <row r="7599" spans="18:20" x14ac:dyDescent="0.25">
      <c r="R7599">
        <v>228</v>
      </c>
      <c r="S7599">
        <v>338</v>
      </c>
      <c r="T7599">
        <v>3</v>
      </c>
    </row>
    <row r="7600" spans="18:20" x14ac:dyDescent="0.25">
      <c r="R7600">
        <v>228</v>
      </c>
      <c r="S7600">
        <v>363</v>
      </c>
      <c r="T7600">
        <v>5</v>
      </c>
    </row>
    <row r="7601" spans="18:20" x14ac:dyDescent="0.25">
      <c r="R7601">
        <v>228</v>
      </c>
      <c r="S7601">
        <v>400</v>
      </c>
      <c r="T7601">
        <v>5</v>
      </c>
    </row>
    <row r="7602" spans="18:20" x14ac:dyDescent="0.25">
      <c r="R7602">
        <v>228</v>
      </c>
      <c r="S7602">
        <v>404</v>
      </c>
      <c r="T7602">
        <v>5</v>
      </c>
    </row>
    <row r="7603" spans="18:20" x14ac:dyDescent="0.25">
      <c r="R7603">
        <v>228</v>
      </c>
      <c r="S7603">
        <v>409</v>
      </c>
      <c r="T7603">
        <v>3</v>
      </c>
    </row>
    <row r="7604" spans="18:20" x14ac:dyDescent="0.25">
      <c r="R7604">
        <v>228</v>
      </c>
      <c r="S7604">
        <v>422</v>
      </c>
      <c r="T7604">
        <v>3</v>
      </c>
    </row>
    <row r="7605" spans="18:20" x14ac:dyDescent="0.25">
      <c r="R7605">
        <v>228</v>
      </c>
      <c r="S7605">
        <v>427</v>
      </c>
      <c r="T7605">
        <v>4</v>
      </c>
    </row>
    <row r="7606" spans="18:20" x14ac:dyDescent="0.25">
      <c r="R7606">
        <v>229</v>
      </c>
      <c r="S7606">
        <v>14</v>
      </c>
      <c r="T7606">
        <v>4</v>
      </c>
    </row>
    <row r="7607" spans="18:20" x14ac:dyDescent="0.25">
      <c r="R7607">
        <v>229</v>
      </c>
      <c r="S7607">
        <v>19</v>
      </c>
      <c r="T7607">
        <v>3</v>
      </c>
    </row>
    <row r="7608" spans="18:20" x14ac:dyDescent="0.25">
      <c r="R7608">
        <v>229</v>
      </c>
      <c r="S7608">
        <v>19</v>
      </c>
      <c r="T7608">
        <v>4</v>
      </c>
    </row>
    <row r="7609" spans="18:20" x14ac:dyDescent="0.25">
      <c r="R7609">
        <v>229</v>
      </c>
      <c r="S7609">
        <v>19</v>
      </c>
      <c r="T7609">
        <v>2</v>
      </c>
    </row>
    <row r="7610" spans="18:20" x14ac:dyDescent="0.25">
      <c r="R7610">
        <v>229</v>
      </c>
      <c r="S7610">
        <v>29</v>
      </c>
      <c r="T7610">
        <v>3</v>
      </c>
    </row>
    <row r="7611" spans="18:20" x14ac:dyDescent="0.25">
      <c r="R7611">
        <v>229</v>
      </c>
      <c r="S7611">
        <v>93</v>
      </c>
      <c r="T7611">
        <v>1</v>
      </c>
    </row>
    <row r="7612" spans="18:20" x14ac:dyDescent="0.25">
      <c r="R7612">
        <v>229</v>
      </c>
      <c r="S7612">
        <v>116</v>
      </c>
      <c r="T7612">
        <v>3</v>
      </c>
    </row>
    <row r="7613" spans="18:20" x14ac:dyDescent="0.25">
      <c r="R7613">
        <v>229</v>
      </c>
      <c r="S7613">
        <v>135</v>
      </c>
      <c r="T7613">
        <v>4</v>
      </c>
    </row>
    <row r="7614" spans="18:20" x14ac:dyDescent="0.25">
      <c r="R7614">
        <v>229</v>
      </c>
      <c r="S7614">
        <v>157</v>
      </c>
      <c r="T7614">
        <v>4</v>
      </c>
    </row>
    <row r="7615" spans="18:20" x14ac:dyDescent="0.25">
      <c r="R7615">
        <v>229</v>
      </c>
      <c r="S7615">
        <v>159</v>
      </c>
      <c r="T7615">
        <v>4</v>
      </c>
    </row>
    <row r="7616" spans="18:20" x14ac:dyDescent="0.25">
      <c r="R7616">
        <v>229</v>
      </c>
      <c r="S7616">
        <v>160</v>
      </c>
      <c r="T7616">
        <v>5</v>
      </c>
    </row>
    <row r="7617" spans="18:20" x14ac:dyDescent="0.25">
      <c r="R7617">
        <v>229</v>
      </c>
      <c r="S7617">
        <v>174</v>
      </c>
      <c r="T7617">
        <v>2</v>
      </c>
    </row>
    <row r="7618" spans="18:20" x14ac:dyDescent="0.25">
      <c r="R7618">
        <v>229</v>
      </c>
      <c r="S7618">
        <v>197</v>
      </c>
      <c r="T7618">
        <v>2</v>
      </c>
    </row>
    <row r="7619" spans="18:20" x14ac:dyDescent="0.25">
      <c r="R7619">
        <v>229</v>
      </c>
      <c r="S7619">
        <v>200</v>
      </c>
      <c r="T7619">
        <v>1</v>
      </c>
    </row>
    <row r="7620" spans="18:20" x14ac:dyDescent="0.25">
      <c r="R7620">
        <v>229</v>
      </c>
      <c r="S7620">
        <v>202</v>
      </c>
      <c r="T7620">
        <v>2</v>
      </c>
    </row>
    <row r="7621" spans="18:20" x14ac:dyDescent="0.25">
      <c r="R7621">
        <v>229</v>
      </c>
      <c r="S7621">
        <v>214</v>
      </c>
      <c r="T7621">
        <v>1</v>
      </c>
    </row>
    <row r="7622" spans="18:20" x14ac:dyDescent="0.25">
      <c r="R7622">
        <v>229</v>
      </c>
      <c r="S7622">
        <v>242</v>
      </c>
      <c r="T7622">
        <v>1</v>
      </c>
    </row>
    <row r="7623" spans="18:20" x14ac:dyDescent="0.25">
      <c r="R7623">
        <v>229</v>
      </c>
      <c r="S7623">
        <v>244</v>
      </c>
      <c r="T7623">
        <v>4</v>
      </c>
    </row>
    <row r="7624" spans="18:20" x14ac:dyDescent="0.25">
      <c r="R7624">
        <v>229</v>
      </c>
      <c r="S7624">
        <v>271</v>
      </c>
      <c r="T7624">
        <v>1</v>
      </c>
    </row>
    <row r="7625" spans="18:20" x14ac:dyDescent="0.25">
      <c r="R7625">
        <v>229</v>
      </c>
      <c r="S7625">
        <v>281</v>
      </c>
      <c r="T7625">
        <v>1</v>
      </c>
    </row>
    <row r="7626" spans="18:20" x14ac:dyDescent="0.25">
      <c r="R7626">
        <v>229</v>
      </c>
      <c r="S7626">
        <v>290</v>
      </c>
      <c r="T7626">
        <v>3</v>
      </c>
    </row>
    <row r="7627" spans="18:20" x14ac:dyDescent="0.25">
      <c r="R7627">
        <v>229</v>
      </c>
      <c r="S7627">
        <v>294</v>
      </c>
      <c r="T7627">
        <v>5</v>
      </c>
    </row>
    <row r="7628" spans="18:20" x14ac:dyDescent="0.25">
      <c r="R7628">
        <v>229</v>
      </c>
      <c r="S7628">
        <v>316</v>
      </c>
      <c r="T7628">
        <v>1</v>
      </c>
    </row>
    <row r="7629" spans="18:20" x14ac:dyDescent="0.25">
      <c r="R7629">
        <v>229</v>
      </c>
      <c r="S7629">
        <v>320</v>
      </c>
      <c r="T7629">
        <v>2</v>
      </c>
    </row>
    <row r="7630" spans="18:20" x14ac:dyDescent="0.25">
      <c r="R7630">
        <v>229</v>
      </c>
      <c r="S7630">
        <v>321</v>
      </c>
      <c r="T7630">
        <v>4</v>
      </c>
    </row>
    <row r="7631" spans="18:20" x14ac:dyDescent="0.25">
      <c r="R7631">
        <v>229</v>
      </c>
      <c r="S7631">
        <v>360</v>
      </c>
      <c r="T7631">
        <v>5</v>
      </c>
    </row>
    <row r="7632" spans="18:20" x14ac:dyDescent="0.25">
      <c r="R7632">
        <v>229</v>
      </c>
      <c r="S7632">
        <v>365</v>
      </c>
      <c r="T7632">
        <v>2</v>
      </c>
    </row>
    <row r="7633" spans="18:20" x14ac:dyDescent="0.25">
      <c r="R7633">
        <v>229</v>
      </c>
      <c r="S7633">
        <v>371</v>
      </c>
      <c r="T7633">
        <v>5</v>
      </c>
    </row>
    <row r="7634" spans="18:20" x14ac:dyDescent="0.25">
      <c r="R7634">
        <v>229</v>
      </c>
      <c r="S7634">
        <v>414</v>
      </c>
      <c r="T7634">
        <v>3</v>
      </c>
    </row>
    <row r="7635" spans="18:20" x14ac:dyDescent="0.25">
      <c r="R7635">
        <v>229</v>
      </c>
      <c r="S7635">
        <v>422</v>
      </c>
      <c r="T7635">
        <v>2</v>
      </c>
    </row>
    <row r="7636" spans="18:20" x14ac:dyDescent="0.25">
      <c r="R7636">
        <v>229</v>
      </c>
      <c r="S7636">
        <v>434</v>
      </c>
      <c r="T7636">
        <v>3</v>
      </c>
    </row>
    <row r="7637" spans="18:20" x14ac:dyDescent="0.25">
      <c r="R7637">
        <v>230</v>
      </c>
      <c r="S7637">
        <v>40</v>
      </c>
      <c r="T7637">
        <v>2</v>
      </c>
    </row>
    <row r="7638" spans="18:20" x14ac:dyDescent="0.25">
      <c r="R7638">
        <v>230</v>
      </c>
      <c r="S7638">
        <v>46</v>
      </c>
      <c r="T7638">
        <v>1</v>
      </c>
    </row>
    <row r="7639" spans="18:20" x14ac:dyDescent="0.25">
      <c r="R7639">
        <v>230</v>
      </c>
      <c r="S7639">
        <v>56</v>
      </c>
      <c r="T7639">
        <v>2</v>
      </c>
    </row>
    <row r="7640" spans="18:20" x14ac:dyDescent="0.25">
      <c r="R7640">
        <v>230</v>
      </c>
      <c r="S7640">
        <v>61</v>
      </c>
      <c r="T7640">
        <v>4</v>
      </c>
    </row>
    <row r="7641" spans="18:20" x14ac:dyDescent="0.25">
      <c r="R7641">
        <v>230</v>
      </c>
      <c r="S7641">
        <v>69</v>
      </c>
      <c r="T7641">
        <v>5</v>
      </c>
    </row>
    <row r="7642" spans="18:20" x14ac:dyDescent="0.25">
      <c r="R7642">
        <v>230</v>
      </c>
      <c r="S7642">
        <v>74</v>
      </c>
      <c r="T7642">
        <v>3</v>
      </c>
    </row>
    <row r="7643" spans="18:20" x14ac:dyDescent="0.25">
      <c r="R7643">
        <v>230</v>
      </c>
      <c r="S7643">
        <v>96</v>
      </c>
      <c r="T7643">
        <v>2</v>
      </c>
    </row>
    <row r="7644" spans="18:20" x14ac:dyDescent="0.25">
      <c r="R7644">
        <v>230</v>
      </c>
      <c r="S7644">
        <v>115</v>
      </c>
      <c r="T7644">
        <v>1</v>
      </c>
    </row>
    <row r="7645" spans="18:20" x14ac:dyDescent="0.25">
      <c r="R7645">
        <v>230</v>
      </c>
      <c r="S7645">
        <v>126</v>
      </c>
      <c r="T7645">
        <v>4</v>
      </c>
    </row>
    <row r="7646" spans="18:20" x14ac:dyDescent="0.25">
      <c r="R7646">
        <v>230</v>
      </c>
      <c r="S7646">
        <v>130</v>
      </c>
      <c r="T7646">
        <v>2</v>
      </c>
    </row>
    <row r="7647" spans="18:20" x14ac:dyDescent="0.25">
      <c r="R7647">
        <v>230</v>
      </c>
      <c r="S7647">
        <v>146</v>
      </c>
      <c r="T7647">
        <v>4</v>
      </c>
    </row>
    <row r="7648" spans="18:20" x14ac:dyDescent="0.25">
      <c r="R7648">
        <v>230</v>
      </c>
      <c r="S7648">
        <v>159</v>
      </c>
      <c r="T7648">
        <v>4</v>
      </c>
    </row>
    <row r="7649" spans="18:20" x14ac:dyDescent="0.25">
      <c r="R7649">
        <v>230</v>
      </c>
      <c r="S7649">
        <v>160</v>
      </c>
      <c r="T7649">
        <v>5</v>
      </c>
    </row>
    <row r="7650" spans="18:20" x14ac:dyDescent="0.25">
      <c r="R7650">
        <v>230</v>
      </c>
      <c r="S7650">
        <v>167</v>
      </c>
      <c r="T7650">
        <v>4</v>
      </c>
    </row>
    <row r="7651" spans="18:20" x14ac:dyDescent="0.25">
      <c r="R7651">
        <v>230</v>
      </c>
      <c r="S7651">
        <v>171</v>
      </c>
      <c r="T7651">
        <v>1</v>
      </c>
    </row>
    <row r="7652" spans="18:20" x14ac:dyDescent="0.25">
      <c r="R7652">
        <v>230</v>
      </c>
      <c r="S7652">
        <v>173</v>
      </c>
      <c r="T7652">
        <v>5</v>
      </c>
    </row>
    <row r="7653" spans="18:20" x14ac:dyDescent="0.25">
      <c r="R7653">
        <v>230</v>
      </c>
      <c r="S7653">
        <v>179</v>
      </c>
      <c r="T7653">
        <v>4</v>
      </c>
    </row>
    <row r="7654" spans="18:20" x14ac:dyDescent="0.25">
      <c r="R7654">
        <v>230</v>
      </c>
      <c r="S7654">
        <v>187</v>
      </c>
      <c r="T7654">
        <v>1</v>
      </c>
    </row>
    <row r="7655" spans="18:20" x14ac:dyDescent="0.25">
      <c r="R7655">
        <v>230</v>
      </c>
      <c r="S7655">
        <v>204</v>
      </c>
      <c r="T7655">
        <v>5</v>
      </c>
    </row>
    <row r="7656" spans="18:20" x14ac:dyDescent="0.25">
      <c r="R7656">
        <v>230</v>
      </c>
      <c r="S7656">
        <v>207</v>
      </c>
      <c r="T7656">
        <v>4</v>
      </c>
    </row>
    <row r="7657" spans="18:20" x14ac:dyDescent="0.25">
      <c r="R7657">
        <v>230</v>
      </c>
      <c r="S7657">
        <v>211</v>
      </c>
      <c r="T7657">
        <v>1</v>
      </c>
    </row>
    <row r="7658" spans="18:20" x14ac:dyDescent="0.25">
      <c r="R7658">
        <v>230</v>
      </c>
      <c r="S7658">
        <v>214</v>
      </c>
      <c r="T7658">
        <v>5</v>
      </c>
    </row>
    <row r="7659" spans="18:20" x14ac:dyDescent="0.25">
      <c r="R7659">
        <v>230</v>
      </c>
      <c r="S7659">
        <v>231</v>
      </c>
      <c r="T7659">
        <v>3</v>
      </c>
    </row>
    <row r="7660" spans="18:20" x14ac:dyDescent="0.25">
      <c r="R7660">
        <v>230</v>
      </c>
      <c r="S7660">
        <v>233</v>
      </c>
      <c r="T7660">
        <v>4</v>
      </c>
    </row>
    <row r="7661" spans="18:20" x14ac:dyDescent="0.25">
      <c r="R7661">
        <v>230</v>
      </c>
      <c r="S7661">
        <v>257</v>
      </c>
      <c r="T7661">
        <v>4</v>
      </c>
    </row>
    <row r="7662" spans="18:20" x14ac:dyDescent="0.25">
      <c r="R7662">
        <v>230</v>
      </c>
      <c r="S7662">
        <v>260</v>
      </c>
      <c r="T7662">
        <v>3</v>
      </c>
    </row>
    <row r="7663" spans="18:20" x14ac:dyDescent="0.25">
      <c r="R7663">
        <v>230</v>
      </c>
      <c r="S7663">
        <v>266</v>
      </c>
      <c r="T7663">
        <v>3</v>
      </c>
    </row>
    <row r="7664" spans="18:20" x14ac:dyDescent="0.25">
      <c r="R7664">
        <v>230</v>
      </c>
      <c r="S7664">
        <v>294</v>
      </c>
      <c r="T7664">
        <v>1</v>
      </c>
    </row>
    <row r="7665" spans="18:20" x14ac:dyDescent="0.25">
      <c r="R7665">
        <v>230</v>
      </c>
      <c r="S7665">
        <v>296</v>
      </c>
      <c r="T7665">
        <v>4</v>
      </c>
    </row>
    <row r="7666" spans="18:20" x14ac:dyDescent="0.25">
      <c r="R7666">
        <v>230</v>
      </c>
      <c r="S7666">
        <v>303</v>
      </c>
      <c r="T7666">
        <v>1</v>
      </c>
    </row>
    <row r="7667" spans="18:20" x14ac:dyDescent="0.25">
      <c r="R7667">
        <v>230</v>
      </c>
      <c r="S7667">
        <v>305</v>
      </c>
      <c r="T7667">
        <v>5</v>
      </c>
    </row>
    <row r="7668" spans="18:20" x14ac:dyDescent="0.25">
      <c r="R7668">
        <v>230</v>
      </c>
      <c r="S7668">
        <v>310</v>
      </c>
      <c r="T7668">
        <v>2</v>
      </c>
    </row>
    <row r="7669" spans="18:20" x14ac:dyDescent="0.25">
      <c r="R7669">
        <v>230</v>
      </c>
      <c r="S7669">
        <v>314</v>
      </c>
      <c r="T7669">
        <v>1</v>
      </c>
    </row>
    <row r="7670" spans="18:20" x14ac:dyDescent="0.25">
      <c r="R7670">
        <v>230</v>
      </c>
      <c r="S7670">
        <v>314</v>
      </c>
      <c r="T7670">
        <v>2</v>
      </c>
    </row>
    <row r="7671" spans="18:20" x14ac:dyDescent="0.25">
      <c r="R7671">
        <v>230</v>
      </c>
      <c r="S7671">
        <v>342</v>
      </c>
      <c r="T7671">
        <v>1</v>
      </c>
    </row>
    <row r="7672" spans="18:20" x14ac:dyDescent="0.25">
      <c r="R7672">
        <v>230</v>
      </c>
      <c r="S7672">
        <v>352</v>
      </c>
      <c r="T7672">
        <v>5</v>
      </c>
    </row>
    <row r="7673" spans="18:20" x14ac:dyDescent="0.25">
      <c r="R7673">
        <v>230</v>
      </c>
      <c r="S7673">
        <v>370</v>
      </c>
      <c r="T7673">
        <v>1</v>
      </c>
    </row>
    <row r="7674" spans="18:20" x14ac:dyDescent="0.25">
      <c r="R7674">
        <v>230</v>
      </c>
      <c r="S7674">
        <v>376</v>
      </c>
      <c r="T7674">
        <v>5</v>
      </c>
    </row>
    <row r="7675" spans="18:20" x14ac:dyDescent="0.25">
      <c r="R7675">
        <v>230</v>
      </c>
      <c r="S7675">
        <v>377</v>
      </c>
      <c r="T7675">
        <v>2</v>
      </c>
    </row>
    <row r="7676" spans="18:20" x14ac:dyDescent="0.25">
      <c r="R7676">
        <v>230</v>
      </c>
      <c r="S7676">
        <v>395</v>
      </c>
      <c r="T7676">
        <v>5</v>
      </c>
    </row>
    <row r="7677" spans="18:20" x14ac:dyDescent="0.25">
      <c r="R7677">
        <v>230</v>
      </c>
      <c r="S7677">
        <v>395</v>
      </c>
      <c r="T7677">
        <v>5</v>
      </c>
    </row>
    <row r="7678" spans="18:20" x14ac:dyDescent="0.25">
      <c r="R7678">
        <v>231</v>
      </c>
      <c r="S7678">
        <v>2</v>
      </c>
      <c r="T7678">
        <v>1</v>
      </c>
    </row>
    <row r="7679" spans="18:20" x14ac:dyDescent="0.25">
      <c r="R7679">
        <v>231</v>
      </c>
      <c r="S7679">
        <v>3</v>
      </c>
      <c r="T7679">
        <v>2</v>
      </c>
    </row>
    <row r="7680" spans="18:20" x14ac:dyDescent="0.25">
      <c r="R7680">
        <v>231</v>
      </c>
      <c r="S7680">
        <v>37</v>
      </c>
      <c r="T7680">
        <v>1</v>
      </c>
    </row>
    <row r="7681" spans="18:20" x14ac:dyDescent="0.25">
      <c r="R7681">
        <v>231</v>
      </c>
      <c r="S7681">
        <v>49</v>
      </c>
      <c r="T7681">
        <v>3</v>
      </c>
    </row>
    <row r="7682" spans="18:20" x14ac:dyDescent="0.25">
      <c r="R7682">
        <v>231</v>
      </c>
      <c r="S7682">
        <v>78</v>
      </c>
      <c r="T7682">
        <v>3</v>
      </c>
    </row>
    <row r="7683" spans="18:20" x14ac:dyDescent="0.25">
      <c r="R7683">
        <v>231</v>
      </c>
      <c r="S7683">
        <v>82</v>
      </c>
      <c r="T7683">
        <v>4</v>
      </c>
    </row>
    <row r="7684" spans="18:20" x14ac:dyDescent="0.25">
      <c r="R7684">
        <v>231</v>
      </c>
      <c r="S7684">
        <v>86</v>
      </c>
      <c r="T7684">
        <v>5</v>
      </c>
    </row>
    <row r="7685" spans="18:20" x14ac:dyDescent="0.25">
      <c r="R7685">
        <v>231</v>
      </c>
      <c r="S7685">
        <v>100</v>
      </c>
      <c r="T7685">
        <v>1</v>
      </c>
    </row>
    <row r="7686" spans="18:20" x14ac:dyDescent="0.25">
      <c r="R7686">
        <v>231</v>
      </c>
      <c r="S7686">
        <v>103</v>
      </c>
      <c r="T7686">
        <v>3</v>
      </c>
    </row>
    <row r="7687" spans="18:20" x14ac:dyDescent="0.25">
      <c r="R7687">
        <v>231</v>
      </c>
      <c r="S7687">
        <v>119</v>
      </c>
      <c r="T7687">
        <v>1</v>
      </c>
    </row>
    <row r="7688" spans="18:20" x14ac:dyDescent="0.25">
      <c r="R7688">
        <v>231</v>
      </c>
      <c r="S7688">
        <v>143</v>
      </c>
      <c r="T7688">
        <v>4</v>
      </c>
    </row>
    <row r="7689" spans="18:20" x14ac:dyDescent="0.25">
      <c r="R7689">
        <v>231</v>
      </c>
      <c r="S7689">
        <v>157</v>
      </c>
      <c r="T7689">
        <v>5</v>
      </c>
    </row>
    <row r="7690" spans="18:20" x14ac:dyDescent="0.25">
      <c r="R7690">
        <v>231</v>
      </c>
      <c r="S7690">
        <v>183</v>
      </c>
      <c r="T7690">
        <v>4</v>
      </c>
    </row>
    <row r="7691" spans="18:20" x14ac:dyDescent="0.25">
      <c r="R7691">
        <v>231</v>
      </c>
      <c r="S7691">
        <v>197</v>
      </c>
      <c r="T7691">
        <v>3</v>
      </c>
    </row>
    <row r="7692" spans="18:20" x14ac:dyDescent="0.25">
      <c r="R7692">
        <v>231</v>
      </c>
      <c r="S7692">
        <v>208</v>
      </c>
      <c r="T7692">
        <v>2</v>
      </c>
    </row>
    <row r="7693" spans="18:20" x14ac:dyDescent="0.25">
      <c r="R7693">
        <v>231</v>
      </c>
      <c r="S7693">
        <v>247</v>
      </c>
      <c r="T7693">
        <v>3</v>
      </c>
    </row>
    <row r="7694" spans="18:20" x14ac:dyDescent="0.25">
      <c r="R7694">
        <v>231</v>
      </c>
      <c r="S7694">
        <v>250</v>
      </c>
      <c r="T7694">
        <v>1</v>
      </c>
    </row>
    <row r="7695" spans="18:20" x14ac:dyDescent="0.25">
      <c r="R7695">
        <v>231</v>
      </c>
      <c r="S7695">
        <v>254</v>
      </c>
      <c r="T7695">
        <v>4</v>
      </c>
    </row>
    <row r="7696" spans="18:20" x14ac:dyDescent="0.25">
      <c r="R7696">
        <v>231</v>
      </c>
      <c r="S7696">
        <v>257</v>
      </c>
      <c r="T7696">
        <v>4</v>
      </c>
    </row>
    <row r="7697" spans="18:20" x14ac:dyDescent="0.25">
      <c r="R7697">
        <v>231</v>
      </c>
      <c r="S7697">
        <v>269</v>
      </c>
      <c r="T7697">
        <v>2</v>
      </c>
    </row>
    <row r="7698" spans="18:20" x14ac:dyDescent="0.25">
      <c r="R7698">
        <v>231</v>
      </c>
      <c r="S7698">
        <v>274</v>
      </c>
      <c r="T7698">
        <v>3</v>
      </c>
    </row>
    <row r="7699" spans="18:20" x14ac:dyDescent="0.25">
      <c r="R7699">
        <v>231</v>
      </c>
      <c r="S7699">
        <v>301</v>
      </c>
      <c r="T7699">
        <v>3</v>
      </c>
    </row>
    <row r="7700" spans="18:20" x14ac:dyDescent="0.25">
      <c r="R7700">
        <v>231</v>
      </c>
      <c r="S7700">
        <v>331</v>
      </c>
      <c r="T7700">
        <v>4</v>
      </c>
    </row>
    <row r="7701" spans="18:20" x14ac:dyDescent="0.25">
      <c r="R7701">
        <v>231</v>
      </c>
      <c r="S7701">
        <v>334</v>
      </c>
      <c r="T7701">
        <v>5</v>
      </c>
    </row>
    <row r="7702" spans="18:20" x14ac:dyDescent="0.25">
      <c r="R7702">
        <v>231</v>
      </c>
      <c r="S7702">
        <v>347</v>
      </c>
      <c r="T7702">
        <v>3</v>
      </c>
    </row>
    <row r="7703" spans="18:20" x14ac:dyDescent="0.25">
      <c r="R7703">
        <v>231</v>
      </c>
      <c r="S7703">
        <v>351</v>
      </c>
      <c r="T7703">
        <v>2</v>
      </c>
    </row>
    <row r="7704" spans="18:20" x14ac:dyDescent="0.25">
      <c r="R7704">
        <v>231</v>
      </c>
      <c r="S7704">
        <v>354</v>
      </c>
      <c r="T7704">
        <v>5</v>
      </c>
    </row>
    <row r="7705" spans="18:20" x14ac:dyDescent="0.25">
      <c r="R7705">
        <v>231</v>
      </c>
      <c r="S7705">
        <v>360</v>
      </c>
      <c r="T7705">
        <v>1</v>
      </c>
    </row>
    <row r="7706" spans="18:20" x14ac:dyDescent="0.25">
      <c r="R7706">
        <v>231</v>
      </c>
      <c r="S7706">
        <v>366</v>
      </c>
      <c r="T7706">
        <v>4</v>
      </c>
    </row>
    <row r="7707" spans="18:20" x14ac:dyDescent="0.25">
      <c r="R7707">
        <v>231</v>
      </c>
      <c r="S7707">
        <v>372</v>
      </c>
      <c r="T7707">
        <v>3</v>
      </c>
    </row>
    <row r="7708" spans="18:20" x14ac:dyDescent="0.25">
      <c r="R7708">
        <v>231</v>
      </c>
      <c r="S7708">
        <v>375</v>
      </c>
      <c r="T7708">
        <v>5</v>
      </c>
    </row>
    <row r="7709" spans="18:20" x14ac:dyDescent="0.25">
      <c r="R7709">
        <v>231</v>
      </c>
      <c r="S7709">
        <v>380</v>
      </c>
      <c r="T7709">
        <v>1</v>
      </c>
    </row>
    <row r="7710" spans="18:20" x14ac:dyDescent="0.25">
      <c r="R7710">
        <v>231</v>
      </c>
      <c r="S7710">
        <v>381</v>
      </c>
      <c r="T7710">
        <v>5</v>
      </c>
    </row>
    <row r="7711" spans="18:20" x14ac:dyDescent="0.25">
      <c r="R7711">
        <v>231</v>
      </c>
      <c r="S7711">
        <v>384</v>
      </c>
      <c r="T7711">
        <v>1</v>
      </c>
    </row>
    <row r="7712" spans="18:20" x14ac:dyDescent="0.25">
      <c r="R7712">
        <v>231</v>
      </c>
      <c r="S7712">
        <v>387</v>
      </c>
      <c r="T7712">
        <v>1</v>
      </c>
    </row>
    <row r="7713" spans="18:20" x14ac:dyDescent="0.25">
      <c r="R7713">
        <v>231</v>
      </c>
      <c r="S7713">
        <v>415</v>
      </c>
      <c r="T7713">
        <v>3</v>
      </c>
    </row>
    <row r="7714" spans="18:20" x14ac:dyDescent="0.25">
      <c r="R7714">
        <v>232</v>
      </c>
      <c r="S7714">
        <v>5</v>
      </c>
      <c r="T7714">
        <v>4</v>
      </c>
    </row>
    <row r="7715" spans="18:20" x14ac:dyDescent="0.25">
      <c r="R7715">
        <v>232</v>
      </c>
      <c r="S7715">
        <v>21</v>
      </c>
      <c r="T7715">
        <v>1</v>
      </c>
    </row>
    <row r="7716" spans="18:20" x14ac:dyDescent="0.25">
      <c r="R7716">
        <v>232</v>
      </c>
      <c r="S7716">
        <v>22</v>
      </c>
      <c r="T7716">
        <v>1</v>
      </c>
    </row>
    <row r="7717" spans="18:20" x14ac:dyDescent="0.25">
      <c r="R7717">
        <v>232</v>
      </c>
      <c r="S7717">
        <v>70</v>
      </c>
      <c r="T7717">
        <v>5</v>
      </c>
    </row>
    <row r="7718" spans="18:20" x14ac:dyDescent="0.25">
      <c r="R7718">
        <v>232</v>
      </c>
      <c r="S7718">
        <v>71</v>
      </c>
      <c r="T7718">
        <v>2</v>
      </c>
    </row>
    <row r="7719" spans="18:20" x14ac:dyDescent="0.25">
      <c r="R7719">
        <v>232</v>
      </c>
      <c r="S7719">
        <v>74</v>
      </c>
      <c r="T7719">
        <v>2</v>
      </c>
    </row>
    <row r="7720" spans="18:20" x14ac:dyDescent="0.25">
      <c r="R7720">
        <v>232</v>
      </c>
      <c r="S7720">
        <v>78</v>
      </c>
      <c r="T7720">
        <v>5</v>
      </c>
    </row>
    <row r="7721" spans="18:20" x14ac:dyDescent="0.25">
      <c r="R7721">
        <v>232</v>
      </c>
      <c r="S7721">
        <v>101</v>
      </c>
      <c r="T7721">
        <v>5</v>
      </c>
    </row>
    <row r="7722" spans="18:20" x14ac:dyDescent="0.25">
      <c r="R7722">
        <v>232</v>
      </c>
      <c r="S7722">
        <v>128</v>
      </c>
      <c r="T7722">
        <v>2</v>
      </c>
    </row>
    <row r="7723" spans="18:20" x14ac:dyDescent="0.25">
      <c r="R7723">
        <v>232</v>
      </c>
      <c r="S7723">
        <v>131</v>
      </c>
      <c r="T7723">
        <v>5</v>
      </c>
    </row>
    <row r="7724" spans="18:20" x14ac:dyDescent="0.25">
      <c r="R7724">
        <v>232</v>
      </c>
      <c r="S7724">
        <v>180</v>
      </c>
      <c r="T7724">
        <v>1</v>
      </c>
    </row>
    <row r="7725" spans="18:20" x14ac:dyDescent="0.25">
      <c r="R7725">
        <v>232</v>
      </c>
      <c r="S7725">
        <v>191</v>
      </c>
      <c r="T7725">
        <v>4</v>
      </c>
    </row>
    <row r="7726" spans="18:20" x14ac:dyDescent="0.25">
      <c r="R7726">
        <v>232</v>
      </c>
      <c r="S7726">
        <v>194</v>
      </c>
      <c r="T7726">
        <v>3</v>
      </c>
    </row>
    <row r="7727" spans="18:20" x14ac:dyDescent="0.25">
      <c r="R7727">
        <v>232</v>
      </c>
      <c r="S7727">
        <v>215</v>
      </c>
      <c r="T7727">
        <v>3</v>
      </c>
    </row>
    <row r="7728" spans="18:20" x14ac:dyDescent="0.25">
      <c r="R7728">
        <v>232</v>
      </c>
      <c r="S7728">
        <v>228</v>
      </c>
      <c r="T7728">
        <v>5</v>
      </c>
    </row>
    <row r="7729" spans="18:20" x14ac:dyDescent="0.25">
      <c r="R7729">
        <v>232</v>
      </c>
      <c r="S7729">
        <v>237</v>
      </c>
      <c r="T7729">
        <v>2</v>
      </c>
    </row>
    <row r="7730" spans="18:20" x14ac:dyDescent="0.25">
      <c r="R7730">
        <v>232</v>
      </c>
      <c r="S7730">
        <v>240</v>
      </c>
      <c r="T7730">
        <v>1</v>
      </c>
    </row>
    <row r="7731" spans="18:20" x14ac:dyDescent="0.25">
      <c r="R7731">
        <v>232</v>
      </c>
      <c r="S7731">
        <v>241</v>
      </c>
      <c r="T7731">
        <v>2</v>
      </c>
    </row>
    <row r="7732" spans="18:20" x14ac:dyDescent="0.25">
      <c r="R7732">
        <v>232</v>
      </c>
      <c r="S7732">
        <v>255</v>
      </c>
      <c r="T7732">
        <v>5</v>
      </c>
    </row>
    <row r="7733" spans="18:20" x14ac:dyDescent="0.25">
      <c r="R7733">
        <v>232</v>
      </c>
      <c r="S7733">
        <v>256</v>
      </c>
      <c r="T7733">
        <v>3</v>
      </c>
    </row>
    <row r="7734" spans="18:20" x14ac:dyDescent="0.25">
      <c r="R7734">
        <v>232</v>
      </c>
      <c r="S7734">
        <v>285</v>
      </c>
      <c r="T7734">
        <v>1</v>
      </c>
    </row>
    <row r="7735" spans="18:20" x14ac:dyDescent="0.25">
      <c r="R7735">
        <v>232</v>
      </c>
      <c r="S7735">
        <v>300</v>
      </c>
      <c r="T7735">
        <v>2</v>
      </c>
    </row>
    <row r="7736" spans="18:20" x14ac:dyDescent="0.25">
      <c r="R7736">
        <v>232</v>
      </c>
      <c r="S7736">
        <v>312</v>
      </c>
      <c r="T7736">
        <v>3</v>
      </c>
    </row>
    <row r="7737" spans="18:20" x14ac:dyDescent="0.25">
      <c r="R7737">
        <v>232</v>
      </c>
      <c r="S7737">
        <v>330</v>
      </c>
      <c r="T7737">
        <v>2</v>
      </c>
    </row>
    <row r="7738" spans="18:20" x14ac:dyDescent="0.25">
      <c r="R7738">
        <v>232</v>
      </c>
      <c r="S7738">
        <v>339</v>
      </c>
      <c r="T7738">
        <v>3</v>
      </c>
    </row>
    <row r="7739" spans="18:20" x14ac:dyDescent="0.25">
      <c r="R7739">
        <v>232</v>
      </c>
      <c r="S7739">
        <v>366</v>
      </c>
      <c r="T7739">
        <v>5</v>
      </c>
    </row>
    <row r="7740" spans="18:20" x14ac:dyDescent="0.25">
      <c r="R7740">
        <v>232</v>
      </c>
      <c r="S7740">
        <v>368</v>
      </c>
      <c r="T7740">
        <v>1</v>
      </c>
    </row>
    <row r="7741" spans="18:20" x14ac:dyDescent="0.25">
      <c r="R7741">
        <v>232</v>
      </c>
      <c r="S7741">
        <v>382</v>
      </c>
      <c r="T7741">
        <v>1</v>
      </c>
    </row>
    <row r="7742" spans="18:20" x14ac:dyDescent="0.25">
      <c r="R7742">
        <v>232</v>
      </c>
      <c r="S7742">
        <v>391</v>
      </c>
      <c r="T7742">
        <v>5</v>
      </c>
    </row>
    <row r="7743" spans="18:20" x14ac:dyDescent="0.25">
      <c r="R7743">
        <v>233</v>
      </c>
      <c r="S7743">
        <v>29</v>
      </c>
      <c r="T7743">
        <v>3</v>
      </c>
    </row>
    <row r="7744" spans="18:20" x14ac:dyDescent="0.25">
      <c r="R7744">
        <v>233</v>
      </c>
      <c r="S7744">
        <v>48</v>
      </c>
      <c r="T7744">
        <v>3</v>
      </c>
    </row>
    <row r="7745" spans="18:20" x14ac:dyDescent="0.25">
      <c r="R7745">
        <v>233</v>
      </c>
      <c r="S7745">
        <v>68</v>
      </c>
      <c r="T7745">
        <v>5</v>
      </c>
    </row>
    <row r="7746" spans="18:20" x14ac:dyDescent="0.25">
      <c r="R7746">
        <v>233</v>
      </c>
      <c r="S7746">
        <v>81</v>
      </c>
      <c r="T7746">
        <v>1</v>
      </c>
    </row>
    <row r="7747" spans="18:20" x14ac:dyDescent="0.25">
      <c r="R7747">
        <v>233</v>
      </c>
      <c r="S7747">
        <v>83</v>
      </c>
      <c r="T7747">
        <v>3</v>
      </c>
    </row>
    <row r="7748" spans="18:20" x14ac:dyDescent="0.25">
      <c r="R7748">
        <v>233</v>
      </c>
      <c r="S7748">
        <v>85</v>
      </c>
      <c r="T7748">
        <v>3</v>
      </c>
    </row>
    <row r="7749" spans="18:20" x14ac:dyDescent="0.25">
      <c r="R7749">
        <v>233</v>
      </c>
      <c r="S7749">
        <v>105</v>
      </c>
      <c r="T7749">
        <v>4</v>
      </c>
    </row>
    <row r="7750" spans="18:20" x14ac:dyDescent="0.25">
      <c r="R7750">
        <v>233</v>
      </c>
      <c r="S7750">
        <v>121</v>
      </c>
      <c r="T7750">
        <v>3</v>
      </c>
    </row>
    <row r="7751" spans="18:20" x14ac:dyDescent="0.25">
      <c r="R7751">
        <v>233</v>
      </c>
      <c r="S7751">
        <v>121</v>
      </c>
      <c r="T7751">
        <v>1</v>
      </c>
    </row>
    <row r="7752" spans="18:20" x14ac:dyDescent="0.25">
      <c r="R7752">
        <v>233</v>
      </c>
      <c r="S7752">
        <v>141</v>
      </c>
      <c r="T7752">
        <v>5</v>
      </c>
    </row>
    <row r="7753" spans="18:20" x14ac:dyDescent="0.25">
      <c r="R7753">
        <v>233</v>
      </c>
      <c r="S7753">
        <v>208</v>
      </c>
      <c r="T7753">
        <v>3</v>
      </c>
    </row>
    <row r="7754" spans="18:20" x14ac:dyDescent="0.25">
      <c r="R7754">
        <v>233</v>
      </c>
      <c r="S7754">
        <v>217</v>
      </c>
      <c r="T7754">
        <v>4</v>
      </c>
    </row>
    <row r="7755" spans="18:20" x14ac:dyDescent="0.25">
      <c r="R7755">
        <v>233</v>
      </c>
      <c r="S7755">
        <v>242</v>
      </c>
      <c r="T7755">
        <v>5</v>
      </c>
    </row>
    <row r="7756" spans="18:20" x14ac:dyDescent="0.25">
      <c r="R7756">
        <v>233</v>
      </c>
      <c r="S7756">
        <v>246</v>
      </c>
      <c r="T7756">
        <v>1</v>
      </c>
    </row>
    <row r="7757" spans="18:20" x14ac:dyDescent="0.25">
      <c r="R7757">
        <v>233</v>
      </c>
      <c r="S7757">
        <v>253</v>
      </c>
      <c r="T7757">
        <v>4</v>
      </c>
    </row>
    <row r="7758" spans="18:20" x14ac:dyDescent="0.25">
      <c r="R7758">
        <v>233</v>
      </c>
      <c r="S7758">
        <v>262</v>
      </c>
      <c r="T7758">
        <v>3</v>
      </c>
    </row>
    <row r="7759" spans="18:20" x14ac:dyDescent="0.25">
      <c r="R7759">
        <v>233</v>
      </c>
      <c r="S7759">
        <v>280</v>
      </c>
      <c r="T7759">
        <v>5</v>
      </c>
    </row>
    <row r="7760" spans="18:20" x14ac:dyDescent="0.25">
      <c r="R7760">
        <v>233</v>
      </c>
      <c r="S7760">
        <v>289</v>
      </c>
      <c r="T7760">
        <v>3</v>
      </c>
    </row>
    <row r="7761" spans="18:20" x14ac:dyDescent="0.25">
      <c r="R7761">
        <v>233</v>
      </c>
      <c r="S7761">
        <v>307</v>
      </c>
      <c r="T7761">
        <v>4</v>
      </c>
    </row>
    <row r="7762" spans="18:20" x14ac:dyDescent="0.25">
      <c r="R7762">
        <v>233</v>
      </c>
      <c r="S7762">
        <v>318</v>
      </c>
      <c r="T7762">
        <v>1</v>
      </c>
    </row>
    <row r="7763" spans="18:20" x14ac:dyDescent="0.25">
      <c r="R7763">
        <v>233</v>
      </c>
      <c r="S7763">
        <v>334</v>
      </c>
      <c r="T7763">
        <v>5</v>
      </c>
    </row>
    <row r="7764" spans="18:20" x14ac:dyDescent="0.25">
      <c r="R7764">
        <v>233</v>
      </c>
      <c r="S7764">
        <v>349</v>
      </c>
      <c r="T7764">
        <v>5</v>
      </c>
    </row>
    <row r="7765" spans="18:20" x14ac:dyDescent="0.25">
      <c r="R7765">
        <v>233</v>
      </c>
      <c r="S7765">
        <v>373</v>
      </c>
      <c r="T7765">
        <v>4</v>
      </c>
    </row>
    <row r="7766" spans="18:20" x14ac:dyDescent="0.25">
      <c r="R7766">
        <v>233</v>
      </c>
      <c r="S7766">
        <v>375</v>
      </c>
      <c r="T7766">
        <v>1</v>
      </c>
    </row>
    <row r="7767" spans="18:20" x14ac:dyDescent="0.25">
      <c r="R7767">
        <v>233</v>
      </c>
      <c r="S7767">
        <v>379</v>
      </c>
      <c r="T7767">
        <v>1</v>
      </c>
    </row>
    <row r="7768" spans="18:20" x14ac:dyDescent="0.25">
      <c r="R7768">
        <v>233</v>
      </c>
      <c r="S7768">
        <v>381</v>
      </c>
      <c r="T7768">
        <v>4</v>
      </c>
    </row>
    <row r="7769" spans="18:20" x14ac:dyDescent="0.25">
      <c r="R7769">
        <v>233</v>
      </c>
      <c r="S7769">
        <v>388</v>
      </c>
      <c r="T7769">
        <v>1</v>
      </c>
    </row>
    <row r="7770" spans="18:20" x14ac:dyDescent="0.25">
      <c r="R7770">
        <v>233</v>
      </c>
      <c r="S7770">
        <v>388</v>
      </c>
      <c r="T7770">
        <v>2</v>
      </c>
    </row>
    <row r="7771" spans="18:20" x14ac:dyDescent="0.25">
      <c r="R7771">
        <v>233</v>
      </c>
      <c r="S7771">
        <v>416</v>
      </c>
      <c r="T7771">
        <v>5</v>
      </c>
    </row>
    <row r="7772" spans="18:20" x14ac:dyDescent="0.25">
      <c r="R7772">
        <v>233</v>
      </c>
      <c r="S7772">
        <v>420</v>
      </c>
      <c r="T7772">
        <v>1</v>
      </c>
    </row>
    <row r="7773" spans="18:20" x14ac:dyDescent="0.25">
      <c r="R7773">
        <v>233</v>
      </c>
      <c r="S7773">
        <v>424</v>
      </c>
      <c r="T7773">
        <v>5</v>
      </c>
    </row>
    <row r="7774" spans="18:20" x14ac:dyDescent="0.25">
      <c r="R7774">
        <v>233</v>
      </c>
      <c r="S7774">
        <v>432</v>
      </c>
      <c r="T7774">
        <v>3</v>
      </c>
    </row>
    <row r="7775" spans="18:20" x14ac:dyDescent="0.25">
      <c r="R7775">
        <v>234</v>
      </c>
      <c r="S7775">
        <v>17</v>
      </c>
      <c r="T7775">
        <v>2</v>
      </c>
    </row>
    <row r="7776" spans="18:20" x14ac:dyDescent="0.25">
      <c r="R7776">
        <v>234</v>
      </c>
      <c r="S7776">
        <v>20</v>
      </c>
      <c r="T7776">
        <v>1</v>
      </c>
    </row>
    <row r="7777" spans="18:20" x14ac:dyDescent="0.25">
      <c r="R7777">
        <v>234</v>
      </c>
      <c r="S7777">
        <v>47</v>
      </c>
      <c r="T7777">
        <v>1</v>
      </c>
    </row>
    <row r="7778" spans="18:20" x14ac:dyDescent="0.25">
      <c r="R7778">
        <v>234</v>
      </c>
      <c r="S7778">
        <v>92</v>
      </c>
      <c r="T7778">
        <v>4</v>
      </c>
    </row>
    <row r="7779" spans="18:20" x14ac:dyDescent="0.25">
      <c r="R7779">
        <v>234</v>
      </c>
      <c r="S7779">
        <v>97</v>
      </c>
      <c r="T7779">
        <v>1</v>
      </c>
    </row>
    <row r="7780" spans="18:20" x14ac:dyDescent="0.25">
      <c r="R7780">
        <v>234</v>
      </c>
      <c r="S7780">
        <v>98</v>
      </c>
      <c r="T7780">
        <v>5</v>
      </c>
    </row>
    <row r="7781" spans="18:20" x14ac:dyDescent="0.25">
      <c r="R7781">
        <v>234</v>
      </c>
      <c r="S7781">
        <v>104</v>
      </c>
      <c r="T7781">
        <v>2</v>
      </c>
    </row>
    <row r="7782" spans="18:20" x14ac:dyDescent="0.25">
      <c r="R7782">
        <v>234</v>
      </c>
      <c r="S7782">
        <v>108</v>
      </c>
      <c r="T7782">
        <v>5</v>
      </c>
    </row>
    <row r="7783" spans="18:20" x14ac:dyDescent="0.25">
      <c r="R7783">
        <v>234</v>
      </c>
      <c r="S7783">
        <v>114</v>
      </c>
      <c r="T7783">
        <v>4</v>
      </c>
    </row>
    <row r="7784" spans="18:20" x14ac:dyDescent="0.25">
      <c r="R7784">
        <v>234</v>
      </c>
      <c r="S7784">
        <v>124</v>
      </c>
      <c r="T7784">
        <v>1</v>
      </c>
    </row>
    <row r="7785" spans="18:20" x14ac:dyDescent="0.25">
      <c r="R7785">
        <v>234</v>
      </c>
      <c r="S7785">
        <v>130</v>
      </c>
      <c r="T7785">
        <v>5</v>
      </c>
    </row>
    <row r="7786" spans="18:20" x14ac:dyDescent="0.25">
      <c r="R7786">
        <v>234</v>
      </c>
      <c r="S7786">
        <v>135</v>
      </c>
      <c r="T7786">
        <v>1</v>
      </c>
    </row>
    <row r="7787" spans="18:20" x14ac:dyDescent="0.25">
      <c r="R7787">
        <v>234</v>
      </c>
      <c r="S7787">
        <v>138</v>
      </c>
      <c r="T7787">
        <v>4</v>
      </c>
    </row>
    <row r="7788" spans="18:20" x14ac:dyDescent="0.25">
      <c r="R7788">
        <v>234</v>
      </c>
      <c r="S7788">
        <v>157</v>
      </c>
      <c r="T7788">
        <v>4</v>
      </c>
    </row>
    <row r="7789" spans="18:20" x14ac:dyDescent="0.25">
      <c r="R7789">
        <v>234</v>
      </c>
      <c r="S7789">
        <v>190</v>
      </c>
      <c r="T7789">
        <v>4</v>
      </c>
    </row>
    <row r="7790" spans="18:20" x14ac:dyDescent="0.25">
      <c r="R7790">
        <v>234</v>
      </c>
      <c r="S7790">
        <v>202</v>
      </c>
      <c r="T7790">
        <v>4</v>
      </c>
    </row>
    <row r="7791" spans="18:20" x14ac:dyDescent="0.25">
      <c r="R7791">
        <v>234</v>
      </c>
      <c r="S7791">
        <v>213</v>
      </c>
      <c r="T7791">
        <v>2</v>
      </c>
    </row>
    <row r="7792" spans="18:20" x14ac:dyDescent="0.25">
      <c r="R7792">
        <v>234</v>
      </c>
      <c r="S7792">
        <v>215</v>
      </c>
      <c r="T7792">
        <v>2</v>
      </c>
    </row>
    <row r="7793" spans="18:20" x14ac:dyDescent="0.25">
      <c r="R7793">
        <v>234</v>
      </c>
      <c r="S7793">
        <v>220</v>
      </c>
      <c r="T7793">
        <v>4</v>
      </c>
    </row>
    <row r="7794" spans="18:20" x14ac:dyDescent="0.25">
      <c r="R7794">
        <v>234</v>
      </c>
      <c r="S7794">
        <v>226</v>
      </c>
      <c r="T7794">
        <v>1</v>
      </c>
    </row>
    <row r="7795" spans="18:20" x14ac:dyDescent="0.25">
      <c r="R7795">
        <v>234</v>
      </c>
      <c r="S7795">
        <v>246</v>
      </c>
      <c r="T7795">
        <v>1</v>
      </c>
    </row>
    <row r="7796" spans="18:20" x14ac:dyDescent="0.25">
      <c r="R7796">
        <v>234</v>
      </c>
      <c r="S7796">
        <v>249</v>
      </c>
      <c r="T7796">
        <v>2</v>
      </c>
    </row>
    <row r="7797" spans="18:20" x14ac:dyDescent="0.25">
      <c r="R7797">
        <v>234</v>
      </c>
      <c r="S7797">
        <v>252</v>
      </c>
      <c r="T7797">
        <v>5</v>
      </c>
    </row>
    <row r="7798" spans="18:20" x14ac:dyDescent="0.25">
      <c r="R7798">
        <v>234</v>
      </c>
      <c r="S7798">
        <v>269</v>
      </c>
      <c r="T7798">
        <v>4</v>
      </c>
    </row>
    <row r="7799" spans="18:20" x14ac:dyDescent="0.25">
      <c r="R7799">
        <v>234</v>
      </c>
      <c r="S7799">
        <v>277</v>
      </c>
      <c r="T7799">
        <v>4</v>
      </c>
    </row>
    <row r="7800" spans="18:20" x14ac:dyDescent="0.25">
      <c r="R7800">
        <v>234</v>
      </c>
      <c r="S7800">
        <v>284</v>
      </c>
      <c r="T7800">
        <v>4</v>
      </c>
    </row>
    <row r="7801" spans="18:20" x14ac:dyDescent="0.25">
      <c r="R7801">
        <v>234</v>
      </c>
      <c r="S7801">
        <v>287</v>
      </c>
      <c r="T7801">
        <v>3</v>
      </c>
    </row>
    <row r="7802" spans="18:20" x14ac:dyDescent="0.25">
      <c r="R7802">
        <v>234</v>
      </c>
      <c r="S7802">
        <v>313</v>
      </c>
      <c r="T7802">
        <v>5</v>
      </c>
    </row>
    <row r="7803" spans="18:20" x14ac:dyDescent="0.25">
      <c r="R7803">
        <v>234</v>
      </c>
      <c r="S7803">
        <v>336</v>
      </c>
      <c r="T7803">
        <v>4</v>
      </c>
    </row>
    <row r="7804" spans="18:20" x14ac:dyDescent="0.25">
      <c r="R7804">
        <v>234</v>
      </c>
      <c r="S7804">
        <v>338</v>
      </c>
      <c r="T7804">
        <v>1</v>
      </c>
    </row>
    <row r="7805" spans="18:20" x14ac:dyDescent="0.25">
      <c r="R7805">
        <v>234</v>
      </c>
      <c r="S7805">
        <v>341</v>
      </c>
      <c r="T7805">
        <v>5</v>
      </c>
    </row>
    <row r="7806" spans="18:20" x14ac:dyDescent="0.25">
      <c r="R7806">
        <v>234</v>
      </c>
      <c r="S7806">
        <v>371</v>
      </c>
      <c r="T7806">
        <v>2</v>
      </c>
    </row>
    <row r="7807" spans="18:20" x14ac:dyDescent="0.25">
      <c r="R7807">
        <v>234</v>
      </c>
      <c r="S7807">
        <v>382</v>
      </c>
      <c r="T7807">
        <v>1</v>
      </c>
    </row>
    <row r="7808" spans="18:20" x14ac:dyDescent="0.25">
      <c r="R7808">
        <v>234</v>
      </c>
      <c r="S7808">
        <v>401</v>
      </c>
      <c r="T7808">
        <v>1</v>
      </c>
    </row>
    <row r="7809" spans="18:20" x14ac:dyDescent="0.25">
      <c r="R7809">
        <v>234</v>
      </c>
      <c r="S7809">
        <v>426</v>
      </c>
      <c r="T7809">
        <v>2</v>
      </c>
    </row>
    <row r="7810" spans="18:20" x14ac:dyDescent="0.25">
      <c r="R7810">
        <v>234</v>
      </c>
      <c r="S7810">
        <v>436</v>
      </c>
      <c r="T7810">
        <v>3</v>
      </c>
    </row>
    <row r="7811" spans="18:20" x14ac:dyDescent="0.25">
      <c r="R7811">
        <v>234</v>
      </c>
      <c r="S7811">
        <v>436</v>
      </c>
      <c r="T7811">
        <v>3</v>
      </c>
    </row>
    <row r="7812" spans="18:20" x14ac:dyDescent="0.25">
      <c r="R7812">
        <v>235</v>
      </c>
      <c r="S7812">
        <v>1</v>
      </c>
      <c r="T7812">
        <v>4</v>
      </c>
    </row>
    <row r="7813" spans="18:20" x14ac:dyDescent="0.25">
      <c r="R7813">
        <v>235</v>
      </c>
      <c r="S7813">
        <v>45</v>
      </c>
      <c r="T7813">
        <v>1</v>
      </c>
    </row>
    <row r="7814" spans="18:20" x14ac:dyDescent="0.25">
      <c r="R7814">
        <v>235</v>
      </c>
      <c r="S7814">
        <v>48</v>
      </c>
      <c r="T7814">
        <v>1</v>
      </c>
    </row>
    <row r="7815" spans="18:20" x14ac:dyDescent="0.25">
      <c r="R7815">
        <v>235</v>
      </c>
      <c r="S7815">
        <v>78</v>
      </c>
      <c r="T7815">
        <v>1</v>
      </c>
    </row>
    <row r="7816" spans="18:20" x14ac:dyDescent="0.25">
      <c r="R7816">
        <v>235</v>
      </c>
      <c r="S7816">
        <v>81</v>
      </c>
      <c r="T7816">
        <v>4</v>
      </c>
    </row>
    <row r="7817" spans="18:20" x14ac:dyDescent="0.25">
      <c r="R7817">
        <v>235</v>
      </c>
      <c r="S7817">
        <v>128</v>
      </c>
      <c r="T7817">
        <v>4</v>
      </c>
    </row>
    <row r="7818" spans="18:20" x14ac:dyDescent="0.25">
      <c r="R7818">
        <v>235</v>
      </c>
      <c r="S7818">
        <v>151</v>
      </c>
      <c r="T7818">
        <v>1</v>
      </c>
    </row>
    <row r="7819" spans="18:20" x14ac:dyDescent="0.25">
      <c r="R7819">
        <v>235</v>
      </c>
      <c r="S7819">
        <v>165</v>
      </c>
      <c r="T7819">
        <v>4</v>
      </c>
    </row>
    <row r="7820" spans="18:20" x14ac:dyDescent="0.25">
      <c r="R7820">
        <v>235</v>
      </c>
      <c r="S7820">
        <v>171</v>
      </c>
      <c r="T7820">
        <v>2</v>
      </c>
    </row>
    <row r="7821" spans="18:20" x14ac:dyDescent="0.25">
      <c r="R7821">
        <v>235</v>
      </c>
      <c r="S7821">
        <v>177</v>
      </c>
      <c r="T7821">
        <v>1</v>
      </c>
    </row>
    <row r="7822" spans="18:20" x14ac:dyDescent="0.25">
      <c r="R7822">
        <v>235</v>
      </c>
      <c r="S7822">
        <v>189</v>
      </c>
      <c r="T7822">
        <v>5</v>
      </c>
    </row>
    <row r="7823" spans="18:20" x14ac:dyDescent="0.25">
      <c r="R7823">
        <v>235</v>
      </c>
      <c r="S7823">
        <v>199</v>
      </c>
      <c r="T7823">
        <v>3</v>
      </c>
    </row>
    <row r="7824" spans="18:20" x14ac:dyDescent="0.25">
      <c r="R7824">
        <v>235</v>
      </c>
      <c r="S7824">
        <v>200</v>
      </c>
      <c r="T7824">
        <v>4</v>
      </c>
    </row>
    <row r="7825" spans="18:20" x14ac:dyDescent="0.25">
      <c r="R7825">
        <v>235</v>
      </c>
      <c r="S7825">
        <v>201</v>
      </c>
      <c r="T7825">
        <v>3</v>
      </c>
    </row>
    <row r="7826" spans="18:20" x14ac:dyDescent="0.25">
      <c r="R7826">
        <v>235</v>
      </c>
      <c r="S7826">
        <v>215</v>
      </c>
      <c r="T7826">
        <v>4</v>
      </c>
    </row>
    <row r="7827" spans="18:20" x14ac:dyDescent="0.25">
      <c r="R7827">
        <v>235</v>
      </c>
      <c r="S7827">
        <v>216</v>
      </c>
      <c r="T7827">
        <v>2</v>
      </c>
    </row>
    <row r="7828" spans="18:20" x14ac:dyDescent="0.25">
      <c r="R7828">
        <v>235</v>
      </c>
      <c r="S7828">
        <v>232</v>
      </c>
      <c r="T7828">
        <v>5</v>
      </c>
    </row>
    <row r="7829" spans="18:20" x14ac:dyDescent="0.25">
      <c r="R7829">
        <v>235</v>
      </c>
      <c r="S7829">
        <v>232</v>
      </c>
      <c r="T7829">
        <v>5</v>
      </c>
    </row>
    <row r="7830" spans="18:20" x14ac:dyDescent="0.25">
      <c r="R7830">
        <v>235</v>
      </c>
      <c r="S7830">
        <v>238</v>
      </c>
      <c r="T7830">
        <v>4</v>
      </c>
    </row>
    <row r="7831" spans="18:20" x14ac:dyDescent="0.25">
      <c r="R7831">
        <v>235</v>
      </c>
      <c r="S7831">
        <v>245</v>
      </c>
      <c r="T7831">
        <v>2</v>
      </c>
    </row>
    <row r="7832" spans="18:20" x14ac:dyDescent="0.25">
      <c r="R7832">
        <v>235</v>
      </c>
      <c r="S7832">
        <v>257</v>
      </c>
      <c r="T7832">
        <v>1</v>
      </c>
    </row>
    <row r="7833" spans="18:20" x14ac:dyDescent="0.25">
      <c r="R7833">
        <v>235</v>
      </c>
      <c r="S7833">
        <v>263</v>
      </c>
      <c r="T7833">
        <v>3</v>
      </c>
    </row>
    <row r="7834" spans="18:20" x14ac:dyDescent="0.25">
      <c r="R7834">
        <v>235</v>
      </c>
      <c r="S7834">
        <v>267</v>
      </c>
      <c r="T7834">
        <v>1</v>
      </c>
    </row>
    <row r="7835" spans="18:20" x14ac:dyDescent="0.25">
      <c r="R7835">
        <v>235</v>
      </c>
      <c r="S7835">
        <v>313</v>
      </c>
      <c r="T7835">
        <v>5</v>
      </c>
    </row>
    <row r="7836" spans="18:20" x14ac:dyDescent="0.25">
      <c r="R7836">
        <v>235</v>
      </c>
      <c r="S7836">
        <v>343</v>
      </c>
      <c r="T7836">
        <v>5</v>
      </c>
    </row>
    <row r="7837" spans="18:20" x14ac:dyDescent="0.25">
      <c r="R7837">
        <v>235</v>
      </c>
      <c r="S7837">
        <v>344</v>
      </c>
      <c r="T7837">
        <v>4</v>
      </c>
    </row>
    <row r="7838" spans="18:20" x14ac:dyDescent="0.25">
      <c r="R7838">
        <v>235</v>
      </c>
      <c r="S7838">
        <v>360</v>
      </c>
      <c r="T7838">
        <v>2</v>
      </c>
    </row>
    <row r="7839" spans="18:20" x14ac:dyDescent="0.25">
      <c r="R7839">
        <v>235</v>
      </c>
      <c r="S7839">
        <v>381</v>
      </c>
      <c r="T7839">
        <v>4</v>
      </c>
    </row>
    <row r="7840" spans="18:20" x14ac:dyDescent="0.25">
      <c r="R7840">
        <v>235</v>
      </c>
      <c r="S7840">
        <v>386</v>
      </c>
      <c r="T7840">
        <v>3</v>
      </c>
    </row>
    <row r="7841" spans="18:20" x14ac:dyDescent="0.25">
      <c r="R7841">
        <v>235</v>
      </c>
      <c r="S7841">
        <v>390</v>
      </c>
      <c r="T7841">
        <v>1</v>
      </c>
    </row>
    <row r="7842" spans="18:20" x14ac:dyDescent="0.25">
      <c r="R7842">
        <v>235</v>
      </c>
      <c r="S7842">
        <v>395</v>
      </c>
      <c r="T7842">
        <v>4</v>
      </c>
    </row>
    <row r="7843" spans="18:20" x14ac:dyDescent="0.25">
      <c r="R7843">
        <v>235</v>
      </c>
      <c r="S7843">
        <v>407</v>
      </c>
      <c r="T7843">
        <v>5</v>
      </c>
    </row>
    <row r="7844" spans="18:20" x14ac:dyDescent="0.25">
      <c r="R7844">
        <v>235</v>
      </c>
      <c r="S7844">
        <v>407</v>
      </c>
      <c r="T7844">
        <v>4</v>
      </c>
    </row>
    <row r="7845" spans="18:20" x14ac:dyDescent="0.25">
      <c r="R7845">
        <v>236</v>
      </c>
      <c r="S7845">
        <v>17</v>
      </c>
      <c r="T7845">
        <v>2</v>
      </c>
    </row>
    <row r="7846" spans="18:20" x14ac:dyDescent="0.25">
      <c r="R7846">
        <v>236</v>
      </c>
      <c r="S7846">
        <v>17</v>
      </c>
      <c r="T7846">
        <v>5</v>
      </c>
    </row>
    <row r="7847" spans="18:20" x14ac:dyDescent="0.25">
      <c r="R7847">
        <v>236</v>
      </c>
      <c r="S7847">
        <v>54</v>
      </c>
      <c r="T7847">
        <v>5</v>
      </c>
    </row>
    <row r="7848" spans="18:20" x14ac:dyDescent="0.25">
      <c r="R7848">
        <v>236</v>
      </c>
      <c r="S7848">
        <v>70</v>
      </c>
      <c r="T7848">
        <v>1</v>
      </c>
    </row>
    <row r="7849" spans="18:20" x14ac:dyDescent="0.25">
      <c r="R7849">
        <v>236</v>
      </c>
      <c r="S7849">
        <v>103</v>
      </c>
      <c r="T7849">
        <v>1</v>
      </c>
    </row>
    <row r="7850" spans="18:20" x14ac:dyDescent="0.25">
      <c r="R7850">
        <v>236</v>
      </c>
      <c r="S7850">
        <v>167</v>
      </c>
      <c r="T7850">
        <v>1</v>
      </c>
    </row>
    <row r="7851" spans="18:20" x14ac:dyDescent="0.25">
      <c r="R7851">
        <v>236</v>
      </c>
      <c r="S7851">
        <v>167</v>
      </c>
      <c r="T7851">
        <v>4</v>
      </c>
    </row>
    <row r="7852" spans="18:20" x14ac:dyDescent="0.25">
      <c r="R7852">
        <v>236</v>
      </c>
      <c r="S7852">
        <v>177</v>
      </c>
      <c r="T7852">
        <v>3</v>
      </c>
    </row>
    <row r="7853" spans="18:20" x14ac:dyDescent="0.25">
      <c r="R7853">
        <v>236</v>
      </c>
      <c r="S7853">
        <v>181</v>
      </c>
      <c r="T7853">
        <v>2</v>
      </c>
    </row>
    <row r="7854" spans="18:20" x14ac:dyDescent="0.25">
      <c r="R7854">
        <v>236</v>
      </c>
      <c r="S7854">
        <v>183</v>
      </c>
      <c r="T7854">
        <v>4</v>
      </c>
    </row>
    <row r="7855" spans="18:20" x14ac:dyDescent="0.25">
      <c r="R7855">
        <v>236</v>
      </c>
      <c r="S7855">
        <v>208</v>
      </c>
      <c r="T7855">
        <v>1</v>
      </c>
    </row>
    <row r="7856" spans="18:20" x14ac:dyDescent="0.25">
      <c r="R7856">
        <v>236</v>
      </c>
      <c r="S7856">
        <v>220</v>
      </c>
      <c r="T7856">
        <v>5</v>
      </c>
    </row>
    <row r="7857" spans="18:20" x14ac:dyDescent="0.25">
      <c r="R7857">
        <v>236</v>
      </c>
      <c r="S7857">
        <v>237</v>
      </c>
      <c r="T7857">
        <v>4</v>
      </c>
    </row>
    <row r="7858" spans="18:20" x14ac:dyDescent="0.25">
      <c r="R7858">
        <v>236</v>
      </c>
      <c r="S7858">
        <v>248</v>
      </c>
      <c r="T7858">
        <v>2</v>
      </c>
    </row>
    <row r="7859" spans="18:20" x14ac:dyDescent="0.25">
      <c r="R7859">
        <v>236</v>
      </c>
      <c r="S7859">
        <v>248</v>
      </c>
      <c r="T7859">
        <v>1</v>
      </c>
    </row>
    <row r="7860" spans="18:20" x14ac:dyDescent="0.25">
      <c r="R7860">
        <v>236</v>
      </c>
      <c r="S7860">
        <v>256</v>
      </c>
      <c r="T7860">
        <v>4</v>
      </c>
    </row>
    <row r="7861" spans="18:20" x14ac:dyDescent="0.25">
      <c r="R7861">
        <v>236</v>
      </c>
      <c r="S7861">
        <v>257</v>
      </c>
      <c r="T7861">
        <v>3</v>
      </c>
    </row>
    <row r="7862" spans="18:20" x14ac:dyDescent="0.25">
      <c r="R7862">
        <v>236</v>
      </c>
      <c r="S7862">
        <v>269</v>
      </c>
      <c r="T7862">
        <v>5</v>
      </c>
    </row>
    <row r="7863" spans="18:20" x14ac:dyDescent="0.25">
      <c r="R7863">
        <v>236</v>
      </c>
      <c r="S7863">
        <v>288</v>
      </c>
      <c r="T7863">
        <v>1</v>
      </c>
    </row>
    <row r="7864" spans="18:20" x14ac:dyDescent="0.25">
      <c r="R7864">
        <v>236</v>
      </c>
      <c r="S7864">
        <v>308</v>
      </c>
      <c r="T7864">
        <v>2</v>
      </c>
    </row>
    <row r="7865" spans="18:20" x14ac:dyDescent="0.25">
      <c r="R7865">
        <v>236</v>
      </c>
      <c r="S7865">
        <v>331</v>
      </c>
      <c r="T7865">
        <v>4</v>
      </c>
    </row>
    <row r="7866" spans="18:20" x14ac:dyDescent="0.25">
      <c r="R7866">
        <v>236</v>
      </c>
      <c r="S7866">
        <v>335</v>
      </c>
      <c r="T7866">
        <v>4</v>
      </c>
    </row>
    <row r="7867" spans="18:20" x14ac:dyDescent="0.25">
      <c r="R7867">
        <v>236</v>
      </c>
      <c r="S7867">
        <v>376</v>
      </c>
      <c r="T7867">
        <v>3</v>
      </c>
    </row>
    <row r="7868" spans="18:20" x14ac:dyDescent="0.25">
      <c r="R7868">
        <v>236</v>
      </c>
      <c r="S7868">
        <v>408</v>
      </c>
      <c r="T7868">
        <v>4</v>
      </c>
    </row>
    <row r="7869" spans="18:20" x14ac:dyDescent="0.25">
      <c r="R7869">
        <v>236</v>
      </c>
      <c r="S7869">
        <v>412</v>
      </c>
      <c r="T7869">
        <v>1</v>
      </c>
    </row>
    <row r="7870" spans="18:20" x14ac:dyDescent="0.25">
      <c r="R7870">
        <v>237</v>
      </c>
      <c r="S7870">
        <v>9</v>
      </c>
      <c r="T7870">
        <v>2</v>
      </c>
    </row>
    <row r="7871" spans="18:20" x14ac:dyDescent="0.25">
      <c r="R7871">
        <v>237</v>
      </c>
      <c r="S7871">
        <v>21</v>
      </c>
      <c r="T7871">
        <v>4</v>
      </c>
    </row>
    <row r="7872" spans="18:20" x14ac:dyDescent="0.25">
      <c r="R7872">
        <v>237</v>
      </c>
      <c r="S7872">
        <v>23</v>
      </c>
      <c r="T7872">
        <v>1</v>
      </c>
    </row>
    <row r="7873" spans="18:20" x14ac:dyDescent="0.25">
      <c r="R7873">
        <v>237</v>
      </c>
      <c r="S7873">
        <v>25</v>
      </c>
      <c r="T7873">
        <v>1</v>
      </c>
    </row>
    <row r="7874" spans="18:20" x14ac:dyDescent="0.25">
      <c r="R7874">
        <v>237</v>
      </c>
      <c r="S7874">
        <v>27</v>
      </c>
      <c r="T7874">
        <v>1</v>
      </c>
    </row>
    <row r="7875" spans="18:20" x14ac:dyDescent="0.25">
      <c r="R7875">
        <v>237</v>
      </c>
      <c r="S7875">
        <v>39</v>
      </c>
      <c r="T7875">
        <v>1</v>
      </c>
    </row>
    <row r="7876" spans="18:20" x14ac:dyDescent="0.25">
      <c r="R7876">
        <v>237</v>
      </c>
      <c r="S7876">
        <v>41</v>
      </c>
      <c r="T7876">
        <v>3</v>
      </c>
    </row>
    <row r="7877" spans="18:20" x14ac:dyDescent="0.25">
      <c r="R7877">
        <v>237</v>
      </c>
      <c r="S7877">
        <v>43</v>
      </c>
      <c r="T7877">
        <v>2</v>
      </c>
    </row>
    <row r="7878" spans="18:20" x14ac:dyDescent="0.25">
      <c r="R7878">
        <v>237</v>
      </c>
      <c r="S7878">
        <v>61</v>
      </c>
      <c r="T7878">
        <v>5</v>
      </c>
    </row>
    <row r="7879" spans="18:20" x14ac:dyDescent="0.25">
      <c r="R7879">
        <v>237</v>
      </c>
      <c r="S7879">
        <v>64</v>
      </c>
      <c r="T7879">
        <v>1</v>
      </c>
    </row>
    <row r="7880" spans="18:20" x14ac:dyDescent="0.25">
      <c r="R7880">
        <v>237</v>
      </c>
      <c r="S7880">
        <v>77</v>
      </c>
      <c r="T7880">
        <v>2</v>
      </c>
    </row>
    <row r="7881" spans="18:20" x14ac:dyDescent="0.25">
      <c r="R7881">
        <v>237</v>
      </c>
      <c r="S7881">
        <v>126</v>
      </c>
      <c r="T7881">
        <v>1</v>
      </c>
    </row>
    <row r="7882" spans="18:20" x14ac:dyDescent="0.25">
      <c r="R7882">
        <v>237</v>
      </c>
      <c r="S7882">
        <v>158</v>
      </c>
      <c r="T7882">
        <v>3</v>
      </c>
    </row>
    <row r="7883" spans="18:20" x14ac:dyDescent="0.25">
      <c r="R7883">
        <v>237</v>
      </c>
      <c r="S7883">
        <v>165</v>
      </c>
      <c r="T7883">
        <v>1</v>
      </c>
    </row>
    <row r="7884" spans="18:20" x14ac:dyDescent="0.25">
      <c r="R7884">
        <v>237</v>
      </c>
      <c r="S7884">
        <v>201</v>
      </c>
      <c r="T7884">
        <v>5</v>
      </c>
    </row>
    <row r="7885" spans="18:20" x14ac:dyDescent="0.25">
      <c r="R7885">
        <v>237</v>
      </c>
      <c r="S7885">
        <v>206</v>
      </c>
      <c r="T7885">
        <v>4</v>
      </c>
    </row>
    <row r="7886" spans="18:20" x14ac:dyDescent="0.25">
      <c r="R7886">
        <v>237</v>
      </c>
      <c r="S7886">
        <v>218</v>
      </c>
      <c r="T7886">
        <v>4</v>
      </c>
    </row>
    <row r="7887" spans="18:20" x14ac:dyDescent="0.25">
      <c r="R7887">
        <v>237</v>
      </c>
      <c r="S7887">
        <v>230</v>
      </c>
      <c r="T7887">
        <v>3</v>
      </c>
    </row>
    <row r="7888" spans="18:20" x14ac:dyDescent="0.25">
      <c r="R7888">
        <v>237</v>
      </c>
      <c r="S7888">
        <v>273</v>
      </c>
      <c r="T7888">
        <v>4</v>
      </c>
    </row>
    <row r="7889" spans="18:20" x14ac:dyDescent="0.25">
      <c r="R7889">
        <v>237</v>
      </c>
      <c r="S7889">
        <v>274</v>
      </c>
      <c r="T7889">
        <v>2</v>
      </c>
    </row>
    <row r="7890" spans="18:20" x14ac:dyDescent="0.25">
      <c r="R7890">
        <v>237</v>
      </c>
      <c r="S7890">
        <v>276</v>
      </c>
      <c r="T7890">
        <v>4</v>
      </c>
    </row>
    <row r="7891" spans="18:20" x14ac:dyDescent="0.25">
      <c r="R7891">
        <v>237</v>
      </c>
      <c r="S7891">
        <v>280</v>
      </c>
      <c r="T7891">
        <v>4</v>
      </c>
    </row>
    <row r="7892" spans="18:20" x14ac:dyDescent="0.25">
      <c r="R7892">
        <v>237</v>
      </c>
      <c r="S7892">
        <v>282</v>
      </c>
      <c r="T7892">
        <v>5</v>
      </c>
    </row>
    <row r="7893" spans="18:20" x14ac:dyDescent="0.25">
      <c r="R7893">
        <v>237</v>
      </c>
      <c r="S7893">
        <v>282</v>
      </c>
      <c r="T7893">
        <v>4</v>
      </c>
    </row>
    <row r="7894" spans="18:20" x14ac:dyDescent="0.25">
      <c r="R7894">
        <v>237</v>
      </c>
      <c r="S7894">
        <v>308</v>
      </c>
      <c r="T7894">
        <v>1</v>
      </c>
    </row>
    <row r="7895" spans="18:20" x14ac:dyDescent="0.25">
      <c r="R7895">
        <v>237</v>
      </c>
      <c r="S7895">
        <v>328</v>
      </c>
      <c r="T7895">
        <v>3</v>
      </c>
    </row>
    <row r="7896" spans="18:20" x14ac:dyDescent="0.25">
      <c r="R7896">
        <v>237</v>
      </c>
      <c r="S7896">
        <v>340</v>
      </c>
      <c r="T7896">
        <v>2</v>
      </c>
    </row>
    <row r="7897" spans="18:20" x14ac:dyDescent="0.25">
      <c r="R7897">
        <v>237</v>
      </c>
      <c r="S7897">
        <v>380</v>
      </c>
      <c r="T7897">
        <v>1</v>
      </c>
    </row>
    <row r="7898" spans="18:20" x14ac:dyDescent="0.25">
      <c r="R7898">
        <v>237</v>
      </c>
      <c r="S7898">
        <v>394</v>
      </c>
      <c r="T7898">
        <v>5</v>
      </c>
    </row>
    <row r="7899" spans="18:20" x14ac:dyDescent="0.25">
      <c r="R7899">
        <v>237</v>
      </c>
      <c r="S7899">
        <v>408</v>
      </c>
      <c r="T7899">
        <v>3</v>
      </c>
    </row>
    <row r="7900" spans="18:20" x14ac:dyDescent="0.25">
      <c r="R7900">
        <v>237</v>
      </c>
      <c r="S7900">
        <v>432</v>
      </c>
      <c r="T7900">
        <v>4</v>
      </c>
    </row>
    <row r="7901" spans="18:20" x14ac:dyDescent="0.25">
      <c r="R7901">
        <v>238</v>
      </c>
      <c r="S7901">
        <v>5</v>
      </c>
      <c r="T7901">
        <v>2</v>
      </c>
    </row>
    <row r="7902" spans="18:20" x14ac:dyDescent="0.25">
      <c r="R7902">
        <v>238</v>
      </c>
      <c r="S7902">
        <v>11</v>
      </c>
      <c r="T7902">
        <v>3</v>
      </c>
    </row>
    <row r="7903" spans="18:20" x14ac:dyDescent="0.25">
      <c r="R7903">
        <v>238</v>
      </c>
      <c r="S7903">
        <v>13</v>
      </c>
      <c r="T7903">
        <v>1</v>
      </c>
    </row>
    <row r="7904" spans="18:20" x14ac:dyDescent="0.25">
      <c r="R7904">
        <v>238</v>
      </c>
      <c r="S7904">
        <v>15</v>
      </c>
      <c r="T7904">
        <v>4</v>
      </c>
    </row>
    <row r="7905" spans="18:20" x14ac:dyDescent="0.25">
      <c r="R7905">
        <v>238</v>
      </c>
      <c r="S7905">
        <v>32</v>
      </c>
      <c r="T7905">
        <v>4</v>
      </c>
    </row>
    <row r="7906" spans="18:20" x14ac:dyDescent="0.25">
      <c r="R7906">
        <v>238</v>
      </c>
      <c r="S7906">
        <v>47</v>
      </c>
      <c r="T7906">
        <v>3</v>
      </c>
    </row>
    <row r="7907" spans="18:20" x14ac:dyDescent="0.25">
      <c r="R7907">
        <v>238</v>
      </c>
      <c r="S7907">
        <v>58</v>
      </c>
      <c r="T7907">
        <v>5</v>
      </c>
    </row>
    <row r="7908" spans="18:20" x14ac:dyDescent="0.25">
      <c r="R7908">
        <v>238</v>
      </c>
      <c r="S7908">
        <v>64</v>
      </c>
      <c r="T7908">
        <v>1</v>
      </c>
    </row>
    <row r="7909" spans="18:20" x14ac:dyDescent="0.25">
      <c r="R7909">
        <v>238</v>
      </c>
      <c r="S7909">
        <v>68</v>
      </c>
      <c r="T7909">
        <v>1</v>
      </c>
    </row>
    <row r="7910" spans="18:20" x14ac:dyDescent="0.25">
      <c r="R7910">
        <v>238</v>
      </c>
      <c r="S7910">
        <v>79</v>
      </c>
      <c r="T7910">
        <v>5</v>
      </c>
    </row>
    <row r="7911" spans="18:20" x14ac:dyDescent="0.25">
      <c r="R7911">
        <v>238</v>
      </c>
      <c r="S7911">
        <v>133</v>
      </c>
      <c r="T7911">
        <v>5</v>
      </c>
    </row>
    <row r="7912" spans="18:20" x14ac:dyDescent="0.25">
      <c r="R7912">
        <v>238</v>
      </c>
      <c r="S7912">
        <v>138</v>
      </c>
      <c r="T7912">
        <v>5</v>
      </c>
    </row>
    <row r="7913" spans="18:20" x14ac:dyDescent="0.25">
      <c r="R7913">
        <v>238</v>
      </c>
      <c r="S7913">
        <v>138</v>
      </c>
      <c r="T7913">
        <v>4</v>
      </c>
    </row>
    <row r="7914" spans="18:20" x14ac:dyDescent="0.25">
      <c r="R7914">
        <v>238</v>
      </c>
      <c r="S7914">
        <v>187</v>
      </c>
      <c r="T7914">
        <v>2</v>
      </c>
    </row>
    <row r="7915" spans="18:20" x14ac:dyDescent="0.25">
      <c r="R7915">
        <v>238</v>
      </c>
      <c r="S7915">
        <v>188</v>
      </c>
      <c r="T7915">
        <v>1</v>
      </c>
    </row>
    <row r="7916" spans="18:20" x14ac:dyDescent="0.25">
      <c r="R7916">
        <v>238</v>
      </c>
      <c r="S7916">
        <v>193</v>
      </c>
      <c r="T7916">
        <v>1</v>
      </c>
    </row>
    <row r="7917" spans="18:20" x14ac:dyDescent="0.25">
      <c r="R7917">
        <v>238</v>
      </c>
      <c r="S7917">
        <v>195</v>
      </c>
      <c r="T7917">
        <v>1</v>
      </c>
    </row>
    <row r="7918" spans="18:20" x14ac:dyDescent="0.25">
      <c r="R7918">
        <v>238</v>
      </c>
      <c r="S7918">
        <v>201</v>
      </c>
      <c r="T7918">
        <v>5</v>
      </c>
    </row>
    <row r="7919" spans="18:20" x14ac:dyDescent="0.25">
      <c r="R7919">
        <v>238</v>
      </c>
      <c r="S7919">
        <v>211</v>
      </c>
      <c r="T7919">
        <v>3</v>
      </c>
    </row>
    <row r="7920" spans="18:20" x14ac:dyDescent="0.25">
      <c r="R7920">
        <v>238</v>
      </c>
      <c r="S7920">
        <v>219</v>
      </c>
      <c r="T7920">
        <v>1</v>
      </c>
    </row>
    <row r="7921" spans="18:20" x14ac:dyDescent="0.25">
      <c r="R7921">
        <v>238</v>
      </c>
      <c r="S7921">
        <v>245</v>
      </c>
      <c r="T7921">
        <v>5</v>
      </c>
    </row>
    <row r="7922" spans="18:20" x14ac:dyDescent="0.25">
      <c r="R7922">
        <v>238</v>
      </c>
      <c r="S7922">
        <v>245</v>
      </c>
      <c r="T7922">
        <v>4</v>
      </c>
    </row>
    <row r="7923" spans="18:20" x14ac:dyDescent="0.25">
      <c r="R7923">
        <v>238</v>
      </c>
      <c r="S7923">
        <v>264</v>
      </c>
      <c r="T7923">
        <v>4</v>
      </c>
    </row>
    <row r="7924" spans="18:20" x14ac:dyDescent="0.25">
      <c r="R7924">
        <v>238</v>
      </c>
      <c r="S7924">
        <v>289</v>
      </c>
      <c r="T7924">
        <v>3</v>
      </c>
    </row>
    <row r="7925" spans="18:20" x14ac:dyDescent="0.25">
      <c r="R7925">
        <v>238</v>
      </c>
      <c r="S7925">
        <v>315</v>
      </c>
      <c r="T7925">
        <v>5</v>
      </c>
    </row>
    <row r="7926" spans="18:20" x14ac:dyDescent="0.25">
      <c r="R7926">
        <v>238</v>
      </c>
      <c r="S7926">
        <v>349</v>
      </c>
      <c r="T7926">
        <v>3</v>
      </c>
    </row>
    <row r="7927" spans="18:20" x14ac:dyDescent="0.25">
      <c r="R7927">
        <v>238</v>
      </c>
      <c r="S7927">
        <v>351</v>
      </c>
      <c r="T7927">
        <v>4</v>
      </c>
    </row>
    <row r="7928" spans="18:20" x14ac:dyDescent="0.25">
      <c r="R7928">
        <v>238</v>
      </c>
      <c r="S7928">
        <v>370</v>
      </c>
      <c r="T7928">
        <v>3</v>
      </c>
    </row>
    <row r="7929" spans="18:20" x14ac:dyDescent="0.25">
      <c r="R7929">
        <v>238</v>
      </c>
      <c r="S7929">
        <v>376</v>
      </c>
      <c r="T7929">
        <v>5</v>
      </c>
    </row>
    <row r="7930" spans="18:20" x14ac:dyDescent="0.25">
      <c r="R7930">
        <v>238</v>
      </c>
      <c r="S7930">
        <v>429</v>
      </c>
      <c r="T7930">
        <v>3</v>
      </c>
    </row>
    <row r="7931" spans="18:20" x14ac:dyDescent="0.25">
      <c r="R7931">
        <v>238</v>
      </c>
      <c r="S7931">
        <v>430</v>
      </c>
      <c r="T7931">
        <v>5</v>
      </c>
    </row>
    <row r="7932" spans="18:20" x14ac:dyDescent="0.25">
      <c r="R7932">
        <v>239</v>
      </c>
      <c r="S7932">
        <v>13</v>
      </c>
      <c r="T7932">
        <v>5</v>
      </c>
    </row>
    <row r="7933" spans="18:20" x14ac:dyDescent="0.25">
      <c r="R7933">
        <v>239</v>
      </c>
      <c r="S7933">
        <v>16</v>
      </c>
      <c r="T7933">
        <v>3</v>
      </c>
    </row>
    <row r="7934" spans="18:20" x14ac:dyDescent="0.25">
      <c r="R7934">
        <v>239</v>
      </c>
      <c r="S7934">
        <v>19</v>
      </c>
      <c r="T7934">
        <v>1</v>
      </c>
    </row>
    <row r="7935" spans="18:20" x14ac:dyDescent="0.25">
      <c r="R7935">
        <v>239</v>
      </c>
      <c r="S7935">
        <v>21</v>
      </c>
      <c r="T7935">
        <v>4</v>
      </c>
    </row>
    <row r="7936" spans="18:20" x14ac:dyDescent="0.25">
      <c r="R7936">
        <v>239</v>
      </c>
      <c r="S7936">
        <v>51</v>
      </c>
      <c r="T7936">
        <v>1</v>
      </c>
    </row>
    <row r="7937" spans="18:20" x14ac:dyDescent="0.25">
      <c r="R7937">
        <v>239</v>
      </c>
      <c r="S7937">
        <v>63</v>
      </c>
      <c r="T7937">
        <v>2</v>
      </c>
    </row>
    <row r="7938" spans="18:20" x14ac:dyDescent="0.25">
      <c r="R7938">
        <v>239</v>
      </c>
      <c r="S7938">
        <v>68</v>
      </c>
      <c r="T7938">
        <v>5</v>
      </c>
    </row>
    <row r="7939" spans="18:20" x14ac:dyDescent="0.25">
      <c r="R7939">
        <v>239</v>
      </c>
      <c r="S7939">
        <v>92</v>
      </c>
      <c r="T7939">
        <v>5</v>
      </c>
    </row>
    <row r="7940" spans="18:20" x14ac:dyDescent="0.25">
      <c r="R7940">
        <v>239</v>
      </c>
      <c r="S7940">
        <v>92</v>
      </c>
      <c r="T7940">
        <v>1</v>
      </c>
    </row>
    <row r="7941" spans="18:20" x14ac:dyDescent="0.25">
      <c r="R7941">
        <v>239</v>
      </c>
      <c r="S7941">
        <v>95</v>
      </c>
      <c r="T7941">
        <v>5</v>
      </c>
    </row>
    <row r="7942" spans="18:20" x14ac:dyDescent="0.25">
      <c r="R7942">
        <v>239</v>
      </c>
      <c r="S7942">
        <v>114</v>
      </c>
      <c r="T7942">
        <v>3</v>
      </c>
    </row>
    <row r="7943" spans="18:20" x14ac:dyDescent="0.25">
      <c r="R7943">
        <v>239</v>
      </c>
      <c r="S7943">
        <v>117</v>
      </c>
      <c r="T7943">
        <v>2</v>
      </c>
    </row>
    <row r="7944" spans="18:20" x14ac:dyDescent="0.25">
      <c r="R7944">
        <v>239</v>
      </c>
      <c r="S7944">
        <v>120</v>
      </c>
      <c r="T7944">
        <v>5</v>
      </c>
    </row>
    <row r="7945" spans="18:20" x14ac:dyDescent="0.25">
      <c r="R7945">
        <v>239</v>
      </c>
      <c r="S7945">
        <v>123</v>
      </c>
      <c r="T7945">
        <v>4</v>
      </c>
    </row>
    <row r="7946" spans="18:20" x14ac:dyDescent="0.25">
      <c r="R7946">
        <v>239</v>
      </c>
      <c r="S7946">
        <v>128</v>
      </c>
      <c r="T7946">
        <v>1</v>
      </c>
    </row>
    <row r="7947" spans="18:20" x14ac:dyDescent="0.25">
      <c r="R7947">
        <v>239</v>
      </c>
      <c r="S7947">
        <v>166</v>
      </c>
      <c r="T7947">
        <v>3</v>
      </c>
    </row>
    <row r="7948" spans="18:20" x14ac:dyDescent="0.25">
      <c r="R7948">
        <v>239</v>
      </c>
      <c r="S7948">
        <v>184</v>
      </c>
      <c r="T7948">
        <v>2</v>
      </c>
    </row>
    <row r="7949" spans="18:20" x14ac:dyDescent="0.25">
      <c r="R7949">
        <v>239</v>
      </c>
      <c r="S7949">
        <v>224</v>
      </c>
      <c r="T7949">
        <v>5</v>
      </c>
    </row>
    <row r="7950" spans="18:20" x14ac:dyDescent="0.25">
      <c r="R7950">
        <v>239</v>
      </c>
      <c r="S7950">
        <v>251</v>
      </c>
      <c r="T7950">
        <v>5</v>
      </c>
    </row>
    <row r="7951" spans="18:20" x14ac:dyDescent="0.25">
      <c r="R7951">
        <v>239</v>
      </c>
      <c r="S7951">
        <v>265</v>
      </c>
      <c r="T7951">
        <v>4</v>
      </c>
    </row>
    <row r="7952" spans="18:20" x14ac:dyDescent="0.25">
      <c r="R7952">
        <v>239</v>
      </c>
      <c r="S7952">
        <v>276</v>
      </c>
      <c r="T7952">
        <v>5</v>
      </c>
    </row>
    <row r="7953" spans="18:20" x14ac:dyDescent="0.25">
      <c r="R7953">
        <v>239</v>
      </c>
      <c r="S7953">
        <v>281</v>
      </c>
      <c r="T7953">
        <v>3</v>
      </c>
    </row>
    <row r="7954" spans="18:20" x14ac:dyDescent="0.25">
      <c r="R7954">
        <v>239</v>
      </c>
      <c r="S7954">
        <v>290</v>
      </c>
      <c r="T7954">
        <v>4</v>
      </c>
    </row>
    <row r="7955" spans="18:20" x14ac:dyDescent="0.25">
      <c r="R7955">
        <v>239</v>
      </c>
      <c r="S7955">
        <v>294</v>
      </c>
      <c r="T7955">
        <v>1</v>
      </c>
    </row>
    <row r="7956" spans="18:20" x14ac:dyDescent="0.25">
      <c r="R7956">
        <v>239</v>
      </c>
      <c r="S7956">
        <v>297</v>
      </c>
      <c r="T7956">
        <v>5</v>
      </c>
    </row>
    <row r="7957" spans="18:20" x14ac:dyDescent="0.25">
      <c r="R7957">
        <v>239</v>
      </c>
      <c r="S7957">
        <v>337</v>
      </c>
      <c r="T7957">
        <v>2</v>
      </c>
    </row>
    <row r="7958" spans="18:20" x14ac:dyDescent="0.25">
      <c r="R7958">
        <v>239</v>
      </c>
      <c r="S7958">
        <v>348</v>
      </c>
      <c r="T7958">
        <v>3</v>
      </c>
    </row>
    <row r="7959" spans="18:20" x14ac:dyDescent="0.25">
      <c r="R7959">
        <v>239</v>
      </c>
      <c r="S7959">
        <v>348</v>
      </c>
      <c r="T7959">
        <v>1</v>
      </c>
    </row>
    <row r="7960" spans="18:20" x14ac:dyDescent="0.25">
      <c r="R7960">
        <v>239</v>
      </c>
      <c r="S7960">
        <v>355</v>
      </c>
      <c r="T7960">
        <v>5</v>
      </c>
    </row>
    <row r="7961" spans="18:20" x14ac:dyDescent="0.25">
      <c r="R7961">
        <v>239</v>
      </c>
      <c r="S7961">
        <v>359</v>
      </c>
      <c r="T7961">
        <v>2</v>
      </c>
    </row>
    <row r="7962" spans="18:20" x14ac:dyDescent="0.25">
      <c r="R7962">
        <v>239</v>
      </c>
      <c r="S7962">
        <v>372</v>
      </c>
      <c r="T7962">
        <v>2</v>
      </c>
    </row>
    <row r="7963" spans="18:20" x14ac:dyDescent="0.25">
      <c r="R7963">
        <v>239</v>
      </c>
      <c r="S7963">
        <v>390</v>
      </c>
      <c r="T7963">
        <v>3</v>
      </c>
    </row>
    <row r="7964" spans="18:20" x14ac:dyDescent="0.25">
      <c r="R7964">
        <v>239</v>
      </c>
      <c r="S7964">
        <v>404</v>
      </c>
      <c r="T7964">
        <v>3</v>
      </c>
    </row>
    <row r="7965" spans="18:20" x14ac:dyDescent="0.25">
      <c r="R7965">
        <v>239</v>
      </c>
      <c r="S7965">
        <v>414</v>
      </c>
      <c r="T7965">
        <v>2</v>
      </c>
    </row>
    <row r="7966" spans="18:20" x14ac:dyDescent="0.25">
      <c r="R7966">
        <v>239</v>
      </c>
      <c r="S7966">
        <v>417</v>
      </c>
      <c r="T7966">
        <v>3</v>
      </c>
    </row>
    <row r="7967" spans="18:20" x14ac:dyDescent="0.25">
      <c r="R7967">
        <v>239</v>
      </c>
      <c r="S7967">
        <v>429</v>
      </c>
      <c r="T7967">
        <v>3</v>
      </c>
    </row>
    <row r="7968" spans="18:20" x14ac:dyDescent="0.25">
      <c r="R7968">
        <v>240</v>
      </c>
      <c r="S7968">
        <v>3</v>
      </c>
      <c r="T7968">
        <v>3</v>
      </c>
    </row>
    <row r="7969" spans="18:20" x14ac:dyDescent="0.25">
      <c r="R7969">
        <v>240</v>
      </c>
      <c r="S7969">
        <v>15</v>
      </c>
      <c r="T7969">
        <v>3</v>
      </c>
    </row>
    <row r="7970" spans="18:20" x14ac:dyDescent="0.25">
      <c r="R7970">
        <v>240</v>
      </c>
      <c r="S7970">
        <v>17</v>
      </c>
      <c r="T7970">
        <v>3</v>
      </c>
    </row>
    <row r="7971" spans="18:20" x14ac:dyDescent="0.25">
      <c r="R7971">
        <v>240</v>
      </c>
      <c r="S7971">
        <v>19</v>
      </c>
      <c r="T7971">
        <v>1</v>
      </c>
    </row>
    <row r="7972" spans="18:20" x14ac:dyDescent="0.25">
      <c r="R7972">
        <v>240</v>
      </c>
      <c r="S7972">
        <v>37</v>
      </c>
      <c r="T7972">
        <v>3</v>
      </c>
    </row>
    <row r="7973" spans="18:20" x14ac:dyDescent="0.25">
      <c r="R7973">
        <v>240</v>
      </c>
      <c r="S7973">
        <v>39</v>
      </c>
      <c r="T7973">
        <v>5</v>
      </c>
    </row>
    <row r="7974" spans="18:20" x14ac:dyDescent="0.25">
      <c r="R7974">
        <v>240</v>
      </c>
      <c r="S7974">
        <v>44</v>
      </c>
      <c r="T7974">
        <v>3</v>
      </c>
    </row>
    <row r="7975" spans="18:20" x14ac:dyDescent="0.25">
      <c r="R7975">
        <v>240</v>
      </c>
      <c r="S7975">
        <v>50</v>
      </c>
      <c r="T7975">
        <v>4</v>
      </c>
    </row>
    <row r="7976" spans="18:20" x14ac:dyDescent="0.25">
      <c r="R7976">
        <v>240</v>
      </c>
      <c r="S7976">
        <v>51</v>
      </c>
      <c r="T7976">
        <v>5</v>
      </c>
    </row>
    <row r="7977" spans="18:20" x14ac:dyDescent="0.25">
      <c r="R7977">
        <v>240</v>
      </c>
      <c r="S7977">
        <v>60</v>
      </c>
      <c r="T7977">
        <v>4</v>
      </c>
    </row>
    <row r="7978" spans="18:20" x14ac:dyDescent="0.25">
      <c r="R7978">
        <v>240</v>
      </c>
      <c r="S7978">
        <v>71</v>
      </c>
      <c r="T7978">
        <v>1</v>
      </c>
    </row>
    <row r="7979" spans="18:20" x14ac:dyDescent="0.25">
      <c r="R7979">
        <v>240</v>
      </c>
      <c r="S7979">
        <v>90</v>
      </c>
      <c r="T7979">
        <v>1</v>
      </c>
    </row>
    <row r="7980" spans="18:20" x14ac:dyDescent="0.25">
      <c r="R7980">
        <v>240</v>
      </c>
      <c r="S7980">
        <v>127</v>
      </c>
      <c r="T7980">
        <v>3</v>
      </c>
    </row>
    <row r="7981" spans="18:20" x14ac:dyDescent="0.25">
      <c r="R7981">
        <v>240</v>
      </c>
      <c r="S7981">
        <v>140</v>
      </c>
      <c r="T7981">
        <v>3</v>
      </c>
    </row>
    <row r="7982" spans="18:20" x14ac:dyDescent="0.25">
      <c r="R7982">
        <v>240</v>
      </c>
      <c r="S7982">
        <v>165</v>
      </c>
      <c r="T7982">
        <v>4</v>
      </c>
    </row>
    <row r="7983" spans="18:20" x14ac:dyDescent="0.25">
      <c r="R7983">
        <v>240</v>
      </c>
      <c r="S7983">
        <v>170</v>
      </c>
      <c r="T7983">
        <v>2</v>
      </c>
    </row>
    <row r="7984" spans="18:20" x14ac:dyDescent="0.25">
      <c r="R7984">
        <v>240</v>
      </c>
      <c r="S7984">
        <v>173</v>
      </c>
      <c r="T7984">
        <v>1</v>
      </c>
    </row>
    <row r="7985" spans="18:20" x14ac:dyDescent="0.25">
      <c r="R7985">
        <v>240</v>
      </c>
      <c r="S7985">
        <v>202</v>
      </c>
      <c r="T7985">
        <v>1</v>
      </c>
    </row>
    <row r="7986" spans="18:20" x14ac:dyDescent="0.25">
      <c r="R7986">
        <v>240</v>
      </c>
      <c r="S7986">
        <v>210</v>
      </c>
      <c r="T7986">
        <v>2</v>
      </c>
    </row>
    <row r="7987" spans="18:20" x14ac:dyDescent="0.25">
      <c r="R7987">
        <v>240</v>
      </c>
      <c r="S7987">
        <v>218</v>
      </c>
      <c r="T7987">
        <v>2</v>
      </c>
    </row>
    <row r="7988" spans="18:20" x14ac:dyDescent="0.25">
      <c r="R7988">
        <v>240</v>
      </c>
      <c r="S7988">
        <v>282</v>
      </c>
      <c r="T7988">
        <v>5</v>
      </c>
    </row>
    <row r="7989" spans="18:20" x14ac:dyDescent="0.25">
      <c r="R7989">
        <v>240</v>
      </c>
      <c r="S7989">
        <v>311</v>
      </c>
      <c r="T7989">
        <v>3</v>
      </c>
    </row>
    <row r="7990" spans="18:20" x14ac:dyDescent="0.25">
      <c r="R7990">
        <v>240</v>
      </c>
      <c r="S7990">
        <v>312</v>
      </c>
      <c r="T7990">
        <v>1</v>
      </c>
    </row>
    <row r="7991" spans="18:20" x14ac:dyDescent="0.25">
      <c r="R7991">
        <v>240</v>
      </c>
      <c r="S7991">
        <v>342</v>
      </c>
      <c r="T7991">
        <v>2</v>
      </c>
    </row>
    <row r="7992" spans="18:20" x14ac:dyDescent="0.25">
      <c r="R7992">
        <v>240</v>
      </c>
      <c r="S7992">
        <v>347</v>
      </c>
      <c r="T7992">
        <v>3</v>
      </c>
    </row>
    <row r="7993" spans="18:20" x14ac:dyDescent="0.25">
      <c r="R7993">
        <v>240</v>
      </c>
      <c r="S7993">
        <v>350</v>
      </c>
      <c r="T7993">
        <v>4</v>
      </c>
    </row>
    <row r="7994" spans="18:20" x14ac:dyDescent="0.25">
      <c r="R7994">
        <v>240</v>
      </c>
      <c r="S7994">
        <v>354</v>
      </c>
      <c r="T7994">
        <v>3</v>
      </c>
    </row>
    <row r="7995" spans="18:20" x14ac:dyDescent="0.25">
      <c r="R7995">
        <v>240</v>
      </c>
      <c r="S7995">
        <v>363</v>
      </c>
      <c r="T7995">
        <v>2</v>
      </c>
    </row>
    <row r="7996" spans="18:20" x14ac:dyDescent="0.25">
      <c r="R7996">
        <v>240</v>
      </c>
      <c r="S7996">
        <v>366</v>
      </c>
      <c r="T7996">
        <v>4</v>
      </c>
    </row>
    <row r="7997" spans="18:20" x14ac:dyDescent="0.25">
      <c r="R7997">
        <v>240</v>
      </c>
      <c r="S7997">
        <v>375</v>
      </c>
      <c r="T7997">
        <v>4</v>
      </c>
    </row>
    <row r="7998" spans="18:20" x14ac:dyDescent="0.25">
      <c r="R7998">
        <v>240</v>
      </c>
      <c r="S7998">
        <v>377</v>
      </c>
      <c r="T7998">
        <v>5</v>
      </c>
    </row>
    <row r="7999" spans="18:20" x14ac:dyDescent="0.25">
      <c r="R7999">
        <v>240</v>
      </c>
      <c r="S7999">
        <v>415</v>
      </c>
      <c r="T7999">
        <v>4</v>
      </c>
    </row>
    <row r="8000" spans="18:20" x14ac:dyDescent="0.25">
      <c r="R8000">
        <v>240</v>
      </c>
      <c r="S8000">
        <v>416</v>
      </c>
      <c r="T8000">
        <v>5</v>
      </c>
    </row>
    <row r="8001" spans="18:20" x14ac:dyDescent="0.25">
      <c r="R8001">
        <v>240</v>
      </c>
      <c r="S8001">
        <v>417</v>
      </c>
      <c r="T8001">
        <v>4</v>
      </c>
    </row>
    <row r="8002" spans="18:20" x14ac:dyDescent="0.25">
      <c r="R8002">
        <v>240</v>
      </c>
      <c r="S8002">
        <v>425</v>
      </c>
      <c r="T8002">
        <v>2</v>
      </c>
    </row>
    <row r="8003" spans="18:20" x14ac:dyDescent="0.25">
      <c r="R8003">
        <v>241</v>
      </c>
      <c r="S8003">
        <v>25</v>
      </c>
      <c r="T8003">
        <v>4</v>
      </c>
    </row>
    <row r="8004" spans="18:20" x14ac:dyDescent="0.25">
      <c r="R8004">
        <v>241</v>
      </c>
      <c r="S8004">
        <v>40</v>
      </c>
      <c r="T8004">
        <v>5</v>
      </c>
    </row>
    <row r="8005" spans="18:20" x14ac:dyDescent="0.25">
      <c r="R8005">
        <v>241</v>
      </c>
      <c r="S8005">
        <v>42</v>
      </c>
      <c r="T8005">
        <v>1</v>
      </c>
    </row>
    <row r="8006" spans="18:20" x14ac:dyDescent="0.25">
      <c r="R8006">
        <v>241</v>
      </c>
      <c r="S8006">
        <v>44</v>
      </c>
      <c r="T8006">
        <v>5</v>
      </c>
    </row>
    <row r="8007" spans="18:20" x14ac:dyDescent="0.25">
      <c r="R8007">
        <v>241</v>
      </c>
      <c r="S8007">
        <v>45</v>
      </c>
      <c r="T8007">
        <v>3</v>
      </c>
    </row>
    <row r="8008" spans="18:20" x14ac:dyDescent="0.25">
      <c r="R8008">
        <v>241</v>
      </c>
      <c r="S8008">
        <v>56</v>
      </c>
      <c r="T8008">
        <v>5</v>
      </c>
    </row>
    <row r="8009" spans="18:20" x14ac:dyDescent="0.25">
      <c r="R8009">
        <v>241</v>
      </c>
      <c r="S8009">
        <v>76</v>
      </c>
      <c r="T8009">
        <v>1</v>
      </c>
    </row>
    <row r="8010" spans="18:20" x14ac:dyDescent="0.25">
      <c r="R8010">
        <v>241</v>
      </c>
      <c r="S8010">
        <v>134</v>
      </c>
      <c r="T8010">
        <v>4</v>
      </c>
    </row>
    <row r="8011" spans="18:20" x14ac:dyDescent="0.25">
      <c r="R8011">
        <v>241</v>
      </c>
      <c r="S8011">
        <v>165</v>
      </c>
      <c r="T8011">
        <v>3</v>
      </c>
    </row>
    <row r="8012" spans="18:20" x14ac:dyDescent="0.25">
      <c r="R8012">
        <v>241</v>
      </c>
      <c r="S8012">
        <v>177</v>
      </c>
      <c r="T8012">
        <v>5</v>
      </c>
    </row>
    <row r="8013" spans="18:20" x14ac:dyDescent="0.25">
      <c r="R8013">
        <v>241</v>
      </c>
      <c r="S8013">
        <v>183</v>
      </c>
      <c r="T8013">
        <v>1</v>
      </c>
    </row>
    <row r="8014" spans="18:20" x14ac:dyDescent="0.25">
      <c r="R8014">
        <v>241</v>
      </c>
      <c r="S8014">
        <v>187</v>
      </c>
      <c r="T8014">
        <v>2</v>
      </c>
    </row>
    <row r="8015" spans="18:20" x14ac:dyDescent="0.25">
      <c r="R8015">
        <v>241</v>
      </c>
      <c r="S8015">
        <v>188</v>
      </c>
      <c r="T8015">
        <v>3</v>
      </c>
    </row>
    <row r="8016" spans="18:20" x14ac:dyDescent="0.25">
      <c r="R8016">
        <v>241</v>
      </c>
      <c r="S8016">
        <v>201</v>
      </c>
      <c r="T8016">
        <v>5</v>
      </c>
    </row>
    <row r="8017" spans="18:20" x14ac:dyDescent="0.25">
      <c r="R8017">
        <v>241</v>
      </c>
      <c r="S8017">
        <v>305</v>
      </c>
      <c r="T8017">
        <v>1</v>
      </c>
    </row>
    <row r="8018" spans="18:20" x14ac:dyDescent="0.25">
      <c r="R8018">
        <v>241</v>
      </c>
      <c r="S8018">
        <v>328</v>
      </c>
      <c r="T8018">
        <v>5</v>
      </c>
    </row>
    <row r="8019" spans="18:20" x14ac:dyDescent="0.25">
      <c r="R8019">
        <v>241</v>
      </c>
      <c r="S8019">
        <v>346</v>
      </c>
      <c r="T8019">
        <v>1</v>
      </c>
    </row>
    <row r="8020" spans="18:20" x14ac:dyDescent="0.25">
      <c r="R8020">
        <v>241</v>
      </c>
      <c r="S8020">
        <v>346</v>
      </c>
      <c r="T8020">
        <v>2</v>
      </c>
    </row>
    <row r="8021" spans="18:20" x14ac:dyDescent="0.25">
      <c r="R8021">
        <v>241</v>
      </c>
      <c r="S8021">
        <v>370</v>
      </c>
      <c r="T8021">
        <v>3</v>
      </c>
    </row>
    <row r="8022" spans="18:20" x14ac:dyDescent="0.25">
      <c r="R8022">
        <v>241</v>
      </c>
      <c r="S8022">
        <v>371</v>
      </c>
      <c r="T8022">
        <v>4</v>
      </c>
    </row>
    <row r="8023" spans="18:20" x14ac:dyDescent="0.25">
      <c r="R8023">
        <v>241</v>
      </c>
      <c r="S8023">
        <v>371</v>
      </c>
      <c r="T8023">
        <v>3</v>
      </c>
    </row>
    <row r="8024" spans="18:20" x14ac:dyDescent="0.25">
      <c r="R8024">
        <v>241</v>
      </c>
      <c r="S8024">
        <v>374</v>
      </c>
      <c r="T8024">
        <v>2</v>
      </c>
    </row>
    <row r="8025" spans="18:20" x14ac:dyDescent="0.25">
      <c r="R8025">
        <v>241</v>
      </c>
      <c r="S8025">
        <v>388</v>
      </c>
      <c r="T8025">
        <v>2</v>
      </c>
    </row>
    <row r="8026" spans="18:20" x14ac:dyDescent="0.25">
      <c r="R8026">
        <v>241</v>
      </c>
      <c r="S8026">
        <v>419</v>
      </c>
      <c r="T8026">
        <v>3</v>
      </c>
    </row>
    <row r="8027" spans="18:20" x14ac:dyDescent="0.25">
      <c r="R8027">
        <v>242</v>
      </c>
      <c r="S8027">
        <v>3</v>
      </c>
      <c r="T8027">
        <v>4</v>
      </c>
    </row>
    <row r="8028" spans="18:20" x14ac:dyDescent="0.25">
      <c r="R8028">
        <v>242</v>
      </c>
      <c r="S8028">
        <v>8</v>
      </c>
      <c r="T8028">
        <v>1</v>
      </c>
    </row>
    <row r="8029" spans="18:20" x14ac:dyDescent="0.25">
      <c r="R8029">
        <v>242</v>
      </c>
      <c r="S8029">
        <v>17</v>
      </c>
      <c r="T8029">
        <v>2</v>
      </c>
    </row>
    <row r="8030" spans="18:20" x14ac:dyDescent="0.25">
      <c r="R8030">
        <v>242</v>
      </c>
      <c r="S8030">
        <v>27</v>
      </c>
      <c r="T8030">
        <v>4</v>
      </c>
    </row>
    <row r="8031" spans="18:20" x14ac:dyDescent="0.25">
      <c r="R8031">
        <v>242</v>
      </c>
      <c r="S8031">
        <v>30</v>
      </c>
      <c r="T8031">
        <v>3</v>
      </c>
    </row>
    <row r="8032" spans="18:20" x14ac:dyDescent="0.25">
      <c r="R8032">
        <v>242</v>
      </c>
      <c r="S8032">
        <v>34</v>
      </c>
      <c r="T8032">
        <v>5</v>
      </c>
    </row>
    <row r="8033" spans="18:20" x14ac:dyDescent="0.25">
      <c r="R8033">
        <v>242</v>
      </c>
      <c r="S8033">
        <v>34</v>
      </c>
      <c r="T8033">
        <v>4</v>
      </c>
    </row>
    <row r="8034" spans="18:20" x14ac:dyDescent="0.25">
      <c r="R8034">
        <v>242</v>
      </c>
      <c r="S8034">
        <v>40</v>
      </c>
      <c r="T8034">
        <v>4</v>
      </c>
    </row>
    <row r="8035" spans="18:20" x14ac:dyDescent="0.25">
      <c r="R8035">
        <v>242</v>
      </c>
      <c r="S8035">
        <v>41</v>
      </c>
      <c r="T8035">
        <v>4</v>
      </c>
    </row>
    <row r="8036" spans="18:20" x14ac:dyDescent="0.25">
      <c r="R8036">
        <v>242</v>
      </c>
      <c r="S8036">
        <v>45</v>
      </c>
      <c r="T8036">
        <v>2</v>
      </c>
    </row>
    <row r="8037" spans="18:20" x14ac:dyDescent="0.25">
      <c r="R8037">
        <v>242</v>
      </c>
      <c r="S8037">
        <v>46</v>
      </c>
      <c r="T8037">
        <v>1</v>
      </c>
    </row>
    <row r="8038" spans="18:20" x14ac:dyDescent="0.25">
      <c r="R8038">
        <v>242</v>
      </c>
      <c r="S8038">
        <v>76</v>
      </c>
      <c r="T8038">
        <v>5</v>
      </c>
    </row>
    <row r="8039" spans="18:20" x14ac:dyDescent="0.25">
      <c r="R8039">
        <v>242</v>
      </c>
      <c r="S8039">
        <v>82</v>
      </c>
      <c r="T8039">
        <v>2</v>
      </c>
    </row>
    <row r="8040" spans="18:20" x14ac:dyDescent="0.25">
      <c r="R8040">
        <v>242</v>
      </c>
      <c r="S8040">
        <v>102</v>
      </c>
      <c r="T8040">
        <v>4</v>
      </c>
    </row>
    <row r="8041" spans="18:20" x14ac:dyDescent="0.25">
      <c r="R8041">
        <v>242</v>
      </c>
      <c r="S8041">
        <v>104</v>
      </c>
      <c r="T8041">
        <v>1</v>
      </c>
    </row>
    <row r="8042" spans="18:20" x14ac:dyDescent="0.25">
      <c r="R8042">
        <v>242</v>
      </c>
      <c r="S8042">
        <v>110</v>
      </c>
      <c r="T8042">
        <v>4</v>
      </c>
    </row>
    <row r="8043" spans="18:20" x14ac:dyDescent="0.25">
      <c r="R8043">
        <v>242</v>
      </c>
      <c r="S8043">
        <v>165</v>
      </c>
      <c r="T8043">
        <v>5</v>
      </c>
    </row>
    <row r="8044" spans="18:20" x14ac:dyDescent="0.25">
      <c r="R8044">
        <v>242</v>
      </c>
      <c r="S8044">
        <v>167</v>
      </c>
      <c r="T8044">
        <v>5</v>
      </c>
    </row>
    <row r="8045" spans="18:20" x14ac:dyDescent="0.25">
      <c r="R8045">
        <v>242</v>
      </c>
      <c r="S8045">
        <v>169</v>
      </c>
      <c r="T8045">
        <v>4</v>
      </c>
    </row>
    <row r="8046" spans="18:20" x14ac:dyDescent="0.25">
      <c r="R8046">
        <v>242</v>
      </c>
      <c r="S8046">
        <v>190</v>
      </c>
      <c r="T8046">
        <v>4</v>
      </c>
    </row>
    <row r="8047" spans="18:20" x14ac:dyDescent="0.25">
      <c r="R8047">
        <v>242</v>
      </c>
      <c r="S8047">
        <v>201</v>
      </c>
      <c r="T8047">
        <v>5</v>
      </c>
    </row>
    <row r="8048" spans="18:20" x14ac:dyDescent="0.25">
      <c r="R8048">
        <v>242</v>
      </c>
      <c r="S8048">
        <v>205</v>
      </c>
      <c r="T8048">
        <v>4</v>
      </c>
    </row>
    <row r="8049" spans="18:20" x14ac:dyDescent="0.25">
      <c r="R8049">
        <v>242</v>
      </c>
      <c r="S8049">
        <v>205</v>
      </c>
      <c r="T8049">
        <v>3</v>
      </c>
    </row>
    <row r="8050" spans="18:20" x14ac:dyDescent="0.25">
      <c r="R8050">
        <v>242</v>
      </c>
      <c r="S8050">
        <v>211</v>
      </c>
      <c r="T8050">
        <v>5</v>
      </c>
    </row>
    <row r="8051" spans="18:20" x14ac:dyDescent="0.25">
      <c r="R8051">
        <v>242</v>
      </c>
      <c r="S8051">
        <v>216</v>
      </c>
      <c r="T8051">
        <v>1</v>
      </c>
    </row>
    <row r="8052" spans="18:20" x14ac:dyDescent="0.25">
      <c r="R8052">
        <v>242</v>
      </c>
      <c r="S8052">
        <v>220</v>
      </c>
      <c r="T8052">
        <v>4</v>
      </c>
    </row>
    <row r="8053" spans="18:20" x14ac:dyDescent="0.25">
      <c r="R8053">
        <v>242</v>
      </c>
      <c r="S8053">
        <v>224</v>
      </c>
      <c r="T8053">
        <v>3</v>
      </c>
    </row>
    <row r="8054" spans="18:20" x14ac:dyDescent="0.25">
      <c r="R8054">
        <v>242</v>
      </c>
      <c r="S8054">
        <v>235</v>
      </c>
      <c r="T8054">
        <v>3</v>
      </c>
    </row>
    <row r="8055" spans="18:20" x14ac:dyDescent="0.25">
      <c r="R8055">
        <v>242</v>
      </c>
      <c r="S8055">
        <v>248</v>
      </c>
      <c r="T8055">
        <v>4</v>
      </c>
    </row>
    <row r="8056" spans="18:20" x14ac:dyDescent="0.25">
      <c r="R8056">
        <v>242</v>
      </c>
      <c r="S8056">
        <v>251</v>
      </c>
      <c r="T8056">
        <v>5</v>
      </c>
    </row>
    <row r="8057" spans="18:20" x14ac:dyDescent="0.25">
      <c r="R8057">
        <v>242</v>
      </c>
      <c r="S8057">
        <v>263</v>
      </c>
      <c r="T8057">
        <v>2</v>
      </c>
    </row>
    <row r="8058" spans="18:20" x14ac:dyDescent="0.25">
      <c r="R8058">
        <v>242</v>
      </c>
      <c r="S8058">
        <v>300</v>
      </c>
      <c r="T8058">
        <v>5</v>
      </c>
    </row>
    <row r="8059" spans="18:20" x14ac:dyDescent="0.25">
      <c r="R8059">
        <v>242</v>
      </c>
      <c r="S8059">
        <v>321</v>
      </c>
      <c r="T8059">
        <v>5</v>
      </c>
    </row>
    <row r="8060" spans="18:20" x14ac:dyDescent="0.25">
      <c r="R8060">
        <v>242</v>
      </c>
      <c r="S8060">
        <v>324</v>
      </c>
      <c r="T8060">
        <v>3</v>
      </c>
    </row>
    <row r="8061" spans="18:20" x14ac:dyDescent="0.25">
      <c r="R8061">
        <v>242</v>
      </c>
      <c r="S8061">
        <v>346</v>
      </c>
      <c r="T8061">
        <v>5</v>
      </c>
    </row>
    <row r="8062" spans="18:20" x14ac:dyDescent="0.25">
      <c r="R8062">
        <v>242</v>
      </c>
      <c r="S8062">
        <v>346</v>
      </c>
      <c r="T8062">
        <v>1</v>
      </c>
    </row>
    <row r="8063" spans="18:20" x14ac:dyDescent="0.25">
      <c r="R8063">
        <v>242</v>
      </c>
      <c r="S8063">
        <v>352</v>
      </c>
      <c r="T8063">
        <v>5</v>
      </c>
    </row>
    <row r="8064" spans="18:20" x14ac:dyDescent="0.25">
      <c r="R8064">
        <v>242</v>
      </c>
      <c r="S8064">
        <v>374</v>
      </c>
      <c r="T8064">
        <v>5</v>
      </c>
    </row>
    <row r="8065" spans="18:20" x14ac:dyDescent="0.25">
      <c r="R8065">
        <v>242</v>
      </c>
      <c r="S8065">
        <v>375</v>
      </c>
      <c r="T8065">
        <v>2</v>
      </c>
    </row>
    <row r="8066" spans="18:20" x14ac:dyDescent="0.25">
      <c r="R8066">
        <v>242</v>
      </c>
      <c r="S8066">
        <v>382</v>
      </c>
      <c r="T8066">
        <v>2</v>
      </c>
    </row>
    <row r="8067" spans="18:20" x14ac:dyDescent="0.25">
      <c r="R8067">
        <v>242</v>
      </c>
      <c r="S8067">
        <v>409</v>
      </c>
      <c r="T8067">
        <v>3</v>
      </c>
    </row>
    <row r="8068" spans="18:20" x14ac:dyDescent="0.25">
      <c r="R8068">
        <v>242</v>
      </c>
      <c r="S8068">
        <v>421</v>
      </c>
      <c r="T8068">
        <v>2</v>
      </c>
    </row>
    <row r="8069" spans="18:20" x14ac:dyDescent="0.25">
      <c r="R8069">
        <v>242</v>
      </c>
      <c r="S8069">
        <v>427</v>
      </c>
      <c r="T8069">
        <v>5</v>
      </c>
    </row>
    <row r="8070" spans="18:20" x14ac:dyDescent="0.25">
      <c r="R8070">
        <v>242</v>
      </c>
      <c r="S8070">
        <v>434</v>
      </c>
      <c r="T8070">
        <v>3</v>
      </c>
    </row>
    <row r="8071" spans="18:20" x14ac:dyDescent="0.25">
      <c r="R8071">
        <v>243</v>
      </c>
      <c r="S8071">
        <v>20</v>
      </c>
      <c r="T8071">
        <v>1</v>
      </c>
    </row>
    <row r="8072" spans="18:20" x14ac:dyDescent="0.25">
      <c r="R8072">
        <v>243</v>
      </c>
      <c r="S8072">
        <v>33</v>
      </c>
      <c r="T8072">
        <v>1</v>
      </c>
    </row>
    <row r="8073" spans="18:20" x14ac:dyDescent="0.25">
      <c r="R8073">
        <v>243</v>
      </c>
      <c r="S8073">
        <v>78</v>
      </c>
      <c r="T8073">
        <v>4</v>
      </c>
    </row>
    <row r="8074" spans="18:20" x14ac:dyDescent="0.25">
      <c r="R8074">
        <v>243</v>
      </c>
      <c r="S8074">
        <v>82</v>
      </c>
      <c r="T8074">
        <v>1</v>
      </c>
    </row>
    <row r="8075" spans="18:20" x14ac:dyDescent="0.25">
      <c r="R8075">
        <v>243</v>
      </c>
      <c r="S8075">
        <v>88</v>
      </c>
      <c r="T8075">
        <v>1</v>
      </c>
    </row>
    <row r="8076" spans="18:20" x14ac:dyDescent="0.25">
      <c r="R8076">
        <v>243</v>
      </c>
      <c r="S8076">
        <v>88</v>
      </c>
      <c r="T8076">
        <v>4</v>
      </c>
    </row>
    <row r="8077" spans="18:20" x14ac:dyDescent="0.25">
      <c r="R8077">
        <v>243</v>
      </c>
      <c r="S8077">
        <v>91</v>
      </c>
      <c r="T8077">
        <v>5</v>
      </c>
    </row>
    <row r="8078" spans="18:20" x14ac:dyDescent="0.25">
      <c r="R8078">
        <v>243</v>
      </c>
      <c r="S8078">
        <v>119</v>
      </c>
      <c r="T8078">
        <v>1</v>
      </c>
    </row>
    <row r="8079" spans="18:20" x14ac:dyDescent="0.25">
      <c r="R8079">
        <v>243</v>
      </c>
      <c r="S8079">
        <v>132</v>
      </c>
      <c r="T8079">
        <v>5</v>
      </c>
    </row>
    <row r="8080" spans="18:20" x14ac:dyDescent="0.25">
      <c r="R8080">
        <v>243</v>
      </c>
      <c r="S8080">
        <v>134</v>
      </c>
      <c r="T8080">
        <v>5</v>
      </c>
    </row>
    <row r="8081" spans="18:20" x14ac:dyDescent="0.25">
      <c r="R8081">
        <v>243</v>
      </c>
      <c r="S8081">
        <v>153</v>
      </c>
      <c r="T8081">
        <v>4</v>
      </c>
    </row>
    <row r="8082" spans="18:20" x14ac:dyDescent="0.25">
      <c r="R8082">
        <v>243</v>
      </c>
      <c r="S8082">
        <v>156</v>
      </c>
      <c r="T8082">
        <v>3</v>
      </c>
    </row>
    <row r="8083" spans="18:20" x14ac:dyDescent="0.25">
      <c r="R8083">
        <v>243</v>
      </c>
      <c r="S8083">
        <v>190</v>
      </c>
      <c r="T8083">
        <v>1</v>
      </c>
    </row>
    <row r="8084" spans="18:20" x14ac:dyDescent="0.25">
      <c r="R8084">
        <v>243</v>
      </c>
      <c r="S8084">
        <v>201</v>
      </c>
      <c r="T8084">
        <v>5</v>
      </c>
    </row>
    <row r="8085" spans="18:20" x14ac:dyDescent="0.25">
      <c r="R8085">
        <v>243</v>
      </c>
      <c r="S8085">
        <v>216</v>
      </c>
      <c r="T8085">
        <v>3</v>
      </c>
    </row>
    <row r="8086" spans="18:20" x14ac:dyDescent="0.25">
      <c r="R8086">
        <v>243</v>
      </c>
      <c r="S8086">
        <v>223</v>
      </c>
      <c r="T8086">
        <v>2</v>
      </c>
    </row>
    <row r="8087" spans="18:20" x14ac:dyDescent="0.25">
      <c r="R8087">
        <v>243</v>
      </c>
      <c r="S8087">
        <v>239</v>
      </c>
      <c r="T8087">
        <v>3</v>
      </c>
    </row>
    <row r="8088" spans="18:20" x14ac:dyDescent="0.25">
      <c r="R8088">
        <v>243</v>
      </c>
      <c r="S8088">
        <v>250</v>
      </c>
      <c r="T8088">
        <v>1</v>
      </c>
    </row>
    <row r="8089" spans="18:20" x14ac:dyDescent="0.25">
      <c r="R8089">
        <v>243</v>
      </c>
      <c r="S8089">
        <v>265</v>
      </c>
      <c r="T8089">
        <v>2</v>
      </c>
    </row>
    <row r="8090" spans="18:20" x14ac:dyDescent="0.25">
      <c r="R8090">
        <v>243</v>
      </c>
      <c r="S8090">
        <v>277</v>
      </c>
      <c r="T8090">
        <v>1</v>
      </c>
    </row>
    <row r="8091" spans="18:20" x14ac:dyDescent="0.25">
      <c r="R8091">
        <v>243</v>
      </c>
      <c r="S8091">
        <v>278</v>
      </c>
      <c r="T8091">
        <v>4</v>
      </c>
    </row>
    <row r="8092" spans="18:20" x14ac:dyDescent="0.25">
      <c r="R8092">
        <v>243</v>
      </c>
      <c r="S8092">
        <v>290</v>
      </c>
      <c r="T8092">
        <v>3</v>
      </c>
    </row>
    <row r="8093" spans="18:20" x14ac:dyDescent="0.25">
      <c r="R8093">
        <v>243</v>
      </c>
      <c r="S8093">
        <v>293</v>
      </c>
      <c r="T8093">
        <v>1</v>
      </c>
    </row>
    <row r="8094" spans="18:20" x14ac:dyDescent="0.25">
      <c r="R8094">
        <v>243</v>
      </c>
      <c r="S8094">
        <v>295</v>
      </c>
      <c r="T8094">
        <v>4</v>
      </c>
    </row>
    <row r="8095" spans="18:20" x14ac:dyDescent="0.25">
      <c r="R8095">
        <v>243</v>
      </c>
      <c r="S8095">
        <v>304</v>
      </c>
      <c r="T8095">
        <v>5</v>
      </c>
    </row>
    <row r="8096" spans="18:20" x14ac:dyDescent="0.25">
      <c r="R8096">
        <v>243</v>
      </c>
      <c r="S8096">
        <v>314</v>
      </c>
      <c r="T8096">
        <v>1</v>
      </c>
    </row>
    <row r="8097" spans="18:20" x14ac:dyDescent="0.25">
      <c r="R8097">
        <v>243</v>
      </c>
      <c r="S8097">
        <v>316</v>
      </c>
      <c r="T8097">
        <v>5</v>
      </c>
    </row>
    <row r="8098" spans="18:20" x14ac:dyDescent="0.25">
      <c r="R8098">
        <v>243</v>
      </c>
      <c r="S8098">
        <v>318</v>
      </c>
      <c r="T8098">
        <v>5</v>
      </c>
    </row>
    <row r="8099" spans="18:20" x14ac:dyDescent="0.25">
      <c r="R8099">
        <v>243</v>
      </c>
      <c r="S8099">
        <v>331</v>
      </c>
      <c r="T8099">
        <v>4</v>
      </c>
    </row>
    <row r="8100" spans="18:20" x14ac:dyDescent="0.25">
      <c r="R8100">
        <v>243</v>
      </c>
      <c r="S8100">
        <v>404</v>
      </c>
      <c r="T8100">
        <v>2</v>
      </c>
    </row>
    <row r="8101" spans="18:20" x14ac:dyDescent="0.25">
      <c r="R8101">
        <v>243</v>
      </c>
      <c r="S8101">
        <v>408</v>
      </c>
      <c r="T8101">
        <v>4</v>
      </c>
    </row>
    <row r="8102" spans="18:20" x14ac:dyDescent="0.25">
      <c r="R8102">
        <v>243</v>
      </c>
      <c r="S8102">
        <v>415</v>
      </c>
      <c r="T8102">
        <v>5</v>
      </c>
    </row>
    <row r="8103" spans="18:20" x14ac:dyDescent="0.25">
      <c r="R8103">
        <v>244</v>
      </c>
      <c r="S8103">
        <v>15</v>
      </c>
      <c r="T8103">
        <v>1</v>
      </c>
    </row>
    <row r="8104" spans="18:20" x14ac:dyDescent="0.25">
      <c r="R8104">
        <v>244</v>
      </c>
      <c r="S8104">
        <v>96</v>
      </c>
      <c r="T8104">
        <v>5</v>
      </c>
    </row>
    <row r="8105" spans="18:20" x14ac:dyDescent="0.25">
      <c r="R8105">
        <v>244</v>
      </c>
      <c r="S8105">
        <v>96</v>
      </c>
      <c r="T8105">
        <v>5</v>
      </c>
    </row>
    <row r="8106" spans="18:20" x14ac:dyDescent="0.25">
      <c r="R8106">
        <v>244</v>
      </c>
      <c r="S8106">
        <v>102</v>
      </c>
      <c r="T8106">
        <v>3</v>
      </c>
    </row>
    <row r="8107" spans="18:20" x14ac:dyDescent="0.25">
      <c r="R8107">
        <v>244</v>
      </c>
      <c r="S8107">
        <v>113</v>
      </c>
      <c r="T8107">
        <v>3</v>
      </c>
    </row>
    <row r="8108" spans="18:20" x14ac:dyDescent="0.25">
      <c r="R8108">
        <v>244</v>
      </c>
      <c r="S8108">
        <v>114</v>
      </c>
      <c r="T8108">
        <v>4</v>
      </c>
    </row>
    <row r="8109" spans="18:20" x14ac:dyDescent="0.25">
      <c r="R8109">
        <v>244</v>
      </c>
      <c r="S8109">
        <v>114</v>
      </c>
      <c r="T8109">
        <v>4</v>
      </c>
    </row>
    <row r="8110" spans="18:20" x14ac:dyDescent="0.25">
      <c r="R8110">
        <v>244</v>
      </c>
      <c r="S8110">
        <v>122</v>
      </c>
      <c r="T8110">
        <v>4</v>
      </c>
    </row>
    <row r="8111" spans="18:20" x14ac:dyDescent="0.25">
      <c r="R8111">
        <v>244</v>
      </c>
      <c r="S8111">
        <v>132</v>
      </c>
      <c r="T8111">
        <v>4</v>
      </c>
    </row>
    <row r="8112" spans="18:20" x14ac:dyDescent="0.25">
      <c r="R8112">
        <v>244</v>
      </c>
      <c r="S8112">
        <v>160</v>
      </c>
      <c r="T8112">
        <v>1</v>
      </c>
    </row>
    <row r="8113" spans="18:20" x14ac:dyDescent="0.25">
      <c r="R8113">
        <v>244</v>
      </c>
      <c r="S8113">
        <v>163</v>
      </c>
      <c r="T8113">
        <v>2</v>
      </c>
    </row>
    <row r="8114" spans="18:20" x14ac:dyDescent="0.25">
      <c r="R8114">
        <v>244</v>
      </c>
      <c r="S8114">
        <v>170</v>
      </c>
      <c r="T8114">
        <v>2</v>
      </c>
    </row>
    <row r="8115" spans="18:20" x14ac:dyDescent="0.25">
      <c r="R8115">
        <v>244</v>
      </c>
      <c r="S8115">
        <v>176</v>
      </c>
      <c r="T8115">
        <v>4</v>
      </c>
    </row>
    <row r="8116" spans="18:20" x14ac:dyDescent="0.25">
      <c r="R8116">
        <v>244</v>
      </c>
      <c r="S8116">
        <v>183</v>
      </c>
      <c r="T8116">
        <v>4</v>
      </c>
    </row>
    <row r="8117" spans="18:20" x14ac:dyDescent="0.25">
      <c r="R8117">
        <v>244</v>
      </c>
      <c r="S8117">
        <v>211</v>
      </c>
      <c r="T8117">
        <v>3</v>
      </c>
    </row>
    <row r="8118" spans="18:20" x14ac:dyDescent="0.25">
      <c r="R8118">
        <v>244</v>
      </c>
      <c r="S8118">
        <v>227</v>
      </c>
      <c r="T8118">
        <v>1</v>
      </c>
    </row>
    <row r="8119" spans="18:20" x14ac:dyDescent="0.25">
      <c r="R8119">
        <v>244</v>
      </c>
      <c r="S8119">
        <v>244</v>
      </c>
      <c r="T8119">
        <v>5</v>
      </c>
    </row>
    <row r="8120" spans="18:20" x14ac:dyDescent="0.25">
      <c r="R8120">
        <v>244</v>
      </c>
      <c r="S8120">
        <v>247</v>
      </c>
      <c r="T8120">
        <v>1</v>
      </c>
    </row>
    <row r="8121" spans="18:20" x14ac:dyDescent="0.25">
      <c r="R8121">
        <v>244</v>
      </c>
      <c r="S8121">
        <v>264</v>
      </c>
      <c r="T8121">
        <v>3</v>
      </c>
    </row>
    <row r="8122" spans="18:20" x14ac:dyDescent="0.25">
      <c r="R8122">
        <v>244</v>
      </c>
      <c r="S8122">
        <v>292</v>
      </c>
      <c r="T8122">
        <v>3</v>
      </c>
    </row>
    <row r="8123" spans="18:20" x14ac:dyDescent="0.25">
      <c r="R8123">
        <v>244</v>
      </c>
      <c r="S8123">
        <v>296</v>
      </c>
      <c r="T8123">
        <v>2</v>
      </c>
    </row>
    <row r="8124" spans="18:20" x14ac:dyDescent="0.25">
      <c r="R8124">
        <v>244</v>
      </c>
      <c r="S8124">
        <v>299</v>
      </c>
      <c r="T8124">
        <v>3</v>
      </c>
    </row>
    <row r="8125" spans="18:20" x14ac:dyDescent="0.25">
      <c r="R8125">
        <v>244</v>
      </c>
      <c r="S8125">
        <v>304</v>
      </c>
      <c r="T8125">
        <v>3</v>
      </c>
    </row>
    <row r="8126" spans="18:20" x14ac:dyDescent="0.25">
      <c r="R8126">
        <v>244</v>
      </c>
      <c r="S8126">
        <v>315</v>
      </c>
      <c r="T8126">
        <v>2</v>
      </c>
    </row>
    <row r="8127" spans="18:20" x14ac:dyDescent="0.25">
      <c r="R8127">
        <v>244</v>
      </c>
      <c r="S8127">
        <v>318</v>
      </c>
      <c r="T8127">
        <v>4</v>
      </c>
    </row>
    <row r="8128" spans="18:20" x14ac:dyDescent="0.25">
      <c r="R8128">
        <v>244</v>
      </c>
      <c r="S8128">
        <v>325</v>
      </c>
      <c r="T8128">
        <v>5</v>
      </c>
    </row>
    <row r="8129" spans="18:20" x14ac:dyDescent="0.25">
      <c r="R8129">
        <v>244</v>
      </c>
      <c r="S8129">
        <v>330</v>
      </c>
      <c r="T8129">
        <v>4</v>
      </c>
    </row>
    <row r="8130" spans="18:20" x14ac:dyDescent="0.25">
      <c r="R8130">
        <v>244</v>
      </c>
      <c r="S8130">
        <v>330</v>
      </c>
      <c r="T8130">
        <v>1</v>
      </c>
    </row>
    <row r="8131" spans="18:20" x14ac:dyDescent="0.25">
      <c r="R8131">
        <v>244</v>
      </c>
      <c r="S8131">
        <v>348</v>
      </c>
      <c r="T8131">
        <v>1</v>
      </c>
    </row>
    <row r="8132" spans="18:20" x14ac:dyDescent="0.25">
      <c r="R8132">
        <v>244</v>
      </c>
      <c r="S8132">
        <v>365</v>
      </c>
      <c r="T8132">
        <v>5</v>
      </c>
    </row>
    <row r="8133" spans="18:20" x14ac:dyDescent="0.25">
      <c r="R8133">
        <v>244</v>
      </c>
      <c r="S8133">
        <v>376</v>
      </c>
      <c r="T8133">
        <v>3</v>
      </c>
    </row>
    <row r="8134" spans="18:20" x14ac:dyDescent="0.25">
      <c r="R8134">
        <v>244</v>
      </c>
      <c r="S8134">
        <v>383</v>
      </c>
      <c r="T8134">
        <v>2</v>
      </c>
    </row>
    <row r="8135" spans="18:20" x14ac:dyDescent="0.25">
      <c r="R8135">
        <v>244</v>
      </c>
      <c r="S8135">
        <v>429</v>
      </c>
      <c r="T8135">
        <v>3</v>
      </c>
    </row>
    <row r="8136" spans="18:20" x14ac:dyDescent="0.25">
      <c r="R8136">
        <v>245</v>
      </c>
      <c r="S8136">
        <v>12</v>
      </c>
      <c r="T8136">
        <v>2</v>
      </c>
    </row>
    <row r="8137" spans="18:20" x14ac:dyDescent="0.25">
      <c r="R8137">
        <v>245</v>
      </c>
      <c r="S8137">
        <v>15</v>
      </c>
      <c r="T8137">
        <v>5</v>
      </c>
    </row>
    <row r="8138" spans="18:20" x14ac:dyDescent="0.25">
      <c r="R8138">
        <v>245</v>
      </c>
      <c r="S8138">
        <v>24</v>
      </c>
      <c r="T8138">
        <v>2</v>
      </c>
    </row>
    <row r="8139" spans="18:20" x14ac:dyDescent="0.25">
      <c r="R8139">
        <v>245</v>
      </c>
      <c r="S8139">
        <v>55</v>
      </c>
      <c r="T8139">
        <v>1</v>
      </c>
    </row>
    <row r="8140" spans="18:20" x14ac:dyDescent="0.25">
      <c r="R8140">
        <v>245</v>
      </c>
      <c r="S8140">
        <v>100</v>
      </c>
      <c r="T8140">
        <v>1</v>
      </c>
    </row>
    <row r="8141" spans="18:20" x14ac:dyDescent="0.25">
      <c r="R8141">
        <v>245</v>
      </c>
      <c r="S8141">
        <v>141</v>
      </c>
      <c r="T8141">
        <v>1</v>
      </c>
    </row>
    <row r="8142" spans="18:20" x14ac:dyDescent="0.25">
      <c r="R8142">
        <v>245</v>
      </c>
      <c r="S8142">
        <v>142</v>
      </c>
      <c r="T8142">
        <v>5</v>
      </c>
    </row>
    <row r="8143" spans="18:20" x14ac:dyDescent="0.25">
      <c r="R8143">
        <v>245</v>
      </c>
      <c r="S8143">
        <v>151</v>
      </c>
      <c r="T8143">
        <v>5</v>
      </c>
    </row>
    <row r="8144" spans="18:20" x14ac:dyDescent="0.25">
      <c r="R8144">
        <v>245</v>
      </c>
      <c r="S8144">
        <v>168</v>
      </c>
      <c r="T8144">
        <v>3</v>
      </c>
    </row>
    <row r="8145" spans="18:20" x14ac:dyDescent="0.25">
      <c r="R8145">
        <v>245</v>
      </c>
      <c r="S8145">
        <v>173</v>
      </c>
      <c r="T8145">
        <v>1</v>
      </c>
    </row>
    <row r="8146" spans="18:20" x14ac:dyDescent="0.25">
      <c r="R8146">
        <v>245</v>
      </c>
      <c r="S8146">
        <v>187</v>
      </c>
      <c r="T8146">
        <v>1</v>
      </c>
    </row>
    <row r="8147" spans="18:20" x14ac:dyDescent="0.25">
      <c r="R8147">
        <v>245</v>
      </c>
      <c r="S8147">
        <v>187</v>
      </c>
      <c r="T8147">
        <v>3</v>
      </c>
    </row>
    <row r="8148" spans="18:20" x14ac:dyDescent="0.25">
      <c r="R8148">
        <v>245</v>
      </c>
      <c r="S8148">
        <v>198</v>
      </c>
      <c r="T8148">
        <v>1</v>
      </c>
    </row>
    <row r="8149" spans="18:20" x14ac:dyDescent="0.25">
      <c r="R8149">
        <v>245</v>
      </c>
      <c r="S8149">
        <v>213</v>
      </c>
      <c r="T8149">
        <v>5</v>
      </c>
    </row>
    <row r="8150" spans="18:20" x14ac:dyDescent="0.25">
      <c r="R8150">
        <v>245</v>
      </c>
      <c r="S8150">
        <v>228</v>
      </c>
      <c r="T8150">
        <v>2</v>
      </c>
    </row>
    <row r="8151" spans="18:20" x14ac:dyDescent="0.25">
      <c r="R8151">
        <v>245</v>
      </c>
      <c r="S8151">
        <v>250</v>
      </c>
      <c r="T8151">
        <v>2</v>
      </c>
    </row>
    <row r="8152" spans="18:20" x14ac:dyDescent="0.25">
      <c r="R8152">
        <v>245</v>
      </c>
      <c r="S8152">
        <v>284</v>
      </c>
      <c r="T8152">
        <v>5</v>
      </c>
    </row>
    <row r="8153" spans="18:20" x14ac:dyDescent="0.25">
      <c r="R8153">
        <v>245</v>
      </c>
      <c r="S8153">
        <v>327</v>
      </c>
      <c r="T8153">
        <v>3</v>
      </c>
    </row>
    <row r="8154" spans="18:20" x14ac:dyDescent="0.25">
      <c r="R8154">
        <v>245</v>
      </c>
      <c r="S8154">
        <v>338</v>
      </c>
      <c r="T8154">
        <v>5</v>
      </c>
    </row>
    <row r="8155" spans="18:20" x14ac:dyDescent="0.25">
      <c r="R8155">
        <v>245</v>
      </c>
      <c r="S8155">
        <v>372</v>
      </c>
      <c r="T8155">
        <v>1</v>
      </c>
    </row>
    <row r="8156" spans="18:20" x14ac:dyDescent="0.25">
      <c r="R8156">
        <v>245</v>
      </c>
      <c r="S8156">
        <v>383</v>
      </c>
      <c r="T8156">
        <v>3</v>
      </c>
    </row>
    <row r="8157" spans="18:20" x14ac:dyDescent="0.25">
      <c r="R8157">
        <v>245</v>
      </c>
      <c r="S8157">
        <v>398</v>
      </c>
      <c r="T8157">
        <v>4</v>
      </c>
    </row>
    <row r="8158" spans="18:20" x14ac:dyDescent="0.25">
      <c r="R8158">
        <v>245</v>
      </c>
      <c r="S8158">
        <v>407</v>
      </c>
      <c r="T8158">
        <v>4</v>
      </c>
    </row>
    <row r="8159" spans="18:20" x14ac:dyDescent="0.25">
      <c r="R8159">
        <v>245</v>
      </c>
      <c r="S8159">
        <v>412</v>
      </c>
      <c r="T8159">
        <v>3</v>
      </c>
    </row>
    <row r="8160" spans="18:20" x14ac:dyDescent="0.25">
      <c r="R8160">
        <v>245</v>
      </c>
      <c r="S8160">
        <v>416</v>
      </c>
      <c r="T8160">
        <v>2</v>
      </c>
    </row>
    <row r="8161" spans="18:20" x14ac:dyDescent="0.25">
      <c r="R8161">
        <v>245</v>
      </c>
      <c r="S8161">
        <v>429</v>
      </c>
      <c r="T8161">
        <v>2</v>
      </c>
    </row>
    <row r="8162" spans="18:20" x14ac:dyDescent="0.25">
      <c r="R8162">
        <v>246</v>
      </c>
      <c r="S8162">
        <v>29</v>
      </c>
      <c r="T8162">
        <v>1</v>
      </c>
    </row>
    <row r="8163" spans="18:20" x14ac:dyDescent="0.25">
      <c r="R8163">
        <v>246</v>
      </c>
      <c r="S8163">
        <v>36</v>
      </c>
      <c r="T8163">
        <v>3</v>
      </c>
    </row>
    <row r="8164" spans="18:20" x14ac:dyDescent="0.25">
      <c r="R8164">
        <v>246</v>
      </c>
      <c r="S8164">
        <v>55</v>
      </c>
      <c r="T8164">
        <v>5</v>
      </c>
    </row>
    <row r="8165" spans="18:20" x14ac:dyDescent="0.25">
      <c r="R8165">
        <v>246</v>
      </c>
      <c r="S8165">
        <v>93</v>
      </c>
      <c r="T8165">
        <v>2</v>
      </c>
    </row>
    <row r="8166" spans="18:20" x14ac:dyDescent="0.25">
      <c r="R8166">
        <v>246</v>
      </c>
      <c r="S8166">
        <v>103</v>
      </c>
      <c r="T8166">
        <v>2</v>
      </c>
    </row>
    <row r="8167" spans="18:20" x14ac:dyDescent="0.25">
      <c r="R8167">
        <v>246</v>
      </c>
      <c r="S8167">
        <v>158</v>
      </c>
      <c r="T8167">
        <v>3</v>
      </c>
    </row>
    <row r="8168" spans="18:20" x14ac:dyDescent="0.25">
      <c r="R8168">
        <v>246</v>
      </c>
      <c r="S8168">
        <v>166</v>
      </c>
      <c r="T8168">
        <v>5</v>
      </c>
    </row>
    <row r="8169" spans="18:20" x14ac:dyDescent="0.25">
      <c r="R8169">
        <v>246</v>
      </c>
      <c r="S8169">
        <v>197</v>
      </c>
      <c r="T8169">
        <v>1</v>
      </c>
    </row>
    <row r="8170" spans="18:20" x14ac:dyDescent="0.25">
      <c r="R8170">
        <v>246</v>
      </c>
      <c r="S8170">
        <v>198</v>
      </c>
      <c r="T8170">
        <v>4</v>
      </c>
    </row>
    <row r="8171" spans="18:20" x14ac:dyDescent="0.25">
      <c r="R8171">
        <v>246</v>
      </c>
      <c r="S8171">
        <v>214</v>
      </c>
      <c r="T8171">
        <v>5</v>
      </c>
    </row>
    <row r="8172" spans="18:20" x14ac:dyDescent="0.25">
      <c r="R8172">
        <v>246</v>
      </c>
      <c r="S8172">
        <v>215</v>
      </c>
      <c r="T8172">
        <v>1</v>
      </c>
    </row>
    <row r="8173" spans="18:20" x14ac:dyDescent="0.25">
      <c r="R8173">
        <v>246</v>
      </c>
      <c r="S8173">
        <v>246</v>
      </c>
      <c r="T8173">
        <v>5</v>
      </c>
    </row>
    <row r="8174" spans="18:20" x14ac:dyDescent="0.25">
      <c r="R8174">
        <v>246</v>
      </c>
      <c r="S8174">
        <v>260</v>
      </c>
      <c r="T8174">
        <v>2</v>
      </c>
    </row>
    <row r="8175" spans="18:20" x14ac:dyDescent="0.25">
      <c r="R8175">
        <v>246</v>
      </c>
      <c r="S8175">
        <v>262</v>
      </c>
      <c r="T8175">
        <v>3</v>
      </c>
    </row>
    <row r="8176" spans="18:20" x14ac:dyDescent="0.25">
      <c r="R8176">
        <v>246</v>
      </c>
      <c r="S8176">
        <v>272</v>
      </c>
      <c r="T8176">
        <v>3</v>
      </c>
    </row>
    <row r="8177" spans="18:20" x14ac:dyDescent="0.25">
      <c r="R8177">
        <v>246</v>
      </c>
      <c r="S8177">
        <v>291</v>
      </c>
      <c r="T8177">
        <v>3</v>
      </c>
    </row>
    <row r="8178" spans="18:20" x14ac:dyDescent="0.25">
      <c r="R8178">
        <v>246</v>
      </c>
      <c r="S8178">
        <v>298</v>
      </c>
      <c r="T8178">
        <v>5</v>
      </c>
    </row>
    <row r="8179" spans="18:20" x14ac:dyDescent="0.25">
      <c r="R8179">
        <v>246</v>
      </c>
      <c r="S8179">
        <v>306</v>
      </c>
      <c r="T8179">
        <v>3</v>
      </c>
    </row>
    <row r="8180" spans="18:20" x14ac:dyDescent="0.25">
      <c r="R8180">
        <v>246</v>
      </c>
      <c r="S8180">
        <v>311</v>
      </c>
      <c r="T8180">
        <v>1</v>
      </c>
    </row>
    <row r="8181" spans="18:20" x14ac:dyDescent="0.25">
      <c r="R8181">
        <v>246</v>
      </c>
      <c r="S8181">
        <v>312</v>
      </c>
      <c r="T8181">
        <v>2</v>
      </c>
    </row>
    <row r="8182" spans="18:20" x14ac:dyDescent="0.25">
      <c r="R8182">
        <v>246</v>
      </c>
      <c r="S8182">
        <v>315</v>
      </c>
      <c r="T8182">
        <v>4</v>
      </c>
    </row>
    <row r="8183" spans="18:20" x14ac:dyDescent="0.25">
      <c r="R8183">
        <v>246</v>
      </c>
      <c r="S8183">
        <v>318</v>
      </c>
      <c r="T8183">
        <v>4</v>
      </c>
    </row>
    <row r="8184" spans="18:20" x14ac:dyDescent="0.25">
      <c r="R8184">
        <v>246</v>
      </c>
      <c r="S8184">
        <v>324</v>
      </c>
      <c r="T8184">
        <v>3</v>
      </c>
    </row>
    <row r="8185" spans="18:20" x14ac:dyDescent="0.25">
      <c r="R8185">
        <v>246</v>
      </c>
      <c r="S8185">
        <v>347</v>
      </c>
      <c r="T8185">
        <v>5</v>
      </c>
    </row>
    <row r="8186" spans="18:20" x14ac:dyDescent="0.25">
      <c r="R8186">
        <v>246</v>
      </c>
      <c r="S8186">
        <v>359</v>
      </c>
      <c r="T8186">
        <v>3</v>
      </c>
    </row>
    <row r="8187" spans="18:20" x14ac:dyDescent="0.25">
      <c r="R8187">
        <v>246</v>
      </c>
      <c r="S8187">
        <v>378</v>
      </c>
      <c r="T8187">
        <v>1</v>
      </c>
    </row>
    <row r="8188" spans="18:20" x14ac:dyDescent="0.25">
      <c r="R8188">
        <v>246</v>
      </c>
      <c r="S8188">
        <v>400</v>
      </c>
      <c r="T8188">
        <v>3</v>
      </c>
    </row>
    <row r="8189" spans="18:20" x14ac:dyDescent="0.25">
      <c r="R8189">
        <v>246</v>
      </c>
      <c r="S8189">
        <v>402</v>
      </c>
      <c r="T8189">
        <v>2</v>
      </c>
    </row>
    <row r="8190" spans="18:20" x14ac:dyDescent="0.25">
      <c r="R8190">
        <v>246</v>
      </c>
      <c r="S8190">
        <v>426</v>
      </c>
      <c r="T8190">
        <v>4</v>
      </c>
    </row>
    <row r="8191" spans="18:20" x14ac:dyDescent="0.25">
      <c r="R8191">
        <v>247</v>
      </c>
      <c r="S8191">
        <v>4</v>
      </c>
      <c r="T8191">
        <v>5</v>
      </c>
    </row>
    <row r="8192" spans="18:20" x14ac:dyDescent="0.25">
      <c r="R8192">
        <v>247</v>
      </c>
      <c r="S8192">
        <v>8</v>
      </c>
      <c r="T8192">
        <v>2</v>
      </c>
    </row>
    <row r="8193" spans="18:20" x14ac:dyDescent="0.25">
      <c r="R8193">
        <v>247</v>
      </c>
      <c r="S8193">
        <v>10</v>
      </c>
      <c r="T8193">
        <v>2</v>
      </c>
    </row>
    <row r="8194" spans="18:20" x14ac:dyDescent="0.25">
      <c r="R8194">
        <v>247</v>
      </c>
      <c r="S8194">
        <v>11</v>
      </c>
      <c r="T8194">
        <v>3</v>
      </c>
    </row>
    <row r="8195" spans="18:20" x14ac:dyDescent="0.25">
      <c r="R8195">
        <v>247</v>
      </c>
      <c r="S8195">
        <v>40</v>
      </c>
      <c r="T8195">
        <v>1</v>
      </c>
    </row>
    <row r="8196" spans="18:20" x14ac:dyDescent="0.25">
      <c r="R8196">
        <v>247</v>
      </c>
      <c r="S8196">
        <v>49</v>
      </c>
      <c r="T8196">
        <v>1</v>
      </c>
    </row>
    <row r="8197" spans="18:20" x14ac:dyDescent="0.25">
      <c r="R8197">
        <v>247</v>
      </c>
      <c r="S8197">
        <v>62</v>
      </c>
      <c r="T8197">
        <v>1</v>
      </c>
    </row>
    <row r="8198" spans="18:20" x14ac:dyDescent="0.25">
      <c r="R8198">
        <v>247</v>
      </c>
      <c r="S8198">
        <v>69</v>
      </c>
      <c r="T8198">
        <v>5</v>
      </c>
    </row>
    <row r="8199" spans="18:20" x14ac:dyDescent="0.25">
      <c r="R8199">
        <v>247</v>
      </c>
      <c r="S8199">
        <v>78</v>
      </c>
      <c r="T8199">
        <v>2</v>
      </c>
    </row>
    <row r="8200" spans="18:20" x14ac:dyDescent="0.25">
      <c r="R8200">
        <v>247</v>
      </c>
      <c r="S8200">
        <v>79</v>
      </c>
      <c r="T8200">
        <v>3</v>
      </c>
    </row>
    <row r="8201" spans="18:20" x14ac:dyDescent="0.25">
      <c r="R8201">
        <v>247</v>
      </c>
      <c r="S8201">
        <v>82</v>
      </c>
      <c r="T8201">
        <v>1</v>
      </c>
    </row>
    <row r="8202" spans="18:20" x14ac:dyDescent="0.25">
      <c r="R8202">
        <v>247</v>
      </c>
      <c r="S8202">
        <v>85</v>
      </c>
      <c r="T8202">
        <v>3</v>
      </c>
    </row>
    <row r="8203" spans="18:20" x14ac:dyDescent="0.25">
      <c r="R8203">
        <v>247</v>
      </c>
      <c r="S8203">
        <v>86</v>
      </c>
      <c r="T8203">
        <v>4</v>
      </c>
    </row>
    <row r="8204" spans="18:20" x14ac:dyDescent="0.25">
      <c r="R8204">
        <v>247</v>
      </c>
      <c r="S8204">
        <v>87</v>
      </c>
      <c r="T8204">
        <v>5</v>
      </c>
    </row>
    <row r="8205" spans="18:20" x14ac:dyDescent="0.25">
      <c r="R8205">
        <v>247</v>
      </c>
      <c r="S8205">
        <v>92</v>
      </c>
      <c r="T8205">
        <v>5</v>
      </c>
    </row>
    <row r="8206" spans="18:20" x14ac:dyDescent="0.25">
      <c r="R8206">
        <v>247</v>
      </c>
      <c r="S8206">
        <v>95</v>
      </c>
      <c r="T8206">
        <v>5</v>
      </c>
    </row>
    <row r="8207" spans="18:20" x14ac:dyDescent="0.25">
      <c r="R8207">
        <v>247</v>
      </c>
      <c r="S8207">
        <v>101</v>
      </c>
      <c r="T8207">
        <v>2</v>
      </c>
    </row>
    <row r="8208" spans="18:20" x14ac:dyDescent="0.25">
      <c r="R8208">
        <v>247</v>
      </c>
      <c r="S8208">
        <v>105</v>
      </c>
      <c r="T8208">
        <v>1</v>
      </c>
    </row>
    <row r="8209" spans="18:20" x14ac:dyDescent="0.25">
      <c r="R8209">
        <v>247</v>
      </c>
      <c r="S8209">
        <v>108</v>
      </c>
      <c r="T8209">
        <v>1</v>
      </c>
    </row>
    <row r="8210" spans="18:20" x14ac:dyDescent="0.25">
      <c r="R8210">
        <v>247</v>
      </c>
      <c r="S8210">
        <v>114</v>
      </c>
      <c r="T8210">
        <v>3</v>
      </c>
    </row>
    <row r="8211" spans="18:20" x14ac:dyDescent="0.25">
      <c r="R8211">
        <v>247</v>
      </c>
      <c r="S8211">
        <v>116</v>
      </c>
      <c r="T8211">
        <v>5</v>
      </c>
    </row>
    <row r="8212" spans="18:20" x14ac:dyDescent="0.25">
      <c r="R8212">
        <v>247</v>
      </c>
      <c r="S8212">
        <v>140</v>
      </c>
      <c r="T8212">
        <v>4</v>
      </c>
    </row>
    <row r="8213" spans="18:20" x14ac:dyDescent="0.25">
      <c r="R8213">
        <v>247</v>
      </c>
      <c r="S8213">
        <v>152</v>
      </c>
      <c r="T8213">
        <v>4</v>
      </c>
    </row>
    <row r="8214" spans="18:20" x14ac:dyDescent="0.25">
      <c r="R8214">
        <v>247</v>
      </c>
      <c r="S8214">
        <v>162</v>
      </c>
      <c r="T8214">
        <v>3</v>
      </c>
    </row>
    <row r="8215" spans="18:20" x14ac:dyDescent="0.25">
      <c r="R8215">
        <v>247</v>
      </c>
      <c r="S8215">
        <v>168</v>
      </c>
      <c r="T8215">
        <v>4</v>
      </c>
    </row>
    <row r="8216" spans="18:20" x14ac:dyDescent="0.25">
      <c r="R8216">
        <v>247</v>
      </c>
      <c r="S8216">
        <v>176</v>
      </c>
      <c r="T8216">
        <v>3</v>
      </c>
    </row>
    <row r="8217" spans="18:20" x14ac:dyDescent="0.25">
      <c r="R8217">
        <v>247</v>
      </c>
      <c r="S8217">
        <v>187</v>
      </c>
      <c r="T8217">
        <v>2</v>
      </c>
    </row>
    <row r="8218" spans="18:20" x14ac:dyDescent="0.25">
      <c r="R8218">
        <v>247</v>
      </c>
      <c r="S8218">
        <v>202</v>
      </c>
      <c r="T8218">
        <v>1</v>
      </c>
    </row>
    <row r="8219" spans="18:20" x14ac:dyDescent="0.25">
      <c r="R8219">
        <v>247</v>
      </c>
      <c r="S8219">
        <v>211</v>
      </c>
      <c r="T8219">
        <v>5</v>
      </c>
    </row>
    <row r="8220" spans="18:20" x14ac:dyDescent="0.25">
      <c r="R8220">
        <v>247</v>
      </c>
      <c r="S8220">
        <v>231</v>
      </c>
      <c r="T8220">
        <v>3</v>
      </c>
    </row>
    <row r="8221" spans="18:20" x14ac:dyDescent="0.25">
      <c r="R8221">
        <v>247</v>
      </c>
      <c r="S8221">
        <v>244</v>
      </c>
      <c r="T8221">
        <v>5</v>
      </c>
    </row>
    <row r="8222" spans="18:20" x14ac:dyDescent="0.25">
      <c r="R8222">
        <v>247</v>
      </c>
      <c r="S8222">
        <v>250</v>
      </c>
      <c r="T8222">
        <v>5</v>
      </c>
    </row>
    <row r="8223" spans="18:20" x14ac:dyDescent="0.25">
      <c r="R8223">
        <v>247</v>
      </c>
      <c r="S8223">
        <v>269</v>
      </c>
      <c r="T8223">
        <v>5</v>
      </c>
    </row>
    <row r="8224" spans="18:20" x14ac:dyDescent="0.25">
      <c r="R8224">
        <v>247</v>
      </c>
      <c r="S8224">
        <v>272</v>
      </c>
      <c r="T8224">
        <v>5</v>
      </c>
    </row>
    <row r="8225" spans="18:20" x14ac:dyDescent="0.25">
      <c r="R8225">
        <v>247</v>
      </c>
      <c r="S8225">
        <v>294</v>
      </c>
      <c r="T8225">
        <v>4</v>
      </c>
    </row>
    <row r="8226" spans="18:20" x14ac:dyDescent="0.25">
      <c r="R8226">
        <v>247</v>
      </c>
      <c r="S8226">
        <v>297</v>
      </c>
      <c r="T8226">
        <v>3</v>
      </c>
    </row>
    <row r="8227" spans="18:20" x14ac:dyDescent="0.25">
      <c r="R8227">
        <v>247</v>
      </c>
      <c r="S8227">
        <v>314</v>
      </c>
      <c r="T8227">
        <v>3</v>
      </c>
    </row>
    <row r="8228" spans="18:20" x14ac:dyDescent="0.25">
      <c r="R8228">
        <v>247</v>
      </c>
      <c r="S8228">
        <v>324</v>
      </c>
      <c r="T8228">
        <v>5</v>
      </c>
    </row>
    <row r="8229" spans="18:20" x14ac:dyDescent="0.25">
      <c r="R8229">
        <v>247</v>
      </c>
      <c r="S8229">
        <v>354</v>
      </c>
      <c r="T8229">
        <v>5</v>
      </c>
    </row>
    <row r="8230" spans="18:20" x14ac:dyDescent="0.25">
      <c r="R8230">
        <v>247</v>
      </c>
      <c r="S8230">
        <v>373</v>
      </c>
      <c r="T8230">
        <v>1</v>
      </c>
    </row>
    <row r="8231" spans="18:20" x14ac:dyDescent="0.25">
      <c r="R8231">
        <v>247</v>
      </c>
      <c r="S8231">
        <v>387</v>
      </c>
      <c r="T8231">
        <v>1</v>
      </c>
    </row>
    <row r="8232" spans="18:20" x14ac:dyDescent="0.25">
      <c r="R8232">
        <v>247</v>
      </c>
      <c r="S8232">
        <v>428</v>
      </c>
      <c r="T8232">
        <v>3</v>
      </c>
    </row>
    <row r="8233" spans="18:20" x14ac:dyDescent="0.25">
      <c r="R8233">
        <v>247</v>
      </c>
      <c r="S8233">
        <v>433</v>
      </c>
      <c r="T8233">
        <v>1</v>
      </c>
    </row>
    <row r="8234" spans="18:20" x14ac:dyDescent="0.25">
      <c r="R8234">
        <v>248</v>
      </c>
      <c r="S8234">
        <v>8</v>
      </c>
      <c r="T8234">
        <v>2</v>
      </c>
    </row>
    <row r="8235" spans="18:20" x14ac:dyDescent="0.25">
      <c r="R8235">
        <v>248</v>
      </c>
      <c r="S8235">
        <v>17</v>
      </c>
      <c r="T8235">
        <v>3</v>
      </c>
    </row>
    <row r="8236" spans="18:20" x14ac:dyDescent="0.25">
      <c r="R8236">
        <v>248</v>
      </c>
      <c r="S8236">
        <v>27</v>
      </c>
      <c r="T8236">
        <v>2</v>
      </c>
    </row>
    <row r="8237" spans="18:20" x14ac:dyDescent="0.25">
      <c r="R8237">
        <v>248</v>
      </c>
      <c r="S8237">
        <v>37</v>
      </c>
      <c r="T8237">
        <v>4</v>
      </c>
    </row>
    <row r="8238" spans="18:20" x14ac:dyDescent="0.25">
      <c r="R8238">
        <v>248</v>
      </c>
      <c r="S8238">
        <v>39</v>
      </c>
      <c r="T8238">
        <v>5</v>
      </c>
    </row>
    <row r="8239" spans="18:20" x14ac:dyDescent="0.25">
      <c r="R8239">
        <v>248</v>
      </c>
      <c r="S8239">
        <v>39</v>
      </c>
      <c r="T8239">
        <v>4</v>
      </c>
    </row>
    <row r="8240" spans="18:20" x14ac:dyDescent="0.25">
      <c r="R8240">
        <v>248</v>
      </c>
      <c r="S8240">
        <v>41</v>
      </c>
      <c r="T8240">
        <v>4</v>
      </c>
    </row>
    <row r="8241" spans="18:20" x14ac:dyDescent="0.25">
      <c r="R8241">
        <v>248</v>
      </c>
      <c r="S8241">
        <v>83</v>
      </c>
      <c r="T8241">
        <v>5</v>
      </c>
    </row>
    <row r="8242" spans="18:20" x14ac:dyDescent="0.25">
      <c r="R8242">
        <v>248</v>
      </c>
      <c r="S8242">
        <v>86</v>
      </c>
      <c r="T8242">
        <v>4</v>
      </c>
    </row>
    <row r="8243" spans="18:20" x14ac:dyDescent="0.25">
      <c r="R8243">
        <v>248</v>
      </c>
      <c r="S8243">
        <v>107</v>
      </c>
      <c r="T8243">
        <v>5</v>
      </c>
    </row>
    <row r="8244" spans="18:20" x14ac:dyDescent="0.25">
      <c r="R8244">
        <v>248</v>
      </c>
      <c r="S8244">
        <v>127</v>
      </c>
      <c r="T8244">
        <v>2</v>
      </c>
    </row>
    <row r="8245" spans="18:20" x14ac:dyDescent="0.25">
      <c r="R8245">
        <v>248</v>
      </c>
      <c r="S8245">
        <v>134</v>
      </c>
      <c r="T8245">
        <v>5</v>
      </c>
    </row>
    <row r="8246" spans="18:20" x14ac:dyDescent="0.25">
      <c r="R8246">
        <v>248</v>
      </c>
      <c r="S8246">
        <v>162</v>
      </c>
      <c r="T8246">
        <v>2</v>
      </c>
    </row>
    <row r="8247" spans="18:20" x14ac:dyDescent="0.25">
      <c r="R8247">
        <v>248</v>
      </c>
      <c r="S8247">
        <v>165</v>
      </c>
      <c r="T8247">
        <v>1</v>
      </c>
    </row>
    <row r="8248" spans="18:20" x14ac:dyDescent="0.25">
      <c r="R8248">
        <v>248</v>
      </c>
      <c r="S8248">
        <v>191</v>
      </c>
      <c r="T8248">
        <v>5</v>
      </c>
    </row>
    <row r="8249" spans="18:20" x14ac:dyDescent="0.25">
      <c r="R8249">
        <v>248</v>
      </c>
      <c r="S8249">
        <v>218</v>
      </c>
      <c r="T8249">
        <v>5</v>
      </c>
    </row>
    <row r="8250" spans="18:20" x14ac:dyDescent="0.25">
      <c r="R8250">
        <v>248</v>
      </c>
      <c r="S8250">
        <v>243</v>
      </c>
      <c r="T8250">
        <v>5</v>
      </c>
    </row>
    <row r="8251" spans="18:20" x14ac:dyDescent="0.25">
      <c r="R8251">
        <v>248</v>
      </c>
      <c r="S8251">
        <v>265</v>
      </c>
      <c r="T8251">
        <v>4</v>
      </c>
    </row>
    <row r="8252" spans="18:20" x14ac:dyDescent="0.25">
      <c r="R8252">
        <v>248</v>
      </c>
      <c r="S8252">
        <v>274</v>
      </c>
      <c r="T8252">
        <v>4</v>
      </c>
    </row>
    <row r="8253" spans="18:20" x14ac:dyDescent="0.25">
      <c r="R8253">
        <v>248</v>
      </c>
      <c r="S8253">
        <v>302</v>
      </c>
      <c r="T8253">
        <v>5</v>
      </c>
    </row>
    <row r="8254" spans="18:20" x14ac:dyDescent="0.25">
      <c r="R8254">
        <v>248</v>
      </c>
      <c r="S8254">
        <v>305</v>
      </c>
      <c r="T8254">
        <v>3</v>
      </c>
    </row>
    <row r="8255" spans="18:20" x14ac:dyDescent="0.25">
      <c r="R8255">
        <v>248</v>
      </c>
      <c r="S8255">
        <v>330</v>
      </c>
      <c r="T8255">
        <v>4</v>
      </c>
    </row>
    <row r="8256" spans="18:20" x14ac:dyDescent="0.25">
      <c r="R8256">
        <v>248</v>
      </c>
      <c r="S8256">
        <v>345</v>
      </c>
      <c r="T8256">
        <v>5</v>
      </c>
    </row>
    <row r="8257" spans="18:20" x14ac:dyDescent="0.25">
      <c r="R8257">
        <v>248</v>
      </c>
      <c r="S8257">
        <v>349</v>
      </c>
      <c r="T8257">
        <v>2</v>
      </c>
    </row>
    <row r="8258" spans="18:20" x14ac:dyDescent="0.25">
      <c r="R8258">
        <v>248</v>
      </c>
      <c r="S8258">
        <v>349</v>
      </c>
      <c r="T8258">
        <v>4</v>
      </c>
    </row>
    <row r="8259" spans="18:20" x14ac:dyDescent="0.25">
      <c r="R8259">
        <v>248</v>
      </c>
      <c r="S8259">
        <v>358</v>
      </c>
      <c r="T8259">
        <v>5</v>
      </c>
    </row>
    <row r="8260" spans="18:20" x14ac:dyDescent="0.25">
      <c r="R8260">
        <v>248</v>
      </c>
      <c r="S8260">
        <v>371</v>
      </c>
      <c r="T8260">
        <v>1</v>
      </c>
    </row>
    <row r="8261" spans="18:20" x14ac:dyDescent="0.25">
      <c r="R8261">
        <v>248</v>
      </c>
      <c r="S8261">
        <v>383</v>
      </c>
      <c r="T8261">
        <v>1</v>
      </c>
    </row>
    <row r="8262" spans="18:20" x14ac:dyDescent="0.25">
      <c r="R8262">
        <v>248</v>
      </c>
      <c r="S8262">
        <v>409</v>
      </c>
      <c r="T8262">
        <v>3</v>
      </c>
    </row>
    <row r="8263" spans="18:20" x14ac:dyDescent="0.25">
      <c r="R8263">
        <v>248</v>
      </c>
      <c r="S8263">
        <v>412</v>
      </c>
      <c r="T8263">
        <v>5</v>
      </c>
    </row>
    <row r="8264" spans="18:20" x14ac:dyDescent="0.25">
      <c r="R8264">
        <v>248</v>
      </c>
      <c r="S8264">
        <v>418</v>
      </c>
      <c r="T8264">
        <v>3</v>
      </c>
    </row>
    <row r="8265" spans="18:20" x14ac:dyDescent="0.25">
      <c r="R8265">
        <v>248</v>
      </c>
      <c r="S8265">
        <v>426</v>
      </c>
      <c r="T8265">
        <v>1</v>
      </c>
    </row>
    <row r="8266" spans="18:20" x14ac:dyDescent="0.25">
      <c r="R8266">
        <v>248</v>
      </c>
      <c r="S8266">
        <v>433</v>
      </c>
      <c r="T8266">
        <v>2</v>
      </c>
    </row>
    <row r="8267" spans="18:20" x14ac:dyDescent="0.25">
      <c r="R8267">
        <v>248</v>
      </c>
      <c r="S8267">
        <v>435</v>
      </c>
      <c r="T8267">
        <v>5</v>
      </c>
    </row>
    <row r="8268" spans="18:20" x14ac:dyDescent="0.25">
      <c r="R8268">
        <v>249</v>
      </c>
      <c r="S8268">
        <v>11</v>
      </c>
      <c r="T8268">
        <v>1</v>
      </c>
    </row>
    <row r="8269" spans="18:20" x14ac:dyDescent="0.25">
      <c r="R8269">
        <v>249</v>
      </c>
      <c r="S8269">
        <v>29</v>
      </c>
      <c r="T8269">
        <v>4</v>
      </c>
    </row>
    <row r="8270" spans="18:20" x14ac:dyDescent="0.25">
      <c r="R8270">
        <v>249</v>
      </c>
      <c r="S8270">
        <v>31</v>
      </c>
      <c r="T8270">
        <v>4</v>
      </c>
    </row>
    <row r="8271" spans="18:20" x14ac:dyDescent="0.25">
      <c r="R8271">
        <v>249</v>
      </c>
      <c r="S8271">
        <v>44</v>
      </c>
      <c r="T8271">
        <v>3</v>
      </c>
    </row>
    <row r="8272" spans="18:20" x14ac:dyDescent="0.25">
      <c r="R8272">
        <v>249</v>
      </c>
      <c r="S8272">
        <v>47</v>
      </c>
      <c r="T8272">
        <v>1</v>
      </c>
    </row>
    <row r="8273" spans="18:20" x14ac:dyDescent="0.25">
      <c r="R8273">
        <v>249</v>
      </c>
      <c r="S8273">
        <v>49</v>
      </c>
      <c r="T8273">
        <v>1</v>
      </c>
    </row>
    <row r="8274" spans="18:20" x14ac:dyDescent="0.25">
      <c r="R8274">
        <v>249</v>
      </c>
      <c r="S8274">
        <v>76</v>
      </c>
      <c r="T8274">
        <v>1</v>
      </c>
    </row>
    <row r="8275" spans="18:20" x14ac:dyDescent="0.25">
      <c r="R8275">
        <v>249</v>
      </c>
      <c r="S8275">
        <v>101</v>
      </c>
      <c r="T8275">
        <v>2</v>
      </c>
    </row>
    <row r="8276" spans="18:20" x14ac:dyDescent="0.25">
      <c r="R8276">
        <v>249</v>
      </c>
      <c r="S8276">
        <v>152</v>
      </c>
      <c r="T8276">
        <v>3</v>
      </c>
    </row>
    <row r="8277" spans="18:20" x14ac:dyDescent="0.25">
      <c r="R8277">
        <v>249</v>
      </c>
      <c r="S8277">
        <v>157</v>
      </c>
      <c r="T8277">
        <v>1</v>
      </c>
    </row>
    <row r="8278" spans="18:20" x14ac:dyDescent="0.25">
      <c r="R8278">
        <v>249</v>
      </c>
      <c r="S8278">
        <v>163</v>
      </c>
      <c r="T8278">
        <v>3</v>
      </c>
    </row>
    <row r="8279" spans="18:20" x14ac:dyDescent="0.25">
      <c r="R8279">
        <v>249</v>
      </c>
      <c r="S8279">
        <v>167</v>
      </c>
      <c r="T8279">
        <v>1</v>
      </c>
    </row>
    <row r="8280" spans="18:20" x14ac:dyDescent="0.25">
      <c r="R8280">
        <v>249</v>
      </c>
      <c r="S8280">
        <v>188</v>
      </c>
      <c r="T8280">
        <v>3</v>
      </c>
    </row>
    <row r="8281" spans="18:20" x14ac:dyDescent="0.25">
      <c r="R8281">
        <v>249</v>
      </c>
      <c r="S8281">
        <v>213</v>
      </c>
      <c r="T8281">
        <v>1</v>
      </c>
    </row>
    <row r="8282" spans="18:20" x14ac:dyDescent="0.25">
      <c r="R8282">
        <v>249</v>
      </c>
      <c r="S8282">
        <v>232</v>
      </c>
      <c r="T8282">
        <v>2</v>
      </c>
    </row>
    <row r="8283" spans="18:20" x14ac:dyDescent="0.25">
      <c r="R8283">
        <v>249</v>
      </c>
      <c r="S8283">
        <v>234</v>
      </c>
      <c r="T8283">
        <v>1</v>
      </c>
    </row>
    <row r="8284" spans="18:20" x14ac:dyDescent="0.25">
      <c r="R8284">
        <v>249</v>
      </c>
      <c r="S8284">
        <v>292</v>
      </c>
      <c r="T8284">
        <v>1</v>
      </c>
    </row>
    <row r="8285" spans="18:20" x14ac:dyDescent="0.25">
      <c r="R8285">
        <v>249</v>
      </c>
      <c r="S8285">
        <v>310</v>
      </c>
      <c r="T8285">
        <v>5</v>
      </c>
    </row>
    <row r="8286" spans="18:20" x14ac:dyDescent="0.25">
      <c r="R8286">
        <v>249</v>
      </c>
      <c r="S8286">
        <v>350</v>
      </c>
      <c r="T8286">
        <v>5</v>
      </c>
    </row>
    <row r="8287" spans="18:20" x14ac:dyDescent="0.25">
      <c r="R8287">
        <v>249</v>
      </c>
      <c r="S8287">
        <v>352</v>
      </c>
      <c r="T8287">
        <v>4</v>
      </c>
    </row>
    <row r="8288" spans="18:20" x14ac:dyDescent="0.25">
      <c r="R8288">
        <v>249</v>
      </c>
      <c r="S8288">
        <v>353</v>
      </c>
      <c r="T8288">
        <v>1</v>
      </c>
    </row>
    <row r="8289" spans="18:20" x14ac:dyDescent="0.25">
      <c r="R8289">
        <v>249</v>
      </c>
      <c r="S8289">
        <v>367</v>
      </c>
      <c r="T8289">
        <v>3</v>
      </c>
    </row>
    <row r="8290" spans="18:20" x14ac:dyDescent="0.25">
      <c r="R8290">
        <v>249</v>
      </c>
      <c r="S8290">
        <v>374</v>
      </c>
      <c r="T8290">
        <v>1</v>
      </c>
    </row>
    <row r="8291" spans="18:20" x14ac:dyDescent="0.25">
      <c r="R8291">
        <v>249</v>
      </c>
      <c r="S8291">
        <v>390</v>
      </c>
      <c r="T8291">
        <v>1</v>
      </c>
    </row>
    <row r="8292" spans="18:20" x14ac:dyDescent="0.25">
      <c r="R8292">
        <v>249</v>
      </c>
      <c r="S8292">
        <v>423</v>
      </c>
      <c r="T8292">
        <v>3</v>
      </c>
    </row>
    <row r="8293" spans="18:20" x14ac:dyDescent="0.25">
      <c r="R8293">
        <v>249</v>
      </c>
      <c r="S8293">
        <v>430</v>
      </c>
      <c r="T8293">
        <v>1</v>
      </c>
    </row>
    <row r="8294" spans="18:20" x14ac:dyDescent="0.25">
      <c r="R8294">
        <v>249</v>
      </c>
      <c r="S8294">
        <v>432</v>
      </c>
      <c r="T8294">
        <v>5</v>
      </c>
    </row>
    <row r="8295" spans="18:20" x14ac:dyDescent="0.25">
      <c r="R8295">
        <v>250</v>
      </c>
      <c r="S8295">
        <v>7</v>
      </c>
      <c r="T8295">
        <v>4</v>
      </c>
    </row>
    <row r="8296" spans="18:20" x14ac:dyDescent="0.25">
      <c r="R8296">
        <v>250</v>
      </c>
      <c r="S8296">
        <v>13</v>
      </c>
      <c r="T8296">
        <v>2</v>
      </c>
    </row>
    <row r="8297" spans="18:20" x14ac:dyDescent="0.25">
      <c r="R8297">
        <v>250</v>
      </c>
      <c r="S8297">
        <v>13</v>
      </c>
      <c r="T8297">
        <v>1</v>
      </c>
    </row>
    <row r="8298" spans="18:20" x14ac:dyDescent="0.25">
      <c r="R8298">
        <v>250</v>
      </c>
      <c r="S8298">
        <v>26</v>
      </c>
      <c r="T8298">
        <v>4</v>
      </c>
    </row>
    <row r="8299" spans="18:20" x14ac:dyDescent="0.25">
      <c r="R8299">
        <v>250</v>
      </c>
      <c r="S8299">
        <v>45</v>
      </c>
      <c r="T8299">
        <v>2</v>
      </c>
    </row>
    <row r="8300" spans="18:20" x14ac:dyDescent="0.25">
      <c r="R8300">
        <v>250</v>
      </c>
      <c r="S8300">
        <v>61</v>
      </c>
      <c r="T8300">
        <v>2</v>
      </c>
    </row>
    <row r="8301" spans="18:20" x14ac:dyDescent="0.25">
      <c r="R8301">
        <v>250</v>
      </c>
      <c r="S8301">
        <v>90</v>
      </c>
      <c r="T8301">
        <v>4</v>
      </c>
    </row>
    <row r="8302" spans="18:20" x14ac:dyDescent="0.25">
      <c r="R8302">
        <v>250</v>
      </c>
      <c r="S8302">
        <v>91</v>
      </c>
      <c r="T8302">
        <v>5</v>
      </c>
    </row>
    <row r="8303" spans="18:20" x14ac:dyDescent="0.25">
      <c r="R8303">
        <v>250</v>
      </c>
      <c r="S8303">
        <v>117</v>
      </c>
      <c r="T8303">
        <v>5</v>
      </c>
    </row>
    <row r="8304" spans="18:20" x14ac:dyDescent="0.25">
      <c r="R8304">
        <v>250</v>
      </c>
      <c r="S8304">
        <v>156</v>
      </c>
      <c r="T8304">
        <v>5</v>
      </c>
    </row>
    <row r="8305" spans="18:20" x14ac:dyDescent="0.25">
      <c r="R8305">
        <v>250</v>
      </c>
      <c r="S8305">
        <v>165</v>
      </c>
      <c r="T8305">
        <v>1</v>
      </c>
    </row>
    <row r="8306" spans="18:20" x14ac:dyDescent="0.25">
      <c r="R8306">
        <v>250</v>
      </c>
      <c r="S8306">
        <v>174</v>
      </c>
      <c r="T8306">
        <v>5</v>
      </c>
    </row>
    <row r="8307" spans="18:20" x14ac:dyDescent="0.25">
      <c r="R8307">
        <v>250</v>
      </c>
      <c r="S8307">
        <v>179</v>
      </c>
      <c r="T8307">
        <v>1</v>
      </c>
    </row>
    <row r="8308" spans="18:20" x14ac:dyDescent="0.25">
      <c r="R8308">
        <v>250</v>
      </c>
      <c r="S8308">
        <v>185</v>
      </c>
      <c r="T8308">
        <v>5</v>
      </c>
    </row>
    <row r="8309" spans="18:20" x14ac:dyDescent="0.25">
      <c r="R8309">
        <v>250</v>
      </c>
      <c r="S8309">
        <v>199</v>
      </c>
      <c r="T8309">
        <v>1</v>
      </c>
    </row>
    <row r="8310" spans="18:20" x14ac:dyDescent="0.25">
      <c r="R8310">
        <v>250</v>
      </c>
      <c r="S8310">
        <v>207</v>
      </c>
      <c r="T8310">
        <v>1</v>
      </c>
    </row>
    <row r="8311" spans="18:20" x14ac:dyDescent="0.25">
      <c r="R8311">
        <v>250</v>
      </c>
      <c r="S8311">
        <v>212</v>
      </c>
      <c r="T8311">
        <v>4</v>
      </c>
    </row>
    <row r="8312" spans="18:20" x14ac:dyDescent="0.25">
      <c r="R8312">
        <v>250</v>
      </c>
      <c r="S8312">
        <v>218</v>
      </c>
      <c r="T8312">
        <v>5</v>
      </c>
    </row>
    <row r="8313" spans="18:20" x14ac:dyDescent="0.25">
      <c r="R8313">
        <v>250</v>
      </c>
      <c r="S8313">
        <v>225</v>
      </c>
      <c r="T8313">
        <v>2</v>
      </c>
    </row>
    <row r="8314" spans="18:20" x14ac:dyDescent="0.25">
      <c r="R8314">
        <v>250</v>
      </c>
      <c r="S8314">
        <v>226</v>
      </c>
      <c r="T8314">
        <v>4</v>
      </c>
    </row>
    <row r="8315" spans="18:20" x14ac:dyDescent="0.25">
      <c r="R8315">
        <v>250</v>
      </c>
      <c r="S8315">
        <v>233</v>
      </c>
      <c r="T8315">
        <v>5</v>
      </c>
    </row>
    <row r="8316" spans="18:20" x14ac:dyDescent="0.25">
      <c r="R8316">
        <v>250</v>
      </c>
      <c r="S8316">
        <v>238</v>
      </c>
      <c r="T8316">
        <v>4</v>
      </c>
    </row>
    <row r="8317" spans="18:20" x14ac:dyDescent="0.25">
      <c r="R8317">
        <v>250</v>
      </c>
      <c r="S8317">
        <v>240</v>
      </c>
      <c r="T8317">
        <v>4</v>
      </c>
    </row>
    <row r="8318" spans="18:20" x14ac:dyDescent="0.25">
      <c r="R8318">
        <v>250</v>
      </c>
      <c r="S8318">
        <v>241</v>
      </c>
      <c r="T8318">
        <v>5</v>
      </c>
    </row>
    <row r="8319" spans="18:20" x14ac:dyDescent="0.25">
      <c r="R8319">
        <v>250</v>
      </c>
      <c r="S8319">
        <v>255</v>
      </c>
      <c r="T8319">
        <v>3</v>
      </c>
    </row>
    <row r="8320" spans="18:20" x14ac:dyDescent="0.25">
      <c r="R8320">
        <v>250</v>
      </c>
      <c r="S8320">
        <v>257</v>
      </c>
      <c r="T8320">
        <v>2</v>
      </c>
    </row>
    <row r="8321" spans="18:20" x14ac:dyDescent="0.25">
      <c r="R8321">
        <v>250</v>
      </c>
      <c r="S8321">
        <v>258</v>
      </c>
      <c r="T8321">
        <v>3</v>
      </c>
    </row>
    <row r="8322" spans="18:20" x14ac:dyDescent="0.25">
      <c r="R8322">
        <v>250</v>
      </c>
      <c r="S8322">
        <v>278</v>
      </c>
      <c r="T8322">
        <v>4</v>
      </c>
    </row>
    <row r="8323" spans="18:20" x14ac:dyDescent="0.25">
      <c r="R8323">
        <v>250</v>
      </c>
      <c r="S8323">
        <v>346</v>
      </c>
      <c r="T8323">
        <v>2</v>
      </c>
    </row>
    <row r="8324" spans="18:20" x14ac:dyDescent="0.25">
      <c r="R8324">
        <v>250</v>
      </c>
      <c r="S8324">
        <v>353</v>
      </c>
      <c r="T8324">
        <v>2</v>
      </c>
    </row>
    <row r="8325" spans="18:20" x14ac:dyDescent="0.25">
      <c r="R8325">
        <v>250</v>
      </c>
      <c r="S8325">
        <v>368</v>
      </c>
      <c r="T8325">
        <v>4</v>
      </c>
    </row>
    <row r="8326" spans="18:20" x14ac:dyDescent="0.25">
      <c r="R8326">
        <v>250</v>
      </c>
      <c r="S8326">
        <v>368</v>
      </c>
      <c r="T8326">
        <v>3</v>
      </c>
    </row>
    <row r="8327" spans="18:20" x14ac:dyDescent="0.25">
      <c r="R8327">
        <v>250</v>
      </c>
      <c r="S8327">
        <v>373</v>
      </c>
      <c r="T8327">
        <v>4</v>
      </c>
    </row>
    <row r="8328" spans="18:20" x14ac:dyDescent="0.25">
      <c r="R8328">
        <v>250</v>
      </c>
      <c r="S8328">
        <v>373</v>
      </c>
      <c r="T8328">
        <v>5</v>
      </c>
    </row>
    <row r="8329" spans="18:20" x14ac:dyDescent="0.25">
      <c r="R8329">
        <v>250</v>
      </c>
      <c r="S8329">
        <v>387</v>
      </c>
      <c r="T8329">
        <v>3</v>
      </c>
    </row>
    <row r="8330" spans="18:20" x14ac:dyDescent="0.25">
      <c r="R8330">
        <v>250</v>
      </c>
      <c r="S8330">
        <v>407</v>
      </c>
      <c r="T8330">
        <v>5</v>
      </c>
    </row>
    <row r="8331" spans="18:20" x14ac:dyDescent="0.25">
      <c r="R8331">
        <v>250</v>
      </c>
      <c r="S8331">
        <v>409</v>
      </c>
      <c r="T8331">
        <v>3</v>
      </c>
    </row>
    <row r="8332" spans="18:20" x14ac:dyDescent="0.25">
      <c r="R8332">
        <v>251</v>
      </c>
      <c r="S8332">
        <v>14</v>
      </c>
      <c r="T8332">
        <v>3</v>
      </c>
    </row>
    <row r="8333" spans="18:20" x14ac:dyDescent="0.25">
      <c r="R8333">
        <v>251</v>
      </c>
      <c r="S8333">
        <v>18</v>
      </c>
      <c r="T8333">
        <v>3</v>
      </c>
    </row>
    <row r="8334" spans="18:20" x14ac:dyDescent="0.25">
      <c r="R8334">
        <v>251</v>
      </c>
      <c r="S8334">
        <v>77</v>
      </c>
      <c r="T8334">
        <v>4</v>
      </c>
    </row>
    <row r="8335" spans="18:20" x14ac:dyDescent="0.25">
      <c r="R8335">
        <v>251</v>
      </c>
      <c r="S8335">
        <v>78</v>
      </c>
      <c r="T8335">
        <v>3</v>
      </c>
    </row>
    <row r="8336" spans="18:20" x14ac:dyDescent="0.25">
      <c r="R8336">
        <v>251</v>
      </c>
      <c r="S8336">
        <v>138</v>
      </c>
      <c r="T8336">
        <v>2</v>
      </c>
    </row>
    <row r="8337" spans="18:20" x14ac:dyDescent="0.25">
      <c r="R8337">
        <v>251</v>
      </c>
      <c r="S8337">
        <v>139</v>
      </c>
      <c r="T8337">
        <v>4</v>
      </c>
    </row>
    <row r="8338" spans="18:20" x14ac:dyDescent="0.25">
      <c r="R8338">
        <v>251</v>
      </c>
      <c r="S8338">
        <v>142</v>
      </c>
      <c r="T8338">
        <v>3</v>
      </c>
    </row>
    <row r="8339" spans="18:20" x14ac:dyDescent="0.25">
      <c r="R8339">
        <v>251</v>
      </c>
      <c r="S8339">
        <v>153</v>
      </c>
      <c r="T8339">
        <v>1</v>
      </c>
    </row>
    <row r="8340" spans="18:20" x14ac:dyDescent="0.25">
      <c r="R8340">
        <v>251</v>
      </c>
      <c r="S8340">
        <v>158</v>
      </c>
      <c r="T8340">
        <v>5</v>
      </c>
    </row>
    <row r="8341" spans="18:20" x14ac:dyDescent="0.25">
      <c r="R8341">
        <v>251</v>
      </c>
      <c r="S8341">
        <v>187</v>
      </c>
      <c r="T8341">
        <v>5</v>
      </c>
    </row>
    <row r="8342" spans="18:20" x14ac:dyDescent="0.25">
      <c r="R8342">
        <v>251</v>
      </c>
      <c r="S8342">
        <v>191</v>
      </c>
      <c r="T8342">
        <v>1</v>
      </c>
    </row>
    <row r="8343" spans="18:20" x14ac:dyDescent="0.25">
      <c r="R8343">
        <v>251</v>
      </c>
      <c r="S8343">
        <v>212</v>
      </c>
      <c r="T8343">
        <v>1</v>
      </c>
    </row>
    <row r="8344" spans="18:20" x14ac:dyDescent="0.25">
      <c r="R8344">
        <v>251</v>
      </c>
      <c r="S8344">
        <v>219</v>
      </c>
      <c r="T8344">
        <v>1</v>
      </c>
    </row>
    <row r="8345" spans="18:20" x14ac:dyDescent="0.25">
      <c r="R8345">
        <v>251</v>
      </c>
      <c r="S8345">
        <v>220</v>
      </c>
      <c r="T8345">
        <v>4</v>
      </c>
    </row>
    <row r="8346" spans="18:20" x14ac:dyDescent="0.25">
      <c r="R8346">
        <v>251</v>
      </c>
      <c r="S8346">
        <v>257</v>
      </c>
      <c r="T8346">
        <v>2</v>
      </c>
    </row>
    <row r="8347" spans="18:20" x14ac:dyDescent="0.25">
      <c r="R8347">
        <v>251</v>
      </c>
      <c r="S8347">
        <v>273</v>
      </c>
      <c r="T8347">
        <v>1</v>
      </c>
    </row>
    <row r="8348" spans="18:20" x14ac:dyDescent="0.25">
      <c r="R8348">
        <v>251</v>
      </c>
      <c r="S8348">
        <v>297</v>
      </c>
      <c r="T8348">
        <v>5</v>
      </c>
    </row>
    <row r="8349" spans="18:20" x14ac:dyDescent="0.25">
      <c r="R8349">
        <v>251</v>
      </c>
      <c r="S8349">
        <v>324</v>
      </c>
      <c r="T8349">
        <v>1</v>
      </c>
    </row>
    <row r="8350" spans="18:20" x14ac:dyDescent="0.25">
      <c r="R8350">
        <v>251</v>
      </c>
      <c r="S8350">
        <v>330</v>
      </c>
      <c r="T8350">
        <v>2</v>
      </c>
    </row>
    <row r="8351" spans="18:20" x14ac:dyDescent="0.25">
      <c r="R8351">
        <v>251</v>
      </c>
      <c r="S8351">
        <v>340</v>
      </c>
      <c r="T8351">
        <v>4</v>
      </c>
    </row>
    <row r="8352" spans="18:20" x14ac:dyDescent="0.25">
      <c r="R8352">
        <v>251</v>
      </c>
      <c r="S8352">
        <v>372</v>
      </c>
      <c r="T8352">
        <v>1</v>
      </c>
    </row>
    <row r="8353" spans="18:20" x14ac:dyDescent="0.25">
      <c r="R8353">
        <v>251</v>
      </c>
      <c r="S8353">
        <v>386</v>
      </c>
      <c r="T8353">
        <v>4</v>
      </c>
    </row>
    <row r="8354" spans="18:20" x14ac:dyDescent="0.25">
      <c r="R8354">
        <v>251</v>
      </c>
      <c r="S8354">
        <v>391</v>
      </c>
      <c r="T8354">
        <v>5</v>
      </c>
    </row>
    <row r="8355" spans="18:20" x14ac:dyDescent="0.25">
      <c r="R8355">
        <v>251</v>
      </c>
      <c r="S8355">
        <v>416</v>
      </c>
      <c r="T8355">
        <v>3</v>
      </c>
    </row>
    <row r="8356" spans="18:20" x14ac:dyDescent="0.25">
      <c r="R8356">
        <v>251</v>
      </c>
      <c r="S8356">
        <v>429</v>
      </c>
      <c r="T8356">
        <v>2</v>
      </c>
    </row>
    <row r="8357" spans="18:20" x14ac:dyDescent="0.25">
      <c r="R8357">
        <v>251</v>
      </c>
      <c r="S8357">
        <v>436</v>
      </c>
      <c r="T8357">
        <v>5</v>
      </c>
    </row>
    <row r="8358" spans="18:20" x14ac:dyDescent="0.25">
      <c r="R8358">
        <v>251</v>
      </c>
      <c r="S8358">
        <v>436</v>
      </c>
      <c r="T8358">
        <v>3</v>
      </c>
    </row>
    <row r="8359" spans="18:20" x14ac:dyDescent="0.25">
      <c r="R8359">
        <v>252</v>
      </c>
      <c r="S8359">
        <v>40</v>
      </c>
      <c r="T8359">
        <v>5</v>
      </c>
    </row>
    <row r="8360" spans="18:20" x14ac:dyDescent="0.25">
      <c r="R8360">
        <v>252</v>
      </c>
      <c r="S8360">
        <v>64</v>
      </c>
      <c r="T8360">
        <v>5</v>
      </c>
    </row>
    <row r="8361" spans="18:20" x14ac:dyDescent="0.25">
      <c r="R8361">
        <v>252</v>
      </c>
      <c r="S8361">
        <v>73</v>
      </c>
      <c r="T8361">
        <v>4</v>
      </c>
    </row>
    <row r="8362" spans="18:20" x14ac:dyDescent="0.25">
      <c r="R8362">
        <v>252</v>
      </c>
      <c r="S8362">
        <v>101</v>
      </c>
      <c r="T8362">
        <v>2</v>
      </c>
    </row>
    <row r="8363" spans="18:20" x14ac:dyDescent="0.25">
      <c r="R8363">
        <v>252</v>
      </c>
      <c r="S8363">
        <v>103</v>
      </c>
      <c r="T8363">
        <v>4</v>
      </c>
    </row>
    <row r="8364" spans="18:20" x14ac:dyDescent="0.25">
      <c r="R8364">
        <v>252</v>
      </c>
      <c r="S8364">
        <v>114</v>
      </c>
      <c r="T8364">
        <v>1</v>
      </c>
    </row>
    <row r="8365" spans="18:20" x14ac:dyDescent="0.25">
      <c r="R8365">
        <v>252</v>
      </c>
      <c r="S8365">
        <v>125</v>
      </c>
      <c r="T8365">
        <v>5</v>
      </c>
    </row>
    <row r="8366" spans="18:20" x14ac:dyDescent="0.25">
      <c r="R8366">
        <v>252</v>
      </c>
      <c r="S8366">
        <v>136</v>
      </c>
      <c r="T8366">
        <v>5</v>
      </c>
    </row>
    <row r="8367" spans="18:20" x14ac:dyDescent="0.25">
      <c r="R8367">
        <v>252</v>
      </c>
      <c r="S8367">
        <v>138</v>
      </c>
      <c r="T8367">
        <v>3</v>
      </c>
    </row>
    <row r="8368" spans="18:20" x14ac:dyDescent="0.25">
      <c r="R8368">
        <v>252</v>
      </c>
      <c r="S8368">
        <v>145</v>
      </c>
      <c r="T8368">
        <v>3</v>
      </c>
    </row>
    <row r="8369" spans="18:20" x14ac:dyDescent="0.25">
      <c r="R8369">
        <v>252</v>
      </c>
      <c r="S8369">
        <v>149</v>
      </c>
      <c r="T8369">
        <v>2</v>
      </c>
    </row>
    <row r="8370" spans="18:20" x14ac:dyDescent="0.25">
      <c r="R8370">
        <v>252</v>
      </c>
      <c r="S8370">
        <v>152</v>
      </c>
      <c r="T8370">
        <v>5</v>
      </c>
    </row>
    <row r="8371" spans="18:20" x14ac:dyDescent="0.25">
      <c r="R8371">
        <v>252</v>
      </c>
      <c r="S8371">
        <v>154</v>
      </c>
      <c r="T8371">
        <v>1</v>
      </c>
    </row>
    <row r="8372" spans="18:20" x14ac:dyDescent="0.25">
      <c r="R8372">
        <v>252</v>
      </c>
      <c r="S8372">
        <v>168</v>
      </c>
      <c r="T8372">
        <v>2</v>
      </c>
    </row>
    <row r="8373" spans="18:20" x14ac:dyDescent="0.25">
      <c r="R8373">
        <v>252</v>
      </c>
      <c r="S8373">
        <v>169</v>
      </c>
      <c r="T8373">
        <v>3</v>
      </c>
    </row>
    <row r="8374" spans="18:20" x14ac:dyDescent="0.25">
      <c r="R8374">
        <v>252</v>
      </c>
      <c r="S8374">
        <v>199</v>
      </c>
      <c r="T8374">
        <v>3</v>
      </c>
    </row>
    <row r="8375" spans="18:20" x14ac:dyDescent="0.25">
      <c r="R8375">
        <v>252</v>
      </c>
      <c r="S8375">
        <v>200</v>
      </c>
      <c r="T8375">
        <v>1</v>
      </c>
    </row>
    <row r="8376" spans="18:20" x14ac:dyDescent="0.25">
      <c r="R8376">
        <v>252</v>
      </c>
      <c r="S8376">
        <v>203</v>
      </c>
      <c r="T8376">
        <v>2</v>
      </c>
    </row>
    <row r="8377" spans="18:20" x14ac:dyDescent="0.25">
      <c r="R8377">
        <v>252</v>
      </c>
      <c r="S8377">
        <v>208</v>
      </c>
      <c r="T8377">
        <v>4</v>
      </c>
    </row>
    <row r="8378" spans="18:20" x14ac:dyDescent="0.25">
      <c r="R8378">
        <v>252</v>
      </c>
      <c r="S8378">
        <v>259</v>
      </c>
      <c r="T8378">
        <v>3</v>
      </c>
    </row>
    <row r="8379" spans="18:20" x14ac:dyDescent="0.25">
      <c r="R8379">
        <v>252</v>
      </c>
      <c r="S8379">
        <v>284</v>
      </c>
      <c r="T8379">
        <v>5</v>
      </c>
    </row>
    <row r="8380" spans="18:20" x14ac:dyDescent="0.25">
      <c r="R8380">
        <v>252</v>
      </c>
      <c r="S8380">
        <v>295</v>
      </c>
      <c r="T8380">
        <v>4</v>
      </c>
    </row>
    <row r="8381" spans="18:20" x14ac:dyDescent="0.25">
      <c r="R8381">
        <v>252</v>
      </c>
      <c r="S8381">
        <v>319</v>
      </c>
      <c r="T8381">
        <v>4</v>
      </c>
    </row>
    <row r="8382" spans="18:20" x14ac:dyDescent="0.25">
      <c r="R8382">
        <v>252</v>
      </c>
      <c r="S8382">
        <v>327</v>
      </c>
      <c r="T8382">
        <v>1</v>
      </c>
    </row>
    <row r="8383" spans="18:20" x14ac:dyDescent="0.25">
      <c r="R8383">
        <v>252</v>
      </c>
      <c r="S8383">
        <v>333</v>
      </c>
      <c r="T8383">
        <v>2</v>
      </c>
    </row>
    <row r="8384" spans="18:20" x14ac:dyDescent="0.25">
      <c r="R8384">
        <v>252</v>
      </c>
      <c r="S8384">
        <v>359</v>
      </c>
      <c r="T8384">
        <v>3</v>
      </c>
    </row>
    <row r="8385" spans="18:20" x14ac:dyDescent="0.25">
      <c r="R8385">
        <v>253</v>
      </c>
      <c r="S8385">
        <v>8</v>
      </c>
      <c r="T8385">
        <v>3</v>
      </c>
    </row>
    <row r="8386" spans="18:20" x14ac:dyDescent="0.25">
      <c r="R8386">
        <v>253</v>
      </c>
      <c r="S8386">
        <v>37</v>
      </c>
      <c r="T8386">
        <v>1</v>
      </c>
    </row>
    <row r="8387" spans="18:20" x14ac:dyDescent="0.25">
      <c r="R8387">
        <v>253</v>
      </c>
      <c r="S8387">
        <v>61</v>
      </c>
      <c r="T8387">
        <v>2</v>
      </c>
    </row>
    <row r="8388" spans="18:20" x14ac:dyDescent="0.25">
      <c r="R8388">
        <v>253</v>
      </c>
      <c r="S8388">
        <v>79</v>
      </c>
      <c r="T8388">
        <v>1</v>
      </c>
    </row>
    <row r="8389" spans="18:20" x14ac:dyDescent="0.25">
      <c r="R8389">
        <v>253</v>
      </c>
      <c r="S8389">
        <v>104</v>
      </c>
      <c r="T8389">
        <v>1</v>
      </c>
    </row>
    <row r="8390" spans="18:20" x14ac:dyDescent="0.25">
      <c r="R8390">
        <v>253</v>
      </c>
      <c r="S8390">
        <v>117</v>
      </c>
      <c r="T8390">
        <v>5</v>
      </c>
    </row>
    <row r="8391" spans="18:20" x14ac:dyDescent="0.25">
      <c r="R8391">
        <v>253</v>
      </c>
      <c r="S8391">
        <v>131</v>
      </c>
      <c r="T8391">
        <v>3</v>
      </c>
    </row>
    <row r="8392" spans="18:20" x14ac:dyDescent="0.25">
      <c r="R8392">
        <v>253</v>
      </c>
      <c r="S8392">
        <v>136</v>
      </c>
      <c r="T8392">
        <v>3</v>
      </c>
    </row>
    <row r="8393" spans="18:20" x14ac:dyDescent="0.25">
      <c r="R8393">
        <v>253</v>
      </c>
      <c r="S8393">
        <v>149</v>
      </c>
      <c r="T8393">
        <v>5</v>
      </c>
    </row>
    <row r="8394" spans="18:20" x14ac:dyDescent="0.25">
      <c r="R8394">
        <v>253</v>
      </c>
      <c r="S8394">
        <v>158</v>
      </c>
      <c r="T8394">
        <v>5</v>
      </c>
    </row>
    <row r="8395" spans="18:20" x14ac:dyDescent="0.25">
      <c r="R8395">
        <v>253</v>
      </c>
      <c r="S8395">
        <v>172</v>
      </c>
      <c r="T8395">
        <v>4</v>
      </c>
    </row>
    <row r="8396" spans="18:20" x14ac:dyDescent="0.25">
      <c r="R8396">
        <v>253</v>
      </c>
      <c r="S8396">
        <v>173</v>
      </c>
      <c r="T8396">
        <v>4</v>
      </c>
    </row>
    <row r="8397" spans="18:20" x14ac:dyDescent="0.25">
      <c r="R8397">
        <v>253</v>
      </c>
      <c r="S8397">
        <v>186</v>
      </c>
      <c r="T8397">
        <v>3</v>
      </c>
    </row>
    <row r="8398" spans="18:20" x14ac:dyDescent="0.25">
      <c r="R8398">
        <v>253</v>
      </c>
      <c r="S8398">
        <v>190</v>
      </c>
      <c r="T8398">
        <v>4</v>
      </c>
    </row>
    <row r="8399" spans="18:20" x14ac:dyDescent="0.25">
      <c r="R8399">
        <v>253</v>
      </c>
      <c r="S8399">
        <v>218</v>
      </c>
      <c r="T8399">
        <v>2</v>
      </c>
    </row>
    <row r="8400" spans="18:20" x14ac:dyDescent="0.25">
      <c r="R8400">
        <v>253</v>
      </c>
      <c r="S8400">
        <v>232</v>
      </c>
      <c r="T8400">
        <v>5</v>
      </c>
    </row>
    <row r="8401" spans="18:20" x14ac:dyDescent="0.25">
      <c r="R8401">
        <v>253</v>
      </c>
      <c r="S8401">
        <v>257</v>
      </c>
      <c r="T8401">
        <v>1</v>
      </c>
    </row>
    <row r="8402" spans="18:20" x14ac:dyDescent="0.25">
      <c r="R8402">
        <v>253</v>
      </c>
      <c r="S8402">
        <v>264</v>
      </c>
      <c r="T8402">
        <v>3</v>
      </c>
    </row>
    <row r="8403" spans="18:20" x14ac:dyDescent="0.25">
      <c r="R8403">
        <v>253</v>
      </c>
      <c r="S8403">
        <v>273</v>
      </c>
      <c r="T8403">
        <v>2</v>
      </c>
    </row>
    <row r="8404" spans="18:20" x14ac:dyDescent="0.25">
      <c r="R8404">
        <v>253</v>
      </c>
      <c r="S8404">
        <v>297</v>
      </c>
      <c r="T8404">
        <v>2</v>
      </c>
    </row>
    <row r="8405" spans="18:20" x14ac:dyDescent="0.25">
      <c r="R8405">
        <v>253</v>
      </c>
      <c r="S8405">
        <v>324</v>
      </c>
      <c r="T8405">
        <v>4</v>
      </c>
    </row>
    <row r="8406" spans="18:20" x14ac:dyDescent="0.25">
      <c r="R8406">
        <v>253</v>
      </c>
      <c r="S8406">
        <v>339</v>
      </c>
      <c r="T8406">
        <v>1</v>
      </c>
    </row>
    <row r="8407" spans="18:20" x14ac:dyDescent="0.25">
      <c r="R8407">
        <v>253</v>
      </c>
      <c r="S8407">
        <v>356</v>
      </c>
      <c r="T8407">
        <v>4</v>
      </c>
    </row>
    <row r="8408" spans="18:20" x14ac:dyDescent="0.25">
      <c r="R8408">
        <v>253</v>
      </c>
      <c r="S8408">
        <v>358</v>
      </c>
      <c r="T8408">
        <v>3</v>
      </c>
    </row>
    <row r="8409" spans="18:20" x14ac:dyDescent="0.25">
      <c r="R8409">
        <v>253</v>
      </c>
      <c r="S8409">
        <v>400</v>
      </c>
      <c r="T8409">
        <v>1</v>
      </c>
    </row>
    <row r="8410" spans="18:20" x14ac:dyDescent="0.25">
      <c r="R8410">
        <v>253</v>
      </c>
      <c r="S8410">
        <v>413</v>
      </c>
      <c r="T8410">
        <v>2</v>
      </c>
    </row>
    <row r="8411" spans="18:20" x14ac:dyDescent="0.25">
      <c r="R8411">
        <v>254</v>
      </c>
      <c r="S8411">
        <v>1</v>
      </c>
      <c r="T8411">
        <v>5</v>
      </c>
    </row>
    <row r="8412" spans="18:20" x14ac:dyDescent="0.25">
      <c r="R8412">
        <v>254</v>
      </c>
      <c r="S8412">
        <v>24</v>
      </c>
      <c r="T8412">
        <v>1</v>
      </c>
    </row>
    <row r="8413" spans="18:20" x14ac:dyDescent="0.25">
      <c r="R8413">
        <v>254</v>
      </c>
      <c r="S8413">
        <v>36</v>
      </c>
      <c r="T8413">
        <v>3</v>
      </c>
    </row>
    <row r="8414" spans="18:20" x14ac:dyDescent="0.25">
      <c r="R8414">
        <v>254</v>
      </c>
      <c r="S8414">
        <v>51</v>
      </c>
      <c r="T8414">
        <v>2</v>
      </c>
    </row>
    <row r="8415" spans="18:20" x14ac:dyDescent="0.25">
      <c r="R8415">
        <v>254</v>
      </c>
      <c r="S8415">
        <v>92</v>
      </c>
      <c r="T8415">
        <v>4</v>
      </c>
    </row>
    <row r="8416" spans="18:20" x14ac:dyDescent="0.25">
      <c r="R8416">
        <v>254</v>
      </c>
      <c r="S8416">
        <v>118</v>
      </c>
      <c r="T8416">
        <v>4</v>
      </c>
    </row>
    <row r="8417" spans="18:20" x14ac:dyDescent="0.25">
      <c r="R8417">
        <v>254</v>
      </c>
      <c r="S8417">
        <v>160</v>
      </c>
      <c r="T8417">
        <v>3</v>
      </c>
    </row>
    <row r="8418" spans="18:20" x14ac:dyDescent="0.25">
      <c r="R8418">
        <v>254</v>
      </c>
      <c r="S8418">
        <v>169</v>
      </c>
      <c r="T8418">
        <v>4</v>
      </c>
    </row>
    <row r="8419" spans="18:20" x14ac:dyDescent="0.25">
      <c r="R8419">
        <v>254</v>
      </c>
      <c r="S8419">
        <v>180</v>
      </c>
      <c r="T8419">
        <v>3</v>
      </c>
    </row>
    <row r="8420" spans="18:20" x14ac:dyDescent="0.25">
      <c r="R8420">
        <v>254</v>
      </c>
      <c r="S8420">
        <v>194</v>
      </c>
      <c r="T8420">
        <v>4</v>
      </c>
    </row>
    <row r="8421" spans="18:20" x14ac:dyDescent="0.25">
      <c r="R8421">
        <v>254</v>
      </c>
      <c r="S8421">
        <v>208</v>
      </c>
      <c r="T8421">
        <v>4</v>
      </c>
    </row>
    <row r="8422" spans="18:20" x14ac:dyDescent="0.25">
      <c r="R8422">
        <v>254</v>
      </c>
      <c r="S8422">
        <v>257</v>
      </c>
      <c r="T8422">
        <v>4</v>
      </c>
    </row>
    <row r="8423" spans="18:20" x14ac:dyDescent="0.25">
      <c r="R8423">
        <v>254</v>
      </c>
      <c r="S8423">
        <v>260</v>
      </c>
      <c r="T8423">
        <v>2</v>
      </c>
    </row>
    <row r="8424" spans="18:20" x14ac:dyDescent="0.25">
      <c r="R8424">
        <v>254</v>
      </c>
      <c r="S8424">
        <v>278</v>
      </c>
      <c r="T8424">
        <v>1</v>
      </c>
    </row>
    <row r="8425" spans="18:20" x14ac:dyDescent="0.25">
      <c r="R8425">
        <v>254</v>
      </c>
      <c r="S8425">
        <v>286</v>
      </c>
      <c r="T8425">
        <v>1</v>
      </c>
    </row>
    <row r="8426" spans="18:20" x14ac:dyDescent="0.25">
      <c r="R8426">
        <v>254</v>
      </c>
      <c r="S8426">
        <v>306</v>
      </c>
      <c r="T8426">
        <v>2</v>
      </c>
    </row>
    <row r="8427" spans="18:20" x14ac:dyDescent="0.25">
      <c r="R8427">
        <v>254</v>
      </c>
      <c r="S8427">
        <v>322</v>
      </c>
      <c r="T8427">
        <v>5</v>
      </c>
    </row>
    <row r="8428" spans="18:20" x14ac:dyDescent="0.25">
      <c r="R8428">
        <v>254</v>
      </c>
      <c r="S8428">
        <v>346</v>
      </c>
      <c r="T8428">
        <v>3</v>
      </c>
    </row>
    <row r="8429" spans="18:20" x14ac:dyDescent="0.25">
      <c r="R8429">
        <v>254</v>
      </c>
      <c r="S8429">
        <v>348</v>
      </c>
      <c r="T8429">
        <v>5</v>
      </c>
    </row>
    <row r="8430" spans="18:20" x14ac:dyDescent="0.25">
      <c r="R8430">
        <v>254</v>
      </c>
      <c r="S8430">
        <v>354</v>
      </c>
      <c r="T8430">
        <v>4</v>
      </c>
    </row>
    <row r="8431" spans="18:20" x14ac:dyDescent="0.25">
      <c r="R8431">
        <v>254</v>
      </c>
      <c r="S8431">
        <v>360</v>
      </c>
      <c r="T8431">
        <v>3</v>
      </c>
    </row>
    <row r="8432" spans="18:20" x14ac:dyDescent="0.25">
      <c r="R8432">
        <v>254</v>
      </c>
      <c r="S8432">
        <v>362</v>
      </c>
      <c r="T8432">
        <v>4</v>
      </c>
    </row>
    <row r="8433" spans="18:20" x14ac:dyDescent="0.25">
      <c r="R8433">
        <v>254</v>
      </c>
      <c r="S8433">
        <v>365</v>
      </c>
      <c r="T8433">
        <v>1</v>
      </c>
    </row>
    <row r="8434" spans="18:20" x14ac:dyDescent="0.25">
      <c r="R8434">
        <v>254</v>
      </c>
      <c r="S8434">
        <v>376</v>
      </c>
      <c r="T8434">
        <v>2</v>
      </c>
    </row>
    <row r="8435" spans="18:20" x14ac:dyDescent="0.25">
      <c r="R8435">
        <v>255</v>
      </c>
      <c r="S8435">
        <v>3</v>
      </c>
      <c r="T8435">
        <v>1</v>
      </c>
    </row>
    <row r="8436" spans="18:20" x14ac:dyDescent="0.25">
      <c r="R8436">
        <v>255</v>
      </c>
      <c r="S8436">
        <v>25</v>
      </c>
      <c r="T8436">
        <v>4</v>
      </c>
    </row>
    <row r="8437" spans="18:20" x14ac:dyDescent="0.25">
      <c r="R8437">
        <v>255</v>
      </c>
      <c r="S8437">
        <v>46</v>
      </c>
      <c r="T8437">
        <v>3</v>
      </c>
    </row>
    <row r="8438" spans="18:20" x14ac:dyDescent="0.25">
      <c r="R8438">
        <v>255</v>
      </c>
      <c r="S8438">
        <v>94</v>
      </c>
      <c r="T8438">
        <v>2</v>
      </c>
    </row>
    <row r="8439" spans="18:20" x14ac:dyDescent="0.25">
      <c r="R8439">
        <v>255</v>
      </c>
      <c r="S8439">
        <v>110</v>
      </c>
      <c r="T8439">
        <v>4</v>
      </c>
    </row>
    <row r="8440" spans="18:20" x14ac:dyDescent="0.25">
      <c r="R8440">
        <v>255</v>
      </c>
      <c r="S8440">
        <v>116</v>
      </c>
      <c r="T8440">
        <v>3</v>
      </c>
    </row>
    <row r="8441" spans="18:20" x14ac:dyDescent="0.25">
      <c r="R8441">
        <v>255</v>
      </c>
      <c r="S8441">
        <v>123</v>
      </c>
      <c r="T8441">
        <v>5</v>
      </c>
    </row>
    <row r="8442" spans="18:20" x14ac:dyDescent="0.25">
      <c r="R8442">
        <v>255</v>
      </c>
      <c r="S8442">
        <v>152</v>
      </c>
      <c r="T8442">
        <v>4</v>
      </c>
    </row>
    <row r="8443" spans="18:20" x14ac:dyDescent="0.25">
      <c r="R8443">
        <v>255</v>
      </c>
      <c r="S8443">
        <v>156</v>
      </c>
      <c r="T8443">
        <v>1</v>
      </c>
    </row>
    <row r="8444" spans="18:20" x14ac:dyDescent="0.25">
      <c r="R8444">
        <v>255</v>
      </c>
      <c r="S8444">
        <v>183</v>
      </c>
      <c r="T8444">
        <v>5</v>
      </c>
    </row>
    <row r="8445" spans="18:20" x14ac:dyDescent="0.25">
      <c r="R8445">
        <v>255</v>
      </c>
      <c r="S8445">
        <v>199</v>
      </c>
      <c r="T8445">
        <v>2</v>
      </c>
    </row>
    <row r="8446" spans="18:20" x14ac:dyDescent="0.25">
      <c r="R8446">
        <v>255</v>
      </c>
      <c r="S8446">
        <v>220</v>
      </c>
      <c r="T8446">
        <v>4</v>
      </c>
    </row>
    <row r="8447" spans="18:20" x14ac:dyDescent="0.25">
      <c r="R8447">
        <v>255</v>
      </c>
      <c r="S8447">
        <v>224</v>
      </c>
      <c r="T8447">
        <v>2</v>
      </c>
    </row>
    <row r="8448" spans="18:20" x14ac:dyDescent="0.25">
      <c r="R8448">
        <v>255</v>
      </c>
      <c r="S8448">
        <v>240</v>
      </c>
      <c r="T8448">
        <v>5</v>
      </c>
    </row>
    <row r="8449" spans="18:20" x14ac:dyDescent="0.25">
      <c r="R8449">
        <v>255</v>
      </c>
      <c r="S8449">
        <v>242</v>
      </c>
      <c r="T8449">
        <v>2</v>
      </c>
    </row>
    <row r="8450" spans="18:20" x14ac:dyDescent="0.25">
      <c r="R8450">
        <v>255</v>
      </c>
      <c r="S8450">
        <v>267</v>
      </c>
      <c r="T8450">
        <v>1</v>
      </c>
    </row>
    <row r="8451" spans="18:20" x14ac:dyDescent="0.25">
      <c r="R8451">
        <v>255</v>
      </c>
      <c r="S8451">
        <v>267</v>
      </c>
      <c r="T8451">
        <v>1</v>
      </c>
    </row>
    <row r="8452" spans="18:20" x14ac:dyDescent="0.25">
      <c r="R8452">
        <v>255</v>
      </c>
      <c r="S8452">
        <v>275</v>
      </c>
      <c r="T8452">
        <v>2</v>
      </c>
    </row>
    <row r="8453" spans="18:20" x14ac:dyDescent="0.25">
      <c r="R8453">
        <v>255</v>
      </c>
      <c r="S8453">
        <v>279</v>
      </c>
      <c r="T8453">
        <v>3</v>
      </c>
    </row>
    <row r="8454" spans="18:20" x14ac:dyDescent="0.25">
      <c r="R8454">
        <v>255</v>
      </c>
      <c r="S8454">
        <v>295</v>
      </c>
      <c r="T8454">
        <v>4</v>
      </c>
    </row>
    <row r="8455" spans="18:20" x14ac:dyDescent="0.25">
      <c r="R8455">
        <v>255</v>
      </c>
      <c r="S8455">
        <v>299</v>
      </c>
      <c r="T8455">
        <v>3</v>
      </c>
    </row>
    <row r="8456" spans="18:20" x14ac:dyDescent="0.25">
      <c r="R8456">
        <v>255</v>
      </c>
      <c r="S8456">
        <v>302</v>
      </c>
      <c r="T8456">
        <v>4</v>
      </c>
    </row>
    <row r="8457" spans="18:20" x14ac:dyDescent="0.25">
      <c r="R8457">
        <v>255</v>
      </c>
      <c r="S8457">
        <v>309</v>
      </c>
      <c r="T8457">
        <v>4</v>
      </c>
    </row>
    <row r="8458" spans="18:20" x14ac:dyDescent="0.25">
      <c r="R8458">
        <v>255</v>
      </c>
      <c r="S8458">
        <v>319</v>
      </c>
      <c r="T8458">
        <v>2</v>
      </c>
    </row>
    <row r="8459" spans="18:20" x14ac:dyDescent="0.25">
      <c r="R8459">
        <v>255</v>
      </c>
      <c r="S8459">
        <v>331</v>
      </c>
      <c r="T8459">
        <v>5</v>
      </c>
    </row>
    <row r="8460" spans="18:20" x14ac:dyDescent="0.25">
      <c r="R8460">
        <v>255</v>
      </c>
      <c r="S8460">
        <v>335</v>
      </c>
      <c r="T8460">
        <v>5</v>
      </c>
    </row>
    <row r="8461" spans="18:20" x14ac:dyDescent="0.25">
      <c r="R8461">
        <v>255</v>
      </c>
      <c r="S8461">
        <v>337</v>
      </c>
      <c r="T8461">
        <v>1</v>
      </c>
    </row>
    <row r="8462" spans="18:20" x14ac:dyDescent="0.25">
      <c r="R8462">
        <v>255</v>
      </c>
      <c r="S8462">
        <v>342</v>
      </c>
      <c r="T8462">
        <v>5</v>
      </c>
    </row>
    <row r="8463" spans="18:20" x14ac:dyDescent="0.25">
      <c r="R8463">
        <v>255</v>
      </c>
      <c r="S8463">
        <v>392</v>
      </c>
      <c r="T8463">
        <v>3</v>
      </c>
    </row>
    <row r="8464" spans="18:20" x14ac:dyDescent="0.25">
      <c r="R8464">
        <v>255</v>
      </c>
      <c r="S8464">
        <v>402</v>
      </c>
      <c r="T8464">
        <v>3</v>
      </c>
    </row>
    <row r="8465" spans="18:20" x14ac:dyDescent="0.25">
      <c r="R8465">
        <v>255</v>
      </c>
      <c r="S8465">
        <v>422</v>
      </c>
      <c r="T8465">
        <v>2</v>
      </c>
    </row>
    <row r="8466" spans="18:20" x14ac:dyDescent="0.25">
      <c r="R8466">
        <v>255</v>
      </c>
      <c r="S8466">
        <v>424</v>
      </c>
      <c r="T8466">
        <v>3</v>
      </c>
    </row>
    <row r="8467" spans="18:20" x14ac:dyDescent="0.25">
      <c r="R8467">
        <v>255</v>
      </c>
      <c r="S8467">
        <v>426</v>
      </c>
      <c r="T8467">
        <v>1</v>
      </c>
    </row>
    <row r="8468" spans="18:20" x14ac:dyDescent="0.25">
      <c r="R8468">
        <v>255</v>
      </c>
      <c r="S8468">
        <v>431</v>
      </c>
      <c r="T8468">
        <v>4</v>
      </c>
    </row>
    <row r="8469" spans="18:20" x14ac:dyDescent="0.25">
      <c r="R8469">
        <v>256</v>
      </c>
      <c r="S8469">
        <v>15</v>
      </c>
      <c r="T8469">
        <v>4</v>
      </c>
    </row>
    <row r="8470" spans="18:20" x14ac:dyDescent="0.25">
      <c r="R8470">
        <v>256</v>
      </c>
      <c r="S8470">
        <v>39</v>
      </c>
      <c r="T8470">
        <v>3</v>
      </c>
    </row>
    <row r="8471" spans="18:20" x14ac:dyDescent="0.25">
      <c r="R8471">
        <v>256</v>
      </c>
      <c r="S8471">
        <v>84</v>
      </c>
      <c r="T8471">
        <v>1</v>
      </c>
    </row>
    <row r="8472" spans="18:20" x14ac:dyDescent="0.25">
      <c r="R8472">
        <v>256</v>
      </c>
      <c r="S8472">
        <v>88</v>
      </c>
      <c r="T8472">
        <v>3</v>
      </c>
    </row>
    <row r="8473" spans="18:20" x14ac:dyDescent="0.25">
      <c r="R8473">
        <v>256</v>
      </c>
      <c r="S8473">
        <v>111</v>
      </c>
      <c r="T8473">
        <v>5</v>
      </c>
    </row>
    <row r="8474" spans="18:20" x14ac:dyDescent="0.25">
      <c r="R8474">
        <v>256</v>
      </c>
      <c r="S8474">
        <v>141</v>
      </c>
      <c r="T8474">
        <v>3</v>
      </c>
    </row>
    <row r="8475" spans="18:20" x14ac:dyDescent="0.25">
      <c r="R8475">
        <v>256</v>
      </c>
      <c r="S8475">
        <v>143</v>
      </c>
      <c r="T8475">
        <v>1</v>
      </c>
    </row>
    <row r="8476" spans="18:20" x14ac:dyDescent="0.25">
      <c r="R8476">
        <v>256</v>
      </c>
      <c r="S8476">
        <v>146</v>
      </c>
      <c r="T8476">
        <v>2</v>
      </c>
    </row>
    <row r="8477" spans="18:20" x14ac:dyDescent="0.25">
      <c r="R8477">
        <v>256</v>
      </c>
      <c r="S8477">
        <v>152</v>
      </c>
      <c r="T8477">
        <v>4</v>
      </c>
    </row>
    <row r="8478" spans="18:20" x14ac:dyDescent="0.25">
      <c r="R8478">
        <v>256</v>
      </c>
      <c r="S8478">
        <v>159</v>
      </c>
      <c r="T8478">
        <v>1</v>
      </c>
    </row>
    <row r="8479" spans="18:20" x14ac:dyDescent="0.25">
      <c r="R8479">
        <v>256</v>
      </c>
      <c r="S8479">
        <v>161</v>
      </c>
      <c r="T8479">
        <v>4</v>
      </c>
    </row>
    <row r="8480" spans="18:20" x14ac:dyDescent="0.25">
      <c r="R8480">
        <v>256</v>
      </c>
      <c r="S8480">
        <v>173</v>
      </c>
      <c r="T8480">
        <v>2</v>
      </c>
    </row>
    <row r="8481" spans="18:20" x14ac:dyDescent="0.25">
      <c r="R8481">
        <v>256</v>
      </c>
      <c r="S8481">
        <v>179</v>
      </c>
      <c r="T8481">
        <v>4</v>
      </c>
    </row>
    <row r="8482" spans="18:20" x14ac:dyDescent="0.25">
      <c r="R8482">
        <v>256</v>
      </c>
      <c r="S8482">
        <v>184</v>
      </c>
      <c r="T8482">
        <v>1</v>
      </c>
    </row>
    <row r="8483" spans="18:20" x14ac:dyDescent="0.25">
      <c r="R8483">
        <v>256</v>
      </c>
      <c r="S8483">
        <v>191</v>
      </c>
      <c r="T8483">
        <v>1</v>
      </c>
    </row>
    <row r="8484" spans="18:20" x14ac:dyDescent="0.25">
      <c r="R8484">
        <v>256</v>
      </c>
      <c r="S8484">
        <v>193</v>
      </c>
      <c r="T8484">
        <v>4</v>
      </c>
    </row>
    <row r="8485" spans="18:20" x14ac:dyDescent="0.25">
      <c r="R8485">
        <v>256</v>
      </c>
      <c r="S8485">
        <v>205</v>
      </c>
      <c r="T8485">
        <v>3</v>
      </c>
    </row>
    <row r="8486" spans="18:20" x14ac:dyDescent="0.25">
      <c r="R8486">
        <v>256</v>
      </c>
      <c r="S8486">
        <v>205</v>
      </c>
      <c r="T8486">
        <v>3</v>
      </c>
    </row>
    <row r="8487" spans="18:20" x14ac:dyDescent="0.25">
      <c r="R8487">
        <v>256</v>
      </c>
      <c r="S8487">
        <v>215</v>
      </c>
      <c r="T8487">
        <v>5</v>
      </c>
    </row>
    <row r="8488" spans="18:20" x14ac:dyDescent="0.25">
      <c r="R8488">
        <v>256</v>
      </c>
      <c r="S8488">
        <v>253</v>
      </c>
      <c r="T8488">
        <v>5</v>
      </c>
    </row>
    <row r="8489" spans="18:20" x14ac:dyDescent="0.25">
      <c r="R8489">
        <v>256</v>
      </c>
      <c r="S8489">
        <v>258</v>
      </c>
      <c r="T8489">
        <v>2</v>
      </c>
    </row>
    <row r="8490" spans="18:20" x14ac:dyDescent="0.25">
      <c r="R8490">
        <v>256</v>
      </c>
      <c r="S8490">
        <v>274</v>
      </c>
      <c r="T8490">
        <v>2</v>
      </c>
    </row>
    <row r="8491" spans="18:20" x14ac:dyDescent="0.25">
      <c r="R8491">
        <v>256</v>
      </c>
      <c r="S8491">
        <v>283</v>
      </c>
      <c r="T8491">
        <v>3</v>
      </c>
    </row>
    <row r="8492" spans="18:20" x14ac:dyDescent="0.25">
      <c r="R8492">
        <v>256</v>
      </c>
      <c r="S8492">
        <v>307</v>
      </c>
      <c r="T8492">
        <v>5</v>
      </c>
    </row>
    <row r="8493" spans="18:20" x14ac:dyDescent="0.25">
      <c r="R8493">
        <v>256</v>
      </c>
      <c r="S8493">
        <v>319</v>
      </c>
      <c r="T8493">
        <v>4</v>
      </c>
    </row>
    <row r="8494" spans="18:20" x14ac:dyDescent="0.25">
      <c r="R8494">
        <v>256</v>
      </c>
      <c r="S8494">
        <v>323</v>
      </c>
      <c r="T8494">
        <v>2</v>
      </c>
    </row>
    <row r="8495" spans="18:20" x14ac:dyDescent="0.25">
      <c r="R8495">
        <v>256</v>
      </c>
      <c r="S8495">
        <v>326</v>
      </c>
      <c r="T8495">
        <v>5</v>
      </c>
    </row>
    <row r="8496" spans="18:20" x14ac:dyDescent="0.25">
      <c r="R8496">
        <v>256</v>
      </c>
      <c r="S8496">
        <v>344</v>
      </c>
      <c r="T8496">
        <v>1</v>
      </c>
    </row>
    <row r="8497" spans="18:20" x14ac:dyDescent="0.25">
      <c r="R8497">
        <v>256</v>
      </c>
      <c r="S8497">
        <v>394</v>
      </c>
      <c r="T8497">
        <v>5</v>
      </c>
    </row>
    <row r="8498" spans="18:20" x14ac:dyDescent="0.25">
      <c r="R8498">
        <v>256</v>
      </c>
      <c r="S8498">
        <v>415</v>
      </c>
      <c r="T8498">
        <v>3</v>
      </c>
    </row>
    <row r="8499" spans="18:20" x14ac:dyDescent="0.25">
      <c r="R8499">
        <v>256</v>
      </c>
      <c r="S8499">
        <v>415</v>
      </c>
      <c r="T8499">
        <v>5</v>
      </c>
    </row>
    <row r="8500" spans="18:20" x14ac:dyDescent="0.25">
      <c r="R8500">
        <v>256</v>
      </c>
      <c r="S8500">
        <v>424</v>
      </c>
      <c r="T8500">
        <v>5</v>
      </c>
    </row>
    <row r="8501" spans="18:20" x14ac:dyDescent="0.25">
      <c r="R8501">
        <v>257</v>
      </c>
      <c r="S8501">
        <v>27</v>
      </c>
      <c r="T8501">
        <v>4</v>
      </c>
    </row>
    <row r="8502" spans="18:20" x14ac:dyDescent="0.25">
      <c r="R8502">
        <v>257</v>
      </c>
      <c r="S8502">
        <v>43</v>
      </c>
      <c r="T8502">
        <v>4</v>
      </c>
    </row>
    <row r="8503" spans="18:20" x14ac:dyDescent="0.25">
      <c r="R8503">
        <v>257</v>
      </c>
      <c r="S8503">
        <v>56</v>
      </c>
      <c r="T8503">
        <v>2</v>
      </c>
    </row>
    <row r="8504" spans="18:20" x14ac:dyDescent="0.25">
      <c r="R8504">
        <v>257</v>
      </c>
      <c r="S8504">
        <v>58</v>
      </c>
      <c r="T8504">
        <v>1</v>
      </c>
    </row>
    <row r="8505" spans="18:20" x14ac:dyDescent="0.25">
      <c r="R8505">
        <v>257</v>
      </c>
      <c r="S8505">
        <v>86</v>
      </c>
      <c r="T8505">
        <v>4</v>
      </c>
    </row>
    <row r="8506" spans="18:20" x14ac:dyDescent="0.25">
      <c r="R8506">
        <v>257</v>
      </c>
      <c r="S8506">
        <v>107</v>
      </c>
      <c r="T8506">
        <v>1</v>
      </c>
    </row>
    <row r="8507" spans="18:20" x14ac:dyDescent="0.25">
      <c r="R8507">
        <v>257</v>
      </c>
      <c r="S8507">
        <v>108</v>
      </c>
      <c r="T8507">
        <v>3</v>
      </c>
    </row>
    <row r="8508" spans="18:20" x14ac:dyDescent="0.25">
      <c r="R8508">
        <v>257</v>
      </c>
      <c r="S8508">
        <v>115</v>
      </c>
      <c r="T8508">
        <v>5</v>
      </c>
    </row>
    <row r="8509" spans="18:20" x14ac:dyDescent="0.25">
      <c r="R8509">
        <v>257</v>
      </c>
      <c r="S8509">
        <v>139</v>
      </c>
      <c r="T8509">
        <v>5</v>
      </c>
    </row>
    <row r="8510" spans="18:20" x14ac:dyDescent="0.25">
      <c r="R8510">
        <v>257</v>
      </c>
      <c r="S8510">
        <v>141</v>
      </c>
      <c r="T8510">
        <v>2</v>
      </c>
    </row>
    <row r="8511" spans="18:20" x14ac:dyDescent="0.25">
      <c r="R8511">
        <v>257</v>
      </c>
      <c r="S8511">
        <v>141</v>
      </c>
      <c r="T8511">
        <v>3</v>
      </c>
    </row>
    <row r="8512" spans="18:20" x14ac:dyDescent="0.25">
      <c r="R8512">
        <v>257</v>
      </c>
      <c r="S8512">
        <v>146</v>
      </c>
      <c r="T8512">
        <v>5</v>
      </c>
    </row>
    <row r="8513" spans="18:20" x14ac:dyDescent="0.25">
      <c r="R8513">
        <v>257</v>
      </c>
      <c r="S8513">
        <v>147</v>
      </c>
      <c r="T8513">
        <v>1</v>
      </c>
    </row>
    <row r="8514" spans="18:20" x14ac:dyDescent="0.25">
      <c r="R8514">
        <v>257</v>
      </c>
      <c r="S8514">
        <v>157</v>
      </c>
      <c r="T8514">
        <v>3</v>
      </c>
    </row>
    <row r="8515" spans="18:20" x14ac:dyDescent="0.25">
      <c r="R8515">
        <v>257</v>
      </c>
      <c r="S8515">
        <v>202</v>
      </c>
      <c r="T8515">
        <v>3</v>
      </c>
    </row>
    <row r="8516" spans="18:20" x14ac:dyDescent="0.25">
      <c r="R8516">
        <v>257</v>
      </c>
      <c r="S8516">
        <v>215</v>
      </c>
      <c r="T8516">
        <v>4</v>
      </c>
    </row>
    <row r="8517" spans="18:20" x14ac:dyDescent="0.25">
      <c r="R8517">
        <v>257</v>
      </c>
      <c r="S8517">
        <v>221</v>
      </c>
      <c r="T8517">
        <v>4</v>
      </c>
    </row>
    <row r="8518" spans="18:20" x14ac:dyDescent="0.25">
      <c r="R8518">
        <v>257</v>
      </c>
      <c r="S8518">
        <v>223</v>
      </c>
      <c r="T8518">
        <v>4</v>
      </c>
    </row>
    <row r="8519" spans="18:20" x14ac:dyDescent="0.25">
      <c r="R8519">
        <v>257</v>
      </c>
      <c r="S8519">
        <v>242</v>
      </c>
      <c r="T8519">
        <v>2</v>
      </c>
    </row>
    <row r="8520" spans="18:20" x14ac:dyDescent="0.25">
      <c r="R8520">
        <v>257</v>
      </c>
      <c r="S8520">
        <v>254</v>
      </c>
      <c r="T8520">
        <v>2</v>
      </c>
    </row>
    <row r="8521" spans="18:20" x14ac:dyDescent="0.25">
      <c r="R8521">
        <v>257</v>
      </c>
      <c r="S8521">
        <v>255</v>
      </c>
      <c r="T8521">
        <v>1</v>
      </c>
    </row>
    <row r="8522" spans="18:20" x14ac:dyDescent="0.25">
      <c r="R8522">
        <v>257</v>
      </c>
      <c r="S8522">
        <v>269</v>
      </c>
      <c r="T8522">
        <v>4</v>
      </c>
    </row>
    <row r="8523" spans="18:20" x14ac:dyDescent="0.25">
      <c r="R8523">
        <v>257</v>
      </c>
      <c r="S8523">
        <v>276</v>
      </c>
      <c r="T8523">
        <v>4</v>
      </c>
    </row>
    <row r="8524" spans="18:20" x14ac:dyDescent="0.25">
      <c r="R8524">
        <v>257</v>
      </c>
      <c r="S8524">
        <v>314</v>
      </c>
      <c r="T8524">
        <v>4</v>
      </c>
    </row>
    <row r="8525" spans="18:20" x14ac:dyDescent="0.25">
      <c r="R8525">
        <v>257</v>
      </c>
      <c r="S8525">
        <v>336</v>
      </c>
      <c r="T8525">
        <v>5</v>
      </c>
    </row>
    <row r="8526" spans="18:20" x14ac:dyDescent="0.25">
      <c r="R8526">
        <v>257</v>
      </c>
      <c r="S8526">
        <v>337</v>
      </c>
      <c r="T8526">
        <v>2</v>
      </c>
    </row>
    <row r="8527" spans="18:20" x14ac:dyDescent="0.25">
      <c r="R8527">
        <v>257</v>
      </c>
      <c r="S8527">
        <v>364</v>
      </c>
      <c r="T8527">
        <v>5</v>
      </c>
    </row>
    <row r="8528" spans="18:20" x14ac:dyDescent="0.25">
      <c r="R8528">
        <v>257</v>
      </c>
      <c r="S8528">
        <v>370</v>
      </c>
      <c r="T8528">
        <v>2</v>
      </c>
    </row>
    <row r="8529" spans="18:20" x14ac:dyDescent="0.25">
      <c r="R8529">
        <v>257</v>
      </c>
      <c r="S8529">
        <v>373</v>
      </c>
      <c r="T8529">
        <v>1</v>
      </c>
    </row>
    <row r="8530" spans="18:20" x14ac:dyDescent="0.25">
      <c r="R8530">
        <v>257</v>
      </c>
      <c r="S8530">
        <v>373</v>
      </c>
      <c r="T8530">
        <v>3</v>
      </c>
    </row>
    <row r="8531" spans="18:20" x14ac:dyDescent="0.25">
      <c r="R8531">
        <v>257</v>
      </c>
      <c r="S8531">
        <v>385</v>
      </c>
      <c r="T8531">
        <v>2</v>
      </c>
    </row>
    <row r="8532" spans="18:20" x14ac:dyDescent="0.25">
      <c r="R8532">
        <v>257</v>
      </c>
      <c r="S8532">
        <v>388</v>
      </c>
      <c r="T8532">
        <v>1</v>
      </c>
    </row>
    <row r="8533" spans="18:20" x14ac:dyDescent="0.25">
      <c r="R8533">
        <v>257</v>
      </c>
      <c r="S8533">
        <v>397</v>
      </c>
      <c r="T8533">
        <v>1</v>
      </c>
    </row>
    <row r="8534" spans="18:20" x14ac:dyDescent="0.25">
      <c r="R8534">
        <v>257</v>
      </c>
      <c r="S8534">
        <v>428</v>
      </c>
      <c r="T8534">
        <v>2</v>
      </c>
    </row>
    <row r="8535" spans="18:20" x14ac:dyDescent="0.25">
      <c r="R8535">
        <v>257</v>
      </c>
      <c r="S8535">
        <v>430</v>
      </c>
      <c r="T8535">
        <v>2</v>
      </c>
    </row>
    <row r="8536" spans="18:20" x14ac:dyDescent="0.25">
      <c r="R8536">
        <v>257</v>
      </c>
      <c r="S8536">
        <v>431</v>
      </c>
      <c r="T8536">
        <v>4</v>
      </c>
    </row>
    <row r="8537" spans="18:20" x14ac:dyDescent="0.25">
      <c r="R8537">
        <v>257</v>
      </c>
      <c r="S8537">
        <v>432</v>
      </c>
      <c r="T8537">
        <v>3</v>
      </c>
    </row>
    <row r="8538" spans="18:20" x14ac:dyDescent="0.25">
      <c r="R8538">
        <v>258</v>
      </c>
      <c r="S8538">
        <v>6</v>
      </c>
      <c r="T8538">
        <v>4</v>
      </c>
    </row>
    <row r="8539" spans="18:20" x14ac:dyDescent="0.25">
      <c r="R8539">
        <v>258</v>
      </c>
      <c r="S8539">
        <v>10</v>
      </c>
      <c r="T8539">
        <v>2</v>
      </c>
    </row>
    <row r="8540" spans="18:20" x14ac:dyDescent="0.25">
      <c r="R8540">
        <v>258</v>
      </c>
      <c r="S8540">
        <v>20</v>
      </c>
      <c r="T8540">
        <v>1</v>
      </c>
    </row>
    <row r="8541" spans="18:20" x14ac:dyDescent="0.25">
      <c r="R8541">
        <v>258</v>
      </c>
      <c r="S8541">
        <v>22</v>
      </c>
      <c r="T8541">
        <v>4</v>
      </c>
    </row>
    <row r="8542" spans="18:20" x14ac:dyDescent="0.25">
      <c r="R8542">
        <v>258</v>
      </c>
      <c r="S8542">
        <v>25</v>
      </c>
      <c r="T8542">
        <v>3</v>
      </c>
    </row>
    <row r="8543" spans="18:20" x14ac:dyDescent="0.25">
      <c r="R8543">
        <v>258</v>
      </c>
      <c r="S8543">
        <v>32</v>
      </c>
      <c r="T8543">
        <v>5</v>
      </c>
    </row>
    <row r="8544" spans="18:20" x14ac:dyDescent="0.25">
      <c r="R8544">
        <v>258</v>
      </c>
      <c r="S8544">
        <v>52</v>
      </c>
      <c r="T8544">
        <v>2</v>
      </c>
    </row>
    <row r="8545" spans="18:20" x14ac:dyDescent="0.25">
      <c r="R8545">
        <v>258</v>
      </c>
      <c r="S8545">
        <v>52</v>
      </c>
      <c r="T8545">
        <v>4</v>
      </c>
    </row>
    <row r="8546" spans="18:20" x14ac:dyDescent="0.25">
      <c r="R8546">
        <v>258</v>
      </c>
      <c r="S8546">
        <v>55</v>
      </c>
      <c r="T8546">
        <v>1</v>
      </c>
    </row>
    <row r="8547" spans="18:20" x14ac:dyDescent="0.25">
      <c r="R8547">
        <v>258</v>
      </c>
      <c r="S8547">
        <v>67</v>
      </c>
      <c r="T8547">
        <v>2</v>
      </c>
    </row>
    <row r="8548" spans="18:20" x14ac:dyDescent="0.25">
      <c r="R8548">
        <v>258</v>
      </c>
      <c r="S8548">
        <v>88</v>
      </c>
      <c r="T8548">
        <v>3</v>
      </c>
    </row>
    <row r="8549" spans="18:20" x14ac:dyDescent="0.25">
      <c r="R8549">
        <v>258</v>
      </c>
      <c r="S8549">
        <v>88</v>
      </c>
      <c r="T8549">
        <v>2</v>
      </c>
    </row>
    <row r="8550" spans="18:20" x14ac:dyDescent="0.25">
      <c r="R8550">
        <v>258</v>
      </c>
      <c r="S8550">
        <v>91</v>
      </c>
      <c r="T8550">
        <v>5</v>
      </c>
    </row>
    <row r="8551" spans="18:20" x14ac:dyDescent="0.25">
      <c r="R8551">
        <v>258</v>
      </c>
      <c r="S8551">
        <v>122</v>
      </c>
      <c r="T8551">
        <v>5</v>
      </c>
    </row>
    <row r="8552" spans="18:20" x14ac:dyDescent="0.25">
      <c r="R8552">
        <v>258</v>
      </c>
      <c r="S8552">
        <v>137</v>
      </c>
      <c r="T8552">
        <v>4</v>
      </c>
    </row>
    <row r="8553" spans="18:20" x14ac:dyDescent="0.25">
      <c r="R8553">
        <v>258</v>
      </c>
      <c r="S8553">
        <v>146</v>
      </c>
      <c r="T8553">
        <v>5</v>
      </c>
    </row>
    <row r="8554" spans="18:20" x14ac:dyDescent="0.25">
      <c r="R8554">
        <v>258</v>
      </c>
      <c r="S8554">
        <v>164</v>
      </c>
      <c r="T8554">
        <v>2</v>
      </c>
    </row>
    <row r="8555" spans="18:20" x14ac:dyDescent="0.25">
      <c r="R8555">
        <v>258</v>
      </c>
      <c r="S8555">
        <v>208</v>
      </c>
      <c r="T8555">
        <v>5</v>
      </c>
    </row>
    <row r="8556" spans="18:20" x14ac:dyDescent="0.25">
      <c r="R8556">
        <v>258</v>
      </c>
      <c r="S8556">
        <v>227</v>
      </c>
      <c r="T8556">
        <v>3</v>
      </c>
    </row>
    <row r="8557" spans="18:20" x14ac:dyDescent="0.25">
      <c r="R8557">
        <v>258</v>
      </c>
      <c r="S8557">
        <v>228</v>
      </c>
      <c r="T8557">
        <v>2</v>
      </c>
    </row>
    <row r="8558" spans="18:20" x14ac:dyDescent="0.25">
      <c r="R8558">
        <v>258</v>
      </c>
      <c r="S8558">
        <v>252</v>
      </c>
      <c r="T8558">
        <v>5</v>
      </c>
    </row>
    <row r="8559" spans="18:20" x14ac:dyDescent="0.25">
      <c r="R8559">
        <v>258</v>
      </c>
      <c r="S8559">
        <v>253</v>
      </c>
      <c r="T8559">
        <v>5</v>
      </c>
    </row>
    <row r="8560" spans="18:20" x14ac:dyDescent="0.25">
      <c r="R8560">
        <v>258</v>
      </c>
      <c r="S8560">
        <v>261</v>
      </c>
      <c r="T8560">
        <v>5</v>
      </c>
    </row>
    <row r="8561" spans="18:20" x14ac:dyDescent="0.25">
      <c r="R8561">
        <v>258</v>
      </c>
      <c r="S8561">
        <v>270</v>
      </c>
      <c r="T8561">
        <v>3</v>
      </c>
    </row>
    <row r="8562" spans="18:20" x14ac:dyDescent="0.25">
      <c r="R8562">
        <v>258</v>
      </c>
      <c r="S8562">
        <v>272</v>
      </c>
      <c r="T8562">
        <v>1</v>
      </c>
    </row>
    <row r="8563" spans="18:20" x14ac:dyDescent="0.25">
      <c r="R8563">
        <v>258</v>
      </c>
      <c r="S8563">
        <v>279</v>
      </c>
      <c r="T8563">
        <v>5</v>
      </c>
    </row>
    <row r="8564" spans="18:20" x14ac:dyDescent="0.25">
      <c r="R8564">
        <v>258</v>
      </c>
      <c r="S8564">
        <v>286</v>
      </c>
      <c r="T8564">
        <v>1</v>
      </c>
    </row>
    <row r="8565" spans="18:20" x14ac:dyDescent="0.25">
      <c r="R8565">
        <v>258</v>
      </c>
      <c r="S8565">
        <v>287</v>
      </c>
      <c r="T8565">
        <v>4</v>
      </c>
    </row>
    <row r="8566" spans="18:20" x14ac:dyDescent="0.25">
      <c r="R8566">
        <v>258</v>
      </c>
      <c r="S8566">
        <v>293</v>
      </c>
      <c r="T8566">
        <v>1</v>
      </c>
    </row>
    <row r="8567" spans="18:20" x14ac:dyDescent="0.25">
      <c r="R8567">
        <v>258</v>
      </c>
      <c r="S8567">
        <v>300</v>
      </c>
      <c r="T8567">
        <v>4</v>
      </c>
    </row>
    <row r="8568" spans="18:20" x14ac:dyDescent="0.25">
      <c r="R8568">
        <v>258</v>
      </c>
      <c r="S8568">
        <v>334</v>
      </c>
      <c r="T8568">
        <v>2</v>
      </c>
    </row>
    <row r="8569" spans="18:20" x14ac:dyDescent="0.25">
      <c r="R8569">
        <v>258</v>
      </c>
      <c r="S8569">
        <v>343</v>
      </c>
      <c r="T8569">
        <v>3</v>
      </c>
    </row>
    <row r="8570" spans="18:20" x14ac:dyDescent="0.25">
      <c r="R8570">
        <v>258</v>
      </c>
      <c r="S8570">
        <v>343</v>
      </c>
      <c r="T8570">
        <v>5</v>
      </c>
    </row>
    <row r="8571" spans="18:20" x14ac:dyDescent="0.25">
      <c r="R8571">
        <v>258</v>
      </c>
      <c r="S8571">
        <v>353</v>
      </c>
      <c r="T8571">
        <v>5</v>
      </c>
    </row>
    <row r="8572" spans="18:20" x14ac:dyDescent="0.25">
      <c r="R8572">
        <v>258</v>
      </c>
      <c r="S8572">
        <v>367</v>
      </c>
      <c r="T8572">
        <v>1</v>
      </c>
    </row>
    <row r="8573" spans="18:20" x14ac:dyDescent="0.25">
      <c r="R8573">
        <v>258</v>
      </c>
      <c r="S8573">
        <v>367</v>
      </c>
      <c r="T8573">
        <v>1</v>
      </c>
    </row>
    <row r="8574" spans="18:20" x14ac:dyDescent="0.25">
      <c r="R8574">
        <v>258</v>
      </c>
      <c r="S8574">
        <v>379</v>
      </c>
      <c r="T8574">
        <v>2</v>
      </c>
    </row>
    <row r="8575" spans="18:20" x14ac:dyDescent="0.25">
      <c r="R8575">
        <v>258</v>
      </c>
      <c r="S8575">
        <v>396</v>
      </c>
      <c r="T8575">
        <v>2</v>
      </c>
    </row>
    <row r="8576" spans="18:20" x14ac:dyDescent="0.25">
      <c r="R8576">
        <v>258</v>
      </c>
      <c r="S8576">
        <v>402</v>
      </c>
      <c r="T8576">
        <v>1</v>
      </c>
    </row>
    <row r="8577" spans="18:20" x14ac:dyDescent="0.25">
      <c r="R8577">
        <v>258</v>
      </c>
      <c r="S8577">
        <v>416</v>
      </c>
      <c r="T8577">
        <v>3</v>
      </c>
    </row>
    <row r="8578" spans="18:20" x14ac:dyDescent="0.25">
      <c r="R8578">
        <v>259</v>
      </c>
      <c r="S8578">
        <v>8</v>
      </c>
      <c r="T8578">
        <v>2</v>
      </c>
    </row>
    <row r="8579" spans="18:20" x14ac:dyDescent="0.25">
      <c r="R8579">
        <v>259</v>
      </c>
      <c r="S8579">
        <v>32</v>
      </c>
      <c r="T8579">
        <v>3</v>
      </c>
    </row>
    <row r="8580" spans="18:20" x14ac:dyDescent="0.25">
      <c r="R8580">
        <v>259</v>
      </c>
      <c r="S8580">
        <v>57</v>
      </c>
      <c r="T8580">
        <v>4</v>
      </c>
    </row>
    <row r="8581" spans="18:20" x14ac:dyDescent="0.25">
      <c r="R8581">
        <v>259</v>
      </c>
      <c r="S8581">
        <v>86</v>
      </c>
      <c r="T8581">
        <v>4</v>
      </c>
    </row>
    <row r="8582" spans="18:20" x14ac:dyDescent="0.25">
      <c r="R8582">
        <v>259</v>
      </c>
      <c r="S8582">
        <v>116</v>
      </c>
      <c r="T8582">
        <v>1</v>
      </c>
    </row>
    <row r="8583" spans="18:20" x14ac:dyDescent="0.25">
      <c r="R8583">
        <v>259</v>
      </c>
      <c r="S8583">
        <v>127</v>
      </c>
      <c r="T8583">
        <v>2</v>
      </c>
    </row>
    <row r="8584" spans="18:20" x14ac:dyDescent="0.25">
      <c r="R8584">
        <v>259</v>
      </c>
      <c r="S8584">
        <v>135</v>
      </c>
      <c r="T8584">
        <v>4</v>
      </c>
    </row>
    <row r="8585" spans="18:20" x14ac:dyDescent="0.25">
      <c r="R8585">
        <v>259</v>
      </c>
      <c r="S8585">
        <v>142</v>
      </c>
      <c r="T8585">
        <v>4</v>
      </c>
    </row>
    <row r="8586" spans="18:20" x14ac:dyDescent="0.25">
      <c r="R8586">
        <v>259</v>
      </c>
      <c r="S8586">
        <v>188</v>
      </c>
      <c r="T8586">
        <v>3</v>
      </c>
    </row>
    <row r="8587" spans="18:20" x14ac:dyDescent="0.25">
      <c r="R8587">
        <v>259</v>
      </c>
      <c r="S8587">
        <v>193</v>
      </c>
      <c r="T8587">
        <v>3</v>
      </c>
    </row>
    <row r="8588" spans="18:20" x14ac:dyDescent="0.25">
      <c r="R8588">
        <v>259</v>
      </c>
      <c r="S8588">
        <v>199</v>
      </c>
      <c r="T8588">
        <v>2</v>
      </c>
    </row>
    <row r="8589" spans="18:20" x14ac:dyDescent="0.25">
      <c r="R8589">
        <v>259</v>
      </c>
      <c r="S8589">
        <v>206</v>
      </c>
      <c r="T8589">
        <v>5</v>
      </c>
    </row>
    <row r="8590" spans="18:20" x14ac:dyDescent="0.25">
      <c r="R8590">
        <v>259</v>
      </c>
      <c r="S8590">
        <v>216</v>
      </c>
      <c r="T8590">
        <v>4</v>
      </c>
    </row>
    <row r="8591" spans="18:20" x14ac:dyDescent="0.25">
      <c r="R8591">
        <v>259</v>
      </c>
      <c r="S8591">
        <v>248</v>
      </c>
      <c r="T8591">
        <v>2</v>
      </c>
    </row>
    <row r="8592" spans="18:20" x14ac:dyDescent="0.25">
      <c r="R8592">
        <v>259</v>
      </c>
      <c r="S8592">
        <v>253</v>
      </c>
      <c r="T8592">
        <v>1</v>
      </c>
    </row>
    <row r="8593" spans="18:20" x14ac:dyDescent="0.25">
      <c r="R8593">
        <v>259</v>
      </c>
      <c r="S8593">
        <v>256</v>
      </c>
      <c r="T8593">
        <v>4</v>
      </c>
    </row>
    <row r="8594" spans="18:20" x14ac:dyDescent="0.25">
      <c r="R8594">
        <v>259</v>
      </c>
      <c r="S8594">
        <v>337</v>
      </c>
      <c r="T8594">
        <v>4</v>
      </c>
    </row>
    <row r="8595" spans="18:20" x14ac:dyDescent="0.25">
      <c r="R8595">
        <v>259</v>
      </c>
      <c r="S8595">
        <v>383</v>
      </c>
      <c r="T8595">
        <v>1</v>
      </c>
    </row>
    <row r="8596" spans="18:20" x14ac:dyDescent="0.25">
      <c r="R8596">
        <v>259</v>
      </c>
      <c r="S8596">
        <v>390</v>
      </c>
      <c r="T8596">
        <v>1</v>
      </c>
    </row>
    <row r="8597" spans="18:20" x14ac:dyDescent="0.25">
      <c r="R8597">
        <v>259</v>
      </c>
      <c r="S8597">
        <v>397</v>
      </c>
      <c r="T8597">
        <v>5</v>
      </c>
    </row>
    <row r="8598" spans="18:20" x14ac:dyDescent="0.25">
      <c r="R8598">
        <v>259</v>
      </c>
      <c r="S8598">
        <v>401</v>
      </c>
      <c r="T8598">
        <v>3</v>
      </c>
    </row>
    <row r="8599" spans="18:20" x14ac:dyDescent="0.25">
      <c r="R8599">
        <v>259</v>
      </c>
      <c r="S8599">
        <v>406</v>
      </c>
      <c r="T8599">
        <v>4</v>
      </c>
    </row>
    <row r="8600" spans="18:20" x14ac:dyDescent="0.25">
      <c r="R8600">
        <v>259</v>
      </c>
      <c r="S8600">
        <v>418</v>
      </c>
      <c r="T8600">
        <v>4</v>
      </c>
    </row>
    <row r="8601" spans="18:20" x14ac:dyDescent="0.25">
      <c r="R8601">
        <v>260</v>
      </c>
      <c r="S8601">
        <v>37</v>
      </c>
      <c r="T8601">
        <v>5</v>
      </c>
    </row>
    <row r="8602" spans="18:20" x14ac:dyDescent="0.25">
      <c r="R8602">
        <v>260</v>
      </c>
      <c r="S8602">
        <v>46</v>
      </c>
      <c r="T8602">
        <v>3</v>
      </c>
    </row>
    <row r="8603" spans="18:20" x14ac:dyDescent="0.25">
      <c r="R8603">
        <v>260</v>
      </c>
      <c r="S8603">
        <v>70</v>
      </c>
      <c r="T8603">
        <v>2</v>
      </c>
    </row>
    <row r="8604" spans="18:20" x14ac:dyDescent="0.25">
      <c r="R8604">
        <v>260</v>
      </c>
      <c r="S8604">
        <v>101</v>
      </c>
      <c r="T8604">
        <v>4</v>
      </c>
    </row>
    <row r="8605" spans="18:20" x14ac:dyDescent="0.25">
      <c r="R8605">
        <v>260</v>
      </c>
      <c r="S8605">
        <v>101</v>
      </c>
      <c r="T8605">
        <v>3</v>
      </c>
    </row>
    <row r="8606" spans="18:20" x14ac:dyDescent="0.25">
      <c r="R8606">
        <v>260</v>
      </c>
      <c r="S8606">
        <v>117</v>
      </c>
      <c r="T8606">
        <v>4</v>
      </c>
    </row>
    <row r="8607" spans="18:20" x14ac:dyDescent="0.25">
      <c r="R8607">
        <v>260</v>
      </c>
      <c r="S8607">
        <v>117</v>
      </c>
      <c r="T8607">
        <v>2</v>
      </c>
    </row>
    <row r="8608" spans="18:20" x14ac:dyDescent="0.25">
      <c r="R8608">
        <v>260</v>
      </c>
      <c r="S8608">
        <v>124</v>
      </c>
      <c r="T8608">
        <v>4</v>
      </c>
    </row>
    <row r="8609" spans="18:20" x14ac:dyDescent="0.25">
      <c r="R8609">
        <v>260</v>
      </c>
      <c r="S8609">
        <v>133</v>
      </c>
      <c r="T8609">
        <v>3</v>
      </c>
    </row>
    <row r="8610" spans="18:20" x14ac:dyDescent="0.25">
      <c r="R8610">
        <v>260</v>
      </c>
      <c r="S8610">
        <v>152</v>
      </c>
      <c r="T8610">
        <v>1</v>
      </c>
    </row>
    <row r="8611" spans="18:20" x14ac:dyDescent="0.25">
      <c r="R8611">
        <v>260</v>
      </c>
      <c r="S8611">
        <v>160</v>
      </c>
      <c r="T8611">
        <v>1</v>
      </c>
    </row>
    <row r="8612" spans="18:20" x14ac:dyDescent="0.25">
      <c r="R8612">
        <v>260</v>
      </c>
      <c r="S8612">
        <v>177</v>
      </c>
      <c r="T8612">
        <v>3</v>
      </c>
    </row>
    <row r="8613" spans="18:20" x14ac:dyDescent="0.25">
      <c r="R8613">
        <v>260</v>
      </c>
      <c r="S8613">
        <v>194</v>
      </c>
      <c r="T8613">
        <v>4</v>
      </c>
    </row>
    <row r="8614" spans="18:20" x14ac:dyDescent="0.25">
      <c r="R8614">
        <v>260</v>
      </c>
      <c r="S8614">
        <v>195</v>
      </c>
      <c r="T8614">
        <v>4</v>
      </c>
    </row>
    <row r="8615" spans="18:20" x14ac:dyDescent="0.25">
      <c r="R8615">
        <v>260</v>
      </c>
      <c r="S8615">
        <v>195</v>
      </c>
      <c r="T8615">
        <v>3</v>
      </c>
    </row>
    <row r="8616" spans="18:20" x14ac:dyDescent="0.25">
      <c r="R8616">
        <v>260</v>
      </c>
      <c r="S8616">
        <v>207</v>
      </c>
      <c r="T8616">
        <v>1</v>
      </c>
    </row>
    <row r="8617" spans="18:20" x14ac:dyDescent="0.25">
      <c r="R8617">
        <v>260</v>
      </c>
      <c r="S8617">
        <v>208</v>
      </c>
      <c r="T8617">
        <v>5</v>
      </c>
    </row>
    <row r="8618" spans="18:20" x14ac:dyDescent="0.25">
      <c r="R8618">
        <v>260</v>
      </c>
      <c r="S8618">
        <v>211</v>
      </c>
      <c r="T8618">
        <v>5</v>
      </c>
    </row>
    <row r="8619" spans="18:20" x14ac:dyDescent="0.25">
      <c r="R8619">
        <v>260</v>
      </c>
      <c r="S8619">
        <v>217</v>
      </c>
      <c r="T8619">
        <v>3</v>
      </c>
    </row>
    <row r="8620" spans="18:20" x14ac:dyDescent="0.25">
      <c r="R8620">
        <v>260</v>
      </c>
      <c r="S8620">
        <v>224</v>
      </c>
      <c r="T8620">
        <v>5</v>
      </c>
    </row>
    <row r="8621" spans="18:20" x14ac:dyDescent="0.25">
      <c r="R8621">
        <v>260</v>
      </c>
      <c r="S8621">
        <v>229</v>
      </c>
      <c r="T8621">
        <v>4</v>
      </c>
    </row>
    <row r="8622" spans="18:20" x14ac:dyDescent="0.25">
      <c r="R8622">
        <v>260</v>
      </c>
      <c r="S8622">
        <v>231</v>
      </c>
      <c r="T8622">
        <v>4</v>
      </c>
    </row>
    <row r="8623" spans="18:20" x14ac:dyDescent="0.25">
      <c r="R8623">
        <v>260</v>
      </c>
      <c r="S8623">
        <v>241</v>
      </c>
      <c r="T8623">
        <v>4</v>
      </c>
    </row>
    <row r="8624" spans="18:20" x14ac:dyDescent="0.25">
      <c r="R8624">
        <v>260</v>
      </c>
      <c r="S8624">
        <v>244</v>
      </c>
      <c r="T8624">
        <v>2</v>
      </c>
    </row>
    <row r="8625" spans="18:20" x14ac:dyDescent="0.25">
      <c r="R8625">
        <v>260</v>
      </c>
      <c r="S8625">
        <v>256</v>
      </c>
      <c r="T8625">
        <v>5</v>
      </c>
    </row>
    <row r="8626" spans="18:20" x14ac:dyDescent="0.25">
      <c r="R8626">
        <v>260</v>
      </c>
      <c r="S8626">
        <v>278</v>
      </c>
      <c r="T8626">
        <v>2</v>
      </c>
    </row>
    <row r="8627" spans="18:20" x14ac:dyDescent="0.25">
      <c r="R8627">
        <v>260</v>
      </c>
      <c r="S8627">
        <v>280</v>
      </c>
      <c r="T8627">
        <v>5</v>
      </c>
    </row>
    <row r="8628" spans="18:20" x14ac:dyDescent="0.25">
      <c r="R8628">
        <v>260</v>
      </c>
      <c r="S8628">
        <v>283</v>
      </c>
      <c r="T8628">
        <v>4</v>
      </c>
    </row>
    <row r="8629" spans="18:20" x14ac:dyDescent="0.25">
      <c r="R8629">
        <v>260</v>
      </c>
      <c r="S8629">
        <v>294</v>
      </c>
      <c r="T8629">
        <v>2</v>
      </c>
    </row>
    <row r="8630" spans="18:20" x14ac:dyDescent="0.25">
      <c r="R8630">
        <v>260</v>
      </c>
      <c r="S8630">
        <v>296</v>
      </c>
      <c r="T8630">
        <v>2</v>
      </c>
    </row>
    <row r="8631" spans="18:20" x14ac:dyDescent="0.25">
      <c r="R8631">
        <v>260</v>
      </c>
      <c r="S8631">
        <v>324</v>
      </c>
      <c r="T8631">
        <v>5</v>
      </c>
    </row>
    <row r="8632" spans="18:20" x14ac:dyDescent="0.25">
      <c r="R8632">
        <v>260</v>
      </c>
      <c r="S8632">
        <v>328</v>
      </c>
      <c r="T8632">
        <v>1</v>
      </c>
    </row>
    <row r="8633" spans="18:20" x14ac:dyDescent="0.25">
      <c r="R8633">
        <v>260</v>
      </c>
      <c r="S8633">
        <v>332</v>
      </c>
      <c r="T8633">
        <v>4</v>
      </c>
    </row>
    <row r="8634" spans="18:20" x14ac:dyDescent="0.25">
      <c r="R8634">
        <v>260</v>
      </c>
      <c r="S8634">
        <v>376</v>
      </c>
      <c r="T8634">
        <v>1</v>
      </c>
    </row>
    <row r="8635" spans="18:20" x14ac:dyDescent="0.25">
      <c r="R8635">
        <v>260</v>
      </c>
      <c r="S8635">
        <v>380</v>
      </c>
      <c r="T8635">
        <v>2</v>
      </c>
    </row>
    <row r="8636" spans="18:20" x14ac:dyDescent="0.25">
      <c r="R8636">
        <v>260</v>
      </c>
      <c r="S8636">
        <v>388</v>
      </c>
      <c r="T8636">
        <v>4</v>
      </c>
    </row>
    <row r="8637" spans="18:20" x14ac:dyDescent="0.25">
      <c r="R8637">
        <v>260</v>
      </c>
      <c r="S8637">
        <v>409</v>
      </c>
      <c r="T8637">
        <v>3</v>
      </c>
    </row>
    <row r="8638" spans="18:20" x14ac:dyDescent="0.25">
      <c r="R8638">
        <v>261</v>
      </c>
      <c r="S8638">
        <v>20</v>
      </c>
      <c r="T8638">
        <v>4</v>
      </c>
    </row>
    <row r="8639" spans="18:20" x14ac:dyDescent="0.25">
      <c r="R8639">
        <v>261</v>
      </c>
      <c r="S8639">
        <v>44</v>
      </c>
      <c r="T8639">
        <v>4</v>
      </c>
    </row>
    <row r="8640" spans="18:20" x14ac:dyDescent="0.25">
      <c r="R8640">
        <v>261</v>
      </c>
      <c r="S8640">
        <v>55</v>
      </c>
      <c r="T8640">
        <v>1</v>
      </c>
    </row>
    <row r="8641" spans="18:20" x14ac:dyDescent="0.25">
      <c r="R8641">
        <v>261</v>
      </c>
      <c r="S8641">
        <v>60</v>
      </c>
      <c r="T8641">
        <v>5</v>
      </c>
    </row>
    <row r="8642" spans="18:20" x14ac:dyDescent="0.25">
      <c r="R8642">
        <v>261</v>
      </c>
      <c r="S8642">
        <v>76</v>
      </c>
      <c r="T8642">
        <v>2</v>
      </c>
    </row>
    <row r="8643" spans="18:20" x14ac:dyDescent="0.25">
      <c r="R8643">
        <v>261</v>
      </c>
      <c r="S8643">
        <v>79</v>
      </c>
      <c r="T8643">
        <v>3</v>
      </c>
    </row>
    <row r="8644" spans="18:20" x14ac:dyDescent="0.25">
      <c r="R8644">
        <v>261</v>
      </c>
      <c r="S8644">
        <v>109</v>
      </c>
      <c r="T8644">
        <v>1</v>
      </c>
    </row>
    <row r="8645" spans="18:20" x14ac:dyDescent="0.25">
      <c r="R8645">
        <v>261</v>
      </c>
      <c r="S8645">
        <v>109</v>
      </c>
      <c r="T8645">
        <v>2</v>
      </c>
    </row>
    <row r="8646" spans="18:20" x14ac:dyDescent="0.25">
      <c r="R8646">
        <v>261</v>
      </c>
      <c r="S8646">
        <v>110</v>
      </c>
      <c r="T8646">
        <v>1</v>
      </c>
    </row>
    <row r="8647" spans="18:20" x14ac:dyDescent="0.25">
      <c r="R8647">
        <v>261</v>
      </c>
      <c r="S8647">
        <v>119</v>
      </c>
      <c r="T8647">
        <v>4</v>
      </c>
    </row>
    <row r="8648" spans="18:20" x14ac:dyDescent="0.25">
      <c r="R8648">
        <v>261</v>
      </c>
      <c r="S8648">
        <v>120</v>
      </c>
      <c r="T8648">
        <v>2</v>
      </c>
    </row>
    <row r="8649" spans="18:20" x14ac:dyDescent="0.25">
      <c r="R8649">
        <v>261</v>
      </c>
      <c r="S8649">
        <v>121</v>
      </c>
      <c r="T8649">
        <v>3</v>
      </c>
    </row>
    <row r="8650" spans="18:20" x14ac:dyDescent="0.25">
      <c r="R8650">
        <v>261</v>
      </c>
      <c r="S8650">
        <v>124</v>
      </c>
      <c r="T8650">
        <v>1</v>
      </c>
    </row>
    <row r="8651" spans="18:20" x14ac:dyDescent="0.25">
      <c r="R8651">
        <v>261</v>
      </c>
      <c r="S8651">
        <v>127</v>
      </c>
      <c r="T8651">
        <v>5</v>
      </c>
    </row>
    <row r="8652" spans="18:20" x14ac:dyDescent="0.25">
      <c r="R8652">
        <v>261</v>
      </c>
      <c r="S8652">
        <v>132</v>
      </c>
      <c r="T8652">
        <v>4</v>
      </c>
    </row>
    <row r="8653" spans="18:20" x14ac:dyDescent="0.25">
      <c r="R8653">
        <v>261</v>
      </c>
      <c r="S8653">
        <v>140</v>
      </c>
      <c r="T8653">
        <v>4</v>
      </c>
    </row>
    <row r="8654" spans="18:20" x14ac:dyDescent="0.25">
      <c r="R8654">
        <v>261</v>
      </c>
      <c r="S8654">
        <v>143</v>
      </c>
      <c r="T8654">
        <v>3</v>
      </c>
    </row>
    <row r="8655" spans="18:20" x14ac:dyDescent="0.25">
      <c r="R8655">
        <v>261</v>
      </c>
      <c r="S8655">
        <v>159</v>
      </c>
      <c r="T8655">
        <v>4</v>
      </c>
    </row>
    <row r="8656" spans="18:20" x14ac:dyDescent="0.25">
      <c r="R8656">
        <v>261</v>
      </c>
      <c r="S8656">
        <v>218</v>
      </c>
      <c r="T8656">
        <v>1</v>
      </c>
    </row>
    <row r="8657" spans="18:20" x14ac:dyDescent="0.25">
      <c r="R8657">
        <v>261</v>
      </c>
      <c r="S8657">
        <v>248</v>
      </c>
      <c r="T8657">
        <v>2</v>
      </c>
    </row>
    <row r="8658" spans="18:20" x14ac:dyDescent="0.25">
      <c r="R8658">
        <v>261</v>
      </c>
      <c r="S8658">
        <v>255</v>
      </c>
      <c r="T8658">
        <v>1</v>
      </c>
    </row>
    <row r="8659" spans="18:20" x14ac:dyDescent="0.25">
      <c r="R8659">
        <v>261</v>
      </c>
      <c r="S8659">
        <v>265</v>
      </c>
      <c r="T8659">
        <v>3</v>
      </c>
    </row>
    <row r="8660" spans="18:20" x14ac:dyDescent="0.25">
      <c r="R8660">
        <v>261</v>
      </c>
      <c r="S8660">
        <v>281</v>
      </c>
      <c r="T8660">
        <v>3</v>
      </c>
    </row>
    <row r="8661" spans="18:20" x14ac:dyDescent="0.25">
      <c r="R8661">
        <v>261</v>
      </c>
      <c r="S8661">
        <v>289</v>
      </c>
      <c r="T8661">
        <v>3</v>
      </c>
    </row>
    <row r="8662" spans="18:20" x14ac:dyDescent="0.25">
      <c r="R8662">
        <v>261</v>
      </c>
      <c r="S8662">
        <v>295</v>
      </c>
      <c r="T8662">
        <v>3</v>
      </c>
    </row>
    <row r="8663" spans="18:20" x14ac:dyDescent="0.25">
      <c r="R8663">
        <v>261</v>
      </c>
      <c r="S8663">
        <v>306</v>
      </c>
      <c r="T8663">
        <v>3</v>
      </c>
    </row>
    <row r="8664" spans="18:20" x14ac:dyDescent="0.25">
      <c r="R8664">
        <v>261</v>
      </c>
      <c r="S8664">
        <v>309</v>
      </c>
      <c r="T8664">
        <v>5</v>
      </c>
    </row>
    <row r="8665" spans="18:20" x14ac:dyDescent="0.25">
      <c r="R8665">
        <v>261</v>
      </c>
      <c r="S8665">
        <v>312</v>
      </c>
      <c r="T8665">
        <v>3</v>
      </c>
    </row>
    <row r="8666" spans="18:20" x14ac:dyDescent="0.25">
      <c r="R8666">
        <v>261</v>
      </c>
      <c r="S8666">
        <v>313</v>
      </c>
      <c r="T8666">
        <v>3</v>
      </c>
    </row>
    <row r="8667" spans="18:20" x14ac:dyDescent="0.25">
      <c r="R8667">
        <v>261</v>
      </c>
      <c r="S8667">
        <v>342</v>
      </c>
      <c r="T8667">
        <v>1</v>
      </c>
    </row>
    <row r="8668" spans="18:20" x14ac:dyDescent="0.25">
      <c r="R8668">
        <v>261</v>
      </c>
      <c r="S8668">
        <v>343</v>
      </c>
      <c r="T8668">
        <v>3</v>
      </c>
    </row>
    <row r="8669" spans="18:20" x14ac:dyDescent="0.25">
      <c r="R8669">
        <v>261</v>
      </c>
      <c r="S8669">
        <v>362</v>
      </c>
      <c r="T8669">
        <v>3</v>
      </c>
    </row>
    <row r="8670" spans="18:20" x14ac:dyDescent="0.25">
      <c r="R8670">
        <v>261</v>
      </c>
      <c r="S8670">
        <v>364</v>
      </c>
      <c r="T8670">
        <v>2</v>
      </c>
    </row>
    <row r="8671" spans="18:20" x14ac:dyDescent="0.25">
      <c r="R8671">
        <v>261</v>
      </c>
      <c r="S8671">
        <v>392</v>
      </c>
      <c r="T8671">
        <v>1</v>
      </c>
    </row>
    <row r="8672" spans="18:20" x14ac:dyDescent="0.25">
      <c r="R8672">
        <v>261</v>
      </c>
      <c r="S8672">
        <v>392</v>
      </c>
      <c r="T8672">
        <v>4</v>
      </c>
    </row>
    <row r="8673" spans="18:20" x14ac:dyDescent="0.25">
      <c r="R8673">
        <v>261</v>
      </c>
      <c r="S8673">
        <v>425</v>
      </c>
      <c r="T8673">
        <v>2</v>
      </c>
    </row>
    <row r="8674" spans="18:20" x14ac:dyDescent="0.25">
      <c r="R8674">
        <v>261</v>
      </c>
      <c r="S8674">
        <v>433</v>
      </c>
      <c r="T8674">
        <v>3</v>
      </c>
    </row>
    <row r="8675" spans="18:20" x14ac:dyDescent="0.25">
      <c r="R8675">
        <v>262</v>
      </c>
      <c r="S8675">
        <v>8</v>
      </c>
      <c r="T8675">
        <v>5</v>
      </c>
    </row>
    <row r="8676" spans="18:20" x14ac:dyDescent="0.25">
      <c r="R8676">
        <v>262</v>
      </c>
      <c r="S8676">
        <v>11</v>
      </c>
      <c r="T8676">
        <v>5</v>
      </c>
    </row>
    <row r="8677" spans="18:20" x14ac:dyDescent="0.25">
      <c r="R8677">
        <v>262</v>
      </c>
      <c r="S8677">
        <v>15</v>
      </c>
      <c r="T8677">
        <v>1</v>
      </c>
    </row>
    <row r="8678" spans="18:20" x14ac:dyDescent="0.25">
      <c r="R8678">
        <v>262</v>
      </c>
      <c r="S8678">
        <v>37</v>
      </c>
      <c r="T8678">
        <v>2</v>
      </c>
    </row>
    <row r="8679" spans="18:20" x14ac:dyDescent="0.25">
      <c r="R8679">
        <v>262</v>
      </c>
      <c r="S8679">
        <v>43</v>
      </c>
      <c r="T8679">
        <v>4</v>
      </c>
    </row>
    <row r="8680" spans="18:20" x14ac:dyDescent="0.25">
      <c r="R8680">
        <v>262</v>
      </c>
      <c r="S8680">
        <v>47</v>
      </c>
      <c r="T8680">
        <v>1</v>
      </c>
    </row>
    <row r="8681" spans="18:20" x14ac:dyDescent="0.25">
      <c r="R8681">
        <v>262</v>
      </c>
      <c r="S8681">
        <v>54</v>
      </c>
      <c r="T8681">
        <v>4</v>
      </c>
    </row>
    <row r="8682" spans="18:20" x14ac:dyDescent="0.25">
      <c r="R8682">
        <v>262</v>
      </c>
      <c r="S8682">
        <v>57</v>
      </c>
      <c r="T8682">
        <v>3</v>
      </c>
    </row>
    <row r="8683" spans="18:20" x14ac:dyDescent="0.25">
      <c r="R8683">
        <v>262</v>
      </c>
      <c r="S8683">
        <v>67</v>
      </c>
      <c r="T8683">
        <v>3</v>
      </c>
    </row>
    <row r="8684" spans="18:20" x14ac:dyDescent="0.25">
      <c r="R8684">
        <v>262</v>
      </c>
      <c r="S8684">
        <v>68</v>
      </c>
      <c r="T8684">
        <v>2</v>
      </c>
    </row>
    <row r="8685" spans="18:20" x14ac:dyDescent="0.25">
      <c r="R8685">
        <v>262</v>
      </c>
      <c r="S8685">
        <v>85</v>
      </c>
      <c r="T8685">
        <v>1</v>
      </c>
    </row>
    <row r="8686" spans="18:20" x14ac:dyDescent="0.25">
      <c r="R8686">
        <v>262</v>
      </c>
      <c r="S8686">
        <v>120</v>
      </c>
      <c r="T8686">
        <v>5</v>
      </c>
    </row>
    <row r="8687" spans="18:20" x14ac:dyDescent="0.25">
      <c r="R8687">
        <v>262</v>
      </c>
      <c r="S8687">
        <v>137</v>
      </c>
      <c r="T8687">
        <v>4</v>
      </c>
    </row>
    <row r="8688" spans="18:20" x14ac:dyDescent="0.25">
      <c r="R8688">
        <v>262</v>
      </c>
      <c r="S8688">
        <v>174</v>
      </c>
      <c r="T8688">
        <v>1</v>
      </c>
    </row>
    <row r="8689" spans="18:20" x14ac:dyDescent="0.25">
      <c r="R8689">
        <v>262</v>
      </c>
      <c r="S8689">
        <v>208</v>
      </c>
      <c r="T8689">
        <v>3</v>
      </c>
    </row>
    <row r="8690" spans="18:20" x14ac:dyDescent="0.25">
      <c r="R8690">
        <v>262</v>
      </c>
      <c r="S8690">
        <v>244</v>
      </c>
      <c r="T8690">
        <v>5</v>
      </c>
    </row>
    <row r="8691" spans="18:20" x14ac:dyDescent="0.25">
      <c r="R8691">
        <v>262</v>
      </c>
      <c r="S8691">
        <v>246</v>
      </c>
      <c r="T8691">
        <v>5</v>
      </c>
    </row>
    <row r="8692" spans="18:20" x14ac:dyDescent="0.25">
      <c r="R8692">
        <v>262</v>
      </c>
      <c r="S8692">
        <v>247</v>
      </c>
      <c r="T8692">
        <v>3</v>
      </c>
    </row>
    <row r="8693" spans="18:20" x14ac:dyDescent="0.25">
      <c r="R8693">
        <v>262</v>
      </c>
      <c r="S8693">
        <v>261</v>
      </c>
      <c r="T8693">
        <v>5</v>
      </c>
    </row>
    <row r="8694" spans="18:20" x14ac:dyDescent="0.25">
      <c r="R8694">
        <v>262</v>
      </c>
      <c r="S8694">
        <v>263</v>
      </c>
      <c r="T8694">
        <v>2</v>
      </c>
    </row>
    <row r="8695" spans="18:20" x14ac:dyDescent="0.25">
      <c r="R8695">
        <v>262</v>
      </c>
      <c r="S8695">
        <v>269</v>
      </c>
      <c r="T8695">
        <v>3</v>
      </c>
    </row>
    <row r="8696" spans="18:20" x14ac:dyDescent="0.25">
      <c r="R8696">
        <v>262</v>
      </c>
      <c r="S8696">
        <v>278</v>
      </c>
      <c r="T8696">
        <v>4</v>
      </c>
    </row>
    <row r="8697" spans="18:20" x14ac:dyDescent="0.25">
      <c r="R8697">
        <v>262</v>
      </c>
      <c r="S8697">
        <v>287</v>
      </c>
      <c r="T8697">
        <v>5</v>
      </c>
    </row>
    <row r="8698" spans="18:20" x14ac:dyDescent="0.25">
      <c r="R8698">
        <v>262</v>
      </c>
      <c r="S8698">
        <v>305</v>
      </c>
      <c r="T8698">
        <v>1</v>
      </c>
    </row>
    <row r="8699" spans="18:20" x14ac:dyDescent="0.25">
      <c r="R8699">
        <v>262</v>
      </c>
      <c r="S8699">
        <v>313</v>
      </c>
      <c r="T8699">
        <v>5</v>
      </c>
    </row>
    <row r="8700" spans="18:20" x14ac:dyDescent="0.25">
      <c r="R8700">
        <v>262</v>
      </c>
      <c r="S8700">
        <v>328</v>
      </c>
      <c r="T8700">
        <v>1</v>
      </c>
    </row>
    <row r="8701" spans="18:20" x14ac:dyDescent="0.25">
      <c r="R8701">
        <v>262</v>
      </c>
      <c r="S8701">
        <v>342</v>
      </c>
      <c r="T8701">
        <v>5</v>
      </c>
    </row>
    <row r="8702" spans="18:20" x14ac:dyDescent="0.25">
      <c r="R8702">
        <v>262</v>
      </c>
      <c r="S8702">
        <v>356</v>
      </c>
      <c r="T8702">
        <v>4</v>
      </c>
    </row>
    <row r="8703" spans="18:20" x14ac:dyDescent="0.25">
      <c r="R8703">
        <v>262</v>
      </c>
      <c r="S8703">
        <v>362</v>
      </c>
      <c r="T8703">
        <v>2</v>
      </c>
    </row>
    <row r="8704" spans="18:20" x14ac:dyDescent="0.25">
      <c r="R8704">
        <v>262</v>
      </c>
      <c r="S8704">
        <v>376</v>
      </c>
      <c r="T8704">
        <v>4</v>
      </c>
    </row>
    <row r="8705" spans="18:20" x14ac:dyDescent="0.25">
      <c r="R8705">
        <v>262</v>
      </c>
      <c r="S8705">
        <v>376</v>
      </c>
      <c r="T8705">
        <v>1</v>
      </c>
    </row>
    <row r="8706" spans="18:20" x14ac:dyDescent="0.25">
      <c r="R8706">
        <v>262</v>
      </c>
      <c r="S8706">
        <v>394</v>
      </c>
      <c r="T8706">
        <v>5</v>
      </c>
    </row>
    <row r="8707" spans="18:20" x14ac:dyDescent="0.25">
      <c r="R8707">
        <v>262</v>
      </c>
      <c r="S8707">
        <v>395</v>
      </c>
      <c r="T8707">
        <v>3</v>
      </c>
    </row>
    <row r="8708" spans="18:20" x14ac:dyDescent="0.25">
      <c r="R8708">
        <v>262</v>
      </c>
      <c r="S8708">
        <v>395</v>
      </c>
      <c r="T8708">
        <v>2</v>
      </c>
    </row>
    <row r="8709" spans="18:20" x14ac:dyDescent="0.25">
      <c r="R8709">
        <v>262</v>
      </c>
      <c r="S8709">
        <v>405</v>
      </c>
      <c r="T8709">
        <v>1</v>
      </c>
    </row>
    <row r="8710" spans="18:20" x14ac:dyDescent="0.25">
      <c r="R8710">
        <v>262</v>
      </c>
      <c r="S8710">
        <v>411</v>
      </c>
      <c r="T8710">
        <v>1</v>
      </c>
    </row>
    <row r="8711" spans="18:20" x14ac:dyDescent="0.25">
      <c r="R8711">
        <v>262</v>
      </c>
      <c r="S8711">
        <v>418</v>
      </c>
      <c r="T8711">
        <v>3</v>
      </c>
    </row>
    <row r="8712" spans="18:20" x14ac:dyDescent="0.25">
      <c r="R8712">
        <v>263</v>
      </c>
      <c r="S8712">
        <v>11</v>
      </c>
      <c r="T8712">
        <v>1</v>
      </c>
    </row>
    <row r="8713" spans="18:20" x14ac:dyDescent="0.25">
      <c r="R8713">
        <v>263</v>
      </c>
      <c r="S8713">
        <v>22</v>
      </c>
      <c r="T8713">
        <v>2</v>
      </c>
    </row>
    <row r="8714" spans="18:20" x14ac:dyDescent="0.25">
      <c r="R8714">
        <v>263</v>
      </c>
      <c r="S8714">
        <v>37</v>
      </c>
      <c r="T8714">
        <v>1</v>
      </c>
    </row>
    <row r="8715" spans="18:20" x14ac:dyDescent="0.25">
      <c r="R8715">
        <v>263</v>
      </c>
      <c r="S8715">
        <v>39</v>
      </c>
      <c r="T8715">
        <v>4</v>
      </c>
    </row>
    <row r="8716" spans="18:20" x14ac:dyDescent="0.25">
      <c r="R8716">
        <v>263</v>
      </c>
      <c r="S8716">
        <v>39</v>
      </c>
      <c r="T8716">
        <v>4</v>
      </c>
    </row>
    <row r="8717" spans="18:20" x14ac:dyDescent="0.25">
      <c r="R8717">
        <v>263</v>
      </c>
      <c r="S8717">
        <v>49</v>
      </c>
      <c r="T8717">
        <v>2</v>
      </c>
    </row>
    <row r="8718" spans="18:20" x14ac:dyDescent="0.25">
      <c r="R8718">
        <v>263</v>
      </c>
      <c r="S8718">
        <v>65</v>
      </c>
      <c r="T8718">
        <v>5</v>
      </c>
    </row>
    <row r="8719" spans="18:20" x14ac:dyDescent="0.25">
      <c r="R8719">
        <v>263</v>
      </c>
      <c r="S8719">
        <v>93</v>
      </c>
      <c r="T8719">
        <v>4</v>
      </c>
    </row>
    <row r="8720" spans="18:20" x14ac:dyDescent="0.25">
      <c r="R8720">
        <v>263</v>
      </c>
      <c r="S8720">
        <v>115</v>
      </c>
      <c r="T8720">
        <v>4</v>
      </c>
    </row>
    <row r="8721" spans="18:20" x14ac:dyDescent="0.25">
      <c r="R8721">
        <v>263</v>
      </c>
      <c r="S8721">
        <v>120</v>
      </c>
      <c r="T8721">
        <v>5</v>
      </c>
    </row>
    <row r="8722" spans="18:20" x14ac:dyDescent="0.25">
      <c r="R8722">
        <v>263</v>
      </c>
      <c r="S8722">
        <v>121</v>
      </c>
      <c r="T8722">
        <v>3</v>
      </c>
    </row>
    <row r="8723" spans="18:20" x14ac:dyDescent="0.25">
      <c r="R8723">
        <v>263</v>
      </c>
      <c r="S8723">
        <v>137</v>
      </c>
      <c r="T8723">
        <v>1</v>
      </c>
    </row>
    <row r="8724" spans="18:20" x14ac:dyDescent="0.25">
      <c r="R8724">
        <v>263</v>
      </c>
      <c r="S8724">
        <v>154</v>
      </c>
      <c r="T8724">
        <v>3</v>
      </c>
    </row>
    <row r="8725" spans="18:20" x14ac:dyDescent="0.25">
      <c r="R8725">
        <v>263</v>
      </c>
      <c r="S8725">
        <v>176</v>
      </c>
      <c r="T8725">
        <v>2</v>
      </c>
    </row>
    <row r="8726" spans="18:20" x14ac:dyDescent="0.25">
      <c r="R8726">
        <v>263</v>
      </c>
      <c r="S8726">
        <v>181</v>
      </c>
      <c r="T8726">
        <v>3</v>
      </c>
    </row>
    <row r="8727" spans="18:20" x14ac:dyDescent="0.25">
      <c r="R8727">
        <v>263</v>
      </c>
      <c r="S8727">
        <v>189</v>
      </c>
      <c r="T8727">
        <v>3</v>
      </c>
    </row>
    <row r="8728" spans="18:20" x14ac:dyDescent="0.25">
      <c r="R8728">
        <v>263</v>
      </c>
      <c r="S8728">
        <v>192</v>
      </c>
      <c r="T8728">
        <v>5</v>
      </c>
    </row>
    <row r="8729" spans="18:20" x14ac:dyDescent="0.25">
      <c r="R8729">
        <v>263</v>
      </c>
      <c r="S8729">
        <v>232</v>
      </c>
      <c r="T8729">
        <v>5</v>
      </c>
    </row>
    <row r="8730" spans="18:20" x14ac:dyDescent="0.25">
      <c r="R8730">
        <v>263</v>
      </c>
      <c r="S8730">
        <v>232</v>
      </c>
      <c r="T8730">
        <v>5</v>
      </c>
    </row>
    <row r="8731" spans="18:20" x14ac:dyDescent="0.25">
      <c r="R8731">
        <v>263</v>
      </c>
      <c r="S8731">
        <v>236</v>
      </c>
      <c r="T8731">
        <v>5</v>
      </c>
    </row>
    <row r="8732" spans="18:20" x14ac:dyDescent="0.25">
      <c r="R8732">
        <v>263</v>
      </c>
      <c r="S8732">
        <v>236</v>
      </c>
      <c r="T8732">
        <v>1</v>
      </c>
    </row>
    <row r="8733" spans="18:20" x14ac:dyDescent="0.25">
      <c r="R8733">
        <v>263</v>
      </c>
      <c r="S8733">
        <v>240</v>
      </c>
      <c r="T8733">
        <v>1</v>
      </c>
    </row>
    <row r="8734" spans="18:20" x14ac:dyDescent="0.25">
      <c r="R8734">
        <v>263</v>
      </c>
      <c r="S8734">
        <v>242</v>
      </c>
      <c r="T8734">
        <v>3</v>
      </c>
    </row>
    <row r="8735" spans="18:20" x14ac:dyDescent="0.25">
      <c r="R8735">
        <v>263</v>
      </c>
      <c r="S8735">
        <v>254</v>
      </c>
      <c r="T8735">
        <v>5</v>
      </c>
    </row>
    <row r="8736" spans="18:20" x14ac:dyDescent="0.25">
      <c r="R8736">
        <v>263</v>
      </c>
      <c r="S8736">
        <v>268</v>
      </c>
      <c r="T8736">
        <v>3</v>
      </c>
    </row>
    <row r="8737" spans="18:20" x14ac:dyDescent="0.25">
      <c r="R8737">
        <v>263</v>
      </c>
      <c r="S8737">
        <v>300</v>
      </c>
      <c r="T8737">
        <v>1</v>
      </c>
    </row>
    <row r="8738" spans="18:20" x14ac:dyDescent="0.25">
      <c r="R8738">
        <v>263</v>
      </c>
      <c r="S8738">
        <v>306</v>
      </c>
      <c r="T8738">
        <v>5</v>
      </c>
    </row>
    <row r="8739" spans="18:20" x14ac:dyDescent="0.25">
      <c r="R8739">
        <v>263</v>
      </c>
      <c r="S8739">
        <v>341</v>
      </c>
      <c r="T8739">
        <v>1</v>
      </c>
    </row>
    <row r="8740" spans="18:20" x14ac:dyDescent="0.25">
      <c r="R8740">
        <v>263</v>
      </c>
      <c r="S8740">
        <v>347</v>
      </c>
      <c r="T8740">
        <v>5</v>
      </c>
    </row>
    <row r="8741" spans="18:20" x14ac:dyDescent="0.25">
      <c r="R8741">
        <v>263</v>
      </c>
      <c r="S8741">
        <v>375</v>
      </c>
      <c r="T8741">
        <v>2</v>
      </c>
    </row>
    <row r="8742" spans="18:20" x14ac:dyDescent="0.25">
      <c r="R8742">
        <v>263</v>
      </c>
      <c r="S8742">
        <v>387</v>
      </c>
      <c r="T8742">
        <v>3</v>
      </c>
    </row>
    <row r="8743" spans="18:20" x14ac:dyDescent="0.25">
      <c r="R8743">
        <v>263</v>
      </c>
      <c r="S8743">
        <v>389</v>
      </c>
      <c r="T8743">
        <v>1</v>
      </c>
    </row>
    <row r="8744" spans="18:20" x14ac:dyDescent="0.25">
      <c r="R8744">
        <v>263</v>
      </c>
      <c r="S8744">
        <v>407</v>
      </c>
      <c r="T8744">
        <v>1</v>
      </c>
    </row>
    <row r="8745" spans="18:20" x14ac:dyDescent="0.25">
      <c r="R8745">
        <v>263</v>
      </c>
      <c r="S8745">
        <v>408</v>
      </c>
      <c r="T8745">
        <v>5</v>
      </c>
    </row>
    <row r="8746" spans="18:20" x14ac:dyDescent="0.25">
      <c r="R8746">
        <v>263</v>
      </c>
      <c r="S8746">
        <v>415</v>
      </c>
      <c r="T8746">
        <v>2</v>
      </c>
    </row>
    <row r="8747" spans="18:20" x14ac:dyDescent="0.25">
      <c r="R8747">
        <v>263</v>
      </c>
      <c r="S8747">
        <v>416</v>
      </c>
      <c r="T8747">
        <v>5</v>
      </c>
    </row>
    <row r="8748" spans="18:20" x14ac:dyDescent="0.25">
      <c r="R8748">
        <v>263</v>
      </c>
      <c r="S8748">
        <v>436</v>
      </c>
      <c r="T8748">
        <v>5</v>
      </c>
    </row>
    <row r="8749" spans="18:20" x14ac:dyDescent="0.25">
      <c r="R8749">
        <v>264</v>
      </c>
      <c r="S8749">
        <v>6</v>
      </c>
      <c r="T8749">
        <v>1</v>
      </c>
    </row>
    <row r="8750" spans="18:20" x14ac:dyDescent="0.25">
      <c r="R8750">
        <v>264</v>
      </c>
      <c r="S8750">
        <v>14</v>
      </c>
      <c r="T8750">
        <v>1</v>
      </c>
    </row>
    <row r="8751" spans="18:20" x14ac:dyDescent="0.25">
      <c r="R8751">
        <v>264</v>
      </c>
      <c r="S8751">
        <v>21</v>
      </c>
      <c r="T8751">
        <v>4</v>
      </c>
    </row>
    <row r="8752" spans="18:20" x14ac:dyDescent="0.25">
      <c r="R8752">
        <v>264</v>
      </c>
      <c r="S8752">
        <v>26</v>
      </c>
      <c r="T8752">
        <v>2</v>
      </c>
    </row>
    <row r="8753" spans="18:20" x14ac:dyDescent="0.25">
      <c r="R8753">
        <v>264</v>
      </c>
      <c r="S8753">
        <v>35</v>
      </c>
      <c r="T8753">
        <v>4</v>
      </c>
    </row>
    <row r="8754" spans="18:20" x14ac:dyDescent="0.25">
      <c r="R8754">
        <v>264</v>
      </c>
      <c r="S8754">
        <v>63</v>
      </c>
      <c r="T8754">
        <v>3</v>
      </c>
    </row>
    <row r="8755" spans="18:20" x14ac:dyDescent="0.25">
      <c r="R8755">
        <v>264</v>
      </c>
      <c r="S8755">
        <v>63</v>
      </c>
      <c r="T8755">
        <v>2</v>
      </c>
    </row>
    <row r="8756" spans="18:20" x14ac:dyDescent="0.25">
      <c r="R8756">
        <v>264</v>
      </c>
      <c r="S8756">
        <v>81</v>
      </c>
      <c r="T8756">
        <v>3</v>
      </c>
    </row>
    <row r="8757" spans="18:20" x14ac:dyDescent="0.25">
      <c r="R8757">
        <v>264</v>
      </c>
      <c r="S8757">
        <v>99</v>
      </c>
      <c r="T8757">
        <v>4</v>
      </c>
    </row>
    <row r="8758" spans="18:20" x14ac:dyDescent="0.25">
      <c r="R8758">
        <v>264</v>
      </c>
      <c r="S8758">
        <v>99</v>
      </c>
      <c r="T8758">
        <v>5</v>
      </c>
    </row>
    <row r="8759" spans="18:20" x14ac:dyDescent="0.25">
      <c r="R8759">
        <v>264</v>
      </c>
      <c r="S8759">
        <v>113</v>
      </c>
      <c r="T8759">
        <v>2</v>
      </c>
    </row>
    <row r="8760" spans="18:20" x14ac:dyDescent="0.25">
      <c r="R8760">
        <v>264</v>
      </c>
      <c r="S8760">
        <v>120</v>
      </c>
      <c r="T8760">
        <v>3</v>
      </c>
    </row>
    <row r="8761" spans="18:20" x14ac:dyDescent="0.25">
      <c r="R8761">
        <v>264</v>
      </c>
      <c r="S8761">
        <v>134</v>
      </c>
      <c r="T8761">
        <v>4</v>
      </c>
    </row>
    <row r="8762" spans="18:20" x14ac:dyDescent="0.25">
      <c r="R8762">
        <v>264</v>
      </c>
      <c r="S8762">
        <v>142</v>
      </c>
      <c r="T8762">
        <v>4</v>
      </c>
    </row>
    <row r="8763" spans="18:20" x14ac:dyDescent="0.25">
      <c r="R8763">
        <v>264</v>
      </c>
      <c r="S8763">
        <v>161</v>
      </c>
      <c r="T8763">
        <v>5</v>
      </c>
    </row>
    <row r="8764" spans="18:20" x14ac:dyDescent="0.25">
      <c r="R8764">
        <v>264</v>
      </c>
      <c r="S8764">
        <v>190</v>
      </c>
      <c r="T8764">
        <v>2</v>
      </c>
    </row>
    <row r="8765" spans="18:20" x14ac:dyDescent="0.25">
      <c r="R8765">
        <v>264</v>
      </c>
      <c r="S8765">
        <v>201</v>
      </c>
      <c r="T8765">
        <v>4</v>
      </c>
    </row>
    <row r="8766" spans="18:20" x14ac:dyDescent="0.25">
      <c r="R8766">
        <v>264</v>
      </c>
      <c r="S8766">
        <v>219</v>
      </c>
      <c r="T8766">
        <v>5</v>
      </c>
    </row>
    <row r="8767" spans="18:20" x14ac:dyDescent="0.25">
      <c r="R8767">
        <v>264</v>
      </c>
      <c r="S8767">
        <v>238</v>
      </c>
      <c r="T8767">
        <v>3</v>
      </c>
    </row>
    <row r="8768" spans="18:20" x14ac:dyDescent="0.25">
      <c r="R8768">
        <v>264</v>
      </c>
      <c r="S8768">
        <v>246</v>
      </c>
      <c r="T8768">
        <v>5</v>
      </c>
    </row>
    <row r="8769" spans="18:20" x14ac:dyDescent="0.25">
      <c r="R8769">
        <v>264</v>
      </c>
      <c r="S8769">
        <v>249</v>
      </c>
      <c r="T8769">
        <v>4</v>
      </c>
    </row>
    <row r="8770" spans="18:20" x14ac:dyDescent="0.25">
      <c r="R8770">
        <v>264</v>
      </c>
      <c r="S8770">
        <v>254</v>
      </c>
      <c r="T8770">
        <v>1</v>
      </c>
    </row>
    <row r="8771" spans="18:20" x14ac:dyDescent="0.25">
      <c r="R8771">
        <v>264</v>
      </c>
      <c r="S8771">
        <v>273</v>
      </c>
      <c r="T8771">
        <v>1</v>
      </c>
    </row>
    <row r="8772" spans="18:20" x14ac:dyDescent="0.25">
      <c r="R8772">
        <v>264</v>
      </c>
      <c r="S8772">
        <v>293</v>
      </c>
      <c r="T8772">
        <v>5</v>
      </c>
    </row>
    <row r="8773" spans="18:20" x14ac:dyDescent="0.25">
      <c r="R8773">
        <v>264</v>
      </c>
      <c r="S8773">
        <v>298</v>
      </c>
      <c r="T8773">
        <v>1</v>
      </c>
    </row>
    <row r="8774" spans="18:20" x14ac:dyDescent="0.25">
      <c r="R8774">
        <v>264</v>
      </c>
      <c r="S8774">
        <v>308</v>
      </c>
      <c r="T8774">
        <v>4</v>
      </c>
    </row>
    <row r="8775" spans="18:20" x14ac:dyDescent="0.25">
      <c r="R8775">
        <v>264</v>
      </c>
      <c r="S8775">
        <v>348</v>
      </c>
      <c r="T8775">
        <v>1</v>
      </c>
    </row>
    <row r="8776" spans="18:20" x14ac:dyDescent="0.25">
      <c r="R8776">
        <v>264</v>
      </c>
      <c r="S8776">
        <v>350</v>
      </c>
      <c r="T8776">
        <v>2</v>
      </c>
    </row>
    <row r="8777" spans="18:20" x14ac:dyDescent="0.25">
      <c r="R8777">
        <v>264</v>
      </c>
      <c r="S8777">
        <v>362</v>
      </c>
      <c r="T8777">
        <v>3</v>
      </c>
    </row>
    <row r="8778" spans="18:20" x14ac:dyDescent="0.25">
      <c r="R8778">
        <v>264</v>
      </c>
      <c r="S8778">
        <v>366</v>
      </c>
      <c r="T8778">
        <v>3</v>
      </c>
    </row>
    <row r="8779" spans="18:20" x14ac:dyDescent="0.25">
      <c r="R8779">
        <v>264</v>
      </c>
      <c r="S8779">
        <v>401</v>
      </c>
      <c r="T8779">
        <v>1</v>
      </c>
    </row>
    <row r="8780" spans="18:20" x14ac:dyDescent="0.25">
      <c r="R8780">
        <v>264</v>
      </c>
      <c r="S8780">
        <v>419</v>
      </c>
      <c r="T8780">
        <v>5</v>
      </c>
    </row>
    <row r="8781" spans="18:20" x14ac:dyDescent="0.25">
      <c r="R8781">
        <v>264</v>
      </c>
      <c r="S8781">
        <v>431</v>
      </c>
      <c r="T8781">
        <v>1</v>
      </c>
    </row>
    <row r="8782" spans="18:20" x14ac:dyDescent="0.25">
      <c r="R8782">
        <v>265</v>
      </c>
      <c r="S8782">
        <v>1</v>
      </c>
      <c r="T8782">
        <v>4</v>
      </c>
    </row>
    <row r="8783" spans="18:20" x14ac:dyDescent="0.25">
      <c r="R8783">
        <v>265</v>
      </c>
      <c r="S8783">
        <v>10</v>
      </c>
      <c r="T8783">
        <v>3</v>
      </c>
    </row>
    <row r="8784" spans="18:20" x14ac:dyDescent="0.25">
      <c r="R8784">
        <v>265</v>
      </c>
      <c r="S8784">
        <v>23</v>
      </c>
      <c r="T8784">
        <v>2</v>
      </c>
    </row>
    <row r="8785" spans="18:20" x14ac:dyDescent="0.25">
      <c r="R8785">
        <v>265</v>
      </c>
      <c r="S8785">
        <v>35</v>
      </c>
      <c r="T8785">
        <v>3</v>
      </c>
    </row>
    <row r="8786" spans="18:20" x14ac:dyDescent="0.25">
      <c r="R8786">
        <v>265</v>
      </c>
      <c r="S8786">
        <v>36</v>
      </c>
      <c r="T8786">
        <v>2</v>
      </c>
    </row>
    <row r="8787" spans="18:20" x14ac:dyDescent="0.25">
      <c r="R8787">
        <v>265</v>
      </c>
      <c r="S8787">
        <v>88</v>
      </c>
      <c r="T8787">
        <v>3</v>
      </c>
    </row>
    <row r="8788" spans="18:20" x14ac:dyDescent="0.25">
      <c r="R8788">
        <v>265</v>
      </c>
      <c r="S8788">
        <v>91</v>
      </c>
      <c r="T8788">
        <v>5</v>
      </c>
    </row>
    <row r="8789" spans="18:20" x14ac:dyDescent="0.25">
      <c r="R8789">
        <v>265</v>
      </c>
      <c r="S8789">
        <v>93</v>
      </c>
      <c r="T8789">
        <v>1</v>
      </c>
    </row>
    <row r="8790" spans="18:20" x14ac:dyDescent="0.25">
      <c r="R8790">
        <v>265</v>
      </c>
      <c r="S8790">
        <v>101</v>
      </c>
      <c r="T8790">
        <v>1</v>
      </c>
    </row>
    <row r="8791" spans="18:20" x14ac:dyDescent="0.25">
      <c r="R8791">
        <v>265</v>
      </c>
      <c r="S8791">
        <v>102</v>
      </c>
      <c r="T8791">
        <v>3</v>
      </c>
    </row>
    <row r="8792" spans="18:20" x14ac:dyDescent="0.25">
      <c r="R8792">
        <v>265</v>
      </c>
      <c r="S8792">
        <v>113</v>
      </c>
      <c r="T8792">
        <v>3</v>
      </c>
    </row>
    <row r="8793" spans="18:20" x14ac:dyDescent="0.25">
      <c r="R8793">
        <v>265</v>
      </c>
      <c r="S8793">
        <v>144</v>
      </c>
      <c r="T8793">
        <v>2</v>
      </c>
    </row>
    <row r="8794" spans="18:20" x14ac:dyDescent="0.25">
      <c r="R8794">
        <v>265</v>
      </c>
      <c r="S8794">
        <v>144</v>
      </c>
      <c r="T8794">
        <v>3</v>
      </c>
    </row>
    <row r="8795" spans="18:20" x14ac:dyDescent="0.25">
      <c r="R8795">
        <v>265</v>
      </c>
      <c r="S8795">
        <v>148</v>
      </c>
      <c r="T8795">
        <v>4</v>
      </c>
    </row>
    <row r="8796" spans="18:20" x14ac:dyDescent="0.25">
      <c r="R8796">
        <v>265</v>
      </c>
      <c r="S8796">
        <v>149</v>
      </c>
      <c r="T8796">
        <v>4</v>
      </c>
    </row>
    <row r="8797" spans="18:20" x14ac:dyDescent="0.25">
      <c r="R8797">
        <v>265</v>
      </c>
      <c r="S8797">
        <v>156</v>
      </c>
      <c r="T8797">
        <v>4</v>
      </c>
    </row>
    <row r="8798" spans="18:20" x14ac:dyDescent="0.25">
      <c r="R8798">
        <v>265</v>
      </c>
      <c r="S8798">
        <v>182</v>
      </c>
      <c r="T8798">
        <v>5</v>
      </c>
    </row>
    <row r="8799" spans="18:20" x14ac:dyDescent="0.25">
      <c r="R8799">
        <v>265</v>
      </c>
      <c r="S8799">
        <v>187</v>
      </c>
      <c r="T8799">
        <v>4</v>
      </c>
    </row>
    <row r="8800" spans="18:20" x14ac:dyDescent="0.25">
      <c r="R8800">
        <v>265</v>
      </c>
      <c r="S8800">
        <v>188</v>
      </c>
      <c r="T8800">
        <v>1</v>
      </c>
    </row>
    <row r="8801" spans="18:20" x14ac:dyDescent="0.25">
      <c r="R8801">
        <v>265</v>
      </c>
      <c r="S8801">
        <v>215</v>
      </c>
      <c r="T8801">
        <v>2</v>
      </c>
    </row>
    <row r="8802" spans="18:20" x14ac:dyDescent="0.25">
      <c r="R8802">
        <v>265</v>
      </c>
      <c r="S8802">
        <v>250</v>
      </c>
      <c r="T8802">
        <v>3</v>
      </c>
    </row>
    <row r="8803" spans="18:20" x14ac:dyDescent="0.25">
      <c r="R8803">
        <v>265</v>
      </c>
      <c r="S8803">
        <v>281</v>
      </c>
      <c r="T8803">
        <v>1</v>
      </c>
    </row>
    <row r="8804" spans="18:20" x14ac:dyDescent="0.25">
      <c r="R8804">
        <v>265</v>
      </c>
      <c r="S8804">
        <v>293</v>
      </c>
      <c r="T8804">
        <v>3</v>
      </c>
    </row>
    <row r="8805" spans="18:20" x14ac:dyDescent="0.25">
      <c r="R8805">
        <v>265</v>
      </c>
      <c r="S8805">
        <v>308</v>
      </c>
      <c r="T8805">
        <v>3</v>
      </c>
    </row>
    <row r="8806" spans="18:20" x14ac:dyDescent="0.25">
      <c r="R8806">
        <v>265</v>
      </c>
      <c r="S8806">
        <v>316</v>
      </c>
      <c r="T8806">
        <v>2</v>
      </c>
    </row>
    <row r="8807" spans="18:20" x14ac:dyDescent="0.25">
      <c r="R8807">
        <v>265</v>
      </c>
      <c r="S8807">
        <v>374</v>
      </c>
      <c r="T8807">
        <v>3</v>
      </c>
    </row>
    <row r="8808" spans="18:20" x14ac:dyDescent="0.25">
      <c r="R8808">
        <v>265</v>
      </c>
      <c r="S8808">
        <v>395</v>
      </c>
      <c r="T8808">
        <v>5</v>
      </c>
    </row>
    <row r="8809" spans="18:20" x14ac:dyDescent="0.25">
      <c r="R8809">
        <v>265</v>
      </c>
      <c r="S8809">
        <v>404</v>
      </c>
      <c r="T8809">
        <v>3</v>
      </c>
    </row>
    <row r="8810" spans="18:20" x14ac:dyDescent="0.25">
      <c r="R8810">
        <v>265</v>
      </c>
      <c r="S8810">
        <v>404</v>
      </c>
      <c r="T8810">
        <v>1</v>
      </c>
    </row>
    <row r="8811" spans="18:20" x14ac:dyDescent="0.25">
      <c r="R8811">
        <v>265</v>
      </c>
      <c r="S8811">
        <v>417</v>
      </c>
      <c r="T8811">
        <v>5</v>
      </c>
    </row>
    <row r="8812" spans="18:20" x14ac:dyDescent="0.25">
      <c r="R8812">
        <v>265</v>
      </c>
      <c r="S8812">
        <v>419</v>
      </c>
      <c r="T8812">
        <v>1</v>
      </c>
    </row>
    <row r="8813" spans="18:20" x14ac:dyDescent="0.25">
      <c r="R8813">
        <v>265</v>
      </c>
      <c r="S8813">
        <v>422</v>
      </c>
      <c r="T8813">
        <v>1</v>
      </c>
    </row>
    <row r="8814" spans="18:20" x14ac:dyDescent="0.25">
      <c r="R8814">
        <v>265</v>
      </c>
      <c r="S8814">
        <v>423</v>
      </c>
      <c r="T8814">
        <v>3</v>
      </c>
    </row>
    <row r="8815" spans="18:20" x14ac:dyDescent="0.25">
      <c r="R8815">
        <v>265</v>
      </c>
      <c r="S8815">
        <v>433</v>
      </c>
      <c r="T8815">
        <v>1</v>
      </c>
    </row>
    <row r="8816" spans="18:20" x14ac:dyDescent="0.25">
      <c r="R8816">
        <v>266</v>
      </c>
      <c r="S8816">
        <v>16</v>
      </c>
      <c r="T8816">
        <v>4</v>
      </c>
    </row>
    <row r="8817" spans="18:20" x14ac:dyDescent="0.25">
      <c r="R8817">
        <v>266</v>
      </c>
      <c r="S8817">
        <v>32</v>
      </c>
      <c r="T8817">
        <v>4</v>
      </c>
    </row>
    <row r="8818" spans="18:20" x14ac:dyDescent="0.25">
      <c r="R8818">
        <v>266</v>
      </c>
      <c r="S8818">
        <v>74</v>
      </c>
      <c r="T8818">
        <v>2</v>
      </c>
    </row>
    <row r="8819" spans="18:20" x14ac:dyDescent="0.25">
      <c r="R8819">
        <v>266</v>
      </c>
      <c r="S8819">
        <v>82</v>
      </c>
      <c r="T8819">
        <v>4</v>
      </c>
    </row>
    <row r="8820" spans="18:20" x14ac:dyDescent="0.25">
      <c r="R8820">
        <v>266</v>
      </c>
      <c r="S8820">
        <v>103</v>
      </c>
      <c r="T8820">
        <v>1</v>
      </c>
    </row>
    <row r="8821" spans="18:20" x14ac:dyDescent="0.25">
      <c r="R8821">
        <v>266</v>
      </c>
      <c r="S8821">
        <v>151</v>
      </c>
      <c r="T8821">
        <v>2</v>
      </c>
    </row>
    <row r="8822" spans="18:20" x14ac:dyDescent="0.25">
      <c r="R8822">
        <v>266</v>
      </c>
      <c r="S8822">
        <v>152</v>
      </c>
      <c r="T8822">
        <v>4</v>
      </c>
    </row>
    <row r="8823" spans="18:20" x14ac:dyDescent="0.25">
      <c r="R8823">
        <v>266</v>
      </c>
      <c r="S8823">
        <v>156</v>
      </c>
      <c r="T8823">
        <v>4</v>
      </c>
    </row>
    <row r="8824" spans="18:20" x14ac:dyDescent="0.25">
      <c r="R8824">
        <v>266</v>
      </c>
      <c r="S8824">
        <v>185</v>
      </c>
      <c r="T8824">
        <v>2</v>
      </c>
    </row>
    <row r="8825" spans="18:20" x14ac:dyDescent="0.25">
      <c r="R8825">
        <v>266</v>
      </c>
      <c r="S8825">
        <v>210</v>
      </c>
      <c r="T8825">
        <v>5</v>
      </c>
    </row>
    <row r="8826" spans="18:20" x14ac:dyDescent="0.25">
      <c r="R8826">
        <v>266</v>
      </c>
      <c r="S8826">
        <v>249</v>
      </c>
      <c r="T8826">
        <v>3</v>
      </c>
    </row>
    <row r="8827" spans="18:20" x14ac:dyDescent="0.25">
      <c r="R8827">
        <v>266</v>
      </c>
      <c r="S8827">
        <v>251</v>
      </c>
      <c r="T8827">
        <v>5</v>
      </c>
    </row>
    <row r="8828" spans="18:20" x14ac:dyDescent="0.25">
      <c r="R8828">
        <v>266</v>
      </c>
      <c r="S8828">
        <v>268</v>
      </c>
      <c r="T8828">
        <v>1</v>
      </c>
    </row>
    <row r="8829" spans="18:20" x14ac:dyDescent="0.25">
      <c r="R8829">
        <v>266</v>
      </c>
      <c r="S8829">
        <v>268</v>
      </c>
      <c r="T8829">
        <v>4</v>
      </c>
    </row>
    <row r="8830" spans="18:20" x14ac:dyDescent="0.25">
      <c r="R8830">
        <v>266</v>
      </c>
      <c r="S8830">
        <v>271</v>
      </c>
      <c r="T8830">
        <v>2</v>
      </c>
    </row>
    <row r="8831" spans="18:20" x14ac:dyDescent="0.25">
      <c r="R8831">
        <v>266</v>
      </c>
      <c r="S8831">
        <v>304</v>
      </c>
      <c r="T8831">
        <v>4</v>
      </c>
    </row>
    <row r="8832" spans="18:20" x14ac:dyDescent="0.25">
      <c r="R8832">
        <v>266</v>
      </c>
      <c r="S8832">
        <v>323</v>
      </c>
      <c r="T8832">
        <v>4</v>
      </c>
    </row>
    <row r="8833" spans="18:20" x14ac:dyDescent="0.25">
      <c r="R8833">
        <v>266</v>
      </c>
      <c r="S8833">
        <v>335</v>
      </c>
      <c r="T8833">
        <v>3</v>
      </c>
    </row>
    <row r="8834" spans="18:20" x14ac:dyDescent="0.25">
      <c r="R8834">
        <v>266</v>
      </c>
      <c r="S8834">
        <v>343</v>
      </c>
      <c r="T8834">
        <v>2</v>
      </c>
    </row>
    <row r="8835" spans="18:20" x14ac:dyDescent="0.25">
      <c r="R8835">
        <v>266</v>
      </c>
      <c r="S8835">
        <v>356</v>
      </c>
      <c r="T8835">
        <v>5</v>
      </c>
    </row>
    <row r="8836" spans="18:20" x14ac:dyDescent="0.25">
      <c r="R8836">
        <v>266</v>
      </c>
      <c r="S8836">
        <v>359</v>
      </c>
      <c r="T8836">
        <v>4</v>
      </c>
    </row>
    <row r="8837" spans="18:20" x14ac:dyDescent="0.25">
      <c r="R8837">
        <v>266</v>
      </c>
      <c r="S8837">
        <v>365</v>
      </c>
      <c r="T8837">
        <v>4</v>
      </c>
    </row>
    <row r="8838" spans="18:20" x14ac:dyDescent="0.25">
      <c r="R8838">
        <v>266</v>
      </c>
      <c r="S8838">
        <v>366</v>
      </c>
      <c r="T8838">
        <v>4</v>
      </c>
    </row>
    <row r="8839" spans="18:20" x14ac:dyDescent="0.25">
      <c r="R8839">
        <v>266</v>
      </c>
      <c r="S8839">
        <v>369</v>
      </c>
      <c r="T8839">
        <v>5</v>
      </c>
    </row>
    <row r="8840" spans="18:20" x14ac:dyDescent="0.25">
      <c r="R8840">
        <v>266</v>
      </c>
      <c r="S8840">
        <v>377</v>
      </c>
      <c r="T8840">
        <v>1</v>
      </c>
    </row>
    <row r="8841" spans="18:20" x14ac:dyDescent="0.25">
      <c r="R8841">
        <v>266</v>
      </c>
      <c r="S8841">
        <v>399</v>
      </c>
      <c r="T8841">
        <v>1</v>
      </c>
    </row>
    <row r="8842" spans="18:20" x14ac:dyDescent="0.25">
      <c r="R8842">
        <v>266</v>
      </c>
      <c r="S8842">
        <v>429</v>
      </c>
      <c r="T8842">
        <v>1</v>
      </c>
    </row>
    <row r="8843" spans="18:20" x14ac:dyDescent="0.25">
      <c r="R8843">
        <v>266</v>
      </c>
      <c r="S8843">
        <v>433</v>
      </c>
      <c r="T8843">
        <v>2</v>
      </c>
    </row>
    <row r="8844" spans="18:20" x14ac:dyDescent="0.25">
      <c r="R8844">
        <v>267</v>
      </c>
      <c r="S8844">
        <v>3</v>
      </c>
      <c r="T8844">
        <v>4</v>
      </c>
    </row>
    <row r="8845" spans="18:20" x14ac:dyDescent="0.25">
      <c r="R8845">
        <v>267</v>
      </c>
      <c r="S8845">
        <v>9</v>
      </c>
      <c r="T8845">
        <v>2</v>
      </c>
    </row>
    <row r="8846" spans="18:20" x14ac:dyDescent="0.25">
      <c r="R8846">
        <v>267</v>
      </c>
      <c r="S8846">
        <v>17</v>
      </c>
      <c r="T8846">
        <v>5</v>
      </c>
    </row>
    <row r="8847" spans="18:20" x14ac:dyDescent="0.25">
      <c r="R8847">
        <v>267</v>
      </c>
      <c r="S8847">
        <v>26</v>
      </c>
      <c r="T8847">
        <v>1</v>
      </c>
    </row>
    <row r="8848" spans="18:20" x14ac:dyDescent="0.25">
      <c r="R8848">
        <v>267</v>
      </c>
      <c r="S8848">
        <v>29</v>
      </c>
      <c r="T8848">
        <v>1</v>
      </c>
    </row>
    <row r="8849" spans="18:20" x14ac:dyDescent="0.25">
      <c r="R8849">
        <v>267</v>
      </c>
      <c r="S8849">
        <v>47</v>
      </c>
      <c r="T8849">
        <v>4</v>
      </c>
    </row>
    <row r="8850" spans="18:20" x14ac:dyDescent="0.25">
      <c r="R8850">
        <v>267</v>
      </c>
      <c r="S8850">
        <v>49</v>
      </c>
      <c r="T8850">
        <v>5</v>
      </c>
    </row>
    <row r="8851" spans="18:20" x14ac:dyDescent="0.25">
      <c r="R8851">
        <v>267</v>
      </c>
      <c r="S8851">
        <v>51</v>
      </c>
      <c r="T8851">
        <v>5</v>
      </c>
    </row>
    <row r="8852" spans="18:20" x14ac:dyDescent="0.25">
      <c r="R8852">
        <v>267</v>
      </c>
      <c r="S8852">
        <v>54</v>
      </c>
      <c r="T8852">
        <v>2</v>
      </c>
    </row>
    <row r="8853" spans="18:20" x14ac:dyDescent="0.25">
      <c r="R8853">
        <v>267</v>
      </c>
      <c r="S8853">
        <v>56</v>
      </c>
      <c r="T8853">
        <v>4</v>
      </c>
    </row>
    <row r="8854" spans="18:20" x14ac:dyDescent="0.25">
      <c r="R8854">
        <v>267</v>
      </c>
      <c r="S8854">
        <v>90</v>
      </c>
      <c r="T8854">
        <v>5</v>
      </c>
    </row>
    <row r="8855" spans="18:20" x14ac:dyDescent="0.25">
      <c r="R8855">
        <v>267</v>
      </c>
      <c r="S8855">
        <v>99</v>
      </c>
      <c r="T8855">
        <v>4</v>
      </c>
    </row>
    <row r="8856" spans="18:20" x14ac:dyDescent="0.25">
      <c r="R8856">
        <v>267</v>
      </c>
      <c r="S8856">
        <v>106</v>
      </c>
      <c r="T8856">
        <v>4</v>
      </c>
    </row>
    <row r="8857" spans="18:20" x14ac:dyDescent="0.25">
      <c r="R8857">
        <v>267</v>
      </c>
      <c r="S8857">
        <v>132</v>
      </c>
      <c r="T8857">
        <v>4</v>
      </c>
    </row>
    <row r="8858" spans="18:20" x14ac:dyDescent="0.25">
      <c r="R8858">
        <v>267</v>
      </c>
      <c r="S8858">
        <v>134</v>
      </c>
      <c r="T8858">
        <v>1</v>
      </c>
    </row>
    <row r="8859" spans="18:20" x14ac:dyDescent="0.25">
      <c r="R8859">
        <v>267</v>
      </c>
      <c r="S8859">
        <v>140</v>
      </c>
      <c r="T8859">
        <v>3</v>
      </c>
    </row>
    <row r="8860" spans="18:20" x14ac:dyDescent="0.25">
      <c r="R8860">
        <v>267</v>
      </c>
      <c r="S8860">
        <v>145</v>
      </c>
      <c r="T8860">
        <v>5</v>
      </c>
    </row>
    <row r="8861" spans="18:20" x14ac:dyDescent="0.25">
      <c r="R8861">
        <v>267</v>
      </c>
      <c r="S8861">
        <v>147</v>
      </c>
      <c r="T8861">
        <v>3</v>
      </c>
    </row>
    <row r="8862" spans="18:20" x14ac:dyDescent="0.25">
      <c r="R8862">
        <v>267</v>
      </c>
      <c r="S8862">
        <v>162</v>
      </c>
      <c r="T8862">
        <v>4</v>
      </c>
    </row>
    <row r="8863" spans="18:20" x14ac:dyDescent="0.25">
      <c r="R8863">
        <v>267</v>
      </c>
      <c r="S8863">
        <v>182</v>
      </c>
      <c r="T8863">
        <v>5</v>
      </c>
    </row>
    <row r="8864" spans="18:20" x14ac:dyDescent="0.25">
      <c r="R8864">
        <v>267</v>
      </c>
      <c r="S8864">
        <v>190</v>
      </c>
      <c r="T8864">
        <v>1</v>
      </c>
    </row>
    <row r="8865" spans="18:20" x14ac:dyDescent="0.25">
      <c r="R8865">
        <v>267</v>
      </c>
      <c r="S8865">
        <v>195</v>
      </c>
      <c r="T8865">
        <v>2</v>
      </c>
    </row>
    <row r="8866" spans="18:20" x14ac:dyDescent="0.25">
      <c r="R8866">
        <v>267</v>
      </c>
      <c r="S8866">
        <v>211</v>
      </c>
      <c r="T8866">
        <v>1</v>
      </c>
    </row>
    <row r="8867" spans="18:20" x14ac:dyDescent="0.25">
      <c r="R8867">
        <v>267</v>
      </c>
      <c r="S8867">
        <v>215</v>
      </c>
      <c r="T8867">
        <v>1</v>
      </c>
    </row>
    <row r="8868" spans="18:20" x14ac:dyDescent="0.25">
      <c r="R8868">
        <v>267</v>
      </c>
      <c r="S8868">
        <v>216</v>
      </c>
      <c r="T8868">
        <v>4</v>
      </c>
    </row>
    <row r="8869" spans="18:20" x14ac:dyDescent="0.25">
      <c r="R8869">
        <v>267</v>
      </c>
      <c r="S8869">
        <v>236</v>
      </c>
      <c r="T8869">
        <v>5</v>
      </c>
    </row>
    <row r="8870" spans="18:20" x14ac:dyDescent="0.25">
      <c r="R8870">
        <v>267</v>
      </c>
      <c r="S8870">
        <v>246</v>
      </c>
      <c r="T8870">
        <v>2</v>
      </c>
    </row>
    <row r="8871" spans="18:20" x14ac:dyDescent="0.25">
      <c r="R8871">
        <v>267</v>
      </c>
      <c r="S8871">
        <v>252</v>
      </c>
      <c r="T8871">
        <v>2</v>
      </c>
    </row>
    <row r="8872" spans="18:20" x14ac:dyDescent="0.25">
      <c r="R8872">
        <v>267</v>
      </c>
      <c r="S8872">
        <v>255</v>
      </c>
      <c r="T8872">
        <v>2</v>
      </c>
    </row>
    <row r="8873" spans="18:20" x14ac:dyDescent="0.25">
      <c r="R8873">
        <v>267</v>
      </c>
      <c r="S8873">
        <v>258</v>
      </c>
      <c r="T8873">
        <v>5</v>
      </c>
    </row>
    <row r="8874" spans="18:20" x14ac:dyDescent="0.25">
      <c r="R8874">
        <v>267</v>
      </c>
      <c r="S8874">
        <v>260</v>
      </c>
      <c r="T8874">
        <v>1</v>
      </c>
    </row>
    <row r="8875" spans="18:20" x14ac:dyDescent="0.25">
      <c r="R8875">
        <v>267</v>
      </c>
      <c r="S8875">
        <v>261</v>
      </c>
      <c r="T8875">
        <v>3</v>
      </c>
    </row>
    <row r="8876" spans="18:20" x14ac:dyDescent="0.25">
      <c r="R8876">
        <v>267</v>
      </c>
      <c r="S8876">
        <v>265</v>
      </c>
      <c r="T8876">
        <v>3</v>
      </c>
    </row>
    <row r="8877" spans="18:20" x14ac:dyDescent="0.25">
      <c r="R8877">
        <v>267</v>
      </c>
      <c r="S8877">
        <v>268</v>
      </c>
      <c r="T8877">
        <v>2</v>
      </c>
    </row>
    <row r="8878" spans="18:20" x14ac:dyDescent="0.25">
      <c r="R8878">
        <v>267</v>
      </c>
      <c r="S8878">
        <v>270</v>
      </c>
      <c r="T8878">
        <v>3</v>
      </c>
    </row>
    <row r="8879" spans="18:20" x14ac:dyDescent="0.25">
      <c r="R8879">
        <v>267</v>
      </c>
      <c r="S8879">
        <v>275</v>
      </c>
      <c r="T8879">
        <v>4</v>
      </c>
    </row>
    <row r="8880" spans="18:20" x14ac:dyDescent="0.25">
      <c r="R8880">
        <v>267</v>
      </c>
      <c r="S8880">
        <v>276</v>
      </c>
      <c r="T8880">
        <v>5</v>
      </c>
    </row>
    <row r="8881" spans="18:20" x14ac:dyDescent="0.25">
      <c r="R8881">
        <v>267</v>
      </c>
      <c r="S8881">
        <v>291</v>
      </c>
      <c r="T8881">
        <v>4</v>
      </c>
    </row>
    <row r="8882" spans="18:20" x14ac:dyDescent="0.25">
      <c r="R8882">
        <v>267</v>
      </c>
      <c r="S8882">
        <v>301</v>
      </c>
      <c r="T8882">
        <v>2</v>
      </c>
    </row>
    <row r="8883" spans="18:20" x14ac:dyDescent="0.25">
      <c r="R8883">
        <v>267</v>
      </c>
      <c r="S8883">
        <v>324</v>
      </c>
      <c r="T8883">
        <v>1</v>
      </c>
    </row>
    <row r="8884" spans="18:20" x14ac:dyDescent="0.25">
      <c r="R8884">
        <v>267</v>
      </c>
      <c r="S8884">
        <v>325</v>
      </c>
      <c r="T8884">
        <v>2</v>
      </c>
    </row>
    <row r="8885" spans="18:20" x14ac:dyDescent="0.25">
      <c r="R8885">
        <v>267</v>
      </c>
      <c r="S8885">
        <v>338</v>
      </c>
      <c r="T8885">
        <v>2</v>
      </c>
    </row>
    <row r="8886" spans="18:20" x14ac:dyDescent="0.25">
      <c r="R8886">
        <v>267</v>
      </c>
      <c r="S8886">
        <v>345</v>
      </c>
      <c r="T8886">
        <v>2</v>
      </c>
    </row>
    <row r="8887" spans="18:20" x14ac:dyDescent="0.25">
      <c r="R8887">
        <v>267</v>
      </c>
      <c r="S8887">
        <v>368</v>
      </c>
      <c r="T8887">
        <v>2</v>
      </c>
    </row>
    <row r="8888" spans="18:20" x14ac:dyDescent="0.25">
      <c r="R8888">
        <v>267</v>
      </c>
      <c r="S8888">
        <v>374</v>
      </c>
      <c r="T8888">
        <v>3</v>
      </c>
    </row>
    <row r="8889" spans="18:20" x14ac:dyDescent="0.25">
      <c r="R8889">
        <v>267</v>
      </c>
      <c r="S8889">
        <v>381</v>
      </c>
      <c r="T8889">
        <v>1</v>
      </c>
    </row>
    <row r="8890" spans="18:20" x14ac:dyDescent="0.25">
      <c r="R8890">
        <v>267</v>
      </c>
      <c r="S8890">
        <v>389</v>
      </c>
      <c r="T8890">
        <v>1</v>
      </c>
    </row>
    <row r="8891" spans="18:20" x14ac:dyDescent="0.25">
      <c r="R8891">
        <v>267</v>
      </c>
      <c r="S8891">
        <v>393</v>
      </c>
      <c r="T8891">
        <v>3</v>
      </c>
    </row>
    <row r="8892" spans="18:20" x14ac:dyDescent="0.25">
      <c r="R8892">
        <v>267</v>
      </c>
      <c r="S8892">
        <v>398</v>
      </c>
      <c r="T8892">
        <v>2</v>
      </c>
    </row>
    <row r="8893" spans="18:20" x14ac:dyDescent="0.25">
      <c r="R8893">
        <v>267</v>
      </c>
      <c r="S8893">
        <v>399</v>
      </c>
      <c r="T8893">
        <v>1</v>
      </c>
    </row>
    <row r="8894" spans="18:20" x14ac:dyDescent="0.25">
      <c r="R8894">
        <v>267</v>
      </c>
      <c r="S8894">
        <v>414</v>
      </c>
      <c r="T8894">
        <v>5</v>
      </c>
    </row>
    <row r="8895" spans="18:20" x14ac:dyDescent="0.25">
      <c r="R8895">
        <v>267</v>
      </c>
      <c r="S8895">
        <v>415</v>
      </c>
      <c r="T8895">
        <v>5</v>
      </c>
    </row>
    <row r="8896" spans="18:20" x14ac:dyDescent="0.25">
      <c r="R8896">
        <v>267</v>
      </c>
      <c r="S8896">
        <v>417</v>
      </c>
      <c r="T8896">
        <v>2</v>
      </c>
    </row>
    <row r="8897" spans="18:20" x14ac:dyDescent="0.25">
      <c r="R8897">
        <v>268</v>
      </c>
      <c r="S8897">
        <v>29</v>
      </c>
      <c r="T8897">
        <v>4</v>
      </c>
    </row>
    <row r="8898" spans="18:20" x14ac:dyDescent="0.25">
      <c r="R8898">
        <v>268</v>
      </c>
      <c r="S8898">
        <v>47</v>
      </c>
      <c r="T8898">
        <v>4</v>
      </c>
    </row>
    <row r="8899" spans="18:20" x14ac:dyDescent="0.25">
      <c r="R8899">
        <v>268</v>
      </c>
      <c r="S8899">
        <v>52</v>
      </c>
      <c r="T8899">
        <v>4</v>
      </c>
    </row>
    <row r="8900" spans="18:20" x14ac:dyDescent="0.25">
      <c r="R8900">
        <v>268</v>
      </c>
      <c r="S8900">
        <v>62</v>
      </c>
      <c r="T8900">
        <v>1</v>
      </c>
    </row>
    <row r="8901" spans="18:20" x14ac:dyDescent="0.25">
      <c r="R8901">
        <v>268</v>
      </c>
      <c r="S8901">
        <v>73</v>
      </c>
      <c r="T8901">
        <v>2</v>
      </c>
    </row>
    <row r="8902" spans="18:20" x14ac:dyDescent="0.25">
      <c r="R8902">
        <v>268</v>
      </c>
      <c r="S8902">
        <v>97</v>
      </c>
      <c r="T8902">
        <v>3</v>
      </c>
    </row>
    <row r="8903" spans="18:20" x14ac:dyDescent="0.25">
      <c r="R8903">
        <v>268</v>
      </c>
      <c r="S8903">
        <v>99</v>
      </c>
      <c r="T8903">
        <v>3</v>
      </c>
    </row>
    <row r="8904" spans="18:20" x14ac:dyDescent="0.25">
      <c r="R8904">
        <v>268</v>
      </c>
      <c r="S8904">
        <v>102</v>
      </c>
      <c r="T8904">
        <v>1</v>
      </c>
    </row>
    <row r="8905" spans="18:20" x14ac:dyDescent="0.25">
      <c r="R8905">
        <v>268</v>
      </c>
      <c r="S8905">
        <v>122</v>
      </c>
      <c r="T8905">
        <v>1</v>
      </c>
    </row>
    <row r="8906" spans="18:20" x14ac:dyDescent="0.25">
      <c r="R8906">
        <v>268</v>
      </c>
      <c r="S8906">
        <v>125</v>
      </c>
      <c r="T8906">
        <v>3</v>
      </c>
    </row>
    <row r="8907" spans="18:20" x14ac:dyDescent="0.25">
      <c r="R8907">
        <v>268</v>
      </c>
      <c r="S8907">
        <v>140</v>
      </c>
      <c r="T8907">
        <v>2</v>
      </c>
    </row>
    <row r="8908" spans="18:20" x14ac:dyDescent="0.25">
      <c r="R8908">
        <v>268</v>
      </c>
      <c r="S8908">
        <v>146</v>
      </c>
      <c r="T8908">
        <v>5</v>
      </c>
    </row>
    <row r="8909" spans="18:20" x14ac:dyDescent="0.25">
      <c r="R8909">
        <v>268</v>
      </c>
      <c r="S8909">
        <v>179</v>
      </c>
      <c r="T8909">
        <v>4</v>
      </c>
    </row>
    <row r="8910" spans="18:20" x14ac:dyDescent="0.25">
      <c r="R8910">
        <v>268</v>
      </c>
      <c r="S8910">
        <v>191</v>
      </c>
      <c r="T8910">
        <v>2</v>
      </c>
    </row>
    <row r="8911" spans="18:20" x14ac:dyDescent="0.25">
      <c r="R8911">
        <v>268</v>
      </c>
      <c r="S8911">
        <v>252</v>
      </c>
      <c r="T8911">
        <v>2</v>
      </c>
    </row>
    <row r="8912" spans="18:20" x14ac:dyDescent="0.25">
      <c r="R8912">
        <v>268</v>
      </c>
      <c r="S8912">
        <v>265</v>
      </c>
      <c r="T8912">
        <v>2</v>
      </c>
    </row>
    <row r="8913" spans="18:20" x14ac:dyDescent="0.25">
      <c r="R8913">
        <v>268</v>
      </c>
      <c r="S8913">
        <v>280</v>
      </c>
      <c r="T8913">
        <v>4</v>
      </c>
    </row>
    <row r="8914" spans="18:20" x14ac:dyDescent="0.25">
      <c r="R8914">
        <v>268</v>
      </c>
      <c r="S8914">
        <v>286</v>
      </c>
      <c r="T8914">
        <v>5</v>
      </c>
    </row>
    <row r="8915" spans="18:20" x14ac:dyDescent="0.25">
      <c r="R8915">
        <v>268</v>
      </c>
      <c r="S8915">
        <v>294</v>
      </c>
      <c r="T8915">
        <v>4</v>
      </c>
    </row>
    <row r="8916" spans="18:20" x14ac:dyDescent="0.25">
      <c r="R8916">
        <v>268</v>
      </c>
      <c r="S8916">
        <v>300</v>
      </c>
      <c r="T8916">
        <v>4</v>
      </c>
    </row>
    <row r="8917" spans="18:20" x14ac:dyDescent="0.25">
      <c r="R8917">
        <v>268</v>
      </c>
      <c r="S8917">
        <v>325</v>
      </c>
      <c r="T8917">
        <v>2</v>
      </c>
    </row>
    <row r="8918" spans="18:20" x14ac:dyDescent="0.25">
      <c r="R8918">
        <v>268</v>
      </c>
      <c r="S8918">
        <v>331</v>
      </c>
      <c r="T8918">
        <v>5</v>
      </c>
    </row>
    <row r="8919" spans="18:20" x14ac:dyDescent="0.25">
      <c r="R8919">
        <v>268</v>
      </c>
      <c r="S8919">
        <v>337</v>
      </c>
      <c r="T8919">
        <v>4</v>
      </c>
    </row>
    <row r="8920" spans="18:20" x14ac:dyDescent="0.25">
      <c r="R8920">
        <v>268</v>
      </c>
      <c r="S8920">
        <v>372</v>
      </c>
      <c r="T8920">
        <v>1</v>
      </c>
    </row>
    <row r="8921" spans="18:20" x14ac:dyDescent="0.25">
      <c r="R8921">
        <v>268</v>
      </c>
      <c r="S8921">
        <v>372</v>
      </c>
      <c r="T8921">
        <v>5</v>
      </c>
    </row>
    <row r="8922" spans="18:20" x14ac:dyDescent="0.25">
      <c r="R8922">
        <v>268</v>
      </c>
      <c r="S8922">
        <v>376</v>
      </c>
      <c r="T8922">
        <v>5</v>
      </c>
    </row>
    <row r="8923" spans="18:20" x14ac:dyDescent="0.25">
      <c r="R8923">
        <v>268</v>
      </c>
      <c r="S8923">
        <v>380</v>
      </c>
      <c r="T8923">
        <v>5</v>
      </c>
    </row>
    <row r="8924" spans="18:20" x14ac:dyDescent="0.25">
      <c r="R8924">
        <v>268</v>
      </c>
      <c r="S8924">
        <v>396</v>
      </c>
      <c r="T8924">
        <v>2</v>
      </c>
    </row>
    <row r="8925" spans="18:20" x14ac:dyDescent="0.25">
      <c r="R8925">
        <v>268</v>
      </c>
      <c r="S8925">
        <v>406</v>
      </c>
      <c r="T8925">
        <v>2</v>
      </c>
    </row>
    <row r="8926" spans="18:20" x14ac:dyDescent="0.25">
      <c r="R8926">
        <v>268</v>
      </c>
      <c r="S8926">
        <v>410</v>
      </c>
      <c r="T8926">
        <v>4</v>
      </c>
    </row>
    <row r="8927" spans="18:20" x14ac:dyDescent="0.25">
      <c r="R8927">
        <v>268</v>
      </c>
      <c r="S8927">
        <v>418</v>
      </c>
      <c r="T8927">
        <v>2</v>
      </c>
    </row>
    <row r="8928" spans="18:20" x14ac:dyDescent="0.25">
      <c r="R8928">
        <v>268</v>
      </c>
      <c r="S8928">
        <v>422</v>
      </c>
      <c r="T8928">
        <v>2</v>
      </c>
    </row>
    <row r="8929" spans="18:20" x14ac:dyDescent="0.25">
      <c r="R8929">
        <v>269</v>
      </c>
      <c r="S8929">
        <v>9</v>
      </c>
      <c r="T8929">
        <v>5</v>
      </c>
    </row>
    <row r="8930" spans="18:20" x14ac:dyDescent="0.25">
      <c r="R8930">
        <v>269</v>
      </c>
      <c r="S8930">
        <v>21</v>
      </c>
      <c r="T8930">
        <v>4</v>
      </c>
    </row>
    <row r="8931" spans="18:20" x14ac:dyDescent="0.25">
      <c r="R8931">
        <v>269</v>
      </c>
      <c r="S8931">
        <v>41</v>
      </c>
      <c r="T8931">
        <v>2</v>
      </c>
    </row>
    <row r="8932" spans="18:20" x14ac:dyDescent="0.25">
      <c r="R8932">
        <v>269</v>
      </c>
      <c r="S8932">
        <v>55</v>
      </c>
      <c r="T8932">
        <v>4</v>
      </c>
    </row>
    <row r="8933" spans="18:20" x14ac:dyDescent="0.25">
      <c r="R8933">
        <v>269</v>
      </c>
      <c r="S8933">
        <v>64</v>
      </c>
      <c r="T8933">
        <v>1</v>
      </c>
    </row>
    <row r="8934" spans="18:20" x14ac:dyDescent="0.25">
      <c r="R8934">
        <v>269</v>
      </c>
      <c r="S8934">
        <v>85</v>
      </c>
      <c r="T8934">
        <v>1</v>
      </c>
    </row>
    <row r="8935" spans="18:20" x14ac:dyDescent="0.25">
      <c r="R8935">
        <v>269</v>
      </c>
      <c r="S8935">
        <v>98</v>
      </c>
      <c r="T8935">
        <v>4</v>
      </c>
    </row>
    <row r="8936" spans="18:20" x14ac:dyDescent="0.25">
      <c r="R8936">
        <v>269</v>
      </c>
      <c r="S8936">
        <v>103</v>
      </c>
      <c r="T8936">
        <v>1</v>
      </c>
    </row>
    <row r="8937" spans="18:20" x14ac:dyDescent="0.25">
      <c r="R8937">
        <v>269</v>
      </c>
      <c r="S8937">
        <v>119</v>
      </c>
      <c r="T8937">
        <v>5</v>
      </c>
    </row>
    <row r="8938" spans="18:20" x14ac:dyDescent="0.25">
      <c r="R8938">
        <v>269</v>
      </c>
      <c r="S8938">
        <v>131</v>
      </c>
      <c r="T8938">
        <v>5</v>
      </c>
    </row>
    <row r="8939" spans="18:20" x14ac:dyDescent="0.25">
      <c r="R8939">
        <v>269</v>
      </c>
      <c r="S8939">
        <v>155</v>
      </c>
      <c r="T8939">
        <v>3</v>
      </c>
    </row>
    <row r="8940" spans="18:20" x14ac:dyDescent="0.25">
      <c r="R8940">
        <v>269</v>
      </c>
      <c r="S8940">
        <v>162</v>
      </c>
      <c r="T8940">
        <v>3</v>
      </c>
    </row>
    <row r="8941" spans="18:20" x14ac:dyDescent="0.25">
      <c r="R8941">
        <v>269</v>
      </c>
      <c r="S8941">
        <v>163</v>
      </c>
      <c r="T8941">
        <v>1</v>
      </c>
    </row>
    <row r="8942" spans="18:20" x14ac:dyDescent="0.25">
      <c r="R8942">
        <v>269</v>
      </c>
      <c r="S8942">
        <v>202</v>
      </c>
      <c r="T8942">
        <v>4</v>
      </c>
    </row>
    <row r="8943" spans="18:20" x14ac:dyDescent="0.25">
      <c r="R8943">
        <v>269</v>
      </c>
      <c r="S8943">
        <v>235</v>
      </c>
      <c r="T8943">
        <v>2</v>
      </c>
    </row>
    <row r="8944" spans="18:20" x14ac:dyDescent="0.25">
      <c r="R8944">
        <v>269</v>
      </c>
      <c r="S8944">
        <v>248</v>
      </c>
      <c r="T8944">
        <v>1</v>
      </c>
    </row>
    <row r="8945" spans="18:20" x14ac:dyDescent="0.25">
      <c r="R8945">
        <v>269</v>
      </c>
      <c r="S8945">
        <v>255</v>
      </c>
      <c r="T8945">
        <v>1</v>
      </c>
    </row>
    <row r="8946" spans="18:20" x14ac:dyDescent="0.25">
      <c r="R8946">
        <v>269</v>
      </c>
      <c r="S8946">
        <v>270</v>
      </c>
      <c r="T8946">
        <v>1</v>
      </c>
    </row>
    <row r="8947" spans="18:20" x14ac:dyDescent="0.25">
      <c r="R8947">
        <v>269</v>
      </c>
      <c r="S8947">
        <v>281</v>
      </c>
      <c r="T8947">
        <v>2</v>
      </c>
    </row>
    <row r="8948" spans="18:20" x14ac:dyDescent="0.25">
      <c r="R8948">
        <v>269</v>
      </c>
      <c r="S8948">
        <v>282</v>
      </c>
      <c r="T8948">
        <v>1</v>
      </c>
    </row>
    <row r="8949" spans="18:20" x14ac:dyDescent="0.25">
      <c r="R8949">
        <v>269</v>
      </c>
      <c r="S8949">
        <v>288</v>
      </c>
      <c r="T8949">
        <v>3</v>
      </c>
    </row>
    <row r="8950" spans="18:20" x14ac:dyDescent="0.25">
      <c r="R8950">
        <v>269</v>
      </c>
      <c r="S8950">
        <v>316</v>
      </c>
      <c r="T8950">
        <v>5</v>
      </c>
    </row>
    <row r="8951" spans="18:20" x14ac:dyDescent="0.25">
      <c r="R8951">
        <v>269</v>
      </c>
      <c r="S8951">
        <v>333</v>
      </c>
      <c r="T8951">
        <v>1</v>
      </c>
    </row>
    <row r="8952" spans="18:20" x14ac:dyDescent="0.25">
      <c r="R8952">
        <v>269</v>
      </c>
      <c r="S8952">
        <v>351</v>
      </c>
      <c r="T8952">
        <v>5</v>
      </c>
    </row>
    <row r="8953" spans="18:20" x14ac:dyDescent="0.25">
      <c r="R8953">
        <v>269</v>
      </c>
      <c r="S8953">
        <v>354</v>
      </c>
      <c r="T8953">
        <v>3</v>
      </c>
    </row>
    <row r="8954" spans="18:20" x14ac:dyDescent="0.25">
      <c r="R8954">
        <v>269</v>
      </c>
      <c r="S8954">
        <v>385</v>
      </c>
      <c r="T8954">
        <v>1</v>
      </c>
    </row>
    <row r="8955" spans="18:20" x14ac:dyDescent="0.25">
      <c r="R8955">
        <v>269</v>
      </c>
      <c r="S8955">
        <v>410</v>
      </c>
      <c r="T8955">
        <v>3</v>
      </c>
    </row>
    <row r="8956" spans="18:20" x14ac:dyDescent="0.25">
      <c r="R8956">
        <v>269</v>
      </c>
      <c r="S8956">
        <v>422</v>
      </c>
      <c r="T8956">
        <v>2</v>
      </c>
    </row>
    <row r="8957" spans="18:20" x14ac:dyDescent="0.25">
      <c r="R8957">
        <v>269</v>
      </c>
      <c r="S8957">
        <v>432</v>
      </c>
      <c r="T8957">
        <v>3</v>
      </c>
    </row>
    <row r="8958" spans="18:20" x14ac:dyDescent="0.25">
      <c r="R8958">
        <v>269</v>
      </c>
      <c r="S8958">
        <v>432</v>
      </c>
      <c r="T8958">
        <v>1</v>
      </c>
    </row>
    <row r="8959" spans="18:20" x14ac:dyDescent="0.25">
      <c r="R8959">
        <v>270</v>
      </c>
      <c r="S8959">
        <v>17</v>
      </c>
      <c r="T8959">
        <v>5</v>
      </c>
    </row>
    <row r="8960" spans="18:20" x14ac:dyDescent="0.25">
      <c r="R8960">
        <v>270</v>
      </c>
      <c r="S8960">
        <v>24</v>
      </c>
      <c r="T8960">
        <v>5</v>
      </c>
    </row>
    <row r="8961" spans="18:20" x14ac:dyDescent="0.25">
      <c r="R8961">
        <v>270</v>
      </c>
      <c r="S8961">
        <v>38</v>
      </c>
      <c r="T8961">
        <v>1</v>
      </c>
    </row>
    <row r="8962" spans="18:20" x14ac:dyDescent="0.25">
      <c r="R8962">
        <v>270</v>
      </c>
      <c r="S8962">
        <v>94</v>
      </c>
      <c r="T8962">
        <v>5</v>
      </c>
    </row>
    <row r="8963" spans="18:20" x14ac:dyDescent="0.25">
      <c r="R8963">
        <v>270</v>
      </c>
      <c r="S8963">
        <v>95</v>
      </c>
      <c r="T8963">
        <v>4</v>
      </c>
    </row>
    <row r="8964" spans="18:20" x14ac:dyDescent="0.25">
      <c r="R8964">
        <v>270</v>
      </c>
      <c r="S8964">
        <v>146</v>
      </c>
      <c r="T8964">
        <v>1</v>
      </c>
    </row>
    <row r="8965" spans="18:20" x14ac:dyDescent="0.25">
      <c r="R8965">
        <v>270</v>
      </c>
      <c r="S8965">
        <v>155</v>
      </c>
      <c r="T8965">
        <v>1</v>
      </c>
    </row>
    <row r="8966" spans="18:20" x14ac:dyDescent="0.25">
      <c r="R8966">
        <v>270</v>
      </c>
      <c r="S8966">
        <v>168</v>
      </c>
      <c r="T8966">
        <v>2</v>
      </c>
    </row>
    <row r="8967" spans="18:20" x14ac:dyDescent="0.25">
      <c r="R8967">
        <v>270</v>
      </c>
      <c r="S8967">
        <v>179</v>
      </c>
      <c r="T8967">
        <v>4</v>
      </c>
    </row>
    <row r="8968" spans="18:20" x14ac:dyDescent="0.25">
      <c r="R8968">
        <v>270</v>
      </c>
      <c r="S8968">
        <v>189</v>
      </c>
      <c r="T8968">
        <v>4</v>
      </c>
    </row>
    <row r="8969" spans="18:20" x14ac:dyDescent="0.25">
      <c r="R8969">
        <v>270</v>
      </c>
      <c r="S8969">
        <v>194</v>
      </c>
      <c r="T8969">
        <v>4</v>
      </c>
    </row>
    <row r="8970" spans="18:20" x14ac:dyDescent="0.25">
      <c r="R8970">
        <v>270</v>
      </c>
      <c r="S8970">
        <v>201</v>
      </c>
      <c r="T8970">
        <v>3</v>
      </c>
    </row>
    <row r="8971" spans="18:20" x14ac:dyDescent="0.25">
      <c r="R8971">
        <v>270</v>
      </c>
      <c r="S8971">
        <v>202</v>
      </c>
      <c r="T8971">
        <v>1</v>
      </c>
    </row>
    <row r="8972" spans="18:20" x14ac:dyDescent="0.25">
      <c r="R8972">
        <v>270</v>
      </c>
      <c r="S8972">
        <v>203</v>
      </c>
      <c r="T8972">
        <v>3</v>
      </c>
    </row>
    <row r="8973" spans="18:20" x14ac:dyDescent="0.25">
      <c r="R8973">
        <v>270</v>
      </c>
      <c r="S8973">
        <v>245</v>
      </c>
      <c r="T8973">
        <v>3</v>
      </c>
    </row>
    <row r="8974" spans="18:20" x14ac:dyDescent="0.25">
      <c r="R8974">
        <v>270</v>
      </c>
      <c r="S8974">
        <v>254</v>
      </c>
      <c r="T8974">
        <v>5</v>
      </c>
    </row>
    <row r="8975" spans="18:20" x14ac:dyDescent="0.25">
      <c r="R8975">
        <v>270</v>
      </c>
      <c r="S8975">
        <v>275</v>
      </c>
      <c r="T8975">
        <v>1</v>
      </c>
    </row>
    <row r="8976" spans="18:20" x14ac:dyDescent="0.25">
      <c r="R8976">
        <v>270</v>
      </c>
      <c r="S8976">
        <v>282</v>
      </c>
      <c r="T8976">
        <v>5</v>
      </c>
    </row>
    <row r="8977" spans="18:20" x14ac:dyDescent="0.25">
      <c r="R8977">
        <v>270</v>
      </c>
      <c r="S8977">
        <v>282</v>
      </c>
      <c r="T8977">
        <v>1</v>
      </c>
    </row>
    <row r="8978" spans="18:20" x14ac:dyDescent="0.25">
      <c r="R8978">
        <v>270</v>
      </c>
      <c r="S8978">
        <v>303</v>
      </c>
      <c r="T8978">
        <v>2</v>
      </c>
    </row>
    <row r="8979" spans="18:20" x14ac:dyDescent="0.25">
      <c r="R8979">
        <v>270</v>
      </c>
      <c r="S8979">
        <v>309</v>
      </c>
      <c r="T8979">
        <v>3</v>
      </c>
    </row>
    <row r="8980" spans="18:20" x14ac:dyDescent="0.25">
      <c r="R8980">
        <v>270</v>
      </c>
      <c r="S8980">
        <v>310</v>
      </c>
      <c r="T8980">
        <v>1</v>
      </c>
    </row>
    <row r="8981" spans="18:20" x14ac:dyDescent="0.25">
      <c r="R8981">
        <v>270</v>
      </c>
      <c r="S8981">
        <v>320</v>
      </c>
      <c r="T8981">
        <v>3</v>
      </c>
    </row>
    <row r="8982" spans="18:20" x14ac:dyDescent="0.25">
      <c r="R8982">
        <v>270</v>
      </c>
      <c r="S8982">
        <v>333</v>
      </c>
      <c r="T8982">
        <v>1</v>
      </c>
    </row>
    <row r="8983" spans="18:20" x14ac:dyDescent="0.25">
      <c r="R8983">
        <v>270</v>
      </c>
      <c r="S8983">
        <v>370</v>
      </c>
      <c r="T8983">
        <v>4</v>
      </c>
    </row>
    <row r="8984" spans="18:20" x14ac:dyDescent="0.25">
      <c r="R8984">
        <v>270</v>
      </c>
      <c r="S8984">
        <v>403</v>
      </c>
      <c r="T8984">
        <v>3</v>
      </c>
    </row>
    <row r="8985" spans="18:20" x14ac:dyDescent="0.25">
      <c r="R8985">
        <v>270</v>
      </c>
      <c r="S8985">
        <v>421</v>
      </c>
      <c r="T8985">
        <v>4</v>
      </c>
    </row>
    <row r="8986" spans="18:20" x14ac:dyDescent="0.25">
      <c r="R8986">
        <v>270</v>
      </c>
      <c r="S8986">
        <v>436</v>
      </c>
      <c r="T8986">
        <v>1</v>
      </c>
    </row>
    <row r="8987" spans="18:20" x14ac:dyDescent="0.25">
      <c r="R8987">
        <v>271</v>
      </c>
      <c r="S8987">
        <v>8</v>
      </c>
      <c r="T8987">
        <v>2</v>
      </c>
    </row>
    <row r="8988" spans="18:20" x14ac:dyDescent="0.25">
      <c r="R8988">
        <v>271</v>
      </c>
      <c r="S8988">
        <v>9</v>
      </c>
      <c r="T8988">
        <v>2</v>
      </c>
    </row>
    <row r="8989" spans="18:20" x14ac:dyDescent="0.25">
      <c r="R8989">
        <v>271</v>
      </c>
      <c r="S8989">
        <v>62</v>
      </c>
      <c r="T8989">
        <v>4</v>
      </c>
    </row>
    <row r="8990" spans="18:20" x14ac:dyDescent="0.25">
      <c r="R8990">
        <v>271</v>
      </c>
      <c r="S8990">
        <v>71</v>
      </c>
      <c r="T8990">
        <v>2</v>
      </c>
    </row>
    <row r="8991" spans="18:20" x14ac:dyDescent="0.25">
      <c r="R8991">
        <v>271</v>
      </c>
      <c r="S8991">
        <v>80</v>
      </c>
      <c r="T8991">
        <v>1</v>
      </c>
    </row>
    <row r="8992" spans="18:20" x14ac:dyDescent="0.25">
      <c r="R8992">
        <v>271</v>
      </c>
      <c r="S8992">
        <v>87</v>
      </c>
      <c r="T8992">
        <v>4</v>
      </c>
    </row>
    <row r="8993" spans="18:20" x14ac:dyDescent="0.25">
      <c r="R8993">
        <v>271</v>
      </c>
      <c r="S8993">
        <v>87</v>
      </c>
      <c r="T8993">
        <v>1</v>
      </c>
    </row>
    <row r="8994" spans="18:20" x14ac:dyDescent="0.25">
      <c r="R8994">
        <v>271</v>
      </c>
      <c r="S8994">
        <v>117</v>
      </c>
      <c r="T8994">
        <v>1</v>
      </c>
    </row>
    <row r="8995" spans="18:20" x14ac:dyDescent="0.25">
      <c r="R8995">
        <v>271</v>
      </c>
      <c r="S8995">
        <v>134</v>
      </c>
      <c r="T8995">
        <v>4</v>
      </c>
    </row>
    <row r="8996" spans="18:20" x14ac:dyDescent="0.25">
      <c r="R8996">
        <v>271</v>
      </c>
      <c r="S8996">
        <v>142</v>
      </c>
      <c r="T8996">
        <v>5</v>
      </c>
    </row>
    <row r="8997" spans="18:20" x14ac:dyDescent="0.25">
      <c r="R8997">
        <v>271</v>
      </c>
      <c r="S8997">
        <v>151</v>
      </c>
      <c r="T8997">
        <v>5</v>
      </c>
    </row>
    <row r="8998" spans="18:20" x14ac:dyDescent="0.25">
      <c r="R8998">
        <v>271</v>
      </c>
      <c r="S8998">
        <v>159</v>
      </c>
      <c r="T8998">
        <v>3</v>
      </c>
    </row>
    <row r="8999" spans="18:20" x14ac:dyDescent="0.25">
      <c r="R8999">
        <v>271</v>
      </c>
      <c r="S8999">
        <v>179</v>
      </c>
      <c r="T8999">
        <v>5</v>
      </c>
    </row>
    <row r="9000" spans="18:20" x14ac:dyDescent="0.25">
      <c r="R9000">
        <v>271</v>
      </c>
      <c r="S9000">
        <v>195</v>
      </c>
      <c r="T9000">
        <v>2</v>
      </c>
    </row>
    <row r="9001" spans="18:20" x14ac:dyDescent="0.25">
      <c r="R9001">
        <v>271</v>
      </c>
      <c r="S9001">
        <v>204</v>
      </c>
      <c r="T9001">
        <v>5</v>
      </c>
    </row>
    <row r="9002" spans="18:20" x14ac:dyDescent="0.25">
      <c r="R9002">
        <v>271</v>
      </c>
      <c r="S9002">
        <v>248</v>
      </c>
      <c r="T9002">
        <v>3</v>
      </c>
    </row>
    <row r="9003" spans="18:20" x14ac:dyDescent="0.25">
      <c r="R9003">
        <v>271</v>
      </c>
      <c r="S9003">
        <v>249</v>
      </c>
      <c r="T9003">
        <v>5</v>
      </c>
    </row>
    <row r="9004" spans="18:20" x14ac:dyDescent="0.25">
      <c r="R9004">
        <v>271</v>
      </c>
      <c r="S9004">
        <v>274</v>
      </c>
      <c r="T9004">
        <v>3</v>
      </c>
    </row>
    <row r="9005" spans="18:20" x14ac:dyDescent="0.25">
      <c r="R9005">
        <v>271</v>
      </c>
      <c r="S9005">
        <v>294</v>
      </c>
      <c r="T9005">
        <v>3</v>
      </c>
    </row>
    <row r="9006" spans="18:20" x14ac:dyDescent="0.25">
      <c r="R9006">
        <v>271</v>
      </c>
      <c r="S9006">
        <v>303</v>
      </c>
      <c r="T9006">
        <v>2</v>
      </c>
    </row>
    <row r="9007" spans="18:20" x14ac:dyDescent="0.25">
      <c r="R9007">
        <v>271</v>
      </c>
      <c r="S9007">
        <v>315</v>
      </c>
      <c r="T9007">
        <v>5</v>
      </c>
    </row>
    <row r="9008" spans="18:20" x14ac:dyDescent="0.25">
      <c r="R9008">
        <v>271</v>
      </c>
      <c r="S9008">
        <v>341</v>
      </c>
      <c r="T9008">
        <v>4</v>
      </c>
    </row>
    <row r="9009" spans="18:20" x14ac:dyDescent="0.25">
      <c r="R9009">
        <v>271</v>
      </c>
      <c r="S9009">
        <v>346</v>
      </c>
      <c r="T9009">
        <v>4</v>
      </c>
    </row>
    <row r="9010" spans="18:20" x14ac:dyDescent="0.25">
      <c r="R9010">
        <v>271</v>
      </c>
      <c r="S9010">
        <v>387</v>
      </c>
      <c r="T9010">
        <v>4</v>
      </c>
    </row>
    <row r="9011" spans="18:20" x14ac:dyDescent="0.25">
      <c r="R9011">
        <v>271</v>
      </c>
      <c r="S9011">
        <v>390</v>
      </c>
      <c r="T9011">
        <v>1</v>
      </c>
    </row>
    <row r="9012" spans="18:20" x14ac:dyDescent="0.25">
      <c r="R9012">
        <v>271</v>
      </c>
      <c r="S9012">
        <v>392</v>
      </c>
      <c r="T9012">
        <v>4</v>
      </c>
    </row>
    <row r="9013" spans="18:20" x14ac:dyDescent="0.25">
      <c r="R9013">
        <v>271</v>
      </c>
      <c r="S9013">
        <v>426</v>
      </c>
      <c r="T9013">
        <v>1</v>
      </c>
    </row>
    <row r="9014" spans="18:20" x14ac:dyDescent="0.25">
      <c r="R9014">
        <v>272</v>
      </c>
      <c r="S9014">
        <v>17</v>
      </c>
      <c r="T9014">
        <v>4</v>
      </c>
    </row>
    <row r="9015" spans="18:20" x14ac:dyDescent="0.25">
      <c r="R9015">
        <v>272</v>
      </c>
      <c r="S9015">
        <v>59</v>
      </c>
      <c r="T9015">
        <v>3</v>
      </c>
    </row>
    <row r="9016" spans="18:20" x14ac:dyDescent="0.25">
      <c r="R9016">
        <v>272</v>
      </c>
      <c r="S9016">
        <v>61</v>
      </c>
      <c r="T9016">
        <v>3</v>
      </c>
    </row>
    <row r="9017" spans="18:20" x14ac:dyDescent="0.25">
      <c r="R9017">
        <v>272</v>
      </c>
      <c r="S9017">
        <v>72</v>
      </c>
      <c r="T9017">
        <v>4</v>
      </c>
    </row>
    <row r="9018" spans="18:20" x14ac:dyDescent="0.25">
      <c r="R9018">
        <v>272</v>
      </c>
      <c r="S9018">
        <v>78</v>
      </c>
      <c r="T9018">
        <v>4</v>
      </c>
    </row>
    <row r="9019" spans="18:20" x14ac:dyDescent="0.25">
      <c r="R9019">
        <v>272</v>
      </c>
      <c r="S9019">
        <v>98</v>
      </c>
      <c r="T9019">
        <v>5</v>
      </c>
    </row>
    <row r="9020" spans="18:20" x14ac:dyDescent="0.25">
      <c r="R9020">
        <v>272</v>
      </c>
      <c r="S9020">
        <v>115</v>
      </c>
      <c r="T9020">
        <v>3</v>
      </c>
    </row>
    <row r="9021" spans="18:20" x14ac:dyDescent="0.25">
      <c r="R9021">
        <v>272</v>
      </c>
      <c r="S9021">
        <v>138</v>
      </c>
      <c r="T9021">
        <v>4</v>
      </c>
    </row>
    <row r="9022" spans="18:20" x14ac:dyDescent="0.25">
      <c r="R9022">
        <v>272</v>
      </c>
      <c r="S9022">
        <v>141</v>
      </c>
      <c r="T9022">
        <v>5</v>
      </c>
    </row>
    <row r="9023" spans="18:20" x14ac:dyDescent="0.25">
      <c r="R9023">
        <v>272</v>
      </c>
      <c r="S9023">
        <v>164</v>
      </c>
      <c r="T9023">
        <v>3</v>
      </c>
    </row>
    <row r="9024" spans="18:20" x14ac:dyDescent="0.25">
      <c r="R9024">
        <v>272</v>
      </c>
      <c r="S9024">
        <v>177</v>
      </c>
      <c r="T9024">
        <v>5</v>
      </c>
    </row>
    <row r="9025" spans="18:20" x14ac:dyDescent="0.25">
      <c r="R9025">
        <v>272</v>
      </c>
      <c r="S9025">
        <v>178</v>
      </c>
      <c r="T9025">
        <v>2</v>
      </c>
    </row>
    <row r="9026" spans="18:20" x14ac:dyDescent="0.25">
      <c r="R9026">
        <v>272</v>
      </c>
      <c r="S9026">
        <v>179</v>
      </c>
      <c r="T9026">
        <v>4</v>
      </c>
    </row>
    <row r="9027" spans="18:20" x14ac:dyDescent="0.25">
      <c r="R9027">
        <v>272</v>
      </c>
      <c r="S9027">
        <v>182</v>
      </c>
      <c r="T9027">
        <v>5</v>
      </c>
    </row>
    <row r="9028" spans="18:20" x14ac:dyDescent="0.25">
      <c r="R9028">
        <v>272</v>
      </c>
      <c r="S9028">
        <v>183</v>
      </c>
      <c r="T9028">
        <v>4</v>
      </c>
    </row>
    <row r="9029" spans="18:20" x14ac:dyDescent="0.25">
      <c r="R9029">
        <v>272</v>
      </c>
      <c r="S9029">
        <v>204</v>
      </c>
      <c r="T9029">
        <v>3</v>
      </c>
    </row>
    <row r="9030" spans="18:20" x14ac:dyDescent="0.25">
      <c r="R9030">
        <v>272</v>
      </c>
      <c r="S9030">
        <v>217</v>
      </c>
      <c r="T9030">
        <v>2</v>
      </c>
    </row>
    <row r="9031" spans="18:20" x14ac:dyDescent="0.25">
      <c r="R9031">
        <v>272</v>
      </c>
      <c r="S9031">
        <v>276</v>
      </c>
      <c r="T9031">
        <v>1</v>
      </c>
    </row>
    <row r="9032" spans="18:20" x14ac:dyDescent="0.25">
      <c r="R9032">
        <v>272</v>
      </c>
      <c r="S9032">
        <v>283</v>
      </c>
      <c r="T9032">
        <v>2</v>
      </c>
    </row>
    <row r="9033" spans="18:20" x14ac:dyDescent="0.25">
      <c r="R9033">
        <v>272</v>
      </c>
      <c r="S9033">
        <v>292</v>
      </c>
      <c r="T9033">
        <v>2</v>
      </c>
    </row>
    <row r="9034" spans="18:20" x14ac:dyDescent="0.25">
      <c r="R9034">
        <v>272</v>
      </c>
      <c r="S9034">
        <v>293</v>
      </c>
      <c r="T9034">
        <v>3</v>
      </c>
    </row>
    <row r="9035" spans="18:20" x14ac:dyDescent="0.25">
      <c r="R9035">
        <v>272</v>
      </c>
      <c r="S9035">
        <v>295</v>
      </c>
      <c r="T9035">
        <v>5</v>
      </c>
    </row>
    <row r="9036" spans="18:20" x14ac:dyDescent="0.25">
      <c r="R9036">
        <v>272</v>
      </c>
      <c r="S9036">
        <v>306</v>
      </c>
      <c r="T9036">
        <v>2</v>
      </c>
    </row>
    <row r="9037" spans="18:20" x14ac:dyDescent="0.25">
      <c r="R9037">
        <v>272</v>
      </c>
      <c r="S9037">
        <v>311</v>
      </c>
      <c r="T9037">
        <v>5</v>
      </c>
    </row>
    <row r="9038" spans="18:20" x14ac:dyDescent="0.25">
      <c r="R9038">
        <v>272</v>
      </c>
      <c r="S9038">
        <v>346</v>
      </c>
      <c r="T9038">
        <v>1</v>
      </c>
    </row>
    <row r="9039" spans="18:20" x14ac:dyDescent="0.25">
      <c r="R9039">
        <v>272</v>
      </c>
      <c r="S9039">
        <v>358</v>
      </c>
      <c r="T9039">
        <v>1</v>
      </c>
    </row>
    <row r="9040" spans="18:20" x14ac:dyDescent="0.25">
      <c r="R9040">
        <v>272</v>
      </c>
      <c r="S9040">
        <v>377</v>
      </c>
      <c r="T9040">
        <v>4</v>
      </c>
    </row>
    <row r="9041" spans="18:20" x14ac:dyDescent="0.25">
      <c r="R9041">
        <v>272</v>
      </c>
      <c r="S9041">
        <v>381</v>
      </c>
      <c r="T9041">
        <v>1</v>
      </c>
    </row>
    <row r="9042" spans="18:20" x14ac:dyDescent="0.25">
      <c r="R9042">
        <v>272</v>
      </c>
      <c r="S9042">
        <v>395</v>
      </c>
      <c r="T9042">
        <v>1</v>
      </c>
    </row>
    <row r="9043" spans="18:20" x14ac:dyDescent="0.25">
      <c r="R9043">
        <v>272</v>
      </c>
      <c r="S9043">
        <v>406</v>
      </c>
      <c r="T9043">
        <v>1</v>
      </c>
    </row>
    <row r="9044" spans="18:20" x14ac:dyDescent="0.25">
      <c r="R9044">
        <v>272</v>
      </c>
      <c r="S9044">
        <v>413</v>
      </c>
      <c r="T9044">
        <v>2</v>
      </c>
    </row>
    <row r="9045" spans="18:20" x14ac:dyDescent="0.25">
      <c r="R9045">
        <v>272</v>
      </c>
      <c r="S9045">
        <v>413</v>
      </c>
      <c r="T9045">
        <v>5</v>
      </c>
    </row>
    <row r="9046" spans="18:20" x14ac:dyDescent="0.25">
      <c r="R9046">
        <v>272</v>
      </c>
      <c r="S9046">
        <v>423</v>
      </c>
      <c r="T9046">
        <v>3</v>
      </c>
    </row>
    <row r="9047" spans="18:20" x14ac:dyDescent="0.25">
      <c r="R9047">
        <v>272</v>
      </c>
      <c r="S9047">
        <v>431</v>
      </c>
      <c r="T9047">
        <v>3</v>
      </c>
    </row>
    <row r="9048" spans="18:20" x14ac:dyDescent="0.25">
      <c r="R9048">
        <v>273</v>
      </c>
      <c r="S9048">
        <v>33</v>
      </c>
      <c r="T9048">
        <v>3</v>
      </c>
    </row>
    <row r="9049" spans="18:20" x14ac:dyDescent="0.25">
      <c r="R9049">
        <v>273</v>
      </c>
      <c r="S9049">
        <v>40</v>
      </c>
      <c r="T9049">
        <v>4</v>
      </c>
    </row>
    <row r="9050" spans="18:20" x14ac:dyDescent="0.25">
      <c r="R9050">
        <v>273</v>
      </c>
      <c r="S9050">
        <v>46</v>
      </c>
      <c r="T9050">
        <v>2</v>
      </c>
    </row>
    <row r="9051" spans="18:20" x14ac:dyDescent="0.25">
      <c r="R9051">
        <v>273</v>
      </c>
      <c r="S9051">
        <v>52</v>
      </c>
      <c r="T9051">
        <v>2</v>
      </c>
    </row>
    <row r="9052" spans="18:20" x14ac:dyDescent="0.25">
      <c r="R9052">
        <v>273</v>
      </c>
      <c r="S9052">
        <v>53</v>
      </c>
      <c r="T9052">
        <v>4</v>
      </c>
    </row>
    <row r="9053" spans="18:20" x14ac:dyDescent="0.25">
      <c r="R9053">
        <v>273</v>
      </c>
      <c r="S9053">
        <v>65</v>
      </c>
      <c r="T9053">
        <v>4</v>
      </c>
    </row>
    <row r="9054" spans="18:20" x14ac:dyDescent="0.25">
      <c r="R9054">
        <v>273</v>
      </c>
      <c r="S9054">
        <v>72</v>
      </c>
      <c r="T9054">
        <v>4</v>
      </c>
    </row>
    <row r="9055" spans="18:20" x14ac:dyDescent="0.25">
      <c r="R9055">
        <v>273</v>
      </c>
      <c r="S9055">
        <v>91</v>
      </c>
      <c r="T9055">
        <v>3</v>
      </c>
    </row>
    <row r="9056" spans="18:20" x14ac:dyDescent="0.25">
      <c r="R9056">
        <v>273</v>
      </c>
      <c r="S9056">
        <v>120</v>
      </c>
      <c r="T9056">
        <v>1</v>
      </c>
    </row>
    <row r="9057" spans="18:20" x14ac:dyDescent="0.25">
      <c r="R9057">
        <v>273</v>
      </c>
      <c r="S9057">
        <v>127</v>
      </c>
      <c r="T9057">
        <v>3</v>
      </c>
    </row>
    <row r="9058" spans="18:20" x14ac:dyDescent="0.25">
      <c r="R9058">
        <v>273</v>
      </c>
      <c r="S9058">
        <v>145</v>
      </c>
      <c r="T9058">
        <v>3</v>
      </c>
    </row>
    <row r="9059" spans="18:20" x14ac:dyDescent="0.25">
      <c r="R9059">
        <v>273</v>
      </c>
      <c r="S9059">
        <v>148</v>
      </c>
      <c r="T9059">
        <v>1</v>
      </c>
    </row>
    <row r="9060" spans="18:20" x14ac:dyDescent="0.25">
      <c r="R9060">
        <v>273</v>
      </c>
      <c r="S9060">
        <v>156</v>
      </c>
      <c r="T9060">
        <v>1</v>
      </c>
    </row>
    <row r="9061" spans="18:20" x14ac:dyDescent="0.25">
      <c r="R9061">
        <v>273</v>
      </c>
      <c r="S9061">
        <v>176</v>
      </c>
      <c r="T9061">
        <v>4</v>
      </c>
    </row>
    <row r="9062" spans="18:20" x14ac:dyDescent="0.25">
      <c r="R9062">
        <v>273</v>
      </c>
      <c r="S9062">
        <v>177</v>
      </c>
      <c r="T9062">
        <v>2</v>
      </c>
    </row>
    <row r="9063" spans="18:20" x14ac:dyDescent="0.25">
      <c r="R9063">
        <v>273</v>
      </c>
      <c r="S9063">
        <v>182</v>
      </c>
      <c r="T9063">
        <v>2</v>
      </c>
    </row>
    <row r="9064" spans="18:20" x14ac:dyDescent="0.25">
      <c r="R9064">
        <v>273</v>
      </c>
      <c r="S9064">
        <v>197</v>
      </c>
      <c r="T9064">
        <v>3</v>
      </c>
    </row>
    <row r="9065" spans="18:20" x14ac:dyDescent="0.25">
      <c r="R9065">
        <v>273</v>
      </c>
      <c r="S9065">
        <v>230</v>
      </c>
      <c r="T9065">
        <v>2</v>
      </c>
    </row>
    <row r="9066" spans="18:20" x14ac:dyDescent="0.25">
      <c r="R9066">
        <v>273</v>
      </c>
      <c r="S9066">
        <v>243</v>
      </c>
      <c r="T9066">
        <v>5</v>
      </c>
    </row>
    <row r="9067" spans="18:20" x14ac:dyDescent="0.25">
      <c r="R9067">
        <v>273</v>
      </c>
      <c r="S9067">
        <v>250</v>
      </c>
      <c r="T9067">
        <v>3</v>
      </c>
    </row>
    <row r="9068" spans="18:20" x14ac:dyDescent="0.25">
      <c r="R9068">
        <v>273</v>
      </c>
      <c r="S9068">
        <v>253</v>
      </c>
      <c r="T9068">
        <v>5</v>
      </c>
    </row>
    <row r="9069" spans="18:20" x14ac:dyDescent="0.25">
      <c r="R9069">
        <v>273</v>
      </c>
      <c r="S9069">
        <v>253</v>
      </c>
      <c r="T9069">
        <v>1</v>
      </c>
    </row>
    <row r="9070" spans="18:20" x14ac:dyDescent="0.25">
      <c r="R9070">
        <v>273</v>
      </c>
      <c r="S9070">
        <v>281</v>
      </c>
      <c r="T9070">
        <v>5</v>
      </c>
    </row>
    <row r="9071" spans="18:20" x14ac:dyDescent="0.25">
      <c r="R9071">
        <v>273</v>
      </c>
      <c r="S9071">
        <v>288</v>
      </c>
      <c r="T9071">
        <v>4</v>
      </c>
    </row>
    <row r="9072" spans="18:20" x14ac:dyDescent="0.25">
      <c r="R9072">
        <v>273</v>
      </c>
      <c r="S9072">
        <v>290</v>
      </c>
      <c r="T9072">
        <v>5</v>
      </c>
    </row>
    <row r="9073" spans="18:20" x14ac:dyDescent="0.25">
      <c r="R9073">
        <v>273</v>
      </c>
      <c r="S9073">
        <v>291</v>
      </c>
      <c r="T9073">
        <v>2</v>
      </c>
    </row>
    <row r="9074" spans="18:20" x14ac:dyDescent="0.25">
      <c r="R9074">
        <v>273</v>
      </c>
      <c r="S9074">
        <v>295</v>
      </c>
      <c r="T9074">
        <v>5</v>
      </c>
    </row>
    <row r="9075" spans="18:20" x14ac:dyDescent="0.25">
      <c r="R9075">
        <v>273</v>
      </c>
      <c r="S9075">
        <v>310</v>
      </c>
      <c r="T9075">
        <v>2</v>
      </c>
    </row>
    <row r="9076" spans="18:20" x14ac:dyDescent="0.25">
      <c r="R9076">
        <v>273</v>
      </c>
      <c r="S9076">
        <v>327</v>
      </c>
      <c r="T9076">
        <v>4</v>
      </c>
    </row>
    <row r="9077" spans="18:20" x14ac:dyDescent="0.25">
      <c r="R9077">
        <v>273</v>
      </c>
      <c r="S9077">
        <v>327</v>
      </c>
      <c r="T9077">
        <v>4</v>
      </c>
    </row>
    <row r="9078" spans="18:20" x14ac:dyDescent="0.25">
      <c r="R9078">
        <v>273</v>
      </c>
      <c r="S9078">
        <v>335</v>
      </c>
      <c r="T9078">
        <v>2</v>
      </c>
    </row>
    <row r="9079" spans="18:20" x14ac:dyDescent="0.25">
      <c r="R9079">
        <v>273</v>
      </c>
      <c r="S9079">
        <v>341</v>
      </c>
      <c r="T9079">
        <v>2</v>
      </c>
    </row>
    <row r="9080" spans="18:20" x14ac:dyDescent="0.25">
      <c r="R9080">
        <v>273</v>
      </c>
      <c r="S9080">
        <v>377</v>
      </c>
      <c r="T9080">
        <v>4</v>
      </c>
    </row>
    <row r="9081" spans="18:20" x14ac:dyDescent="0.25">
      <c r="R9081">
        <v>273</v>
      </c>
      <c r="S9081">
        <v>389</v>
      </c>
      <c r="T9081">
        <v>4</v>
      </c>
    </row>
    <row r="9082" spans="18:20" x14ac:dyDescent="0.25">
      <c r="R9082">
        <v>273</v>
      </c>
      <c r="S9082">
        <v>412</v>
      </c>
      <c r="T9082">
        <v>5</v>
      </c>
    </row>
    <row r="9083" spans="18:20" x14ac:dyDescent="0.25">
      <c r="R9083">
        <v>274</v>
      </c>
      <c r="S9083">
        <v>24</v>
      </c>
      <c r="T9083">
        <v>4</v>
      </c>
    </row>
    <row r="9084" spans="18:20" x14ac:dyDescent="0.25">
      <c r="R9084">
        <v>274</v>
      </c>
      <c r="S9084">
        <v>30</v>
      </c>
      <c r="T9084">
        <v>3</v>
      </c>
    </row>
    <row r="9085" spans="18:20" x14ac:dyDescent="0.25">
      <c r="R9085">
        <v>274</v>
      </c>
      <c r="S9085">
        <v>55</v>
      </c>
      <c r="T9085">
        <v>3</v>
      </c>
    </row>
    <row r="9086" spans="18:20" x14ac:dyDescent="0.25">
      <c r="R9086">
        <v>274</v>
      </c>
      <c r="S9086">
        <v>56</v>
      </c>
      <c r="T9086">
        <v>2</v>
      </c>
    </row>
    <row r="9087" spans="18:20" x14ac:dyDescent="0.25">
      <c r="R9087">
        <v>274</v>
      </c>
      <c r="S9087">
        <v>69</v>
      </c>
      <c r="T9087">
        <v>4</v>
      </c>
    </row>
    <row r="9088" spans="18:20" x14ac:dyDescent="0.25">
      <c r="R9088">
        <v>274</v>
      </c>
      <c r="S9088">
        <v>76</v>
      </c>
      <c r="T9088">
        <v>4</v>
      </c>
    </row>
    <row r="9089" spans="18:20" x14ac:dyDescent="0.25">
      <c r="R9089">
        <v>274</v>
      </c>
      <c r="S9089">
        <v>78</v>
      </c>
      <c r="T9089">
        <v>3</v>
      </c>
    </row>
    <row r="9090" spans="18:20" x14ac:dyDescent="0.25">
      <c r="R9090">
        <v>274</v>
      </c>
      <c r="S9090">
        <v>94</v>
      </c>
      <c r="T9090">
        <v>3</v>
      </c>
    </row>
    <row r="9091" spans="18:20" x14ac:dyDescent="0.25">
      <c r="R9091">
        <v>274</v>
      </c>
      <c r="S9091">
        <v>134</v>
      </c>
      <c r="T9091">
        <v>4</v>
      </c>
    </row>
    <row r="9092" spans="18:20" x14ac:dyDescent="0.25">
      <c r="R9092">
        <v>274</v>
      </c>
      <c r="S9092">
        <v>151</v>
      </c>
      <c r="T9092">
        <v>3</v>
      </c>
    </row>
    <row r="9093" spans="18:20" x14ac:dyDescent="0.25">
      <c r="R9093">
        <v>274</v>
      </c>
      <c r="S9093">
        <v>159</v>
      </c>
      <c r="T9093">
        <v>1</v>
      </c>
    </row>
    <row r="9094" spans="18:20" x14ac:dyDescent="0.25">
      <c r="R9094">
        <v>274</v>
      </c>
      <c r="S9094">
        <v>173</v>
      </c>
      <c r="T9094">
        <v>2</v>
      </c>
    </row>
    <row r="9095" spans="18:20" x14ac:dyDescent="0.25">
      <c r="R9095">
        <v>274</v>
      </c>
      <c r="S9095">
        <v>190</v>
      </c>
      <c r="T9095">
        <v>3</v>
      </c>
    </row>
    <row r="9096" spans="18:20" x14ac:dyDescent="0.25">
      <c r="R9096">
        <v>274</v>
      </c>
      <c r="S9096">
        <v>195</v>
      </c>
      <c r="T9096">
        <v>5</v>
      </c>
    </row>
    <row r="9097" spans="18:20" x14ac:dyDescent="0.25">
      <c r="R9097">
        <v>274</v>
      </c>
      <c r="S9097">
        <v>197</v>
      </c>
      <c r="T9097">
        <v>4</v>
      </c>
    </row>
    <row r="9098" spans="18:20" x14ac:dyDescent="0.25">
      <c r="R9098">
        <v>274</v>
      </c>
      <c r="S9098">
        <v>205</v>
      </c>
      <c r="T9098">
        <v>2</v>
      </c>
    </row>
    <row r="9099" spans="18:20" x14ac:dyDescent="0.25">
      <c r="R9099">
        <v>274</v>
      </c>
      <c r="S9099">
        <v>214</v>
      </c>
      <c r="T9099">
        <v>5</v>
      </c>
    </row>
    <row r="9100" spans="18:20" x14ac:dyDescent="0.25">
      <c r="R9100">
        <v>274</v>
      </c>
      <c r="S9100">
        <v>227</v>
      </c>
      <c r="T9100">
        <v>5</v>
      </c>
    </row>
    <row r="9101" spans="18:20" x14ac:dyDescent="0.25">
      <c r="R9101">
        <v>274</v>
      </c>
      <c r="S9101">
        <v>227</v>
      </c>
      <c r="T9101">
        <v>3</v>
      </c>
    </row>
    <row r="9102" spans="18:20" x14ac:dyDescent="0.25">
      <c r="R9102">
        <v>274</v>
      </c>
      <c r="S9102">
        <v>255</v>
      </c>
      <c r="T9102">
        <v>4</v>
      </c>
    </row>
    <row r="9103" spans="18:20" x14ac:dyDescent="0.25">
      <c r="R9103">
        <v>274</v>
      </c>
      <c r="S9103">
        <v>261</v>
      </c>
      <c r="T9103">
        <v>2</v>
      </c>
    </row>
    <row r="9104" spans="18:20" x14ac:dyDescent="0.25">
      <c r="R9104">
        <v>274</v>
      </c>
      <c r="S9104">
        <v>278</v>
      </c>
      <c r="T9104">
        <v>5</v>
      </c>
    </row>
    <row r="9105" spans="18:20" x14ac:dyDescent="0.25">
      <c r="R9105">
        <v>274</v>
      </c>
      <c r="S9105">
        <v>286</v>
      </c>
      <c r="T9105">
        <v>3</v>
      </c>
    </row>
    <row r="9106" spans="18:20" x14ac:dyDescent="0.25">
      <c r="R9106">
        <v>274</v>
      </c>
      <c r="S9106">
        <v>316</v>
      </c>
      <c r="T9106">
        <v>3</v>
      </c>
    </row>
    <row r="9107" spans="18:20" x14ac:dyDescent="0.25">
      <c r="R9107">
        <v>274</v>
      </c>
      <c r="S9107">
        <v>320</v>
      </c>
      <c r="T9107">
        <v>3</v>
      </c>
    </row>
    <row r="9108" spans="18:20" x14ac:dyDescent="0.25">
      <c r="R9108">
        <v>274</v>
      </c>
      <c r="S9108">
        <v>326</v>
      </c>
      <c r="T9108">
        <v>5</v>
      </c>
    </row>
    <row r="9109" spans="18:20" x14ac:dyDescent="0.25">
      <c r="R9109">
        <v>274</v>
      </c>
      <c r="S9109">
        <v>328</v>
      </c>
      <c r="T9109">
        <v>5</v>
      </c>
    </row>
    <row r="9110" spans="18:20" x14ac:dyDescent="0.25">
      <c r="R9110">
        <v>274</v>
      </c>
      <c r="S9110">
        <v>339</v>
      </c>
      <c r="T9110">
        <v>3</v>
      </c>
    </row>
    <row r="9111" spans="18:20" x14ac:dyDescent="0.25">
      <c r="R9111">
        <v>274</v>
      </c>
      <c r="S9111">
        <v>347</v>
      </c>
      <c r="T9111">
        <v>4</v>
      </c>
    </row>
    <row r="9112" spans="18:20" x14ac:dyDescent="0.25">
      <c r="R9112">
        <v>274</v>
      </c>
      <c r="S9112">
        <v>354</v>
      </c>
      <c r="T9112">
        <v>1</v>
      </c>
    </row>
    <row r="9113" spans="18:20" x14ac:dyDescent="0.25">
      <c r="R9113">
        <v>274</v>
      </c>
      <c r="S9113">
        <v>359</v>
      </c>
      <c r="T9113">
        <v>1</v>
      </c>
    </row>
    <row r="9114" spans="18:20" x14ac:dyDescent="0.25">
      <c r="R9114">
        <v>274</v>
      </c>
      <c r="S9114">
        <v>380</v>
      </c>
      <c r="T9114">
        <v>5</v>
      </c>
    </row>
    <row r="9115" spans="18:20" x14ac:dyDescent="0.25">
      <c r="R9115">
        <v>274</v>
      </c>
      <c r="S9115">
        <v>389</v>
      </c>
      <c r="T9115">
        <v>4</v>
      </c>
    </row>
    <row r="9116" spans="18:20" x14ac:dyDescent="0.25">
      <c r="R9116">
        <v>274</v>
      </c>
      <c r="S9116">
        <v>402</v>
      </c>
      <c r="T9116">
        <v>3</v>
      </c>
    </row>
    <row r="9117" spans="18:20" x14ac:dyDescent="0.25">
      <c r="R9117">
        <v>274</v>
      </c>
      <c r="S9117">
        <v>413</v>
      </c>
      <c r="T9117">
        <v>4</v>
      </c>
    </row>
    <row r="9118" spans="18:20" x14ac:dyDescent="0.25">
      <c r="R9118">
        <v>274</v>
      </c>
      <c r="S9118">
        <v>414</v>
      </c>
      <c r="T9118">
        <v>4</v>
      </c>
    </row>
    <row r="9119" spans="18:20" x14ac:dyDescent="0.25">
      <c r="R9119">
        <v>274</v>
      </c>
      <c r="S9119">
        <v>416</v>
      </c>
      <c r="T9119">
        <v>1</v>
      </c>
    </row>
    <row r="9120" spans="18:20" x14ac:dyDescent="0.25">
      <c r="R9120">
        <v>274</v>
      </c>
      <c r="S9120">
        <v>421</v>
      </c>
      <c r="T9120">
        <v>4</v>
      </c>
    </row>
    <row r="9121" spans="18:20" x14ac:dyDescent="0.25">
      <c r="R9121">
        <v>274</v>
      </c>
      <c r="S9121">
        <v>426</v>
      </c>
      <c r="T9121">
        <v>2</v>
      </c>
    </row>
    <row r="9122" spans="18:20" x14ac:dyDescent="0.25">
      <c r="R9122">
        <v>274</v>
      </c>
      <c r="S9122">
        <v>435</v>
      </c>
      <c r="T9122">
        <v>4</v>
      </c>
    </row>
    <row r="9123" spans="18:20" x14ac:dyDescent="0.25">
      <c r="R9123">
        <v>275</v>
      </c>
      <c r="S9123">
        <v>57</v>
      </c>
      <c r="T9123">
        <v>1</v>
      </c>
    </row>
    <row r="9124" spans="18:20" x14ac:dyDescent="0.25">
      <c r="R9124">
        <v>275</v>
      </c>
      <c r="S9124">
        <v>62</v>
      </c>
      <c r="T9124">
        <v>3</v>
      </c>
    </row>
    <row r="9125" spans="18:20" x14ac:dyDescent="0.25">
      <c r="R9125">
        <v>275</v>
      </c>
      <c r="S9125">
        <v>71</v>
      </c>
      <c r="T9125">
        <v>3</v>
      </c>
    </row>
    <row r="9126" spans="18:20" x14ac:dyDescent="0.25">
      <c r="R9126">
        <v>275</v>
      </c>
      <c r="S9126">
        <v>83</v>
      </c>
      <c r="T9126">
        <v>2</v>
      </c>
    </row>
    <row r="9127" spans="18:20" x14ac:dyDescent="0.25">
      <c r="R9127">
        <v>275</v>
      </c>
      <c r="S9127">
        <v>83</v>
      </c>
      <c r="T9127">
        <v>5</v>
      </c>
    </row>
    <row r="9128" spans="18:20" x14ac:dyDescent="0.25">
      <c r="R9128">
        <v>275</v>
      </c>
      <c r="S9128">
        <v>94</v>
      </c>
      <c r="T9128">
        <v>1</v>
      </c>
    </row>
    <row r="9129" spans="18:20" x14ac:dyDescent="0.25">
      <c r="R9129">
        <v>275</v>
      </c>
      <c r="S9129">
        <v>101</v>
      </c>
      <c r="T9129">
        <v>2</v>
      </c>
    </row>
    <row r="9130" spans="18:20" x14ac:dyDescent="0.25">
      <c r="R9130">
        <v>275</v>
      </c>
      <c r="S9130">
        <v>104</v>
      </c>
      <c r="T9130">
        <v>1</v>
      </c>
    </row>
    <row r="9131" spans="18:20" x14ac:dyDescent="0.25">
      <c r="R9131">
        <v>275</v>
      </c>
      <c r="S9131">
        <v>105</v>
      </c>
      <c r="T9131">
        <v>3</v>
      </c>
    </row>
    <row r="9132" spans="18:20" x14ac:dyDescent="0.25">
      <c r="R9132">
        <v>275</v>
      </c>
      <c r="S9132">
        <v>114</v>
      </c>
      <c r="T9132">
        <v>1</v>
      </c>
    </row>
    <row r="9133" spans="18:20" x14ac:dyDescent="0.25">
      <c r="R9133">
        <v>275</v>
      </c>
      <c r="S9133">
        <v>166</v>
      </c>
      <c r="T9133">
        <v>1</v>
      </c>
    </row>
    <row r="9134" spans="18:20" x14ac:dyDescent="0.25">
      <c r="R9134">
        <v>275</v>
      </c>
      <c r="S9134">
        <v>185</v>
      </c>
      <c r="T9134">
        <v>2</v>
      </c>
    </row>
    <row r="9135" spans="18:20" x14ac:dyDescent="0.25">
      <c r="R9135">
        <v>275</v>
      </c>
      <c r="S9135">
        <v>259</v>
      </c>
      <c r="T9135">
        <v>1</v>
      </c>
    </row>
    <row r="9136" spans="18:20" x14ac:dyDescent="0.25">
      <c r="R9136">
        <v>275</v>
      </c>
      <c r="S9136">
        <v>287</v>
      </c>
      <c r="T9136">
        <v>5</v>
      </c>
    </row>
    <row r="9137" spans="18:20" x14ac:dyDescent="0.25">
      <c r="R9137">
        <v>275</v>
      </c>
      <c r="S9137">
        <v>322</v>
      </c>
      <c r="T9137">
        <v>4</v>
      </c>
    </row>
    <row r="9138" spans="18:20" x14ac:dyDescent="0.25">
      <c r="R9138">
        <v>275</v>
      </c>
      <c r="S9138">
        <v>336</v>
      </c>
      <c r="T9138">
        <v>2</v>
      </c>
    </row>
    <row r="9139" spans="18:20" x14ac:dyDescent="0.25">
      <c r="R9139">
        <v>275</v>
      </c>
      <c r="S9139">
        <v>340</v>
      </c>
      <c r="T9139">
        <v>1</v>
      </c>
    </row>
    <row r="9140" spans="18:20" x14ac:dyDescent="0.25">
      <c r="R9140">
        <v>275</v>
      </c>
      <c r="S9140">
        <v>341</v>
      </c>
      <c r="T9140">
        <v>1</v>
      </c>
    </row>
    <row r="9141" spans="18:20" x14ac:dyDescent="0.25">
      <c r="R9141">
        <v>275</v>
      </c>
      <c r="S9141">
        <v>363</v>
      </c>
      <c r="T9141">
        <v>2</v>
      </c>
    </row>
    <row r="9142" spans="18:20" x14ac:dyDescent="0.25">
      <c r="R9142">
        <v>275</v>
      </c>
      <c r="S9142">
        <v>365</v>
      </c>
      <c r="T9142">
        <v>1</v>
      </c>
    </row>
    <row r="9143" spans="18:20" x14ac:dyDescent="0.25">
      <c r="R9143">
        <v>275</v>
      </c>
      <c r="S9143">
        <v>378</v>
      </c>
      <c r="T9143">
        <v>3</v>
      </c>
    </row>
    <row r="9144" spans="18:20" x14ac:dyDescent="0.25">
      <c r="R9144">
        <v>275</v>
      </c>
      <c r="S9144">
        <v>382</v>
      </c>
      <c r="T9144">
        <v>1</v>
      </c>
    </row>
    <row r="9145" spans="18:20" x14ac:dyDescent="0.25">
      <c r="R9145">
        <v>275</v>
      </c>
      <c r="S9145">
        <v>407</v>
      </c>
      <c r="T9145">
        <v>4</v>
      </c>
    </row>
    <row r="9146" spans="18:20" x14ac:dyDescent="0.25">
      <c r="R9146">
        <v>276</v>
      </c>
      <c r="S9146">
        <v>4</v>
      </c>
      <c r="T9146">
        <v>1</v>
      </c>
    </row>
    <row r="9147" spans="18:20" x14ac:dyDescent="0.25">
      <c r="R9147">
        <v>276</v>
      </c>
      <c r="S9147">
        <v>29</v>
      </c>
      <c r="T9147">
        <v>4</v>
      </c>
    </row>
    <row r="9148" spans="18:20" x14ac:dyDescent="0.25">
      <c r="R9148">
        <v>276</v>
      </c>
      <c r="S9148">
        <v>39</v>
      </c>
      <c r="T9148">
        <v>5</v>
      </c>
    </row>
    <row r="9149" spans="18:20" x14ac:dyDescent="0.25">
      <c r="R9149">
        <v>276</v>
      </c>
      <c r="S9149">
        <v>42</v>
      </c>
      <c r="T9149">
        <v>3</v>
      </c>
    </row>
    <row r="9150" spans="18:20" x14ac:dyDescent="0.25">
      <c r="R9150">
        <v>276</v>
      </c>
      <c r="S9150">
        <v>45</v>
      </c>
      <c r="T9150">
        <v>2</v>
      </c>
    </row>
    <row r="9151" spans="18:20" x14ac:dyDescent="0.25">
      <c r="R9151">
        <v>276</v>
      </c>
      <c r="S9151">
        <v>46</v>
      </c>
      <c r="T9151">
        <v>3</v>
      </c>
    </row>
    <row r="9152" spans="18:20" x14ac:dyDescent="0.25">
      <c r="R9152">
        <v>276</v>
      </c>
      <c r="S9152">
        <v>47</v>
      </c>
      <c r="T9152">
        <v>2</v>
      </c>
    </row>
    <row r="9153" spans="18:20" x14ac:dyDescent="0.25">
      <c r="R9153">
        <v>276</v>
      </c>
      <c r="S9153">
        <v>58</v>
      </c>
      <c r="T9153">
        <v>2</v>
      </c>
    </row>
    <row r="9154" spans="18:20" x14ac:dyDescent="0.25">
      <c r="R9154">
        <v>276</v>
      </c>
      <c r="S9154">
        <v>59</v>
      </c>
      <c r="T9154">
        <v>5</v>
      </c>
    </row>
    <row r="9155" spans="18:20" x14ac:dyDescent="0.25">
      <c r="R9155">
        <v>276</v>
      </c>
      <c r="S9155">
        <v>85</v>
      </c>
      <c r="T9155">
        <v>1</v>
      </c>
    </row>
    <row r="9156" spans="18:20" x14ac:dyDescent="0.25">
      <c r="R9156">
        <v>276</v>
      </c>
      <c r="S9156">
        <v>89</v>
      </c>
      <c r="T9156">
        <v>2</v>
      </c>
    </row>
    <row r="9157" spans="18:20" x14ac:dyDescent="0.25">
      <c r="R9157">
        <v>276</v>
      </c>
      <c r="S9157">
        <v>94</v>
      </c>
      <c r="T9157">
        <v>5</v>
      </c>
    </row>
    <row r="9158" spans="18:20" x14ac:dyDescent="0.25">
      <c r="R9158">
        <v>276</v>
      </c>
      <c r="S9158">
        <v>100</v>
      </c>
      <c r="T9158">
        <v>5</v>
      </c>
    </row>
    <row r="9159" spans="18:20" x14ac:dyDescent="0.25">
      <c r="R9159">
        <v>276</v>
      </c>
      <c r="S9159">
        <v>110</v>
      </c>
      <c r="T9159">
        <v>3</v>
      </c>
    </row>
    <row r="9160" spans="18:20" x14ac:dyDescent="0.25">
      <c r="R9160">
        <v>276</v>
      </c>
      <c r="S9160">
        <v>112</v>
      </c>
      <c r="T9160">
        <v>2</v>
      </c>
    </row>
    <row r="9161" spans="18:20" x14ac:dyDescent="0.25">
      <c r="R9161">
        <v>276</v>
      </c>
      <c r="S9161">
        <v>116</v>
      </c>
      <c r="T9161">
        <v>1</v>
      </c>
    </row>
    <row r="9162" spans="18:20" x14ac:dyDescent="0.25">
      <c r="R9162">
        <v>276</v>
      </c>
      <c r="S9162">
        <v>122</v>
      </c>
      <c r="T9162">
        <v>4</v>
      </c>
    </row>
    <row r="9163" spans="18:20" x14ac:dyDescent="0.25">
      <c r="R9163">
        <v>276</v>
      </c>
      <c r="S9163">
        <v>132</v>
      </c>
      <c r="T9163">
        <v>1</v>
      </c>
    </row>
    <row r="9164" spans="18:20" x14ac:dyDescent="0.25">
      <c r="R9164">
        <v>276</v>
      </c>
      <c r="S9164">
        <v>145</v>
      </c>
      <c r="T9164">
        <v>2</v>
      </c>
    </row>
    <row r="9165" spans="18:20" x14ac:dyDescent="0.25">
      <c r="R9165">
        <v>276</v>
      </c>
      <c r="S9165">
        <v>148</v>
      </c>
      <c r="T9165">
        <v>1</v>
      </c>
    </row>
    <row r="9166" spans="18:20" x14ac:dyDescent="0.25">
      <c r="R9166">
        <v>276</v>
      </c>
      <c r="S9166">
        <v>151</v>
      </c>
      <c r="T9166">
        <v>2</v>
      </c>
    </row>
    <row r="9167" spans="18:20" x14ac:dyDescent="0.25">
      <c r="R9167">
        <v>276</v>
      </c>
      <c r="S9167">
        <v>164</v>
      </c>
      <c r="T9167">
        <v>1</v>
      </c>
    </row>
    <row r="9168" spans="18:20" x14ac:dyDescent="0.25">
      <c r="R9168">
        <v>276</v>
      </c>
      <c r="S9168">
        <v>172</v>
      </c>
      <c r="T9168">
        <v>1</v>
      </c>
    </row>
    <row r="9169" spans="18:20" x14ac:dyDescent="0.25">
      <c r="R9169">
        <v>276</v>
      </c>
      <c r="S9169">
        <v>174</v>
      </c>
      <c r="T9169">
        <v>1</v>
      </c>
    </row>
    <row r="9170" spans="18:20" x14ac:dyDescent="0.25">
      <c r="R9170">
        <v>276</v>
      </c>
      <c r="S9170">
        <v>176</v>
      </c>
      <c r="T9170">
        <v>2</v>
      </c>
    </row>
    <row r="9171" spans="18:20" x14ac:dyDescent="0.25">
      <c r="R9171">
        <v>276</v>
      </c>
      <c r="S9171">
        <v>177</v>
      </c>
      <c r="T9171">
        <v>1</v>
      </c>
    </row>
    <row r="9172" spans="18:20" x14ac:dyDescent="0.25">
      <c r="R9172">
        <v>276</v>
      </c>
      <c r="S9172">
        <v>202</v>
      </c>
      <c r="T9172">
        <v>1</v>
      </c>
    </row>
    <row r="9173" spans="18:20" x14ac:dyDescent="0.25">
      <c r="R9173">
        <v>276</v>
      </c>
      <c r="S9173">
        <v>202</v>
      </c>
      <c r="T9173">
        <v>5</v>
      </c>
    </row>
    <row r="9174" spans="18:20" x14ac:dyDescent="0.25">
      <c r="R9174">
        <v>276</v>
      </c>
      <c r="S9174">
        <v>204</v>
      </c>
      <c r="T9174">
        <v>3</v>
      </c>
    </row>
    <row r="9175" spans="18:20" x14ac:dyDescent="0.25">
      <c r="R9175">
        <v>276</v>
      </c>
      <c r="S9175">
        <v>223</v>
      </c>
      <c r="T9175">
        <v>2</v>
      </c>
    </row>
    <row r="9176" spans="18:20" x14ac:dyDescent="0.25">
      <c r="R9176">
        <v>276</v>
      </c>
      <c r="S9176">
        <v>223</v>
      </c>
      <c r="T9176">
        <v>4</v>
      </c>
    </row>
    <row r="9177" spans="18:20" x14ac:dyDescent="0.25">
      <c r="R9177">
        <v>276</v>
      </c>
      <c r="S9177">
        <v>234</v>
      </c>
      <c r="T9177">
        <v>1</v>
      </c>
    </row>
    <row r="9178" spans="18:20" x14ac:dyDescent="0.25">
      <c r="R9178">
        <v>276</v>
      </c>
      <c r="S9178">
        <v>235</v>
      </c>
      <c r="T9178">
        <v>4</v>
      </c>
    </row>
    <row r="9179" spans="18:20" x14ac:dyDescent="0.25">
      <c r="R9179">
        <v>276</v>
      </c>
      <c r="S9179">
        <v>239</v>
      </c>
      <c r="T9179">
        <v>1</v>
      </c>
    </row>
    <row r="9180" spans="18:20" x14ac:dyDescent="0.25">
      <c r="R9180">
        <v>276</v>
      </c>
      <c r="S9180">
        <v>251</v>
      </c>
      <c r="T9180">
        <v>1</v>
      </c>
    </row>
    <row r="9181" spans="18:20" x14ac:dyDescent="0.25">
      <c r="R9181">
        <v>276</v>
      </c>
      <c r="S9181">
        <v>252</v>
      </c>
      <c r="T9181">
        <v>5</v>
      </c>
    </row>
    <row r="9182" spans="18:20" x14ac:dyDescent="0.25">
      <c r="R9182">
        <v>276</v>
      </c>
      <c r="S9182">
        <v>273</v>
      </c>
      <c r="T9182">
        <v>4</v>
      </c>
    </row>
    <row r="9183" spans="18:20" x14ac:dyDescent="0.25">
      <c r="R9183">
        <v>276</v>
      </c>
      <c r="S9183">
        <v>305</v>
      </c>
      <c r="T9183">
        <v>3</v>
      </c>
    </row>
    <row r="9184" spans="18:20" x14ac:dyDescent="0.25">
      <c r="R9184">
        <v>276</v>
      </c>
      <c r="S9184">
        <v>309</v>
      </c>
      <c r="T9184">
        <v>1</v>
      </c>
    </row>
    <row r="9185" spans="18:20" x14ac:dyDescent="0.25">
      <c r="R9185">
        <v>276</v>
      </c>
      <c r="S9185">
        <v>310</v>
      </c>
      <c r="T9185">
        <v>2</v>
      </c>
    </row>
    <row r="9186" spans="18:20" x14ac:dyDescent="0.25">
      <c r="R9186">
        <v>276</v>
      </c>
      <c r="S9186">
        <v>313</v>
      </c>
      <c r="T9186">
        <v>4</v>
      </c>
    </row>
    <row r="9187" spans="18:20" x14ac:dyDescent="0.25">
      <c r="R9187">
        <v>276</v>
      </c>
      <c r="S9187">
        <v>314</v>
      </c>
      <c r="T9187">
        <v>3</v>
      </c>
    </row>
    <row r="9188" spans="18:20" x14ac:dyDescent="0.25">
      <c r="R9188">
        <v>276</v>
      </c>
      <c r="S9188">
        <v>332</v>
      </c>
      <c r="T9188">
        <v>2</v>
      </c>
    </row>
    <row r="9189" spans="18:20" x14ac:dyDescent="0.25">
      <c r="R9189">
        <v>276</v>
      </c>
      <c r="S9189">
        <v>355</v>
      </c>
      <c r="T9189">
        <v>4</v>
      </c>
    </row>
    <row r="9190" spans="18:20" x14ac:dyDescent="0.25">
      <c r="R9190">
        <v>276</v>
      </c>
      <c r="S9190">
        <v>361</v>
      </c>
      <c r="T9190">
        <v>4</v>
      </c>
    </row>
    <row r="9191" spans="18:20" x14ac:dyDescent="0.25">
      <c r="R9191">
        <v>276</v>
      </c>
      <c r="S9191">
        <v>364</v>
      </c>
      <c r="T9191">
        <v>2</v>
      </c>
    </row>
    <row r="9192" spans="18:20" x14ac:dyDescent="0.25">
      <c r="R9192">
        <v>276</v>
      </c>
      <c r="S9192">
        <v>365</v>
      </c>
      <c r="T9192">
        <v>2</v>
      </c>
    </row>
    <row r="9193" spans="18:20" x14ac:dyDescent="0.25">
      <c r="R9193">
        <v>276</v>
      </c>
      <c r="S9193">
        <v>369</v>
      </c>
      <c r="T9193">
        <v>2</v>
      </c>
    </row>
    <row r="9194" spans="18:20" x14ac:dyDescent="0.25">
      <c r="R9194">
        <v>276</v>
      </c>
      <c r="S9194">
        <v>380</v>
      </c>
      <c r="T9194">
        <v>5</v>
      </c>
    </row>
    <row r="9195" spans="18:20" x14ac:dyDescent="0.25">
      <c r="R9195">
        <v>276</v>
      </c>
      <c r="S9195">
        <v>396</v>
      </c>
      <c r="T9195">
        <v>1</v>
      </c>
    </row>
    <row r="9196" spans="18:20" x14ac:dyDescent="0.25">
      <c r="R9196">
        <v>277</v>
      </c>
      <c r="S9196">
        <v>7</v>
      </c>
      <c r="T9196">
        <v>5</v>
      </c>
    </row>
    <row r="9197" spans="18:20" x14ac:dyDescent="0.25">
      <c r="R9197">
        <v>277</v>
      </c>
      <c r="S9197">
        <v>41</v>
      </c>
      <c r="T9197">
        <v>1</v>
      </c>
    </row>
    <row r="9198" spans="18:20" x14ac:dyDescent="0.25">
      <c r="R9198">
        <v>277</v>
      </c>
      <c r="S9198">
        <v>43</v>
      </c>
      <c r="T9198">
        <v>2</v>
      </c>
    </row>
    <row r="9199" spans="18:20" x14ac:dyDescent="0.25">
      <c r="R9199">
        <v>277</v>
      </c>
      <c r="S9199">
        <v>47</v>
      </c>
      <c r="T9199">
        <v>5</v>
      </c>
    </row>
    <row r="9200" spans="18:20" x14ac:dyDescent="0.25">
      <c r="R9200">
        <v>277</v>
      </c>
      <c r="S9200">
        <v>49</v>
      </c>
      <c r="T9200">
        <v>5</v>
      </c>
    </row>
    <row r="9201" spans="18:20" x14ac:dyDescent="0.25">
      <c r="R9201">
        <v>277</v>
      </c>
      <c r="S9201">
        <v>56</v>
      </c>
      <c r="T9201">
        <v>5</v>
      </c>
    </row>
    <row r="9202" spans="18:20" x14ac:dyDescent="0.25">
      <c r="R9202">
        <v>277</v>
      </c>
      <c r="S9202">
        <v>66</v>
      </c>
      <c r="T9202">
        <v>1</v>
      </c>
    </row>
    <row r="9203" spans="18:20" x14ac:dyDescent="0.25">
      <c r="R9203">
        <v>277</v>
      </c>
      <c r="S9203">
        <v>77</v>
      </c>
      <c r="T9203">
        <v>1</v>
      </c>
    </row>
    <row r="9204" spans="18:20" x14ac:dyDescent="0.25">
      <c r="R9204">
        <v>277</v>
      </c>
      <c r="S9204">
        <v>91</v>
      </c>
      <c r="T9204">
        <v>5</v>
      </c>
    </row>
    <row r="9205" spans="18:20" x14ac:dyDescent="0.25">
      <c r="R9205">
        <v>277</v>
      </c>
      <c r="S9205">
        <v>105</v>
      </c>
      <c r="T9205">
        <v>1</v>
      </c>
    </row>
    <row r="9206" spans="18:20" x14ac:dyDescent="0.25">
      <c r="R9206">
        <v>277</v>
      </c>
      <c r="S9206">
        <v>106</v>
      </c>
      <c r="T9206">
        <v>4</v>
      </c>
    </row>
    <row r="9207" spans="18:20" x14ac:dyDescent="0.25">
      <c r="R9207">
        <v>277</v>
      </c>
      <c r="S9207">
        <v>116</v>
      </c>
      <c r="T9207">
        <v>2</v>
      </c>
    </row>
    <row r="9208" spans="18:20" x14ac:dyDescent="0.25">
      <c r="R9208">
        <v>277</v>
      </c>
      <c r="S9208">
        <v>125</v>
      </c>
      <c r="T9208">
        <v>2</v>
      </c>
    </row>
    <row r="9209" spans="18:20" x14ac:dyDescent="0.25">
      <c r="R9209">
        <v>277</v>
      </c>
      <c r="S9209">
        <v>133</v>
      </c>
      <c r="T9209">
        <v>1</v>
      </c>
    </row>
    <row r="9210" spans="18:20" x14ac:dyDescent="0.25">
      <c r="R9210">
        <v>277</v>
      </c>
      <c r="S9210">
        <v>154</v>
      </c>
      <c r="T9210">
        <v>3</v>
      </c>
    </row>
    <row r="9211" spans="18:20" x14ac:dyDescent="0.25">
      <c r="R9211">
        <v>277</v>
      </c>
      <c r="S9211">
        <v>174</v>
      </c>
      <c r="T9211">
        <v>1</v>
      </c>
    </row>
    <row r="9212" spans="18:20" x14ac:dyDescent="0.25">
      <c r="R9212">
        <v>277</v>
      </c>
      <c r="S9212">
        <v>177</v>
      </c>
      <c r="T9212">
        <v>3</v>
      </c>
    </row>
    <row r="9213" spans="18:20" x14ac:dyDescent="0.25">
      <c r="R9213">
        <v>277</v>
      </c>
      <c r="S9213">
        <v>190</v>
      </c>
      <c r="T9213">
        <v>2</v>
      </c>
    </row>
    <row r="9214" spans="18:20" x14ac:dyDescent="0.25">
      <c r="R9214">
        <v>277</v>
      </c>
      <c r="S9214">
        <v>234</v>
      </c>
      <c r="T9214">
        <v>4</v>
      </c>
    </row>
    <row r="9215" spans="18:20" x14ac:dyDescent="0.25">
      <c r="R9215">
        <v>277</v>
      </c>
      <c r="S9215">
        <v>237</v>
      </c>
      <c r="T9215">
        <v>4</v>
      </c>
    </row>
    <row r="9216" spans="18:20" x14ac:dyDescent="0.25">
      <c r="R9216">
        <v>277</v>
      </c>
      <c r="S9216">
        <v>240</v>
      </c>
      <c r="T9216">
        <v>2</v>
      </c>
    </row>
    <row r="9217" spans="18:20" x14ac:dyDescent="0.25">
      <c r="R9217">
        <v>277</v>
      </c>
      <c r="S9217">
        <v>244</v>
      </c>
      <c r="T9217">
        <v>3</v>
      </c>
    </row>
    <row r="9218" spans="18:20" x14ac:dyDescent="0.25">
      <c r="R9218">
        <v>277</v>
      </c>
      <c r="S9218">
        <v>264</v>
      </c>
      <c r="T9218">
        <v>3</v>
      </c>
    </row>
    <row r="9219" spans="18:20" x14ac:dyDescent="0.25">
      <c r="R9219">
        <v>277</v>
      </c>
      <c r="S9219">
        <v>266</v>
      </c>
      <c r="T9219">
        <v>1</v>
      </c>
    </row>
    <row r="9220" spans="18:20" x14ac:dyDescent="0.25">
      <c r="R9220">
        <v>277</v>
      </c>
      <c r="S9220">
        <v>314</v>
      </c>
      <c r="T9220">
        <v>2</v>
      </c>
    </row>
    <row r="9221" spans="18:20" x14ac:dyDescent="0.25">
      <c r="R9221">
        <v>277</v>
      </c>
      <c r="S9221">
        <v>335</v>
      </c>
      <c r="T9221">
        <v>5</v>
      </c>
    </row>
    <row r="9222" spans="18:20" x14ac:dyDescent="0.25">
      <c r="R9222">
        <v>277</v>
      </c>
      <c r="S9222">
        <v>339</v>
      </c>
      <c r="T9222">
        <v>4</v>
      </c>
    </row>
    <row r="9223" spans="18:20" x14ac:dyDescent="0.25">
      <c r="R9223">
        <v>277</v>
      </c>
      <c r="S9223">
        <v>339</v>
      </c>
      <c r="T9223">
        <v>4</v>
      </c>
    </row>
    <row r="9224" spans="18:20" x14ac:dyDescent="0.25">
      <c r="R9224">
        <v>277</v>
      </c>
      <c r="S9224">
        <v>340</v>
      </c>
      <c r="T9224">
        <v>4</v>
      </c>
    </row>
    <row r="9225" spans="18:20" x14ac:dyDescent="0.25">
      <c r="R9225">
        <v>277</v>
      </c>
      <c r="S9225">
        <v>344</v>
      </c>
      <c r="T9225">
        <v>4</v>
      </c>
    </row>
    <row r="9226" spans="18:20" x14ac:dyDescent="0.25">
      <c r="R9226">
        <v>277</v>
      </c>
      <c r="S9226">
        <v>354</v>
      </c>
      <c r="T9226">
        <v>2</v>
      </c>
    </row>
    <row r="9227" spans="18:20" x14ac:dyDescent="0.25">
      <c r="R9227">
        <v>277</v>
      </c>
      <c r="S9227">
        <v>373</v>
      </c>
      <c r="T9227">
        <v>5</v>
      </c>
    </row>
    <row r="9228" spans="18:20" x14ac:dyDescent="0.25">
      <c r="R9228">
        <v>277</v>
      </c>
      <c r="S9228">
        <v>388</v>
      </c>
      <c r="T9228">
        <v>2</v>
      </c>
    </row>
    <row r="9229" spans="18:20" x14ac:dyDescent="0.25">
      <c r="R9229">
        <v>277</v>
      </c>
      <c r="S9229">
        <v>402</v>
      </c>
      <c r="T9229">
        <v>3</v>
      </c>
    </row>
    <row r="9230" spans="18:20" x14ac:dyDescent="0.25">
      <c r="R9230">
        <v>277</v>
      </c>
      <c r="S9230">
        <v>420</v>
      </c>
      <c r="T9230">
        <v>4</v>
      </c>
    </row>
    <row r="9231" spans="18:20" x14ac:dyDescent="0.25">
      <c r="R9231">
        <v>277</v>
      </c>
      <c r="S9231">
        <v>422</v>
      </c>
      <c r="T9231">
        <v>4</v>
      </c>
    </row>
    <row r="9232" spans="18:20" x14ac:dyDescent="0.25">
      <c r="R9232">
        <v>278</v>
      </c>
      <c r="S9232">
        <v>7</v>
      </c>
      <c r="T9232">
        <v>1</v>
      </c>
    </row>
    <row r="9233" spans="18:20" x14ac:dyDescent="0.25">
      <c r="R9233">
        <v>278</v>
      </c>
      <c r="S9233">
        <v>7</v>
      </c>
      <c r="T9233">
        <v>1</v>
      </c>
    </row>
    <row r="9234" spans="18:20" x14ac:dyDescent="0.25">
      <c r="R9234">
        <v>278</v>
      </c>
      <c r="S9234">
        <v>33</v>
      </c>
      <c r="T9234">
        <v>2</v>
      </c>
    </row>
    <row r="9235" spans="18:20" x14ac:dyDescent="0.25">
      <c r="R9235">
        <v>278</v>
      </c>
      <c r="S9235">
        <v>49</v>
      </c>
      <c r="T9235">
        <v>5</v>
      </c>
    </row>
    <row r="9236" spans="18:20" x14ac:dyDescent="0.25">
      <c r="R9236">
        <v>278</v>
      </c>
      <c r="S9236">
        <v>56</v>
      </c>
      <c r="T9236">
        <v>4</v>
      </c>
    </row>
    <row r="9237" spans="18:20" x14ac:dyDescent="0.25">
      <c r="R9237">
        <v>278</v>
      </c>
      <c r="S9237">
        <v>57</v>
      </c>
      <c r="T9237">
        <v>2</v>
      </c>
    </row>
    <row r="9238" spans="18:20" x14ac:dyDescent="0.25">
      <c r="R9238">
        <v>278</v>
      </c>
      <c r="S9238">
        <v>75</v>
      </c>
      <c r="T9238">
        <v>2</v>
      </c>
    </row>
    <row r="9239" spans="18:20" x14ac:dyDescent="0.25">
      <c r="R9239">
        <v>278</v>
      </c>
      <c r="S9239">
        <v>97</v>
      </c>
      <c r="T9239">
        <v>5</v>
      </c>
    </row>
    <row r="9240" spans="18:20" x14ac:dyDescent="0.25">
      <c r="R9240">
        <v>278</v>
      </c>
      <c r="S9240">
        <v>127</v>
      </c>
      <c r="T9240">
        <v>5</v>
      </c>
    </row>
    <row r="9241" spans="18:20" x14ac:dyDescent="0.25">
      <c r="R9241">
        <v>278</v>
      </c>
      <c r="S9241">
        <v>133</v>
      </c>
      <c r="T9241">
        <v>5</v>
      </c>
    </row>
    <row r="9242" spans="18:20" x14ac:dyDescent="0.25">
      <c r="R9242">
        <v>278</v>
      </c>
      <c r="S9242">
        <v>148</v>
      </c>
      <c r="T9242">
        <v>4</v>
      </c>
    </row>
    <row r="9243" spans="18:20" x14ac:dyDescent="0.25">
      <c r="R9243">
        <v>278</v>
      </c>
      <c r="S9243">
        <v>167</v>
      </c>
      <c r="T9243">
        <v>2</v>
      </c>
    </row>
    <row r="9244" spans="18:20" x14ac:dyDescent="0.25">
      <c r="R9244">
        <v>278</v>
      </c>
      <c r="S9244">
        <v>195</v>
      </c>
      <c r="T9244">
        <v>1</v>
      </c>
    </row>
    <row r="9245" spans="18:20" x14ac:dyDescent="0.25">
      <c r="R9245">
        <v>278</v>
      </c>
      <c r="S9245">
        <v>203</v>
      </c>
      <c r="T9245">
        <v>2</v>
      </c>
    </row>
    <row r="9246" spans="18:20" x14ac:dyDescent="0.25">
      <c r="R9246">
        <v>278</v>
      </c>
      <c r="S9246">
        <v>215</v>
      </c>
      <c r="T9246">
        <v>1</v>
      </c>
    </row>
    <row r="9247" spans="18:20" x14ac:dyDescent="0.25">
      <c r="R9247">
        <v>278</v>
      </c>
      <c r="S9247">
        <v>228</v>
      </c>
      <c r="T9247">
        <v>1</v>
      </c>
    </row>
    <row r="9248" spans="18:20" x14ac:dyDescent="0.25">
      <c r="R9248">
        <v>278</v>
      </c>
      <c r="S9248">
        <v>234</v>
      </c>
      <c r="T9248">
        <v>3</v>
      </c>
    </row>
    <row r="9249" spans="18:20" x14ac:dyDescent="0.25">
      <c r="R9249">
        <v>278</v>
      </c>
      <c r="S9249">
        <v>247</v>
      </c>
      <c r="T9249">
        <v>2</v>
      </c>
    </row>
    <row r="9250" spans="18:20" x14ac:dyDescent="0.25">
      <c r="R9250">
        <v>278</v>
      </c>
      <c r="S9250">
        <v>262</v>
      </c>
      <c r="T9250">
        <v>3</v>
      </c>
    </row>
    <row r="9251" spans="18:20" x14ac:dyDescent="0.25">
      <c r="R9251">
        <v>278</v>
      </c>
      <c r="S9251">
        <v>297</v>
      </c>
      <c r="T9251">
        <v>4</v>
      </c>
    </row>
    <row r="9252" spans="18:20" x14ac:dyDescent="0.25">
      <c r="R9252">
        <v>278</v>
      </c>
      <c r="S9252">
        <v>325</v>
      </c>
      <c r="T9252">
        <v>1</v>
      </c>
    </row>
    <row r="9253" spans="18:20" x14ac:dyDescent="0.25">
      <c r="R9253">
        <v>278</v>
      </c>
      <c r="S9253">
        <v>335</v>
      </c>
      <c r="T9253">
        <v>1</v>
      </c>
    </row>
    <row r="9254" spans="18:20" x14ac:dyDescent="0.25">
      <c r="R9254">
        <v>278</v>
      </c>
      <c r="S9254">
        <v>357</v>
      </c>
      <c r="T9254">
        <v>2</v>
      </c>
    </row>
    <row r="9255" spans="18:20" x14ac:dyDescent="0.25">
      <c r="R9255">
        <v>278</v>
      </c>
      <c r="S9255">
        <v>358</v>
      </c>
      <c r="T9255">
        <v>2</v>
      </c>
    </row>
    <row r="9256" spans="18:20" x14ac:dyDescent="0.25">
      <c r="R9256">
        <v>278</v>
      </c>
      <c r="S9256">
        <v>367</v>
      </c>
      <c r="T9256">
        <v>2</v>
      </c>
    </row>
    <row r="9257" spans="18:20" x14ac:dyDescent="0.25">
      <c r="R9257">
        <v>278</v>
      </c>
      <c r="S9257">
        <v>404</v>
      </c>
      <c r="T9257">
        <v>1</v>
      </c>
    </row>
    <row r="9258" spans="18:20" x14ac:dyDescent="0.25">
      <c r="R9258">
        <v>278</v>
      </c>
      <c r="S9258">
        <v>412</v>
      </c>
      <c r="T9258">
        <v>4</v>
      </c>
    </row>
    <row r="9259" spans="18:20" x14ac:dyDescent="0.25">
      <c r="R9259">
        <v>278</v>
      </c>
      <c r="S9259">
        <v>415</v>
      </c>
      <c r="T9259">
        <v>3</v>
      </c>
    </row>
    <row r="9260" spans="18:20" x14ac:dyDescent="0.25">
      <c r="R9260">
        <v>278</v>
      </c>
      <c r="S9260">
        <v>416</v>
      </c>
      <c r="T9260">
        <v>1</v>
      </c>
    </row>
    <row r="9261" spans="18:20" x14ac:dyDescent="0.25">
      <c r="R9261">
        <v>278</v>
      </c>
      <c r="S9261">
        <v>425</v>
      </c>
      <c r="T9261">
        <v>3</v>
      </c>
    </row>
    <row r="9262" spans="18:20" x14ac:dyDescent="0.25">
      <c r="R9262">
        <v>279</v>
      </c>
      <c r="S9262">
        <v>11</v>
      </c>
      <c r="T9262">
        <v>5</v>
      </c>
    </row>
    <row r="9263" spans="18:20" x14ac:dyDescent="0.25">
      <c r="R9263">
        <v>279</v>
      </c>
      <c r="S9263">
        <v>18</v>
      </c>
      <c r="T9263">
        <v>5</v>
      </c>
    </row>
    <row r="9264" spans="18:20" x14ac:dyDescent="0.25">
      <c r="R9264">
        <v>279</v>
      </c>
      <c r="S9264">
        <v>30</v>
      </c>
      <c r="T9264">
        <v>2</v>
      </c>
    </row>
    <row r="9265" spans="18:20" x14ac:dyDescent="0.25">
      <c r="R9265">
        <v>279</v>
      </c>
      <c r="S9265">
        <v>54</v>
      </c>
      <c r="T9265">
        <v>5</v>
      </c>
    </row>
    <row r="9266" spans="18:20" x14ac:dyDescent="0.25">
      <c r="R9266">
        <v>279</v>
      </c>
      <c r="S9266">
        <v>64</v>
      </c>
      <c r="T9266">
        <v>4</v>
      </c>
    </row>
    <row r="9267" spans="18:20" x14ac:dyDescent="0.25">
      <c r="R9267">
        <v>279</v>
      </c>
      <c r="S9267">
        <v>86</v>
      </c>
      <c r="T9267">
        <v>3</v>
      </c>
    </row>
    <row r="9268" spans="18:20" x14ac:dyDescent="0.25">
      <c r="R9268">
        <v>279</v>
      </c>
      <c r="S9268">
        <v>111</v>
      </c>
      <c r="T9268">
        <v>4</v>
      </c>
    </row>
    <row r="9269" spans="18:20" x14ac:dyDescent="0.25">
      <c r="R9269">
        <v>279</v>
      </c>
      <c r="S9269">
        <v>133</v>
      </c>
      <c r="T9269">
        <v>5</v>
      </c>
    </row>
    <row r="9270" spans="18:20" x14ac:dyDescent="0.25">
      <c r="R9270">
        <v>279</v>
      </c>
      <c r="S9270">
        <v>135</v>
      </c>
      <c r="T9270">
        <v>2</v>
      </c>
    </row>
    <row r="9271" spans="18:20" x14ac:dyDescent="0.25">
      <c r="R9271">
        <v>279</v>
      </c>
      <c r="S9271">
        <v>152</v>
      </c>
      <c r="T9271">
        <v>3</v>
      </c>
    </row>
    <row r="9272" spans="18:20" x14ac:dyDescent="0.25">
      <c r="R9272">
        <v>279</v>
      </c>
      <c r="S9272">
        <v>154</v>
      </c>
      <c r="T9272">
        <v>1</v>
      </c>
    </row>
    <row r="9273" spans="18:20" x14ac:dyDescent="0.25">
      <c r="R9273">
        <v>279</v>
      </c>
      <c r="S9273">
        <v>169</v>
      </c>
      <c r="T9273">
        <v>3</v>
      </c>
    </row>
    <row r="9274" spans="18:20" x14ac:dyDescent="0.25">
      <c r="R9274">
        <v>279</v>
      </c>
      <c r="S9274">
        <v>200</v>
      </c>
      <c r="T9274">
        <v>1</v>
      </c>
    </row>
    <row r="9275" spans="18:20" x14ac:dyDescent="0.25">
      <c r="R9275">
        <v>279</v>
      </c>
      <c r="S9275">
        <v>210</v>
      </c>
      <c r="T9275">
        <v>3</v>
      </c>
    </row>
    <row r="9276" spans="18:20" x14ac:dyDescent="0.25">
      <c r="R9276">
        <v>279</v>
      </c>
      <c r="S9276">
        <v>217</v>
      </c>
      <c r="T9276">
        <v>3</v>
      </c>
    </row>
    <row r="9277" spans="18:20" x14ac:dyDescent="0.25">
      <c r="R9277">
        <v>279</v>
      </c>
      <c r="S9277">
        <v>235</v>
      </c>
      <c r="T9277">
        <v>2</v>
      </c>
    </row>
    <row r="9278" spans="18:20" x14ac:dyDescent="0.25">
      <c r="R9278">
        <v>279</v>
      </c>
      <c r="S9278">
        <v>242</v>
      </c>
      <c r="T9278">
        <v>1</v>
      </c>
    </row>
    <row r="9279" spans="18:20" x14ac:dyDescent="0.25">
      <c r="R9279">
        <v>279</v>
      </c>
      <c r="S9279">
        <v>248</v>
      </c>
      <c r="T9279">
        <v>2</v>
      </c>
    </row>
    <row r="9280" spans="18:20" x14ac:dyDescent="0.25">
      <c r="R9280">
        <v>279</v>
      </c>
      <c r="S9280">
        <v>251</v>
      </c>
      <c r="T9280">
        <v>1</v>
      </c>
    </row>
    <row r="9281" spans="18:20" x14ac:dyDescent="0.25">
      <c r="R9281">
        <v>279</v>
      </c>
      <c r="S9281">
        <v>266</v>
      </c>
      <c r="T9281">
        <v>4</v>
      </c>
    </row>
    <row r="9282" spans="18:20" x14ac:dyDescent="0.25">
      <c r="R9282">
        <v>279</v>
      </c>
      <c r="S9282">
        <v>269</v>
      </c>
      <c r="T9282">
        <v>4</v>
      </c>
    </row>
    <row r="9283" spans="18:20" x14ac:dyDescent="0.25">
      <c r="R9283">
        <v>279</v>
      </c>
      <c r="S9283">
        <v>288</v>
      </c>
      <c r="T9283">
        <v>2</v>
      </c>
    </row>
    <row r="9284" spans="18:20" x14ac:dyDescent="0.25">
      <c r="R9284">
        <v>279</v>
      </c>
      <c r="S9284">
        <v>310</v>
      </c>
      <c r="T9284">
        <v>2</v>
      </c>
    </row>
    <row r="9285" spans="18:20" x14ac:dyDescent="0.25">
      <c r="R9285">
        <v>279</v>
      </c>
      <c r="S9285">
        <v>321</v>
      </c>
      <c r="T9285">
        <v>5</v>
      </c>
    </row>
    <row r="9286" spans="18:20" x14ac:dyDescent="0.25">
      <c r="R9286">
        <v>279</v>
      </c>
      <c r="S9286">
        <v>401</v>
      </c>
      <c r="T9286">
        <v>1</v>
      </c>
    </row>
    <row r="9287" spans="18:20" x14ac:dyDescent="0.25">
      <c r="R9287">
        <v>279</v>
      </c>
      <c r="S9287">
        <v>406</v>
      </c>
      <c r="T9287">
        <v>3</v>
      </c>
    </row>
    <row r="9288" spans="18:20" x14ac:dyDescent="0.25">
      <c r="R9288">
        <v>280</v>
      </c>
      <c r="S9288">
        <v>3</v>
      </c>
      <c r="T9288">
        <v>1</v>
      </c>
    </row>
    <row r="9289" spans="18:20" x14ac:dyDescent="0.25">
      <c r="R9289">
        <v>280</v>
      </c>
      <c r="S9289">
        <v>6</v>
      </c>
      <c r="T9289">
        <v>1</v>
      </c>
    </row>
    <row r="9290" spans="18:20" x14ac:dyDescent="0.25">
      <c r="R9290">
        <v>280</v>
      </c>
      <c r="S9290">
        <v>19</v>
      </c>
      <c r="T9290">
        <v>2</v>
      </c>
    </row>
    <row r="9291" spans="18:20" x14ac:dyDescent="0.25">
      <c r="R9291">
        <v>280</v>
      </c>
      <c r="S9291">
        <v>32</v>
      </c>
      <c r="T9291">
        <v>2</v>
      </c>
    </row>
    <row r="9292" spans="18:20" x14ac:dyDescent="0.25">
      <c r="R9292">
        <v>280</v>
      </c>
      <c r="S9292">
        <v>33</v>
      </c>
      <c r="T9292">
        <v>2</v>
      </c>
    </row>
    <row r="9293" spans="18:20" x14ac:dyDescent="0.25">
      <c r="R9293">
        <v>280</v>
      </c>
      <c r="S9293">
        <v>44</v>
      </c>
      <c r="T9293">
        <v>4</v>
      </c>
    </row>
    <row r="9294" spans="18:20" x14ac:dyDescent="0.25">
      <c r="R9294">
        <v>280</v>
      </c>
      <c r="S9294">
        <v>47</v>
      </c>
      <c r="T9294">
        <v>4</v>
      </c>
    </row>
    <row r="9295" spans="18:20" x14ac:dyDescent="0.25">
      <c r="R9295">
        <v>280</v>
      </c>
      <c r="S9295">
        <v>55</v>
      </c>
      <c r="T9295">
        <v>1</v>
      </c>
    </row>
    <row r="9296" spans="18:20" x14ac:dyDescent="0.25">
      <c r="R9296">
        <v>280</v>
      </c>
      <c r="S9296">
        <v>98</v>
      </c>
      <c r="T9296">
        <v>5</v>
      </c>
    </row>
    <row r="9297" spans="18:20" x14ac:dyDescent="0.25">
      <c r="R9297">
        <v>280</v>
      </c>
      <c r="S9297">
        <v>99</v>
      </c>
      <c r="T9297">
        <v>3</v>
      </c>
    </row>
    <row r="9298" spans="18:20" x14ac:dyDescent="0.25">
      <c r="R9298">
        <v>280</v>
      </c>
      <c r="S9298">
        <v>99</v>
      </c>
      <c r="T9298">
        <v>5</v>
      </c>
    </row>
    <row r="9299" spans="18:20" x14ac:dyDescent="0.25">
      <c r="R9299">
        <v>280</v>
      </c>
      <c r="S9299">
        <v>111</v>
      </c>
      <c r="T9299">
        <v>2</v>
      </c>
    </row>
    <row r="9300" spans="18:20" x14ac:dyDescent="0.25">
      <c r="R9300">
        <v>280</v>
      </c>
      <c r="S9300">
        <v>130</v>
      </c>
      <c r="T9300">
        <v>1</v>
      </c>
    </row>
    <row r="9301" spans="18:20" x14ac:dyDescent="0.25">
      <c r="R9301">
        <v>280</v>
      </c>
      <c r="S9301">
        <v>152</v>
      </c>
      <c r="T9301">
        <v>4</v>
      </c>
    </row>
    <row r="9302" spans="18:20" x14ac:dyDescent="0.25">
      <c r="R9302">
        <v>280</v>
      </c>
      <c r="S9302">
        <v>154</v>
      </c>
      <c r="T9302">
        <v>4</v>
      </c>
    </row>
    <row r="9303" spans="18:20" x14ac:dyDescent="0.25">
      <c r="R9303">
        <v>280</v>
      </c>
      <c r="S9303">
        <v>165</v>
      </c>
      <c r="T9303">
        <v>5</v>
      </c>
    </row>
    <row r="9304" spans="18:20" x14ac:dyDescent="0.25">
      <c r="R9304">
        <v>280</v>
      </c>
      <c r="S9304">
        <v>185</v>
      </c>
      <c r="T9304">
        <v>2</v>
      </c>
    </row>
    <row r="9305" spans="18:20" x14ac:dyDescent="0.25">
      <c r="R9305">
        <v>280</v>
      </c>
      <c r="S9305">
        <v>197</v>
      </c>
      <c r="T9305">
        <v>3</v>
      </c>
    </row>
    <row r="9306" spans="18:20" x14ac:dyDescent="0.25">
      <c r="R9306">
        <v>280</v>
      </c>
      <c r="S9306">
        <v>199</v>
      </c>
      <c r="T9306">
        <v>5</v>
      </c>
    </row>
    <row r="9307" spans="18:20" x14ac:dyDescent="0.25">
      <c r="R9307">
        <v>280</v>
      </c>
      <c r="S9307">
        <v>205</v>
      </c>
      <c r="T9307">
        <v>3</v>
      </c>
    </row>
    <row r="9308" spans="18:20" x14ac:dyDescent="0.25">
      <c r="R9308">
        <v>280</v>
      </c>
      <c r="S9308">
        <v>248</v>
      </c>
      <c r="T9308">
        <v>1</v>
      </c>
    </row>
    <row r="9309" spans="18:20" x14ac:dyDescent="0.25">
      <c r="R9309">
        <v>280</v>
      </c>
      <c r="S9309">
        <v>295</v>
      </c>
      <c r="T9309">
        <v>4</v>
      </c>
    </row>
    <row r="9310" spans="18:20" x14ac:dyDescent="0.25">
      <c r="R9310">
        <v>280</v>
      </c>
      <c r="S9310">
        <v>310</v>
      </c>
      <c r="T9310">
        <v>4</v>
      </c>
    </row>
    <row r="9311" spans="18:20" x14ac:dyDescent="0.25">
      <c r="R9311">
        <v>280</v>
      </c>
      <c r="S9311">
        <v>321</v>
      </c>
      <c r="T9311">
        <v>3</v>
      </c>
    </row>
    <row r="9312" spans="18:20" x14ac:dyDescent="0.25">
      <c r="R9312">
        <v>280</v>
      </c>
      <c r="S9312">
        <v>323</v>
      </c>
      <c r="T9312">
        <v>4</v>
      </c>
    </row>
    <row r="9313" spans="18:20" x14ac:dyDescent="0.25">
      <c r="R9313">
        <v>280</v>
      </c>
      <c r="S9313">
        <v>343</v>
      </c>
      <c r="T9313">
        <v>1</v>
      </c>
    </row>
    <row r="9314" spans="18:20" x14ac:dyDescent="0.25">
      <c r="R9314">
        <v>280</v>
      </c>
      <c r="S9314">
        <v>373</v>
      </c>
      <c r="T9314">
        <v>1</v>
      </c>
    </row>
    <row r="9315" spans="18:20" x14ac:dyDescent="0.25">
      <c r="R9315">
        <v>280</v>
      </c>
      <c r="S9315">
        <v>382</v>
      </c>
      <c r="T9315">
        <v>3</v>
      </c>
    </row>
    <row r="9316" spans="18:20" x14ac:dyDescent="0.25">
      <c r="R9316">
        <v>280</v>
      </c>
      <c r="S9316">
        <v>403</v>
      </c>
      <c r="T9316">
        <v>2</v>
      </c>
    </row>
    <row r="9317" spans="18:20" x14ac:dyDescent="0.25">
      <c r="R9317">
        <v>280</v>
      </c>
      <c r="S9317">
        <v>429</v>
      </c>
      <c r="T9317">
        <v>5</v>
      </c>
    </row>
    <row r="9318" spans="18:20" x14ac:dyDescent="0.25">
      <c r="R9318">
        <v>280</v>
      </c>
      <c r="S9318">
        <v>431</v>
      </c>
      <c r="T9318">
        <v>4</v>
      </c>
    </row>
    <row r="9319" spans="18:20" x14ac:dyDescent="0.25">
      <c r="R9319">
        <v>281</v>
      </c>
      <c r="S9319">
        <v>9</v>
      </c>
      <c r="T9319">
        <v>2</v>
      </c>
    </row>
    <row r="9320" spans="18:20" x14ac:dyDescent="0.25">
      <c r="R9320">
        <v>281</v>
      </c>
      <c r="S9320">
        <v>24</v>
      </c>
      <c r="T9320">
        <v>1</v>
      </c>
    </row>
    <row r="9321" spans="18:20" x14ac:dyDescent="0.25">
      <c r="R9321">
        <v>281</v>
      </c>
      <c r="S9321">
        <v>73</v>
      </c>
      <c r="T9321">
        <v>1</v>
      </c>
    </row>
    <row r="9322" spans="18:20" x14ac:dyDescent="0.25">
      <c r="R9322">
        <v>281</v>
      </c>
      <c r="S9322">
        <v>81</v>
      </c>
      <c r="T9322">
        <v>1</v>
      </c>
    </row>
    <row r="9323" spans="18:20" x14ac:dyDescent="0.25">
      <c r="R9323">
        <v>281</v>
      </c>
      <c r="S9323">
        <v>87</v>
      </c>
      <c r="T9323">
        <v>3</v>
      </c>
    </row>
    <row r="9324" spans="18:20" x14ac:dyDescent="0.25">
      <c r="R9324">
        <v>281</v>
      </c>
      <c r="S9324">
        <v>89</v>
      </c>
      <c r="T9324">
        <v>2</v>
      </c>
    </row>
    <row r="9325" spans="18:20" x14ac:dyDescent="0.25">
      <c r="R9325">
        <v>281</v>
      </c>
      <c r="S9325">
        <v>132</v>
      </c>
      <c r="T9325">
        <v>5</v>
      </c>
    </row>
    <row r="9326" spans="18:20" x14ac:dyDescent="0.25">
      <c r="R9326">
        <v>281</v>
      </c>
      <c r="S9326">
        <v>145</v>
      </c>
      <c r="T9326">
        <v>1</v>
      </c>
    </row>
    <row r="9327" spans="18:20" x14ac:dyDescent="0.25">
      <c r="R9327">
        <v>281</v>
      </c>
      <c r="S9327">
        <v>154</v>
      </c>
      <c r="T9327">
        <v>2</v>
      </c>
    </row>
    <row r="9328" spans="18:20" x14ac:dyDescent="0.25">
      <c r="R9328">
        <v>281</v>
      </c>
      <c r="S9328">
        <v>158</v>
      </c>
      <c r="T9328">
        <v>2</v>
      </c>
    </row>
    <row r="9329" spans="18:20" x14ac:dyDescent="0.25">
      <c r="R9329">
        <v>281</v>
      </c>
      <c r="S9329">
        <v>164</v>
      </c>
      <c r="T9329">
        <v>3</v>
      </c>
    </row>
    <row r="9330" spans="18:20" x14ac:dyDescent="0.25">
      <c r="R9330">
        <v>281</v>
      </c>
      <c r="S9330">
        <v>178</v>
      </c>
      <c r="T9330">
        <v>4</v>
      </c>
    </row>
    <row r="9331" spans="18:20" x14ac:dyDescent="0.25">
      <c r="R9331">
        <v>281</v>
      </c>
      <c r="S9331">
        <v>183</v>
      </c>
      <c r="T9331">
        <v>2</v>
      </c>
    </row>
    <row r="9332" spans="18:20" x14ac:dyDescent="0.25">
      <c r="R9332">
        <v>281</v>
      </c>
      <c r="S9332">
        <v>215</v>
      </c>
      <c r="T9332">
        <v>5</v>
      </c>
    </row>
    <row r="9333" spans="18:20" x14ac:dyDescent="0.25">
      <c r="R9333">
        <v>281</v>
      </c>
      <c r="S9333">
        <v>232</v>
      </c>
      <c r="T9333">
        <v>3</v>
      </c>
    </row>
    <row r="9334" spans="18:20" x14ac:dyDescent="0.25">
      <c r="R9334">
        <v>281</v>
      </c>
      <c r="S9334">
        <v>234</v>
      </c>
      <c r="T9334">
        <v>2</v>
      </c>
    </row>
    <row r="9335" spans="18:20" x14ac:dyDescent="0.25">
      <c r="R9335">
        <v>281</v>
      </c>
      <c r="S9335">
        <v>237</v>
      </c>
      <c r="T9335">
        <v>3</v>
      </c>
    </row>
    <row r="9336" spans="18:20" x14ac:dyDescent="0.25">
      <c r="R9336">
        <v>281</v>
      </c>
      <c r="S9336">
        <v>251</v>
      </c>
      <c r="T9336">
        <v>4</v>
      </c>
    </row>
    <row r="9337" spans="18:20" x14ac:dyDescent="0.25">
      <c r="R9337">
        <v>281</v>
      </c>
      <c r="S9337">
        <v>253</v>
      </c>
      <c r="T9337">
        <v>5</v>
      </c>
    </row>
    <row r="9338" spans="18:20" x14ac:dyDescent="0.25">
      <c r="R9338">
        <v>281</v>
      </c>
      <c r="S9338">
        <v>263</v>
      </c>
      <c r="T9338">
        <v>4</v>
      </c>
    </row>
    <row r="9339" spans="18:20" x14ac:dyDescent="0.25">
      <c r="R9339">
        <v>281</v>
      </c>
      <c r="S9339">
        <v>300</v>
      </c>
      <c r="T9339">
        <v>4</v>
      </c>
    </row>
    <row r="9340" spans="18:20" x14ac:dyDescent="0.25">
      <c r="R9340">
        <v>281</v>
      </c>
      <c r="S9340">
        <v>302</v>
      </c>
      <c r="T9340">
        <v>2</v>
      </c>
    </row>
    <row r="9341" spans="18:20" x14ac:dyDescent="0.25">
      <c r="R9341">
        <v>281</v>
      </c>
      <c r="S9341">
        <v>327</v>
      </c>
      <c r="T9341">
        <v>2</v>
      </c>
    </row>
    <row r="9342" spans="18:20" x14ac:dyDescent="0.25">
      <c r="R9342">
        <v>281</v>
      </c>
      <c r="S9342">
        <v>334</v>
      </c>
      <c r="T9342">
        <v>2</v>
      </c>
    </row>
    <row r="9343" spans="18:20" x14ac:dyDescent="0.25">
      <c r="R9343">
        <v>281</v>
      </c>
      <c r="S9343">
        <v>335</v>
      </c>
      <c r="T9343">
        <v>5</v>
      </c>
    </row>
    <row r="9344" spans="18:20" x14ac:dyDescent="0.25">
      <c r="R9344">
        <v>281</v>
      </c>
      <c r="S9344">
        <v>343</v>
      </c>
      <c r="T9344">
        <v>5</v>
      </c>
    </row>
    <row r="9345" spans="18:20" x14ac:dyDescent="0.25">
      <c r="R9345">
        <v>281</v>
      </c>
      <c r="S9345">
        <v>360</v>
      </c>
      <c r="T9345">
        <v>1</v>
      </c>
    </row>
    <row r="9346" spans="18:20" x14ac:dyDescent="0.25">
      <c r="R9346">
        <v>281</v>
      </c>
      <c r="S9346">
        <v>365</v>
      </c>
      <c r="T9346">
        <v>3</v>
      </c>
    </row>
    <row r="9347" spans="18:20" x14ac:dyDescent="0.25">
      <c r="R9347">
        <v>281</v>
      </c>
      <c r="S9347">
        <v>367</v>
      </c>
      <c r="T9347">
        <v>5</v>
      </c>
    </row>
    <row r="9348" spans="18:20" x14ac:dyDescent="0.25">
      <c r="R9348">
        <v>281</v>
      </c>
      <c r="S9348">
        <v>384</v>
      </c>
      <c r="T9348">
        <v>4</v>
      </c>
    </row>
    <row r="9349" spans="18:20" x14ac:dyDescent="0.25">
      <c r="R9349">
        <v>281</v>
      </c>
      <c r="S9349">
        <v>388</v>
      </c>
      <c r="T9349">
        <v>4</v>
      </c>
    </row>
    <row r="9350" spans="18:20" x14ac:dyDescent="0.25">
      <c r="R9350">
        <v>281</v>
      </c>
      <c r="S9350">
        <v>413</v>
      </c>
      <c r="T9350">
        <v>1</v>
      </c>
    </row>
    <row r="9351" spans="18:20" x14ac:dyDescent="0.25">
      <c r="R9351">
        <v>281</v>
      </c>
      <c r="S9351">
        <v>429</v>
      </c>
      <c r="T9351">
        <v>1</v>
      </c>
    </row>
    <row r="9352" spans="18:20" x14ac:dyDescent="0.25">
      <c r="R9352">
        <v>282</v>
      </c>
      <c r="S9352">
        <v>11</v>
      </c>
      <c r="T9352">
        <v>3</v>
      </c>
    </row>
    <row r="9353" spans="18:20" x14ac:dyDescent="0.25">
      <c r="R9353">
        <v>282</v>
      </c>
      <c r="S9353">
        <v>22</v>
      </c>
      <c r="T9353">
        <v>5</v>
      </c>
    </row>
    <row r="9354" spans="18:20" x14ac:dyDescent="0.25">
      <c r="R9354">
        <v>282</v>
      </c>
      <c r="S9354">
        <v>49</v>
      </c>
      <c r="T9354">
        <v>3</v>
      </c>
    </row>
    <row r="9355" spans="18:20" x14ac:dyDescent="0.25">
      <c r="R9355">
        <v>282</v>
      </c>
      <c r="S9355">
        <v>61</v>
      </c>
      <c r="T9355">
        <v>3</v>
      </c>
    </row>
    <row r="9356" spans="18:20" x14ac:dyDescent="0.25">
      <c r="R9356">
        <v>282</v>
      </c>
      <c r="S9356">
        <v>65</v>
      </c>
      <c r="T9356">
        <v>4</v>
      </c>
    </row>
    <row r="9357" spans="18:20" x14ac:dyDescent="0.25">
      <c r="R9357">
        <v>282</v>
      </c>
      <c r="S9357">
        <v>67</v>
      </c>
      <c r="T9357">
        <v>4</v>
      </c>
    </row>
    <row r="9358" spans="18:20" x14ac:dyDescent="0.25">
      <c r="R9358">
        <v>282</v>
      </c>
      <c r="S9358">
        <v>78</v>
      </c>
      <c r="T9358">
        <v>3</v>
      </c>
    </row>
    <row r="9359" spans="18:20" x14ac:dyDescent="0.25">
      <c r="R9359">
        <v>282</v>
      </c>
      <c r="S9359">
        <v>81</v>
      </c>
      <c r="T9359">
        <v>2</v>
      </c>
    </row>
    <row r="9360" spans="18:20" x14ac:dyDescent="0.25">
      <c r="R9360">
        <v>282</v>
      </c>
      <c r="S9360">
        <v>85</v>
      </c>
      <c r="T9360">
        <v>1</v>
      </c>
    </row>
    <row r="9361" spans="18:20" x14ac:dyDescent="0.25">
      <c r="R9361">
        <v>282</v>
      </c>
      <c r="S9361">
        <v>86</v>
      </c>
      <c r="T9361">
        <v>1</v>
      </c>
    </row>
    <row r="9362" spans="18:20" x14ac:dyDescent="0.25">
      <c r="R9362">
        <v>282</v>
      </c>
      <c r="S9362">
        <v>119</v>
      </c>
      <c r="T9362">
        <v>2</v>
      </c>
    </row>
    <row r="9363" spans="18:20" x14ac:dyDescent="0.25">
      <c r="R9363">
        <v>282</v>
      </c>
      <c r="S9363">
        <v>133</v>
      </c>
      <c r="T9363">
        <v>5</v>
      </c>
    </row>
    <row r="9364" spans="18:20" x14ac:dyDescent="0.25">
      <c r="R9364">
        <v>282</v>
      </c>
      <c r="S9364">
        <v>136</v>
      </c>
      <c r="T9364">
        <v>4</v>
      </c>
    </row>
    <row r="9365" spans="18:20" x14ac:dyDescent="0.25">
      <c r="R9365">
        <v>282</v>
      </c>
      <c r="S9365">
        <v>182</v>
      </c>
      <c r="T9365">
        <v>2</v>
      </c>
    </row>
    <row r="9366" spans="18:20" x14ac:dyDescent="0.25">
      <c r="R9366">
        <v>282</v>
      </c>
      <c r="S9366">
        <v>201</v>
      </c>
      <c r="T9366">
        <v>1</v>
      </c>
    </row>
    <row r="9367" spans="18:20" x14ac:dyDescent="0.25">
      <c r="R9367">
        <v>282</v>
      </c>
      <c r="S9367">
        <v>250</v>
      </c>
      <c r="T9367">
        <v>5</v>
      </c>
    </row>
    <row r="9368" spans="18:20" x14ac:dyDescent="0.25">
      <c r="R9368">
        <v>282</v>
      </c>
      <c r="S9368">
        <v>260</v>
      </c>
      <c r="T9368">
        <v>3</v>
      </c>
    </row>
    <row r="9369" spans="18:20" x14ac:dyDescent="0.25">
      <c r="R9369">
        <v>282</v>
      </c>
      <c r="S9369">
        <v>286</v>
      </c>
      <c r="T9369">
        <v>2</v>
      </c>
    </row>
    <row r="9370" spans="18:20" x14ac:dyDescent="0.25">
      <c r="R9370">
        <v>282</v>
      </c>
      <c r="S9370">
        <v>293</v>
      </c>
      <c r="T9370">
        <v>4</v>
      </c>
    </row>
    <row r="9371" spans="18:20" x14ac:dyDescent="0.25">
      <c r="R9371">
        <v>282</v>
      </c>
      <c r="S9371">
        <v>301</v>
      </c>
      <c r="T9371">
        <v>3</v>
      </c>
    </row>
    <row r="9372" spans="18:20" x14ac:dyDescent="0.25">
      <c r="R9372">
        <v>282</v>
      </c>
      <c r="S9372">
        <v>309</v>
      </c>
      <c r="T9372">
        <v>4</v>
      </c>
    </row>
    <row r="9373" spans="18:20" x14ac:dyDescent="0.25">
      <c r="R9373">
        <v>282</v>
      </c>
      <c r="S9373">
        <v>313</v>
      </c>
      <c r="T9373">
        <v>2</v>
      </c>
    </row>
    <row r="9374" spans="18:20" x14ac:dyDescent="0.25">
      <c r="R9374">
        <v>282</v>
      </c>
      <c r="S9374">
        <v>318</v>
      </c>
      <c r="T9374">
        <v>3</v>
      </c>
    </row>
    <row r="9375" spans="18:20" x14ac:dyDescent="0.25">
      <c r="R9375">
        <v>282</v>
      </c>
      <c r="S9375">
        <v>319</v>
      </c>
      <c r="T9375">
        <v>5</v>
      </c>
    </row>
    <row r="9376" spans="18:20" x14ac:dyDescent="0.25">
      <c r="R9376">
        <v>282</v>
      </c>
      <c r="S9376">
        <v>330</v>
      </c>
      <c r="T9376">
        <v>2</v>
      </c>
    </row>
    <row r="9377" spans="18:20" x14ac:dyDescent="0.25">
      <c r="R9377">
        <v>282</v>
      </c>
      <c r="S9377">
        <v>351</v>
      </c>
      <c r="T9377">
        <v>2</v>
      </c>
    </row>
    <row r="9378" spans="18:20" x14ac:dyDescent="0.25">
      <c r="R9378">
        <v>282</v>
      </c>
      <c r="S9378">
        <v>351</v>
      </c>
      <c r="T9378">
        <v>4</v>
      </c>
    </row>
    <row r="9379" spans="18:20" x14ac:dyDescent="0.25">
      <c r="R9379">
        <v>282</v>
      </c>
      <c r="S9379">
        <v>355</v>
      </c>
      <c r="T9379">
        <v>1</v>
      </c>
    </row>
    <row r="9380" spans="18:20" x14ac:dyDescent="0.25">
      <c r="R9380">
        <v>282</v>
      </c>
      <c r="S9380">
        <v>360</v>
      </c>
      <c r="T9380">
        <v>2</v>
      </c>
    </row>
    <row r="9381" spans="18:20" x14ac:dyDescent="0.25">
      <c r="R9381">
        <v>282</v>
      </c>
      <c r="S9381">
        <v>365</v>
      </c>
      <c r="T9381">
        <v>2</v>
      </c>
    </row>
    <row r="9382" spans="18:20" x14ac:dyDescent="0.25">
      <c r="R9382">
        <v>282</v>
      </c>
      <c r="S9382">
        <v>403</v>
      </c>
      <c r="T9382">
        <v>5</v>
      </c>
    </row>
    <row r="9383" spans="18:20" x14ac:dyDescent="0.25">
      <c r="R9383">
        <v>282</v>
      </c>
      <c r="S9383">
        <v>413</v>
      </c>
      <c r="T9383">
        <v>4</v>
      </c>
    </row>
    <row r="9384" spans="18:20" x14ac:dyDescent="0.25">
      <c r="R9384">
        <v>282</v>
      </c>
      <c r="S9384">
        <v>420</v>
      </c>
      <c r="T9384">
        <v>1</v>
      </c>
    </row>
    <row r="9385" spans="18:20" x14ac:dyDescent="0.25">
      <c r="R9385">
        <v>282</v>
      </c>
      <c r="S9385">
        <v>427</v>
      </c>
      <c r="T9385">
        <v>3</v>
      </c>
    </row>
    <row r="9386" spans="18:20" x14ac:dyDescent="0.25">
      <c r="R9386">
        <v>282</v>
      </c>
      <c r="S9386">
        <v>432</v>
      </c>
      <c r="T9386">
        <v>5</v>
      </c>
    </row>
    <row r="9387" spans="18:20" x14ac:dyDescent="0.25">
      <c r="R9387">
        <v>282</v>
      </c>
      <c r="S9387">
        <v>433</v>
      </c>
      <c r="T9387">
        <v>2</v>
      </c>
    </row>
    <row r="9388" spans="18:20" x14ac:dyDescent="0.25">
      <c r="R9388">
        <v>283</v>
      </c>
      <c r="S9388">
        <v>10</v>
      </c>
      <c r="T9388">
        <v>2</v>
      </c>
    </row>
    <row r="9389" spans="18:20" x14ac:dyDescent="0.25">
      <c r="R9389">
        <v>283</v>
      </c>
      <c r="S9389">
        <v>21</v>
      </c>
      <c r="T9389">
        <v>4</v>
      </c>
    </row>
    <row r="9390" spans="18:20" x14ac:dyDescent="0.25">
      <c r="R9390">
        <v>283</v>
      </c>
      <c r="S9390">
        <v>28</v>
      </c>
      <c r="T9390">
        <v>5</v>
      </c>
    </row>
    <row r="9391" spans="18:20" x14ac:dyDescent="0.25">
      <c r="R9391">
        <v>283</v>
      </c>
      <c r="S9391">
        <v>29</v>
      </c>
      <c r="T9391">
        <v>5</v>
      </c>
    </row>
    <row r="9392" spans="18:20" x14ac:dyDescent="0.25">
      <c r="R9392">
        <v>283</v>
      </c>
      <c r="S9392">
        <v>41</v>
      </c>
      <c r="T9392">
        <v>5</v>
      </c>
    </row>
    <row r="9393" spans="18:20" x14ac:dyDescent="0.25">
      <c r="R9393">
        <v>283</v>
      </c>
      <c r="S9393">
        <v>53</v>
      </c>
      <c r="T9393">
        <v>5</v>
      </c>
    </row>
    <row r="9394" spans="18:20" x14ac:dyDescent="0.25">
      <c r="R9394">
        <v>283</v>
      </c>
      <c r="S9394">
        <v>56</v>
      </c>
      <c r="T9394">
        <v>5</v>
      </c>
    </row>
    <row r="9395" spans="18:20" x14ac:dyDescent="0.25">
      <c r="R9395">
        <v>283</v>
      </c>
      <c r="S9395">
        <v>59</v>
      </c>
      <c r="T9395">
        <v>3</v>
      </c>
    </row>
    <row r="9396" spans="18:20" x14ac:dyDescent="0.25">
      <c r="R9396">
        <v>283</v>
      </c>
      <c r="S9396">
        <v>96</v>
      </c>
      <c r="T9396">
        <v>3</v>
      </c>
    </row>
    <row r="9397" spans="18:20" x14ac:dyDescent="0.25">
      <c r="R9397">
        <v>283</v>
      </c>
      <c r="S9397">
        <v>99</v>
      </c>
      <c r="T9397">
        <v>2</v>
      </c>
    </row>
    <row r="9398" spans="18:20" x14ac:dyDescent="0.25">
      <c r="R9398">
        <v>283</v>
      </c>
      <c r="S9398">
        <v>101</v>
      </c>
      <c r="T9398">
        <v>5</v>
      </c>
    </row>
    <row r="9399" spans="18:20" x14ac:dyDescent="0.25">
      <c r="R9399">
        <v>283</v>
      </c>
      <c r="S9399">
        <v>113</v>
      </c>
      <c r="T9399">
        <v>3</v>
      </c>
    </row>
    <row r="9400" spans="18:20" x14ac:dyDescent="0.25">
      <c r="R9400">
        <v>283</v>
      </c>
      <c r="S9400">
        <v>117</v>
      </c>
      <c r="T9400">
        <v>3</v>
      </c>
    </row>
    <row r="9401" spans="18:20" x14ac:dyDescent="0.25">
      <c r="R9401">
        <v>283</v>
      </c>
      <c r="S9401">
        <v>127</v>
      </c>
      <c r="T9401">
        <v>5</v>
      </c>
    </row>
    <row r="9402" spans="18:20" x14ac:dyDescent="0.25">
      <c r="R9402">
        <v>283</v>
      </c>
      <c r="S9402">
        <v>132</v>
      </c>
      <c r="T9402">
        <v>5</v>
      </c>
    </row>
    <row r="9403" spans="18:20" x14ac:dyDescent="0.25">
      <c r="R9403">
        <v>283</v>
      </c>
      <c r="S9403">
        <v>171</v>
      </c>
      <c r="T9403">
        <v>1</v>
      </c>
    </row>
    <row r="9404" spans="18:20" x14ac:dyDescent="0.25">
      <c r="R9404">
        <v>283</v>
      </c>
      <c r="S9404">
        <v>174</v>
      </c>
      <c r="T9404">
        <v>2</v>
      </c>
    </row>
    <row r="9405" spans="18:20" x14ac:dyDescent="0.25">
      <c r="R9405">
        <v>283</v>
      </c>
      <c r="S9405">
        <v>180</v>
      </c>
      <c r="T9405">
        <v>5</v>
      </c>
    </row>
    <row r="9406" spans="18:20" x14ac:dyDescent="0.25">
      <c r="R9406">
        <v>283</v>
      </c>
      <c r="S9406">
        <v>186</v>
      </c>
      <c r="T9406">
        <v>3</v>
      </c>
    </row>
    <row r="9407" spans="18:20" x14ac:dyDescent="0.25">
      <c r="R9407">
        <v>283</v>
      </c>
      <c r="S9407">
        <v>187</v>
      </c>
      <c r="T9407">
        <v>4</v>
      </c>
    </row>
    <row r="9408" spans="18:20" x14ac:dyDescent="0.25">
      <c r="R9408">
        <v>283</v>
      </c>
      <c r="S9408">
        <v>218</v>
      </c>
      <c r="T9408">
        <v>1</v>
      </c>
    </row>
    <row r="9409" spans="18:20" x14ac:dyDescent="0.25">
      <c r="R9409">
        <v>283</v>
      </c>
      <c r="S9409">
        <v>235</v>
      </c>
      <c r="T9409">
        <v>2</v>
      </c>
    </row>
    <row r="9410" spans="18:20" x14ac:dyDescent="0.25">
      <c r="R9410">
        <v>283</v>
      </c>
      <c r="S9410">
        <v>257</v>
      </c>
      <c r="T9410">
        <v>1</v>
      </c>
    </row>
    <row r="9411" spans="18:20" x14ac:dyDescent="0.25">
      <c r="R9411">
        <v>283</v>
      </c>
      <c r="S9411">
        <v>311</v>
      </c>
      <c r="T9411">
        <v>2</v>
      </c>
    </row>
    <row r="9412" spans="18:20" x14ac:dyDescent="0.25">
      <c r="R9412">
        <v>283</v>
      </c>
      <c r="S9412">
        <v>322</v>
      </c>
      <c r="T9412">
        <v>1</v>
      </c>
    </row>
    <row r="9413" spans="18:20" x14ac:dyDescent="0.25">
      <c r="R9413">
        <v>283</v>
      </c>
      <c r="S9413">
        <v>337</v>
      </c>
      <c r="T9413">
        <v>2</v>
      </c>
    </row>
    <row r="9414" spans="18:20" x14ac:dyDescent="0.25">
      <c r="R9414">
        <v>283</v>
      </c>
      <c r="S9414">
        <v>341</v>
      </c>
      <c r="T9414">
        <v>5</v>
      </c>
    </row>
    <row r="9415" spans="18:20" x14ac:dyDescent="0.25">
      <c r="R9415">
        <v>283</v>
      </c>
      <c r="S9415">
        <v>341</v>
      </c>
      <c r="T9415">
        <v>1</v>
      </c>
    </row>
    <row r="9416" spans="18:20" x14ac:dyDescent="0.25">
      <c r="R9416">
        <v>283</v>
      </c>
      <c r="S9416">
        <v>346</v>
      </c>
      <c r="T9416">
        <v>4</v>
      </c>
    </row>
    <row r="9417" spans="18:20" x14ac:dyDescent="0.25">
      <c r="R9417">
        <v>283</v>
      </c>
      <c r="S9417">
        <v>350</v>
      </c>
      <c r="T9417">
        <v>4</v>
      </c>
    </row>
    <row r="9418" spans="18:20" x14ac:dyDescent="0.25">
      <c r="R9418">
        <v>283</v>
      </c>
      <c r="S9418">
        <v>367</v>
      </c>
      <c r="T9418">
        <v>3</v>
      </c>
    </row>
    <row r="9419" spans="18:20" x14ac:dyDescent="0.25">
      <c r="R9419">
        <v>283</v>
      </c>
      <c r="S9419">
        <v>375</v>
      </c>
      <c r="T9419">
        <v>3</v>
      </c>
    </row>
    <row r="9420" spans="18:20" x14ac:dyDescent="0.25">
      <c r="R9420">
        <v>283</v>
      </c>
      <c r="S9420">
        <v>385</v>
      </c>
      <c r="T9420">
        <v>1</v>
      </c>
    </row>
    <row r="9421" spans="18:20" x14ac:dyDescent="0.25">
      <c r="R9421">
        <v>283</v>
      </c>
      <c r="S9421">
        <v>388</v>
      </c>
      <c r="T9421">
        <v>1</v>
      </c>
    </row>
    <row r="9422" spans="18:20" x14ac:dyDescent="0.25">
      <c r="R9422">
        <v>283</v>
      </c>
      <c r="S9422">
        <v>399</v>
      </c>
      <c r="T9422">
        <v>4</v>
      </c>
    </row>
    <row r="9423" spans="18:20" x14ac:dyDescent="0.25">
      <c r="R9423">
        <v>283</v>
      </c>
      <c r="S9423">
        <v>403</v>
      </c>
      <c r="T9423">
        <v>1</v>
      </c>
    </row>
    <row r="9424" spans="18:20" x14ac:dyDescent="0.25">
      <c r="R9424">
        <v>283</v>
      </c>
      <c r="S9424">
        <v>405</v>
      </c>
      <c r="T9424">
        <v>1</v>
      </c>
    </row>
    <row r="9425" spans="18:20" x14ac:dyDescent="0.25">
      <c r="R9425">
        <v>283</v>
      </c>
      <c r="S9425">
        <v>407</v>
      </c>
      <c r="T9425">
        <v>2</v>
      </c>
    </row>
    <row r="9426" spans="18:20" x14ac:dyDescent="0.25">
      <c r="R9426">
        <v>283</v>
      </c>
      <c r="S9426">
        <v>420</v>
      </c>
      <c r="T9426">
        <v>2</v>
      </c>
    </row>
    <row r="9427" spans="18:20" x14ac:dyDescent="0.25">
      <c r="R9427">
        <v>283</v>
      </c>
      <c r="S9427">
        <v>427</v>
      </c>
      <c r="T9427">
        <v>1</v>
      </c>
    </row>
    <row r="9428" spans="18:20" x14ac:dyDescent="0.25">
      <c r="R9428">
        <v>284</v>
      </c>
      <c r="S9428">
        <v>59</v>
      </c>
      <c r="T9428">
        <v>1</v>
      </c>
    </row>
    <row r="9429" spans="18:20" x14ac:dyDescent="0.25">
      <c r="R9429">
        <v>284</v>
      </c>
      <c r="S9429">
        <v>78</v>
      </c>
      <c r="T9429">
        <v>5</v>
      </c>
    </row>
    <row r="9430" spans="18:20" x14ac:dyDescent="0.25">
      <c r="R9430">
        <v>284</v>
      </c>
      <c r="S9430">
        <v>94</v>
      </c>
      <c r="T9430">
        <v>2</v>
      </c>
    </row>
    <row r="9431" spans="18:20" x14ac:dyDescent="0.25">
      <c r="R9431">
        <v>284</v>
      </c>
      <c r="S9431">
        <v>110</v>
      </c>
      <c r="T9431">
        <v>2</v>
      </c>
    </row>
    <row r="9432" spans="18:20" x14ac:dyDescent="0.25">
      <c r="R9432">
        <v>284</v>
      </c>
      <c r="S9432">
        <v>121</v>
      </c>
      <c r="T9432">
        <v>5</v>
      </c>
    </row>
    <row r="9433" spans="18:20" x14ac:dyDescent="0.25">
      <c r="R9433">
        <v>284</v>
      </c>
      <c r="S9433">
        <v>134</v>
      </c>
      <c r="T9433">
        <v>4</v>
      </c>
    </row>
    <row r="9434" spans="18:20" x14ac:dyDescent="0.25">
      <c r="R9434">
        <v>284</v>
      </c>
      <c r="S9434">
        <v>149</v>
      </c>
      <c r="T9434">
        <v>2</v>
      </c>
    </row>
    <row r="9435" spans="18:20" x14ac:dyDescent="0.25">
      <c r="R9435">
        <v>284</v>
      </c>
      <c r="S9435">
        <v>153</v>
      </c>
      <c r="T9435">
        <v>2</v>
      </c>
    </row>
    <row r="9436" spans="18:20" x14ac:dyDescent="0.25">
      <c r="R9436">
        <v>284</v>
      </c>
      <c r="S9436">
        <v>154</v>
      </c>
      <c r="T9436">
        <v>4</v>
      </c>
    </row>
    <row r="9437" spans="18:20" x14ac:dyDescent="0.25">
      <c r="R9437">
        <v>284</v>
      </c>
      <c r="S9437">
        <v>158</v>
      </c>
      <c r="T9437">
        <v>4</v>
      </c>
    </row>
    <row r="9438" spans="18:20" x14ac:dyDescent="0.25">
      <c r="R9438">
        <v>284</v>
      </c>
      <c r="S9438">
        <v>166</v>
      </c>
      <c r="T9438">
        <v>2</v>
      </c>
    </row>
    <row r="9439" spans="18:20" x14ac:dyDescent="0.25">
      <c r="R9439">
        <v>284</v>
      </c>
      <c r="S9439">
        <v>188</v>
      </c>
      <c r="T9439">
        <v>5</v>
      </c>
    </row>
    <row r="9440" spans="18:20" x14ac:dyDescent="0.25">
      <c r="R9440">
        <v>284</v>
      </c>
      <c r="S9440">
        <v>219</v>
      </c>
      <c r="T9440">
        <v>2</v>
      </c>
    </row>
    <row r="9441" spans="18:20" x14ac:dyDescent="0.25">
      <c r="R9441">
        <v>284</v>
      </c>
      <c r="S9441">
        <v>244</v>
      </c>
      <c r="T9441">
        <v>1</v>
      </c>
    </row>
    <row r="9442" spans="18:20" x14ac:dyDescent="0.25">
      <c r="R9442">
        <v>284</v>
      </c>
      <c r="S9442">
        <v>265</v>
      </c>
      <c r="T9442">
        <v>3</v>
      </c>
    </row>
    <row r="9443" spans="18:20" x14ac:dyDescent="0.25">
      <c r="R9443">
        <v>284</v>
      </c>
      <c r="S9443">
        <v>273</v>
      </c>
      <c r="T9443">
        <v>3</v>
      </c>
    </row>
    <row r="9444" spans="18:20" x14ac:dyDescent="0.25">
      <c r="R9444">
        <v>284</v>
      </c>
      <c r="S9444">
        <v>285</v>
      </c>
      <c r="T9444">
        <v>3</v>
      </c>
    </row>
    <row r="9445" spans="18:20" x14ac:dyDescent="0.25">
      <c r="R9445">
        <v>284</v>
      </c>
      <c r="S9445">
        <v>344</v>
      </c>
      <c r="T9445">
        <v>5</v>
      </c>
    </row>
    <row r="9446" spans="18:20" x14ac:dyDescent="0.25">
      <c r="R9446">
        <v>284</v>
      </c>
      <c r="S9446">
        <v>359</v>
      </c>
      <c r="T9446">
        <v>3</v>
      </c>
    </row>
    <row r="9447" spans="18:20" x14ac:dyDescent="0.25">
      <c r="R9447">
        <v>284</v>
      </c>
      <c r="S9447">
        <v>382</v>
      </c>
      <c r="T9447">
        <v>1</v>
      </c>
    </row>
    <row r="9448" spans="18:20" x14ac:dyDescent="0.25">
      <c r="R9448">
        <v>284</v>
      </c>
      <c r="S9448">
        <v>409</v>
      </c>
      <c r="T9448">
        <v>2</v>
      </c>
    </row>
    <row r="9449" spans="18:20" x14ac:dyDescent="0.25">
      <c r="R9449">
        <v>284</v>
      </c>
      <c r="S9449">
        <v>409</v>
      </c>
      <c r="T9449">
        <v>1</v>
      </c>
    </row>
    <row r="9450" spans="18:20" x14ac:dyDescent="0.25">
      <c r="R9450">
        <v>284</v>
      </c>
      <c r="S9450">
        <v>410</v>
      </c>
      <c r="T9450">
        <v>5</v>
      </c>
    </row>
    <row r="9451" spans="18:20" x14ac:dyDescent="0.25">
      <c r="R9451">
        <v>284</v>
      </c>
      <c r="S9451">
        <v>423</v>
      </c>
      <c r="T9451">
        <v>2</v>
      </c>
    </row>
    <row r="9452" spans="18:20" x14ac:dyDescent="0.25">
      <c r="R9452">
        <v>284</v>
      </c>
      <c r="S9452">
        <v>435</v>
      </c>
      <c r="T9452">
        <v>1</v>
      </c>
    </row>
    <row r="9453" spans="18:20" x14ac:dyDescent="0.25">
      <c r="R9453">
        <v>284</v>
      </c>
      <c r="S9453">
        <v>436</v>
      </c>
      <c r="T9453">
        <v>1</v>
      </c>
    </row>
    <row r="9454" spans="18:20" x14ac:dyDescent="0.25">
      <c r="R9454">
        <v>284</v>
      </c>
      <c r="S9454">
        <v>436</v>
      </c>
      <c r="T9454">
        <v>5</v>
      </c>
    </row>
    <row r="9455" spans="18:20" x14ac:dyDescent="0.25">
      <c r="R9455">
        <v>285</v>
      </c>
      <c r="S9455">
        <v>3</v>
      </c>
      <c r="T9455">
        <v>5</v>
      </c>
    </row>
    <row r="9456" spans="18:20" x14ac:dyDescent="0.25">
      <c r="R9456">
        <v>285</v>
      </c>
      <c r="S9456">
        <v>3</v>
      </c>
      <c r="T9456">
        <v>4</v>
      </c>
    </row>
    <row r="9457" spans="18:20" x14ac:dyDescent="0.25">
      <c r="R9457">
        <v>285</v>
      </c>
      <c r="S9457">
        <v>23</v>
      </c>
      <c r="T9457">
        <v>3</v>
      </c>
    </row>
    <row r="9458" spans="18:20" x14ac:dyDescent="0.25">
      <c r="R9458">
        <v>285</v>
      </c>
      <c r="S9458">
        <v>37</v>
      </c>
      <c r="T9458">
        <v>3</v>
      </c>
    </row>
    <row r="9459" spans="18:20" x14ac:dyDescent="0.25">
      <c r="R9459">
        <v>285</v>
      </c>
      <c r="S9459">
        <v>69</v>
      </c>
      <c r="T9459">
        <v>4</v>
      </c>
    </row>
    <row r="9460" spans="18:20" x14ac:dyDescent="0.25">
      <c r="R9460">
        <v>285</v>
      </c>
      <c r="S9460">
        <v>109</v>
      </c>
      <c r="T9460">
        <v>5</v>
      </c>
    </row>
    <row r="9461" spans="18:20" x14ac:dyDescent="0.25">
      <c r="R9461">
        <v>285</v>
      </c>
      <c r="S9461">
        <v>109</v>
      </c>
      <c r="T9461">
        <v>4</v>
      </c>
    </row>
    <row r="9462" spans="18:20" x14ac:dyDescent="0.25">
      <c r="R9462">
        <v>285</v>
      </c>
      <c r="S9462">
        <v>111</v>
      </c>
      <c r="T9462">
        <v>2</v>
      </c>
    </row>
    <row r="9463" spans="18:20" x14ac:dyDescent="0.25">
      <c r="R9463">
        <v>285</v>
      </c>
      <c r="S9463">
        <v>120</v>
      </c>
      <c r="T9463">
        <v>4</v>
      </c>
    </row>
    <row r="9464" spans="18:20" x14ac:dyDescent="0.25">
      <c r="R9464">
        <v>285</v>
      </c>
      <c r="S9464">
        <v>122</v>
      </c>
      <c r="T9464">
        <v>5</v>
      </c>
    </row>
    <row r="9465" spans="18:20" x14ac:dyDescent="0.25">
      <c r="R9465">
        <v>285</v>
      </c>
      <c r="S9465">
        <v>215</v>
      </c>
      <c r="T9465">
        <v>2</v>
      </c>
    </row>
    <row r="9466" spans="18:20" x14ac:dyDescent="0.25">
      <c r="R9466">
        <v>285</v>
      </c>
      <c r="S9466">
        <v>222</v>
      </c>
      <c r="T9466">
        <v>5</v>
      </c>
    </row>
    <row r="9467" spans="18:20" x14ac:dyDescent="0.25">
      <c r="R9467">
        <v>285</v>
      </c>
      <c r="S9467">
        <v>252</v>
      </c>
      <c r="T9467">
        <v>3</v>
      </c>
    </row>
    <row r="9468" spans="18:20" x14ac:dyDescent="0.25">
      <c r="R9468">
        <v>285</v>
      </c>
      <c r="S9468">
        <v>254</v>
      </c>
      <c r="T9468">
        <v>4</v>
      </c>
    </row>
    <row r="9469" spans="18:20" x14ac:dyDescent="0.25">
      <c r="R9469">
        <v>285</v>
      </c>
      <c r="S9469">
        <v>259</v>
      </c>
      <c r="T9469">
        <v>2</v>
      </c>
    </row>
    <row r="9470" spans="18:20" x14ac:dyDescent="0.25">
      <c r="R9470">
        <v>285</v>
      </c>
      <c r="S9470">
        <v>259</v>
      </c>
      <c r="T9470">
        <v>4</v>
      </c>
    </row>
    <row r="9471" spans="18:20" x14ac:dyDescent="0.25">
      <c r="R9471">
        <v>285</v>
      </c>
      <c r="S9471">
        <v>279</v>
      </c>
      <c r="T9471">
        <v>5</v>
      </c>
    </row>
    <row r="9472" spans="18:20" x14ac:dyDescent="0.25">
      <c r="R9472">
        <v>285</v>
      </c>
      <c r="S9472">
        <v>321</v>
      </c>
      <c r="T9472">
        <v>2</v>
      </c>
    </row>
    <row r="9473" spans="18:20" x14ac:dyDescent="0.25">
      <c r="R9473">
        <v>285</v>
      </c>
      <c r="S9473">
        <v>322</v>
      </c>
      <c r="T9473">
        <v>1</v>
      </c>
    </row>
    <row r="9474" spans="18:20" x14ac:dyDescent="0.25">
      <c r="R9474">
        <v>285</v>
      </c>
      <c r="S9474">
        <v>323</v>
      </c>
      <c r="T9474">
        <v>3</v>
      </c>
    </row>
    <row r="9475" spans="18:20" x14ac:dyDescent="0.25">
      <c r="R9475">
        <v>285</v>
      </c>
      <c r="S9475">
        <v>326</v>
      </c>
      <c r="T9475">
        <v>4</v>
      </c>
    </row>
    <row r="9476" spans="18:20" x14ac:dyDescent="0.25">
      <c r="R9476">
        <v>285</v>
      </c>
      <c r="S9476">
        <v>335</v>
      </c>
      <c r="T9476">
        <v>1</v>
      </c>
    </row>
    <row r="9477" spans="18:20" x14ac:dyDescent="0.25">
      <c r="R9477">
        <v>285</v>
      </c>
      <c r="S9477">
        <v>339</v>
      </c>
      <c r="T9477">
        <v>1</v>
      </c>
    </row>
    <row r="9478" spans="18:20" x14ac:dyDescent="0.25">
      <c r="R9478">
        <v>285</v>
      </c>
      <c r="S9478">
        <v>356</v>
      </c>
      <c r="T9478">
        <v>5</v>
      </c>
    </row>
    <row r="9479" spans="18:20" x14ac:dyDescent="0.25">
      <c r="R9479">
        <v>285</v>
      </c>
      <c r="S9479">
        <v>376</v>
      </c>
      <c r="T9479">
        <v>4</v>
      </c>
    </row>
    <row r="9480" spans="18:20" x14ac:dyDescent="0.25">
      <c r="R9480">
        <v>285</v>
      </c>
      <c r="S9480">
        <v>383</v>
      </c>
      <c r="T9480">
        <v>4</v>
      </c>
    </row>
    <row r="9481" spans="18:20" x14ac:dyDescent="0.25">
      <c r="R9481">
        <v>285</v>
      </c>
      <c r="S9481">
        <v>385</v>
      </c>
      <c r="T9481">
        <v>5</v>
      </c>
    </row>
    <row r="9482" spans="18:20" x14ac:dyDescent="0.25">
      <c r="R9482">
        <v>285</v>
      </c>
      <c r="S9482">
        <v>387</v>
      </c>
      <c r="T9482">
        <v>5</v>
      </c>
    </row>
    <row r="9483" spans="18:20" x14ac:dyDescent="0.25">
      <c r="R9483">
        <v>285</v>
      </c>
      <c r="S9483">
        <v>389</v>
      </c>
      <c r="T9483">
        <v>3</v>
      </c>
    </row>
    <row r="9484" spans="18:20" x14ac:dyDescent="0.25">
      <c r="R9484">
        <v>285</v>
      </c>
      <c r="S9484">
        <v>397</v>
      </c>
      <c r="T9484">
        <v>2</v>
      </c>
    </row>
    <row r="9485" spans="18:20" x14ac:dyDescent="0.25">
      <c r="R9485">
        <v>285</v>
      </c>
      <c r="S9485">
        <v>401</v>
      </c>
      <c r="T9485">
        <v>1</v>
      </c>
    </row>
    <row r="9486" spans="18:20" x14ac:dyDescent="0.25">
      <c r="R9486">
        <v>285</v>
      </c>
      <c r="S9486">
        <v>406</v>
      </c>
      <c r="T9486">
        <v>1</v>
      </c>
    </row>
    <row r="9487" spans="18:20" x14ac:dyDescent="0.25">
      <c r="R9487">
        <v>285</v>
      </c>
      <c r="S9487">
        <v>426</v>
      </c>
      <c r="T9487">
        <v>1</v>
      </c>
    </row>
    <row r="9488" spans="18:20" x14ac:dyDescent="0.25">
      <c r="R9488">
        <v>285</v>
      </c>
      <c r="S9488">
        <v>434</v>
      </c>
      <c r="T9488">
        <v>4</v>
      </c>
    </row>
    <row r="9489" spans="18:20" x14ac:dyDescent="0.25">
      <c r="R9489">
        <v>286</v>
      </c>
      <c r="S9489">
        <v>16</v>
      </c>
      <c r="T9489">
        <v>5</v>
      </c>
    </row>
    <row r="9490" spans="18:20" x14ac:dyDescent="0.25">
      <c r="R9490">
        <v>286</v>
      </c>
      <c r="S9490">
        <v>40</v>
      </c>
      <c r="T9490">
        <v>5</v>
      </c>
    </row>
    <row r="9491" spans="18:20" x14ac:dyDescent="0.25">
      <c r="R9491">
        <v>286</v>
      </c>
      <c r="S9491">
        <v>41</v>
      </c>
      <c r="T9491">
        <v>3</v>
      </c>
    </row>
    <row r="9492" spans="18:20" x14ac:dyDescent="0.25">
      <c r="R9492">
        <v>286</v>
      </c>
      <c r="S9492">
        <v>53</v>
      </c>
      <c r="T9492">
        <v>5</v>
      </c>
    </row>
    <row r="9493" spans="18:20" x14ac:dyDescent="0.25">
      <c r="R9493">
        <v>286</v>
      </c>
      <c r="S9493">
        <v>54</v>
      </c>
      <c r="T9493">
        <v>1</v>
      </c>
    </row>
    <row r="9494" spans="18:20" x14ac:dyDescent="0.25">
      <c r="R9494">
        <v>286</v>
      </c>
      <c r="S9494">
        <v>89</v>
      </c>
      <c r="T9494">
        <v>2</v>
      </c>
    </row>
    <row r="9495" spans="18:20" x14ac:dyDescent="0.25">
      <c r="R9495">
        <v>286</v>
      </c>
      <c r="S9495">
        <v>96</v>
      </c>
      <c r="T9495">
        <v>3</v>
      </c>
    </row>
    <row r="9496" spans="18:20" x14ac:dyDescent="0.25">
      <c r="R9496">
        <v>286</v>
      </c>
      <c r="S9496">
        <v>117</v>
      </c>
      <c r="T9496">
        <v>5</v>
      </c>
    </row>
    <row r="9497" spans="18:20" x14ac:dyDescent="0.25">
      <c r="R9497">
        <v>286</v>
      </c>
      <c r="S9497">
        <v>129</v>
      </c>
      <c r="T9497">
        <v>5</v>
      </c>
    </row>
    <row r="9498" spans="18:20" x14ac:dyDescent="0.25">
      <c r="R9498">
        <v>286</v>
      </c>
      <c r="S9498">
        <v>135</v>
      </c>
      <c r="T9498">
        <v>1</v>
      </c>
    </row>
    <row r="9499" spans="18:20" x14ac:dyDescent="0.25">
      <c r="R9499">
        <v>286</v>
      </c>
      <c r="S9499">
        <v>145</v>
      </c>
      <c r="T9499">
        <v>2</v>
      </c>
    </row>
    <row r="9500" spans="18:20" x14ac:dyDescent="0.25">
      <c r="R9500">
        <v>286</v>
      </c>
      <c r="S9500">
        <v>152</v>
      </c>
      <c r="T9500">
        <v>1</v>
      </c>
    </row>
    <row r="9501" spans="18:20" x14ac:dyDescent="0.25">
      <c r="R9501">
        <v>286</v>
      </c>
      <c r="S9501">
        <v>156</v>
      </c>
      <c r="T9501">
        <v>2</v>
      </c>
    </row>
    <row r="9502" spans="18:20" x14ac:dyDescent="0.25">
      <c r="R9502">
        <v>286</v>
      </c>
      <c r="S9502">
        <v>163</v>
      </c>
      <c r="T9502">
        <v>1</v>
      </c>
    </row>
    <row r="9503" spans="18:20" x14ac:dyDescent="0.25">
      <c r="R9503">
        <v>286</v>
      </c>
      <c r="S9503">
        <v>169</v>
      </c>
      <c r="T9503">
        <v>2</v>
      </c>
    </row>
    <row r="9504" spans="18:20" x14ac:dyDescent="0.25">
      <c r="R9504">
        <v>286</v>
      </c>
      <c r="S9504">
        <v>181</v>
      </c>
      <c r="T9504">
        <v>4</v>
      </c>
    </row>
    <row r="9505" spans="18:20" x14ac:dyDescent="0.25">
      <c r="R9505">
        <v>286</v>
      </c>
      <c r="S9505">
        <v>183</v>
      </c>
      <c r="T9505">
        <v>5</v>
      </c>
    </row>
    <row r="9506" spans="18:20" x14ac:dyDescent="0.25">
      <c r="R9506">
        <v>286</v>
      </c>
      <c r="S9506">
        <v>192</v>
      </c>
      <c r="T9506">
        <v>1</v>
      </c>
    </row>
    <row r="9507" spans="18:20" x14ac:dyDescent="0.25">
      <c r="R9507">
        <v>286</v>
      </c>
      <c r="S9507">
        <v>196</v>
      </c>
      <c r="T9507">
        <v>1</v>
      </c>
    </row>
    <row r="9508" spans="18:20" x14ac:dyDescent="0.25">
      <c r="R9508">
        <v>286</v>
      </c>
      <c r="S9508">
        <v>202</v>
      </c>
      <c r="T9508">
        <v>4</v>
      </c>
    </row>
    <row r="9509" spans="18:20" x14ac:dyDescent="0.25">
      <c r="R9509">
        <v>286</v>
      </c>
      <c r="S9509">
        <v>210</v>
      </c>
      <c r="T9509">
        <v>3</v>
      </c>
    </row>
    <row r="9510" spans="18:20" x14ac:dyDescent="0.25">
      <c r="R9510">
        <v>286</v>
      </c>
      <c r="S9510">
        <v>215</v>
      </c>
      <c r="T9510">
        <v>4</v>
      </c>
    </row>
    <row r="9511" spans="18:20" x14ac:dyDescent="0.25">
      <c r="R9511">
        <v>286</v>
      </c>
      <c r="S9511">
        <v>223</v>
      </c>
      <c r="T9511">
        <v>4</v>
      </c>
    </row>
    <row r="9512" spans="18:20" x14ac:dyDescent="0.25">
      <c r="R9512">
        <v>286</v>
      </c>
      <c r="S9512">
        <v>226</v>
      </c>
      <c r="T9512">
        <v>5</v>
      </c>
    </row>
    <row r="9513" spans="18:20" x14ac:dyDescent="0.25">
      <c r="R9513">
        <v>286</v>
      </c>
      <c r="S9513">
        <v>252</v>
      </c>
      <c r="T9513">
        <v>4</v>
      </c>
    </row>
    <row r="9514" spans="18:20" x14ac:dyDescent="0.25">
      <c r="R9514">
        <v>286</v>
      </c>
      <c r="S9514">
        <v>259</v>
      </c>
      <c r="T9514">
        <v>1</v>
      </c>
    </row>
    <row r="9515" spans="18:20" x14ac:dyDescent="0.25">
      <c r="R9515">
        <v>286</v>
      </c>
      <c r="S9515">
        <v>263</v>
      </c>
      <c r="T9515">
        <v>4</v>
      </c>
    </row>
    <row r="9516" spans="18:20" x14ac:dyDescent="0.25">
      <c r="R9516">
        <v>286</v>
      </c>
      <c r="S9516">
        <v>268</v>
      </c>
      <c r="T9516">
        <v>4</v>
      </c>
    </row>
    <row r="9517" spans="18:20" x14ac:dyDescent="0.25">
      <c r="R9517">
        <v>286</v>
      </c>
      <c r="S9517">
        <v>276</v>
      </c>
      <c r="T9517">
        <v>3</v>
      </c>
    </row>
    <row r="9518" spans="18:20" x14ac:dyDescent="0.25">
      <c r="R9518">
        <v>286</v>
      </c>
      <c r="S9518">
        <v>296</v>
      </c>
      <c r="T9518">
        <v>1</v>
      </c>
    </row>
    <row r="9519" spans="18:20" x14ac:dyDescent="0.25">
      <c r="R9519">
        <v>286</v>
      </c>
      <c r="S9519">
        <v>352</v>
      </c>
      <c r="T9519">
        <v>4</v>
      </c>
    </row>
    <row r="9520" spans="18:20" x14ac:dyDescent="0.25">
      <c r="R9520">
        <v>286</v>
      </c>
      <c r="S9520">
        <v>393</v>
      </c>
      <c r="T9520">
        <v>3</v>
      </c>
    </row>
    <row r="9521" spans="18:20" x14ac:dyDescent="0.25">
      <c r="R9521">
        <v>286</v>
      </c>
      <c r="S9521">
        <v>394</v>
      </c>
      <c r="T9521">
        <v>5</v>
      </c>
    </row>
    <row r="9522" spans="18:20" x14ac:dyDescent="0.25">
      <c r="R9522">
        <v>286</v>
      </c>
      <c r="S9522">
        <v>395</v>
      </c>
      <c r="T9522">
        <v>2</v>
      </c>
    </row>
    <row r="9523" spans="18:20" x14ac:dyDescent="0.25">
      <c r="R9523">
        <v>286</v>
      </c>
      <c r="S9523">
        <v>403</v>
      </c>
      <c r="T9523">
        <v>1</v>
      </c>
    </row>
    <row r="9524" spans="18:20" x14ac:dyDescent="0.25">
      <c r="R9524">
        <v>286</v>
      </c>
      <c r="S9524">
        <v>426</v>
      </c>
      <c r="T9524">
        <v>2</v>
      </c>
    </row>
    <row r="9525" spans="18:20" x14ac:dyDescent="0.25">
      <c r="R9525">
        <v>287</v>
      </c>
      <c r="S9525">
        <v>17</v>
      </c>
      <c r="T9525">
        <v>5</v>
      </c>
    </row>
    <row r="9526" spans="18:20" x14ac:dyDescent="0.25">
      <c r="R9526">
        <v>287</v>
      </c>
      <c r="S9526">
        <v>34</v>
      </c>
      <c r="T9526">
        <v>5</v>
      </c>
    </row>
    <row r="9527" spans="18:20" x14ac:dyDescent="0.25">
      <c r="R9527">
        <v>287</v>
      </c>
      <c r="S9527">
        <v>47</v>
      </c>
      <c r="T9527">
        <v>2</v>
      </c>
    </row>
    <row r="9528" spans="18:20" x14ac:dyDescent="0.25">
      <c r="R9528">
        <v>287</v>
      </c>
      <c r="S9528">
        <v>55</v>
      </c>
      <c r="T9528">
        <v>2</v>
      </c>
    </row>
    <row r="9529" spans="18:20" x14ac:dyDescent="0.25">
      <c r="R9529">
        <v>287</v>
      </c>
      <c r="S9529">
        <v>65</v>
      </c>
      <c r="T9529">
        <v>5</v>
      </c>
    </row>
    <row r="9530" spans="18:20" x14ac:dyDescent="0.25">
      <c r="R9530">
        <v>287</v>
      </c>
      <c r="S9530">
        <v>73</v>
      </c>
      <c r="T9530">
        <v>1</v>
      </c>
    </row>
    <row r="9531" spans="18:20" x14ac:dyDescent="0.25">
      <c r="R9531">
        <v>287</v>
      </c>
      <c r="S9531">
        <v>78</v>
      </c>
      <c r="T9531">
        <v>1</v>
      </c>
    </row>
    <row r="9532" spans="18:20" x14ac:dyDescent="0.25">
      <c r="R9532">
        <v>287</v>
      </c>
      <c r="S9532">
        <v>94</v>
      </c>
      <c r="T9532">
        <v>4</v>
      </c>
    </row>
    <row r="9533" spans="18:20" x14ac:dyDescent="0.25">
      <c r="R9533">
        <v>287</v>
      </c>
      <c r="S9533">
        <v>94</v>
      </c>
      <c r="T9533">
        <v>3</v>
      </c>
    </row>
    <row r="9534" spans="18:20" x14ac:dyDescent="0.25">
      <c r="R9534">
        <v>287</v>
      </c>
      <c r="S9534">
        <v>103</v>
      </c>
      <c r="T9534">
        <v>1</v>
      </c>
    </row>
    <row r="9535" spans="18:20" x14ac:dyDescent="0.25">
      <c r="R9535">
        <v>287</v>
      </c>
      <c r="S9535">
        <v>104</v>
      </c>
      <c r="T9535">
        <v>1</v>
      </c>
    </row>
    <row r="9536" spans="18:20" x14ac:dyDescent="0.25">
      <c r="R9536">
        <v>287</v>
      </c>
      <c r="S9536">
        <v>109</v>
      </c>
      <c r="T9536">
        <v>2</v>
      </c>
    </row>
    <row r="9537" spans="18:20" x14ac:dyDescent="0.25">
      <c r="R9537">
        <v>287</v>
      </c>
      <c r="S9537">
        <v>112</v>
      </c>
      <c r="T9537">
        <v>4</v>
      </c>
    </row>
    <row r="9538" spans="18:20" x14ac:dyDescent="0.25">
      <c r="R9538">
        <v>287</v>
      </c>
      <c r="S9538">
        <v>154</v>
      </c>
      <c r="T9538">
        <v>5</v>
      </c>
    </row>
    <row r="9539" spans="18:20" x14ac:dyDescent="0.25">
      <c r="R9539">
        <v>287</v>
      </c>
      <c r="S9539">
        <v>156</v>
      </c>
      <c r="T9539">
        <v>3</v>
      </c>
    </row>
    <row r="9540" spans="18:20" x14ac:dyDescent="0.25">
      <c r="R9540">
        <v>287</v>
      </c>
      <c r="S9540">
        <v>163</v>
      </c>
      <c r="T9540">
        <v>5</v>
      </c>
    </row>
    <row r="9541" spans="18:20" x14ac:dyDescent="0.25">
      <c r="R9541">
        <v>287</v>
      </c>
      <c r="S9541">
        <v>172</v>
      </c>
      <c r="T9541">
        <v>4</v>
      </c>
    </row>
    <row r="9542" spans="18:20" x14ac:dyDescent="0.25">
      <c r="R9542">
        <v>287</v>
      </c>
      <c r="S9542">
        <v>206</v>
      </c>
      <c r="T9542">
        <v>1</v>
      </c>
    </row>
    <row r="9543" spans="18:20" x14ac:dyDescent="0.25">
      <c r="R9543">
        <v>287</v>
      </c>
      <c r="S9543">
        <v>207</v>
      </c>
      <c r="T9543">
        <v>5</v>
      </c>
    </row>
    <row r="9544" spans="18:20" x14ac:dyDescent="0.25">
      <c r="R9544">
        <v>287</v>
      </c>
      <c r="S9544">
        <v>210</v>
      </c>
      <c r="T9544">
        <v>5</v>
      </c>
    </row>
    <row r="9545" spans="18:20" x14ac:dyDescent="0.25">
      <c r="R9545">
        <v>287</v>
      </c>
      <c r="S9545">
        <v>213</v>
      </c>
      <c r="T9545">
        <v>1</v>
      </c>
    </row>
    <row r="9546" spans="18:20" x14ac:dyDescent="0.25">
      <c r="R9546">
        <v>287</v>
      </c>
      <c r="S9546">
        <v>214</v>
      </c>
      <c r="T9546">
        <v>5</v>
      </c>
    </row>
    <row r="9547" spans="18:20" x14ac:dyDescent="0.25">
      <c r="R9547">
        <v>287</v>
      </c>
      <c r="S9547">
        <v>226</v>
      </c>
      <c r="T9547">
        <v>3</v>
      </c>
    </row>
    <row r="9548" spans="18:20" x14ac:dyDescent="0.25">
      <c r="R9548">
        <v>287</v>
      </c>
      <c r="S9548">
        <v>232</v>
      </c>
      <c r="T9548">
        <v>3</v>
      </c>
    </row>
    <row r="9549" spans="18:20" x14ac:dyDescent="0.25">
      <c r="R9549">
        <v>287</v>
      </c>
      <c r="S9549">
        <v>238</v>
      </c>
      <c r="T9549">
        <v>4</v>
      </c>
    </row>
    <row r="9550" spans="18:20" x14ac:dyDescent="0.25">
      <c r="R9550">
        <v>287</v>
      </c>
      <c r="S9550">
        <v>266</v>
      </c>
      <c r="T9550">
        <v>2</v>
      </c>
    </row>
    <row r="9551" spans="18:20" x14ac:dyDescent="0.25">
      <c r="R9551">
        <v>287</v>
      </c>
      <c r="S9551">
        <v>269</v>
      </c>
      <c r="T9551">
        <v>3</v>
      </c>
    </row>
    <row r="9552" spans="18:20" x14ac:dyDescent="0.25">
      <c r="R9552">
        <v>287</v>
      </c>
      <c r="S9552">
        <v>280</v>
      </c>
      <c r="T9552">
        <v>4</v>
      </c>
    </row>
    <row r="9553" spans="18:20" x14ac:dyDescent="0.25">
      <c r="R9553">
        <v>287</v>
      </c>
      <c r="S9553">
        <v>287</v>
      </c>
      <c r="T9553">
        <v>1</v>
      </c>
    </row>
    <row r="9554" spans="18:20" x14ac:dyDescent="0.25">
      <c r="R9554">
        <v>287</v>
      </c>
      <c r="S9554">
        <v>305</v>
      </c>
      <c r="T9554">
        <v>2</v>
      </c>
    </row>
    <row r="9555" spans="18:20" x14ac:dyDescent="0.25">
      <c r="R9555">
        <v>287</v>
      </c>
      <c r="S9555">
        <v>311</v>
      </c>
      <c r="T9555">
        <v>1</v>
      </c>
    </row>
    <row r="9556" spans="18:20" x14ac:dyDescent="0.25">
      <c r="R9556">
        <v>287</v>
      </c>
      <c r="S9556">
        <v>376</v>
      </c>
      <c r="T9556">
        <v>3</v>
      </c>
    </row>
    <row r="9557" spans="18:20" x14ac:dyDescent="0.25">
      <c r="R9557">
        <v>287</v>
      </c>
      <c r="S9557">
        <v>387</v>
      </c>
      <c r="T9557">
        <v>5</v>
      </c>
    </row>
    <row r="9558" spans="18:20" x14ac:dyDescent="0.25">
      <c r="R9558">
        <v>287</v>
      </c>
      <c r="S9558">
        <v>396</v>
      </c>
      <c r="T9558">
        <v>2</v>
      </c>
    </row>
    <row r="9559" spans="18:20" x14ac:dyDescent="0.25">
      <c r="R9559">
        <v>287</v>
      </c>
      <c r="S9559">
        <v>397</v>
      </c>
      <c r="T9559">
        <v>1</v>
      </c>
    </row>
    <row r="9560" spans="18:20" x14ac:dyDescent="0.25">
      <c r="R9560">
        <v>287</v>
      </c>
      <c r="S9560">
        <v>410</v>
      </c>
      <c r="T9560">
        <v>3</v>
      </c>
    </row>
    <row r="9561" spans="18:20" x14ac:dyDescent="0.25">
      <c r="R9561">
        <v>287</v>
      </c>
      <c r="S9561">
        <v>422</v>
      </c>
      <c r="T9561">
        <v>3</v>
      </c>
    </row>
    <row r="9562" spans="18:20" x14ac:dyDescent="0.25">
      <c r="R9562">
        <v>288</v>
      </c>
      <c r="S9562">
        <v>4</v>
      </c>
      <c r="T9562">
        <v>1</v>
      </c>
    </row>
    <row r="9563" spans="18:20" x14ac:dyDescent="0.25">
      <c r="R9563">
        <v>288</v>
      </c>
      <c r="S9563">
        <v>14</v>
      </c>
      <c r="T9563">
        <v>5</v>
      </c>
    </row>
    <row r="9564" spans="18:20" x14ac:dyDescent="0.25">
      <c r="R9564">
        <v>288</v>
      </c>
      <c r="S9564">
        <v>24</v>
      </c>
      <c r="T9564">
        <v>3</v>
      </c>
    </row>
    <row r="9565" spans="18:20" x14ac:dyDescent="0.25">
      <c r="R9565">
        <v>288</v>
      </c>
      <c r="S9565">
        <v>29</v>
      </c>
      <c r="T9565">
        <v>1</v>
      </c>
    </row>
    <row r="9566" spans="18:20" x14ac:dyDescent="0.25">
      <c r="R9566">
        <v>288</v>
      </c>
      <c r="S9566">
        <v>35</v>
      </c>
      <c r="T9566">
        <v>1</v>
      </c>
    </row>
    <row r="9567" spans="18:20" x14ac:dyDescent="0.25">
      <c r="R9567">
        <v>288</v>
      </c>
      <c r="S9567">
        <v>54</v>
      </c>
      <c r="T9567">
        <v>3</v>
      </c>
    </row>
    <row r="9568" spans="18:20" x14ac:dyDescent="0.25">
      <c r="R9568">
        <v>288</v>
      </c>
      <c r="S9568">
        <v>77</v>
      </c>
      <c r="T9568">
        <v>1</v>
      </c>
    </row>
    <row r="9569" spans="18:20" x14ac:dyDescent="0.25">
      <c r="R9569">
        <v>288</v>
      </c>
      <c r="S9569">
        <v>90</v>
      </c>
      <c r="T9569">
        <v>4</v>
      </c>
    </row>
    <row r="9570" spans="18:20" x14ac:dyDescent="0.25">
      <c r="R9570">
        <v>288</v>
      </c>
      <c r="S9570">
        <v>91</v>
      </c>
      <c r="T9570">
        <v>5</v>
      </c>
    </row>
    <row r="9571" spans="18:20" x14ac:dyDescent="0.25">
      <c r="R9571">
        <v>288</v>
      </c>
      <c r="S9571">
        <v>93</v>
      </c>
      <c r="T9571">
        <v>4</v>
      </c>
    </row>
    <row r="9572" spans="18:20" x14ac:dyDescent="0.25">
      <c r="R9572">
        <v>288</v>
      </c>
      <c r="S9572">
        <v>98</v>
      </c>
      <c r="T9572">
        <v>3</v>
      </c>
    </row>
    <row r="9573" spans="18:20" x14ac:dyDescent="0.25">
      <c r="R9573">
        <v>288</v>
      </c>
      <c r="S9573">
        <v>105</v>
      </c>
      <c r="T9573">
        <v>3</v>
      </c>
    </row>
    <row r="9574" spans="18:20" x14ac:dyDescent="0.25">
      <c r="R9574">
        <v>288</v>
      </c>
      <c r="S9574">
        <v>127</v>
      </c>
      <c r="T9574">
        <v>3</v>
      </c>
    </row>
    <row r="9575" spans="18:20" x14ac:dyDescent="0.25">
      <c r="R9575">
        <v>288</v>
      </c>
      <c r="S9575">
        <v>134</v>
      </c>
      <c r="T9575">
        <v>2</v>
      </c>
    </row>
    <row r="9576" spans="18:20" x14ac:dyDescent="0.25">
      <c r="R9576">
        <v>288</v>
      </c>
      <c r="S9576">
        <v>151</v>
      </c>
      <c r="T9576">
        <v>3</v>
      </c>
    </row>
    <row r="9577" spans="18:20" x14ac:dyDescent="0.25">
      <c r="R9577">
        <v>288</v>
      </c>
      <c r="S9577">
        <v>171</v>
      </c>
      <c r="T9577">
        <v>5</v>
      </c>
    </row>
    <row r="9578" spans="18:20" x14ac:dyDescent="0.25">
      <c r="R9578">
        <v>288</v>
      </c>
      <c r="S9578">
        <v>173</v>
      </c>
      <c r="T9578">
        <v>5</v>
      </c>
    </row>
    <row r="9579" spans="18:20" x14ac:dyDescent="0.25">
      <c r="R9579">
        <v>288</v>
      </c>
      <c r="S9579">
        <v>174</v>
      </c>
      <c r="T9579">
        <v>2</v>
      </c>
    </row>
    <row r="9580" spans="18:20" x14ac:dyDescent="0.25">
      <c r="R9580">
        <v>288</v>
      </c>
      <c r="S9580">
        <v>175</v>
      </c>
      <c r="T9580">
        <v>4</v>
      </c>
    </row>
    <row r="9581" spans="18:20" x14ac:dyDescent="0.25">
      <c r="R9581">
        <v>288</v>
      </c>
      <c r="S9581">
        <v>181</v>
      </c>
      <c r="T9581">
        <v>2</v>
      </c>
    </row>
    <row r="9582" spans="18:20" x14ac:dyDescent="0.25">
      <c r="R9582">
        <v>288</v>
      </c>
      <c r="S9582">
        <v>191</v>
      </c>
      <c r="T9582">
        <v>5</v>
      </c>
    </row>
    <row r="9583" spans="18:20" x14ac:dyDescent="0.25">
      <c r="R9583">
        <v>288</v>
      </c>
      <c r="S9583">
        <v>201</v>
      </c>
      <c r="T9583">
        <v>3</v>
      </c>
    </row>
    <row r="9584" spans="18:20" x14ac:dyDescent="0.25">
      <c r="R9584">
        <v>288</v>
      </c>
      <c r="S9584">
        <v>220</v>
      </c>
      <c r="T9584">
        <v>1</v>
      </c>
    </row>
    <row r="9585" spans="18:20" x14ac:dyDescent="0.25">
      <c r="R9585">
        <v>288</v>
      </c>
      <c r="S9585">
        <v>264</v>
      </c>
      <c r="T9585">
        <v>5</v>
      </c>
    </row>
    <row r="9586" spans="18:20" x14ac:dyDescent="0.25">
      <c r="R9586">
        <v>288</v>
      </c>
      <c r="S9586">
        <v>269</v>
      </c>
      <c r="T9586">
        <v>1</v>
      </c>
    </row>
    <row r="9587" spans="18:20" x14ac:dyDescent="0.25">
      <c r="R9587">
        <v>288</v>
      </c>
      <c r="S9587">
        <v>273</v>
      </c>
      <c r="T9587">
        <v>1</v>
      </c>
    </row>
    <row r="9588" spans="18:20" x14ac:dyDescent="0.25">
      <c r="R9588">
        <v>288</v>
      </c>
      <c r="S9588">
        <v>296</v>
      </c>
      <c r="T9588">
        <v>4</v>
      </c>
    </row>
    <row r="9589" spans="18:20" x14ac:dyDescent="0.25">
      <c r="R9589">
        <v>288</v>
      </c>
      <c r="S9589">
        <v>302</v>
      </c>
      <c r="T9589">
        <v>4</v>
      </c>
    </row>
    <row r="9590" spans="18:20" x14ac:dyDescent="0.25">
      <c r="R9590">
        <v>288</v>
      </c>
      <c r="S9590">
        <v>318</v>
      </c>
      <c r="T9590">
        <v>1</v>
      </c>
    </row>
    <row r="9591" spans="18:20" x14ac:dyDescent="0.25">
      <c r="R9591">
        <v>288</v>
      </c>
      <c r="S9591">
        <v>330</v>
      </c>
      <c r="T9591">
        <v>3</v>
      </c>
    </row>
    <row r="9592" spans="18:20" x14ac:dyDescent="0.25">
      <c r="R9592">
        <v>288</v>
      </c>
      <c r="S9592">
        <v>348</v>
      </c>
      <c r="T9592">
        <v>1</v>
      </c>
    </row>
    <row r="9593" spans="18:20" x14ac:dyDescent="0.25">
      <c r="R9593">
        <v>288</v>
      </c>
      <c r="S9593">
        <v>357</v>
      </c>
      <c r="T9593">
        <v>5</v>
      </c>
    </row>
    <row r="9594" spans="18:20" x14ac:dyDescent="0.25">
      <c r="R9594">
        <v>288</v>
      </c>
      <c r="S9594">
        <v>377</v>
      </c>
      <c r="T9594">
        <v>2</v>
      </c>
    </row>
    <row r="9595" spans="18:20" x14ac:dyDescent="0.25">
      <c r="R9595">
        <v>288</v>
      </c>
      <c r="S9595">
        <v>389</v>
      </c>
      <c r="T9595">
        <v>4</v>
      </c>
    </row>
    <row r="9596" spans="18:20" x14ac:dyDescent="0.25">
      <c r="R9596">
        <v>288</v>
      </c>
      <c r="S9596">
        <v>406</v>
      </c>
      <c r="T9596">
        <v>5</v>
      </c>
    </row>
    <row r="9597" spans="18:20" x14ac:dyDescent="0.25">
      <c r="R9597">
        <v>288</v>
      </c>
      <c r="S9597">
        <v>420</v>
      </c>
      <c r="T9597">
        <v>5</v>
      </c>
    </row>
    <row r="9598" spans="18:20" x14ac:dyDescent="0.25">
      <c r="R9598">
        <v>288</v>
      </c>
      <c r="S9598">
        <v>436</v>
      </c>
      <c r="T9598">
        <v>1</v>
      </c>
    </row>
    <row r="9599" spans="18:20" x14ac:dyDescent="0.25">
      <c r="R9599">
        <v>288</v>
      </c>
      <c r="S9599">
        <v>436</v>
      </c>
      <c r="T9599">
        <v>4</v>
      </c>
    </row>
    <row r="9600" spans="18:20" x14ac:dyDescent="0.25">
      <c r="R9600">
        <v>289</v>
      </c>
      <c r="S9600">
        <v>41</v>
      </c>
      <c r="T9600">
        <v>1</v>
      </c>
    </row>
    <row r="9601" spans="18:20" x14ac:dyDescent="0.25">
      <c r="R9601">
        <v>289</v>
      </c>
      <c r="S9601">
        <v>42</v>
      </c>
      <c r="T9601">
        <v>2</v>
      </c>
    </row>
    <row r="9602" spans="18:20" x14ac:dyDescent="0.25">
      <c r="R9602">
        <v>289</v>
      </c>
      <c r="S9602">
        <v>42</v>
      </c>
      <c r="T9602">
        <v>3</v>
      </c>
    </row>
    <row r="9603" spans="18:20" x14ac:dyDescent="0.25">
      <c r="R9603">
        <v>289</v>
      </c>
      <c r="S9603">
        <v>52</v>
      </c>
      <c r="T9603">
        <v>5</v>
      </c>
    </row>
    <row r="9604" spans="18:20" x14ac:dyDescent="0.25">
      <c r="R9604">
        <v>289</v>
      </c>
      <c r="S9604">
        <v>52</v>
      </c>
      <c r="T9604">
        <v>4</v>
      </c>
    </row>
    <row r="9605" spans="18:20" x14ac:dyDescent="0.25">
      <c r="R9605">
        <v>289</v>
      </c>
      <c r="S9605">
        <v>56</v>
      </c>
      <c r="T9605">
        <v>1</v>
      </c>
    </row>
    <row r="9606" spans="18:20" x14ac:dyDescent="0.25">
      <c r="R9606">
        <v>289</v>
      </c>
      <c r="S9606">
        <v>68</v>
      </c>
      <c r="T9606">
        <v>5</v>
      </c>
    </row>
    <row r="9607" spans="18:20" x14ac:dyDescent="0.25">
      <c r="R9607">
        <v>289</v>
      </c>
      <c r="S9607">
        <v>68</v>
      </c>
      <c r="T9607">
        <v>2</v>
      </c>
    </row>
    <row r="9608" spans="18:20" x14ac:dyDescent="0.25">
      <c r="R9608">
        <v>289</v>
      </c>
      <c r="S9608">
        <v>74</v>
      </c>
      <c r="T9608">
        <v>3</v>
      </c>
    </row>
    <row r="9609" spans="18:20" x14ac:dyDescent="0.25">
      <c r="R9609">
        <v>289</v>
      </c>
      <c r="S9609">
        <v>76</v>
      </c>
      <c r="T9609">
        <v>4</v>
      </c>
    </row>
    <row r="9610" spans="18:20" x14ac:dyDescent="0.25">
      <c r="R9610">
        <v>289</v>
      </c>
      <c r="S9610">
        <v>86</v>
      </c>
      <c r="T9610">
        <v>3</v>
      </c>
    </row>
    <row r="9611" spans="18:20" x14ac:dyDescent="0.25">
      <c r="R9611">
        <v>289</v>
      </c>
      <c r="S9611">
        <v>96</v>
      </c>
      <c r="T9611">
        <v>2</v>
      </c>
    </row>
    <row r="9612" spans="18:20" x14ac:dyDescent="0.25">
      <c r="R9612">
        <v>289</v>
      </c>
      <c r="S9612">
        <v>100</v>
      </c>
      <c r="T9612">
        <v>2</v>
      </c>
    </row>
    <row r="9613" spans="18:20" x14ac:dyDescent="0.25">
      <c r="R9613">
        <v>289</v>
      </c>
      <c r="S9613">
        <v>117</v>
      </c>
      <c r="T9613">
        <v>4</v>
      </c>
    </row>
    <row r="9614" spans="18:20" x14ac:dyDescent="0.25">
      <c r="R9614">
        <v>289</v>
      </c>
      <c r="S9614">
        <v>138</v>
      </c>
      <c r="T9614">
        <v>4</v>
      </c>
    </row>
    <row r="9615" spans="18:20" x14ac:dyDescent="0.25">
      <c r="R9615">
        <v>289</v>
      </c>
      <c r="S9615">
        <v>155</v>
      </c>
      <c r="T9615">
        <v>2</v>
      </c>
    </row>
    <row r="9616" spans="18:20" x14ac:dyDescent="0.25">
      <c r="R9616">
        <v>289</v>
      </c>
      <c r="S9616">
        <v>190</v>
      </c>
      <c r="T9616">
        <v>4</v>
      </c>
    </row>
    <row r="9617" spans="18:20" x14ac:dyDescent="0.25">
      <c r="R9617">
        <v>289</v>
      </c>
      <c r="S9617">
        <v>198</v>
      </c>
      <c r="T9617">
        <v>5</v>
      </c>
    </row>
    <row r="9618" spans="18:20" x14ac:dyDescent="0.25">
      <c r="R9618">
        <v>289</v>
      </c>
      <c r="S9618">
        <v>203</v>
      </c>
      <c r="T9618">
        <v>2</v>
      </c>
    </row>
    <row r="9619" spans="18:20" x14ac:dyDescent="0.25">
      <c r="R9619">
        <v>289</v>
      </c>
      <c r="S9619">
        <v>207</v>
      </c>
      <c r="T9619">
        <v>4</v>
      </c>
    </row>
    <row r="9620" spans="18:20" x14ac:dyDescent="0.25">
      <c r="R9620">
        <v>289</v>
      </c>
      <c r="S9620">
        <v>217</v>
      </c>
      <c r="T9620">
        <v>2</v>
      </c>
    </row>
    <row r="9621" spans="18:20" x14ac:dyDescent="0.25">
      <c r="R9621">
        <v>289</v>
      </c>
      <c r="S9621">
        <v>236</v>
      </c>
      <c r="T9621">
        <v>2</v>
      </c>
    </row>
    <row r="9622" spans="18:20" x14ac:dyDescent="0.25">
      <c r="R9622">
        <v>289</v>
      </c>
      <c r="S9622">
        <v>245</v>
      </c>
      <c r="T9622">
        <v>3</v>
      </c>
    </row>
    <row r="9623" spans="18:20" x14ac:dyDescent="0.25">
      <c r="R9623">
        <v>289</v>
      </c>
      <c r="S9623">
        <v>253</v>
      </c>
      <c r="T9623">
        <v>5</v>
      </c>
    </row>
    <row r="9624" spans="18:20" x14ac:dyDescent="0.25">
      <c r="R9624">
        <v>289</v>
      </c>
      <c r="S9624">
        <v>258</v>
      </c>
      <c r="T9624">
        <v>2</v>
      </c>
    </row>
    <row r="9625" spans="18:20" x14ac:dyDescent="0.25">
      <c r="R9625">
        <v>289</v>
      </c>
      <c r="S9625">
        <v>263</v>
      </c>
      <c r="T9625">
        <v>3</v>
      </c>
    </row>
    <row r="9626" spans="18:20" x14ac:dyDescent="0.25">
      <c r="R9626">
        <v>289</v>
      </c>
      <c r="S9626">
        <v>264</v>
      </c>
      <c r="T9626">
        <v>5</v>
      </c>
    </row>
    <row r="9627" spans="18:20" x14ac:dyDescent="0.25">
      <c r="R9627">
        <v>289</v>
      </c>
      <c r="S9627">
        <v>285</v>
      </c>
      <c r="T9627">
        <v>1</v>
      </c>
    </row>
    <row r="9628" spans="18:20" x14ac:dyDescent="0.25">
      <c r="R9628">
        <v>289</v>
      </c>
      <c r="S9628">
        <v>322</v>
      </c>
      <c r="T9628">
        <v>1</v>
      </c>
    </row>
    <row r="9629" spans="18:20" x14ac:dyDescent="0.25">
      <c r="R9629">
        <v>289</v>
      </c>
      <c r="S9629">
        <v>324</v>
      </c>
      <c r="T9629">
        <v>1</v>
      </c>
    </row>
    <row r="9630" spans="18:20" x14ac:dyDescent="0.25">
      <c r="R9630">
        <v>289</v>
      </c>
      <c r="S9630">
        <v>326</v>
      </c>
      <c r="T9630">
        <v>2</v>
      </c>
    </row>
    <row r="9631" spans="18:20" x14ac:dyDescent="0.25">
      <c r="R9631">
        <v>289</v>
      </c>
      <c r="S9631">
        <v>331</v>
      </c>
      <c r="T9631">
        <v>4</v>
      </c>
    </row>
    <row r="9632" spans="18:20" x14ac:dyDescent="0.25">
      <c r="R9632">
        <v>289</v>
      </c>
      <c r="S9632">
        <v>334</v>
      </c>
      <c r="T9632">
        <v>1</v>
      </c>
    </row>
    <row r="9633" spans="18:20" x14ac:dyDescent="0.25">
      <c r="R9633">
        <v>289</v>
      </c>
      <c r="S9633">
        <v>356</v>
      </c>
      <c r="T9633">
        <v>5</v>
      </c>
    </row>
    <row r="9634" spans="18:20" x14ac:dyDescent="0.25">
      <c r="R9634">
        <v>289</v>
      </c>
      <c r="S9634">
        <v>364</v>
      </c>
      <c r="T9634">
        <v>2</v>
      </c>
    </row>
    <row r="9635" spans="18:20" x14ac:dyDescent="0.25">
      <c r="R9635">
        <v>289</v>
      </c>
      <c r="S9635">
        <v>366</v>
      </c>
      <c r="T9635">
        <v>2</v>
      </c>
    </row>
    <row r="9636" spans="18:20" x14ac:dyDescent="0.25">
      <c r="R9636">
        <v>289</v>
      </c>
      <c r="S9636">
        <v>368</v>
      </c>
      <c r="T9636">
        <v>5</v>
      </c>
    </row>
    <row r="9637" spans="18:20" x14ac:dyDescent="0.25">
      <c r="R9637">
        <v>289</v>
      </c>
      <c r="S9637">
        <v>375</v>
      </c>
      <c r="T9637">
        <v>3</v>
      </c>
    </row>
    <row r="9638" spans="18:20" x14ac:dyDescent="0.25">
      <c r="R9638">
        <v>289</v>
      </c>
      <c r="S9638">
        <v>376</v>
      </c>
      <c r="T9638">
        <v>5</v>
      </c>
    </row>
    <row r="9639" spans="18:20" x14ac:dyDescent="0.25">
      <c r="R9639">
        <v>289</v>
      </c>
      <c r="S9639">
        <v>383</v>
      </c>
      <c r="T9639">
        <v>4</v>
      </c>
    </row>
    <row r="9640" spans="18:20" x14ac:dyDescent="0.25">
      <c r="R9640">
        <v>289</v>
      </c>
      <c r="S9640">
        <v>408</v>
      </c>
      <c r="T9640">
        <v>3</v>
      </c>
    </row>
    <row r="9641" spans="18:20" x14ac:dyDescent="0.25">
      <c r="R9641">
        <v>289</v>
      </c>
      <c r="S9641">
        <v>412</v>
      </c>
      <c r="T9641">
        <v>1</v>
      </c>
    </row>
    <row r="9642" spans="18:20" x14ac:dyDescent="0.25">
      <c r="R9642">
        <v>289</v>
      </c>
      <c r="S9642">
        <v>412</v>
      </c>
      <c r="T9642">
        <v>1</v>
      </c>
    </row>
    <row r="9643" spans="18:20" x14ac:dyDescent="0.25">
      <c r="R9643">
        <v>290</v>
      </c>
      <c r="S9643">
        <v>4</v>
      </c>
      <c r="T9643">
        <v>1</v>
      </c>
    </row>
    <row r="9644" spans="18:20" x14ac:dyDescent="0.25">
      <c r="R9644">
        <v>290</v>
      </c>
      <c r="S9644">
        <v>10</v>
      </c>
      <c r="T9644">
        <v>3</v>
      </c>
    </row>
    <row r="9645" spans="18:20" x14ac:dyDescent="0.25">
      <c r="R9645">
        <v>290</v>
      </c>
      <c r="S9645">
        <v>21</v>
      </c>
      <c r="T9645">
        <v>3</v>
      </c>
    </row>
    <row r="9646" spans="18:20" x14ac:dyDescent="0.25">
      <c r="R9646">
        <v>290</v>
      </c>
      <c r="S9646">
        <v>22</v>
      </c>
      <c r="T9646">
        <v>4</v>
      </c>
    </row>
    <row r="9647" spans="18:20" x14ac:dyDescent="0.25">
      <c r="R9647">
        <v>290</v>
      </c>
      <c r="S9647">
        <v>29</v>
      </c>
      <c r="T9647">
        <v>4</v>
      </c>
    </row>
    <row r="9648" spans="18:20" x14ac:dyDescent="0.25">
      <c r="R9648">
        <v>290</v>
      </c>
      <c r="S9648">
        <v>35</v>
      </c>
      <c r="T9648">
        <v>4</v>
      </c>
    </row>
    <row r="9649" spans="18:20" x14ac:dyDescent="0.25">
      <c r="R9649">
        <v>290</v>
      </c>
      <c r="S9649">
        <v>47</v>
      </c>
      <c r="T9649">
        <v>2</v>
      </c>
    </row>
    <row r="9650" spans="18:20" x14ac:dyDescent="0.25">
      <c r="R9650">
        <v>290</v>
      </c>
      <c r="S9650">
        <v>69</v>
      </c>
      <c r="T9650">
        <v>2</v>
      </c>
    </row>
    <row r="9651" spans="18:20" x14ac:dyDescent="0.25">
      <c r="R9651">
        <v>290</v>
      </c>
      <c r="S9651">
        <v>84</v>
      </c>
      <c r="T9651">
        <v>2</v>
      </c>
    </row>
    <row r="9652" spans="18:20" x14ac:dyDescent="0.25">
      <c r="R9652">
        <v>290</v>
      </c>
      <c r="S9652">
        <v>87</v>
      </c>
      <c r="T9652">
        <v>5</v>
      </c>
    </row>
    <row r="9653" spans="18:20" x14ac:dyDescent="0.25">
      <c r="R9653">
        <v>290</v>
      </c>
      <c r="S9653">
        <v>97</v>
      </c>
      <c r="T9653">
        <v>4</v>
      </c>
    </row>
    <row r="9654" spans="18:20" x14ac:dyDescent="0.25">
      <c r="R9654">
        <v>290</v>
      </c>
      <c r="S9654">
        <v>100</v>
      </c>
      <c r="T9654">
        <v>2</v>
      </c>
    </row>
    <row r="9655" spans="18:20" x14ac:dyDescent="0.25">
      <c r="R9655">
        <v>290</v>
      </c>
      <c r="S9655">
        <v>109</v>
      </c>
      <c r="T9655">
        <v>1</v>
      </c>
    </row>
    <row r="9656" spans="18:20" x14ac:dyDescent="0.25">
      <c r="R9656">
        <v>290</v>
      </c>
      <c r="S9656">
        <v>143</v>
      </c>
      <c r="T9656">
        <v>2</v>
      </c>
    </row>
    <row r="9657" spans="18:20" x14ac:dyDescent="0.25">
      <c r="R9657">
        <v>290</v>
      </c>
      <c r="S9657">
        <v>152</v>
      </c>
      <c r="T9657">
        <v>1</v>
      </c>
    </row>
    <row r="9658" spans="18:20" x14ac:dyDescent="0.25">
      <c r="R9658">
        <v>290</v>
      </c>
      <c r="S9658">
        <v>183</v>
      </c>
      <c r="T9658">
        <v>3</v>
      </c>
    </row>
    <row r="9659" spans="18:20" x14ac:dyDescent="0.25">
      <c r="R9659">
        <v>290</v>
      </c>
      <c r="S9659">
        <v>210</v>
      </c>
      <c r="T9659">
        <v>5</v>
      </c>
    </row>
    <row r="9660" spans="18:20" x14ac:dyDescent="0.25">
      <c r="R9660">
        <v>290</v>
      </c>
      <c r="S9660">
        <v>213</v>
      </c>
      <c r="T9660">
        <v>3</v>
      </c>
    </row>
    <row r="9661" spans="18:20" x14ac:dyDescent="0.25">
      <c r="R9661">
        <v>290</v>
      </c>
      <c r="S9661">
        <v>231</v>
      </c>
      <c r="T9661">
        <v>4</v>
      </c>
    </row>
    <row r="9662" spans="18:20" x14ac:dyDescent="0.25">
      <c r="R9662">
        <v>290</v>
      </c>
      <c r="S9662">
        <v>236</v>
      </c>
      <c r="T9662">
        <v>2</v>
      </c>
    </row>
    <row r="9663" spans="18:20" x14ac:dyDescent="0.25">
      <c r="R9663">
        <v>290</v>
      </c>
      <c r="S9663">
        <v>245</v>
      </c>
      <c r="T9663">
        <v>4</v>
      </c>
    </row>
    <row r="9664" spans="18:20" x14ac:dyDescent="0.25">
      <c r="R9664">
        <v>290</v>
      </c>
      <c r="S9664">
        <v>250</v>
      </c>
      <c r="T9664">
        <v>4</v>
      </c>
    </row>
    <row r="9665" spans="18:20" x14ac:dyDescent="0.25">
      <c r="R9665">
        <v>290</v>
      </c>
      <c r="S9665">
        <v>274</v>
      </c>
      <c r="T9665">
        <v>2</v>
      </c>
    </row>
    <row r="9666" spans="18:20" x14ac:dyDescent="0.25">
      <c r="R9666">
        <v>290</v>
      </c>
      <c r="S9666">
        <v>294</v>
      </c>
      <c r="T9666">
        <v>3</v>
      </c>
    </row>
    <row r="9667" spans="18:20" x14ac:dyDescent="0.25">
      <c r="R9667">
        <v>290</v>
      </c>
      <c r="S9667">
        <v>298</v>
      </c>
      <c r="T9667">
        <v>4</v>
      </c>
    </row>
    <row r="9668" spans="18:20" x14ac:dyDescent="0.25">
      <c r="R9668">
        <v>290</v>
      </c>
      <c r="S9668">
        <v>336</v>
      </c>
      <c r="T9668">
        <v>5</v>
      </c>
    </row>
    <row r="9669" spans="18:20" x14ac:dyDescent="0.25">
      <c r="R9669">
        <v>290</v>
      </c>
      <c r="S9669">
        <v>352</v>
      </c>
      <c r="T9669">
        <v>3</v>
      </c>
    </row>
    <row r="9670" spans="18:20" x14ac:dyDescent="0.25">
      <c r="R9670">
        <v>290</v>
      </c>
      <c r="S9670">
        <v>371</v>
      </c>
      <c r="T9670">
        <v>1</v>
      </c>
    </row>
    <row r="9671" spans="18:20" x14ac:dyDescent="0.25">
      <c r="R9671">
        <v>290</v>
      </c>
      <c r="S9671">
        <v>373</v>
      </c>
      <c r="T9671">
        <v>5</v>
      </c>
    </row>
    <row r="9672" spans="18:20" x14ac:dyDescent="0.25">
      <c r="R9672">
        <v>290</v>
      </c>
      <c r="S9672">
        <v>378</v>
      </c>
      <c r="T9672">
        <v>1</v>
      </c>
    </row>
    <row r="9673" spans="18:20" x14ac:dyDescent="0.25">
      <c r="R9673">
        <v>290</v>
      </c>
      <c r="S9673">
        <v>435</v>
      </c>
      <c r="T9673">
        <v>3</v>
      </c>
    </row>
    <row r="9674" spans="18:20" x14ac:dyDescent="0.25">
      <c r="R9674">
        <v>291</v>
      </c>
      <c r="S9674">
        <v>18</v>
      </c>
      <c r="T9674">
        <v>2</v>
      </c>
    </row>
    <row r="9675" spans="18:20" x14ac:dyDescent="0.25">
      <c r="R9675">
        <v>291</v>
      </c>
      <c r="S9675">
        <v>20</v>
      </c>
      <c r="T9675">
        <v>4</v>
      </c>
    </row>
    <row r="9676" spans="18:20" x14ac:dyDescent="0.25">
      <c r="R9676">
        <v>291</v>
      </c>
      <c r="S9676">
        <v>53</v>
      </c>
      <c r="T9676">
        <v>3</v>
      </c>
    </row>
    <row r="9677" spans="18:20" x14ac:dyDescent="0.25">
      <c r="R9677">
        <v>291</v>
      </c>
      <c r="S9677">
        <v>64</v>
      </c>
      <c r="T9677">
        <v>2</v>
      </c>
    </row>
    <row r="9678" spans="18:20" x14ac:dyDescent="0.25">
      <c r="R9678">
        <v>291</v>
      </c>
      <c r="S9678">
        <v>90</v>
      </c>
      <c r="T9678">
        <v>4</v>
      </c>
    </row>
    <row r="9679" spans="18:20" x14ac:dyDescent="0.25">
      <c r="R9679">
        <v>291</v>
      </c>
      <c r="S9679">
        <v>91</v>
      </c>
      <c r="T9679">
        <v>3</v>
      </c>
    </row>
    <row r="9680" spans="18:20" x14ac:dyDescent="0.25">
      <c r="R9680">
        <v>291</v>
      </c>
      <c r="S9680">
        <v>91</v>
      </c>
      <c r="T9680">
        <v>3</v>
      </c>
    </row>
    <row r="9681" spans="18:20" x14ac:dyDescent="0.25">
      <c r="R9681">
        <v>291</v>
      </c>
      <c r="S9681">
        <v>139</v>
      </c>
      <c r="T9681">
        <v>1</v>
      </c>
    </row>
    <row r="9682" spans="18:20" x14ac:dyDescent="0.25">
      <c r="R9682">
        <v>291</v>
      </c>
      <c r="S9682">
        <v>148</v>
      </c>
      <c r="T9682">
        <v>4</v>
      </c>
    </row>
    <row r="9683" spans="18:20" x14ac:dyDescent="0.25">
      <c r="R9683">
        <v>291</v>
      </c>
      <c r="S9683">
        <v>161</v>
      </c>
      <c r="T9683">
        <v>3</v>
      </c>
    </row>
    <row r="9684" spans="18:20" x14ac:dyDescent="0.25">
      <c r="R9684">
        <v>291</v>
      </c>
      <c r="S9684">
        <v>178</v>
      </c>
      <c r="T9684">
        <v>2</v>
      </c>
    </row>
    <row r="9685" spans="18:20" x14ac:dyDescent="0.25">
      <c r="R9685">
        <v>291</v>
      </c>
      <c r="S9685">
        <v>193</v>
      </c>
      <c r="T9685">
        <v>1</v>
      </c>
    </row>
    <row r="9686" spans="18:20" x14ac:dyDescent="0.25">
      <c r="R9686">
        <v>291</v>
      </c>
      <c r="S9686">
        <v>204</v>
      </c>
      <c r="T9686">
        <v>2</v>
      </c>
    </row>
    <row r="9687" spans="18:20" x14ac:dyDescent="0.25">
      <c r="R9687">
        <v>291</v>
      </c>
      <c r="S9687">
        <v>212</v>
      </c>
      <c r="T9687">
        <v>3</v>
      </c>
    </row>
    <row r="9688" spans="18:20" x14ac:dyDescent="0.25">
      <c r="R9688">
        <v>291</v>
      </c>
      <c r="S9688">
        <v>235</v>
      </c>
      <c r="T9688">
        <v>5</v>
      </c>
    </row>
    <row r="9689" spans="18:20" x14ac:dyDescent="0.25">
      <c r="R9689">
        <v>291</v>
      </c>
      <c r="S9689">
        <v>235</v>
      </c>
      <c r="T9689">
        <v>4</v>
      </c>
    </row>
    <row r="9690" spans="18:20" x14ac:dyDescent="0.25">
      <c r="R9690">
        <v>291</v>
      </c>
      <c r="S9690">
        <v>239</v>
      </c>
      <c r="T9690">
        <v>5</v>
      </c>
    </row>
    <row r="9691" spans="18:20" x14ac:dyDescent="0.25">
      <c r="R9691">
        <v>291</v>
      </c>
      <c r="S9691">
        <v>239</v>
      </c>
      <c r="T9691">
        <v>3</v>
      </c>
    </row>
    <row r="9692" spans="18:20" x14ac:dyDescent="0.25">
      <c r="R9692">
        <v>291</v>
      </c>
      <c r="S9692">
        <v>243</v>
      </c>
      <c r="T9692">
        <v>4</v>
      </c>
    </row>
    <row r="9693" spans="18:20" x14ac:dyDescent="0.25">
      <c r="R9693">
        <v>291</v>
      </c>
      <c r="S9693">
        <v>264</v>
      </c>
      <c r="T9693">
        <v>4</v>
      </c>
    </row>
    <row r="9694" spans="18:20" x14ac:dyDescent="0.25">
      <c r="R9694">
        <v>291</v>
      </c>
      <c r="S9694">
        <v>270</v>
      </c>
      <c r="T9694">
        <v>1</v>
      </c>
    </row>
    <row r="9695" spans="18:20" x14ac:dyDescent="0.25">
      <c r="R9695">
        <v>291</v>
      </c>
      <c r="S9695">
        <v>284</v>
      </c>
      <c r="T9695">
        <v>3</v>
      </c>
    </row>
    <row r="9696" spans="18:20" x14ac:dyDescent="0.25">
      <c r="R9696">
        <v>291</v>
      </c>
      <c r="S9696">
        <v>285</v>
      </c>
      <c r="T9696">
        <v>1</v>
      </c>
    </row>
    <row r="9697" spans="18:20" x14ac:dyDescent="0.25">
      <c r="R9697">
        <v>291</v>
      </c>
      <c r="S9697">
        <v>296</v>
      </c>
      <c r="T9697">
        <v>1</v>
      </c>
    </row>
    <row r="9698" spans="18:20" x14ac:dyDescent="0.25">
      <c r="R9698">
        <v>291</v>
      </c>
      <c r="S9698">
        <v>320</v>
      </c>
      <c r="T9698">
        <v>3</v>
      </c>
    </row>
    <row r="9699" spans="18:20" x14ac:dyDescent="0.25">
      <c r="R9699">
        <v>291</v>
      </c>
      <c r="S9699">
        <v>396</v>
      </c>
      <c r="T9699">
        <v>4</v>
      </c>
    </row>
    <row r="9700" spans="18:20" x14ac:dyDescent="0.25">
      <c r="R9700">
        <v>291</v>
      </c>
      <c r="S9700">
        <v>430</v>
      </c>
      <c r="T9700">
        <v>4</v>
      </c>
    </row>
    <row r="9701" spans="18:20" x14ac:dyDescent="0.25">
      <c r="R9701">
        <v>291</v>
      </c>
      <c r="S9701">
        <v>430</v>
      </c>
      <c r="T9701">
        <v>4</v>
      </c>
    </row>
    <row r="9702" spans="18:20" x14ac:dyDescent="0.25">
      <c r="R9702">
        <v>292</v>
      </c>
      <c r="S9702">
        <v>2</v>
      </c>
      <c r="T9702">
        <v>3</v>
      </c>
    </row>
    <row r="9703" spans="18:20" x14ac:dyDescent="0.25">
      <c r="R9703">
        <v>292</v>
      </c>
      <c r="S9703">
        <v>31</v>
      </c>
      <c r="T9703">
        <v>5</v>
      </c>
    </row>
    <row r="9704" spans="18:20" x14ac:dyDescent="0.25">
      <c r="R9704">
        <v>292</v>
      </c>
      <c r="S9704">
        <v>35</v>
      </c>
      <c r="T9704">
        <v>1</v>
      </c>
    </row>
    <row r="9705" spans="18:20" x14ac:dyDescent="0.25">
      <c r="R9705">
        <v>292</v>
      </c>
      <c r="S9705">
        <v>37</v>
      </c>
      <c r="T9705">
        <v>4</v>
      </c>
    </row>
    <row r="9706" spans="18:20" x14ac:dyDescent="0.25">
      <c r="R9706">
        <v>292</v>
      </c>
      <c r="S9706">
        <v>52</v>
      </c>
      <c r="T9706">
        <v>5</v>
      </c>
    </row>
    <row r="9707" spans="18:20" x14ac:dyDescent="0.25">
      <c r="R9707">
        <v>292</v>
      </c>
      <c r="S9707">
        <v>56</v>
      </c>
      <c r="T9707">
        <v>1</v>
      </c>
    </row>
    <row r="9708" spans="18:20" x14ac:dyDescent="0.25">
      <c r="R9708">
        <v>292</v>
      </c>
      <c r="S9708">
        <v>70</v>
      </c>
      <c r="T9708">
        <v>4</v>
      </c>
    </row>
    <row r="9709" spans="18:20" x14ac:dyDescent="0.25">
      <c r="R9709">
        <v>292</v>
      </c>
      <c r="S9709">
        <v>88</v>
      </c>
      <c r="T9709">
        <v>5</v>
      </c>
    </row>
    <row r="9710" spans="18:20" x14ac:dyDescent="0.25">
      <c r="R9710">
        <v>292</v>
      </c>
      <c r="S9710">
        <v>92</v>
      </c>
      <c r="T9710">
        <v>4</v>
      </c>
    </row>
    <row r="9711" spans="18:20" x14ac:dyDescent="0.25">
      <c r="R9711">
        <v>292</v>
      </c>
      <c r="S9711">
        <v>92</v>
      </c>
      <c r="T9711">
        <v>1</v>
      </c>
    </row>
    <row r="9712" spans="18:20" x14ac:dyDescent="0.25">
      <c r="R9712">
        <v>292</v>
      </c>
      <c r="S9712">
        <v>99</v>
      </c>
      <c r="T9712">
        <v>5</v>
      </c>
    </row>
    <row r="9713" spans="18:20" x14ac:dyDescent="0.25">
      <c r="R9713">
        <v>292</v>
      </c>
      <c r="S9713">
        <v>134</v>
      </c>
      <c r="T9713">
        <v>4</v>
      </c>
    </row>
    <row r="9714" spans="18:20" x14ac:dyDescent="0.25">
      <c r="R9714">
        <v>292</v>
      </c>
      <c r="S9714">
        <v>137</v>
      </c>
      <c r="T9714">
        <v>5</v>
      </c>
    </row>
    <row r="9715" spans="18:20" x14ac:dyDescent="0.25">
      <c r="R9715">
        <v>292</v>
      </c>
      <c r="S9715">
        <v>147</v>
      </c>
      <c r="T9715">
        <v>5</v>
      </c>
    </row>
    <row r="9716" spans="18:20" x14ac:dyDescent="0.25">
      <c r="R9716">
        <v>292</v>
      </c>
      <c r="S9716">
        <v>152</v>
      </c>
      <c r="T9716">
        <v>4</v>
      </c>
    </row>
    <row r="9717" spans="18:20" x14ac:dyDescent="0.25">
      <c r="R9717">
        <v>292</v>
      </c>
      <c r="S9717">
        <v>158</v>
      </c>
      <c r="T9717">
        <v>1</v>
      </c>
    </row>
    <row r="9718" spans="18:20" x14ac:dyDescent="0.25">
      <c r="R9718">
        <v>292</v>
      </c>
      <c r="S9718">
        <v>159</v>
      </c>
      <c r="T9718">
        <v>2</v>
      </c>
    </row>
    <row r="9719" spans="18:20" x14ac:dyDescent="0.25">
      <c r="R9719">
        <v>292</v>
      </c>
      <c r="S9719">
        <v>167</v>
      </c>
      <c r="T9719">
        <v>3</v>
      </c>
    </row>
    <row r="9720" spans="18:20" x14ac:dyDescent="0.25">
      <c r="R9720">
        <v>292</v>
      </c>
      <c r="S9720">
        <v>167</v>
      </c>
      <c r="T9720">
        <v>1</v>
      </c>
    </row>
    <row r="9721" spans="18:20" x14ac:dyDescent="0.25">
      <c r="R9721">
        <v>292</v>
      </c>
      <c r="S9721">
        <v>187</v>
      </c>
      <c r="T9721">
        <v>1</v>
      </c>
    </row>
    <row r="9722" spans="18:20" x14ac:dyDescent="0.25">
      <c r="R9722">
        <v>292</v>
      </c>
      <c r="S9722">
        <v>214</v>
      </c>
      <c r="T9722">
        <v>2</v>
      </c>
    </row>
    <row r="9723" spans="18:20" x14ac:dyDescent="0.25">
      <c r="R9723">
        <v>292</v>
      </c>
      <c r="S9723">
        <v>233</v>
      </c>
      <c r="T9723">
        <v>2</v>
      </c>
    </row>
    <row r="9724" spans="18:20" x14ac:dyDescent="0.25">
      <c r="R9724">
        <v>292</v>
      </c>
      <c r="S9724">
        <v>242</v>
      </c>
      <c r="T9724">
        <v>3</v>
      </c>
    </row>
    <row r="9725" spans="18:20" x14ac:dyDescent="0.25">
      <c r="R9725">
        <v>292</v>
      </c>
      <c r="S9725">
        <v>279</v>
      </c>
      <c r="T9725">
        <v>4</v>
      </c>
    </row>
    <row r="9726" spans="18:20" x14ac:dyDescent="0.25">
      <c r="R9726">
        <v>292</v>
      </c>
      <c r="S9726">
        <v>291</v>
      </c>
      <c r="T9726">
        <v>5</v>
      </c>
    </row>
    <row r="9727" spans="18:20" x14ac:dyDescent="0.25">
      <c r="R9727">
        <v>292</v>
      </c>
      <c r="S9727">
        <v>292</v>
      </c>
      <c r="T9727">
        <v>2</v>
      </c>
    </row>
    <row r="9728" spans="18:20" x14ac:dyDescent="0.25">
      <c r="R9728">
        <v>292</v>
      </c>
      <c r="S9728">
        <v>297</v>
      </c>
      <c r="T9728">
        <v>5</v>
      </c>
    </row>
    <row r="9729" spans="18:20" x14ac:dyDescent="0.25">
      <c r="R9729">
        <v>292</v>
      </c>
      <c r="S9729">
        <v>306</v>
      </c>
      <c r="T9729">
        <v>2</v>
      </c>
    </row>
    <row r="9730" spans="18:20" x14ac:dyDescent="0.25">
      <c r="R9730">
        <v>292</v>
      </c>
      <c r="S9730">
        <v>319</v>
      </c>
      <c r="T9730">
        <v>5</v>
      </c>
    </row>
    <row r="9731" spans="18:20" x14ac:dyDescent="0.25">
      <c r="R9731">
        <v>292</v>
      </c>
      <c r="S9731">
        <v>369</v>
      </c>
      <c r="T9731">
        <v>2</v>
      </c>
    </row>
    <row r="9732" spans="18:20" x14ac:dyDescent="0.25">
      <c r="R9732">
        <v>292</v>
      </c>
      <c r="S9732">
        <v>369</v>
      </c>
      <c r="T9732">
        <v>1</v>
      </c>
    </row>
    <row r="9733" spans="18:20" x14ac:dyDescent="0.25">
      <c r="R9733">
        <v>292</v>
      </c>
      <c r="S9733">
        <v>381</v>
      </c>
      <c r="T9733">
        <v>2</v>
      </c>
    </row>
    <row r="9734" spans="18:20" x14ac:dyDescent="0.25">
      <c r="R9734">
        <v>292</v>
      </c>
      <c r="S9734">
        <v>403</v>
      </c>
      <c r="T9734">
        <v>1</v>
      </c>
    </row>
    <row r="9735" spans="18:20" x14ac:dyDescent="0.25">
      <c r="R9735">
        <v>292</v>
      </c>
      <c r="S9735">
        <v>435</v>
      </c>
      <c r="T9735">
        <v>2</v>
      </c>
    </row>
    <row r="9736" spans="18:20" x14ac:dyDescent="0.25">
      <c r="R9736">
        <v>293</v>
      </c>
      <c r="S9736">
        <v>31</v>
      </c>
      <c r="T9736">
        <v>3</v>
      </c>
    </row>
    <row r="9737" spans="18:20" x14ac:dyDescent="0.25">
      <c r="R9737">
        <v>293</v>
      </c>
      <c r="S9737">
        <v>43</v>
      </c>
      <c r="T9737">
        <v>4</v>
      </c>
    </row>
    <row r="9738" spans="18:20" x14ac:dyDescent="0.25">
      <c r="R9738">
        <v>293</v>
      </c>
      <c r="S9738">
        <v>53</v>
      </c>
      <c r="T9738">
        <v>1</v>
      </c>
    </row>
    <row r="9739" spans="18:20" x14ac:dyDescent="0.25">
      <c r="R9739">
        <v>293</v>
      </c>
      <c r="S9739">
        <v>57</v>
      </c>
      <c r="T9739">
        <v>5</v>
      </c>
    </row>
    <row r="9740" spans="18:20" x14ac:dyDescent="0.25">
      <c r="R9740">
        <v>293</v>
      </c>
      <c r="S9740">
        <v>59</v>
      </c>
      <c r="T9740">
        <v>4</v>
      </c>
    </row>
    <row r="9741" spans="18:20" x14ac:dyDescent="0.25">
      <c r="R9741">
        <v>293</v>
      </c>
      <c r="S9741">
        <v>61</v>
      </c>
      <c r="T9741">
        <v>3</v>
      </c>
    </row>
    <row r="9742" spans="18:20" x14ac:dyDescent="0.25">
      <c r="R9742">
        <v>293</v>
      </c>
      <c r="S9742">
        <v>84</v>
      </c>
      <c r="T9742">
        <v>4</v>
      </c>
    </row>
    <row r="9743" spans="18:20" x14ac:dyDescent="0.25">
      <c r="R9743">
        <v>293</v>
      </c>
      <c r="S9743">
        <v>95</v>
      </c>
      <c r="T9743">
        <v>2</v>
      </c>
    </row>
    <row r="9744" spans="18:20" x14ac:dyDescent="0.25">
      <c r="R9744">
        <v>293</v>
      </c>
      <c r="S9744">
        <v>106</v>
      </c>
      <c r="T9744">
        <v>2</v>
      </c>
    </row>
    <row r="9745" spans="18:20" x14ac:dyDescent="0.25">
      <c r="R9745">
        <v>293</v>
      </c>
      <c r="S9745">
        <v>113</v>
      </c>
      <c r="T9745">
        <v>4</v>
      </c>
    </row>
    <row r="9746" spans="18:20" x14ac:dyDescent="0.25">
      <c r="R9746">
        <v>293</v>
      </c>
      <c r="S9746">
        <v>134</v>
      </c>
      <c r="T9746">
        <v>4</v>
      </c>
    </row>
    <row r="9747" spans="18:20" x14ac:dyDescent="0.25">
      <c r="R9747">
        <v>293</v>
      </c>
      <c r="S9747">
        <v>142</v>
      </c>
      <c r="T9747">
        <v>2</v>
      </c>
    </row>
    <row r="9748" spans="18:20" x14ac:dyDescent="0.25">
      <c r="R9748">
        <v>293</v>
      </c>
      <c r="S9748">
        <v>145</v>
      </c>
      <c r="T9748">
        <v>2</v>
      </c>
    </row>
    <row r="9749" spans="18:20" x14ac:dyDescent="0.25">
      <c r="R9749">
        <v>293</v>
      </c>
      <c r="S9749">
        <v>151</v>
      </c>
      <c r="T9749">
        <v>2</v>
      </c>
    </row>
    <row r="9750" spans="18:20" x14ac:dyDescent="0.25">
      <c r="R9750">
        <v>293</v>
      </c>
      <c r="S9750">
        <v>202</v>
      </c>
      <c r="T9750">
        <v>4</v>
      </c>
    </row>
    <row r="9751" spans="18:20" x14ac:dyDescent="0.25">
      <c r="R9751">
        <v>293</v>
      </c>
      <c r="S9751">
        <v>225</v>
      </c>
      <c r="T9751">
        <v>4</v>
      </c>
    </row>
    <row r="9752" spans="18:20" x14ac:dyDescent="0.25">
      <c r="R9752">
        <v>293</v>
      </c>
      <c r="S9752">
        <v>260</v>
      </c>
      <c r="T9752">
        <v>1</v>
      </c>
    </row>
    <row r="9753" spans="18:20" x14ac:dyDescent="0.25">
      <c r="R9753">
        <v>293</v>
      </c>
      <c r="S9753">
        <v>274</v>
      </c>
      <c r="T9753">
        <v>5</v>
      </c>
    </row>
    <row r="9754" spans="18:20" x14ac:dyDescent="0.25">
      <c r="R9754">
        <v>293</v>
      </c>
      <c r="S9754">
        <v>282</v>
      </c>
      <c r="T9754">
        <v>4</v>
      </c>
    </row>
    <row r="9755" spans="18:20" x14ac:dyDescent="0.25">
      <c r="R9755">
        <v>293</v>
      </c>
      <c r="S9755">
        <v>298</v>
      </c>
      <c r="T9755">
        <v>2</v>
      </c>
    </row>
    <row r="9756" spans="18:20" x14ac:dyDescent="0.25">
      <c r="R9756">
        <v>293</v>
      </c>
      <c r="S9756">
        <v>333</v>
      </c>
      <c r="T9756">
        <v>2</v>
      </c>
    </row>
    <row r="9757" spans="18:20" x14ac:dyDescent="0.25">
      <c r="R9757">
        <v>293</v>
      </c>
      <c r="S9757">
        <v>368</v>
      </c>
      <c r="T9757">
        <v>4</v>
      </c>
    </row>
    <row r="9758" spans="18:20" x14ac:dyDescent="0.25">
      <c r="R9758">
        <v>293</v>
      </c>
      <c r="S9758">
        <v>369</v>
      </c>
      <c r="T9758">
        <v>2</v>
      </c>
    </row>
    <row r="9759" spans="18:20" x14ac:dyDescent="0.25">
      <c r="R9759">
        <v>293</v>
      </c>
      <c r="S9759">
        <v>398</v>
      </c>
      <c r="T9759">
        <v>5</v>
      </c>
    </row>
    <row r="9760" spans="18:20" x14ac:dyDescent="0.25">
      <c r="R9760">
        <v>293</v>
      </c>
      <c r="S9760">
        <v>403</v>
      </c>
      <c r="T9760">
        <v>1</v>
      </c>
    </row>
    <row r="9761" spans="18:20" x14ac:dyDescent="0.25">
      <c r="R9761">
        <v>294</v>
      </c>
      <c r="S9761">
        <v>6</v>
      </c>
      <c r="T9761">
        <v>5</v>
      </c>
    </row>
    <row r="9762" spans="18:20" x14ac:dyDescent="0.25">
      <c r="R9762">
        <v>294</v>
      </c>
      <c r="S9762">
        <v>11</v>
      </c>
      <c r="T9762">
        <v>4</v>
      </c>
    </row>
    <row r="9763" spans="18:20" x14ac:dyDescent="0.25">
      <c r="R9763">
        <v>294</v>
      </c>
      <c r="S9763">
        <v>16</v>
      </c>
      <c r="T9763">
        <v>2</v>
      </c>
    </row>
    <row r="9764" spans="18:20" x14ac:dyDescent="0.25">
      <c r="R9764">
        <v>294</v>
      </c>
      <c r="S9764">
        <v>33</v>
      </c>
      <c r="T9764">
        <v>4</v>
      </c>
    </row>
    <row r="9765" spans="18:20" x14ac:dyDescent="0.25">
      <c r="R9765">
        <v>294</v>
      </c>
      <c r="S9765">
        <v>35</v>
      </c>
      <c r="T9765">
        <v>4</v>
      </c>
    </row>
    <row r="9766" spans="18:20" x14ac:dyDescent="0.25">
      <c r="R9766">
        <v>294</v>
      </c>
      <c r="S9766">
        <v>37</v>
      </c>
      <c r="T9766">
        <v>5</v>
      </c>
    </row>
    <row r="9767" spans="18:20" x14ac:dyDescent="0.25">
      <c r="R9767">
        <v>294</v>
      </c>
      <c r="S9767">
        <v>43</v>
      </c>
      <c r="T9767">
        <v>1</v>
      </c>
    </row>
    <row r="9768" spans="18:20" x14ac:dyDescent="0.25">
      <c r="R9768">
        <v>294</v>
      </c>
      <c r="S9768">
        <v>58</v>
      </c>
      <c r="T9768">
        <v>4</v>
      </c>
    </row>
    <row r="9769" spans="18:20" x14ac:dyDescent="0.25">
      <c r="R9769">
        <v>294</v>
      </c>
      <c r="S9769">
        <v>68</v>
      </c>
      <c r="T9769">
        <v>5</v>
      </c>
    </row>
    <row r="9770" spans="18:20" x14ac:dyDescent="0.25">
      <c r="R9770">
        <v>294</v>
      </c>
      <c r="S9770">
        <v>83</v>
      </c>
      <c r="T9770">
        <v>1</v>
      </c>
    </row>
    <row r="9771" spans="18:20" x14ac:dyDescent="0.25">
      <c r="R9771">
        <v>294</v>
      </c>
      <c r="S9771">
        <v>86</v>
      </c>
      <c r="T9771">
        <v>2</v>
      </c>
    </row>
    <row r="9772" spans="18:20" x14ac:dyDescent="0.25">
      <c r="R9772">
        <v>294</v>
      </c>
      <c r="S9772">
        <v>93</v>
      </c>
      <c r="T9772">
        <v>4</v>
      </c>
    </row>
    <row r="9773" spans="18:20" x14ac:dyDescent="0.25">
      <c r="R9773">
        <v>294</v>
      </c>
      <c r="S9773">
        <v>99</v>
      </c>
      <c r="T9773">
        <v>2</v>
      </c>
    </row>
    <row r="9774" spans="18:20" x14ac:dyDescent="0.25">
      <c r="R9774">
        <v>294</v>
      </c>
      <c r="S9774">
        <v>112</v>
      </c>
      <c r="T9774">
        <v>3</v>
      </c>
    </row>
    <row r="9775" spans="18:20" x14ac:dyDescent="0.25">
      <c r="R9775">
        <v>294</v>
      </c>
      <c r="S9775">
        <v>131</v>
      </c>
      <c r="T9775">
        <v>1</v>
      </c>
    </row>
    <row r="9776" spans="18:20" x14ac:dyDescent="0.25">
      <c r="R9776">
        <v>294</v>
      </c>
      <c r="S9776">
        <v>138</v>
      </c>
      <c r="T9776">
        <v>4</v>
      </c>
    </row>
    <row r="9777" spans="18:20" x14ac:dyDescent="0.25">
      <c r="R9777">
        <v>294</v>
      </c>
      <c r="S9777">
        <v>155</v>
      </c>
      <c r="T9777">
        <v>4</v>
      </c>
    </row>
    <row r="9778" spans="18:20" x14ac:dyDescent="0.25">
      <c r="R9778">
        <v>294</v>
      </c>
      <c r="S9778">
        <v>158</v>
      </c>
      <c r="T9778">
        <v>1</v>
      </c>
    </row>
    <row r="9779" spans="18:20" x14ac:dyDescent="0.25">
      <c r="R9779">
        <v>294</v>
      </c>
      <c r="S9779">
        <v>161</v>
      </c>
      <c r="T9779">
        <v>5</v>
      </c>
    </row>
    <row r="9780" spans="18:20" x14ac:dyDescent="0.25">
      <c r="R9780">
        <v>294</v>
      </c>
      <c r="S9780">
        <v>163</v>
      </c>
      <c r="T9780">
        <v>4</v>
      </c>
    </row>
    <row r="9781" spans="18:20" x14ac:dyDescent="0.25">
      <c r="R9781">
        <v>294</v>
      </c>
      <c r="S9781">
        <v>176</v>
      </c>
      <c r="T9781">
        <v>5</v>
      </c>
    </row>
    <row r="9782" spans="18:20" x14ac:dyDescent="0.25">
      <c r="R9782">
        <v>294</v>
      </c>
      <c r="S9782">
        <v>208</v>
      </c>
      <c r="T9782">
        <v>2</v>
      </c>
    </row>
    <row r="9783" spans="18:20" x14ac:dyDescent="0.25">
      <c r="R9783">
        <v>294</v>
      </c>
      <c r="S9783">
        <v>213</v>
      </c>
      <c r="T9783">
        <v>3</v>
      </c>
    </row>
    <row r="9784" spans="18:20" x14ac:dyDescent="0.25">
      <c r="R9784">
        <v>294</v>
      </c>
      <c r="S9784">
        <v>220</v>
      </c>
      <c r="T9784">
        <v>4</v>
      </c>
    </row>
    <row r="9785" spans="18:20" x14ac:dyDescent="0.25">
      <c r="R9785">
        <v>294</v>
      </c>
      <c r="S9785">
        <v>223</v>
      </c>
      <c r="T9785">
        <v>4</v>
      </c>
    </row>
    <row r="9786" spans="18:20" x14ac:dyDescent="0.25">
      <c r="R9786">
        <v>294</v>
      </c>
      <c r="S9786">
        <v>240</v>
      </c>
      <c r="T9786">
        <v>4</v>
      </c>
    </row>
    <row r="9787" spans="18:20" x14ac:dyDescent="0.25">
      <c r="R9787">
        <v>294</v>
      </c>
      <c r="S9787">
        <v>246</v>
      </c>
      <c r="T9787">
        <v>4</v>
      </c>
    </row>
    <row r="9788" spans="18:20" x14ac:dyDescent="0.25">
      <c r="R9788">
        <v>294</v>
      </c>
      <c r="S9788">
        <v>268</v>
      </c>
      <c r="T9788">
        <v>2</v>
      </c>
    </row>
    <row r="9789" spans="18:20" x14ac:dyDescent="0.25">
      <c r="R9789">
        <v>294</v>
      </c>
      <c r="S9789">
        <v>268</v>
      </c>
      <c r="T9789">
        <v>3</v>
      </c>
    </row>
    <row r="9790" spans="18:20" x14ac:dyDescent="0.25">
      <c r="R9790">
        <v>294</v>
      </c>
      <c r="S9790">
        <v>270</v>
      </c>
      <c r="T9790">
        <v>4</v>
      </c>
    </row>
    <row r="9791" spans="18:20" x14ac:dyDescent="0.25">
      <c r="R9791">
        <v>294</v>
      </c>
      <c r="S9791">
        <v>295</v>
      </c>
      <c r="T9791">
        <v>1</v>
      </c>
    </row>
    <row r="9792" spans="18:20" x14ac:dyDescent="0.25">
      <c r="R9792">
        <v>294</v>
      </c>
      <c r="S9792">
        <v>302</v>
      </c>
      <c r="T9792">
        <v>4</v>
      </c>
    </row>
    <row r="9793" spans="18:20" x14ac:dyDescent="0.25">
      <c r="R9793">
        <v>294</v>
      </c>
      <c r="S9793">
        <v>311</v>
      </c>
      <c r="T9793">
        <v>3</v>
      </c>
    </row>
    <row r="9794" spans="18:20" x14ac:dyDescent="0.25">
      <c r="R9794">
        <v>294</v>
      </c>
      <c r="S9794">
        <v>314</v>
      </c>
      <c r="T9794">
        <v>1</v>
      </c>
    </row>
    <row r="9795" spans="18:20" x14ac:dyDescent="0.25">
      <c r="R9795">
        <v>294</v>
      </c>
      <c r="S9795">
        <v>324</v>
      </c>
      <c r="T9795">
        <v>1</v>
      </c>
    </row>
    <row r="9796" spans="18:20" x14ac:dyDescent="0.25">
      <c r="R9796">
        <v>294</v>
      </c>
      <c r="S9796">
        <v>325</v>
      </c>
      <c r="T9796">
        <v>2</v>
      </c>
    </row>
    <row r="9797" spans="18:20" x14ac:dyDescent="0.25">
      <c r="R9797">
        <v>294</v>
      </c>
      <c r="S9797">
        <v>327</v>
      </c>
      <c r="T9797">
        <v>2</v>
      </c>
    </row>
    <row r="9798" spans="18:20" x14ac:dyDescent="0.25">
      <c r="R9798">
        <v>294</v>
      </c>
      <c r="S9798">
        <v>344</v>
      </c>
      <c r="T9798">
        <v>3</v>
      </c>
    </row>
    <row r="9799" spans="18:20" x14ac:dyDescent="0.25">
      <c r="R9799">
        <v>294</v>
      </c>
      <c r="S9799">
        <v>352</v>
      </c>
      <c r="T9799">
        <v>3</v>
      </c>
    </row>
    <row r="9800" spans="18:20" x14ac:dyDescent="0.25">
      <c r="R9800">
        <v>294</v>
      </c>
      <c r="S9800">
        <v>387</v>
      </c>
      <c r="T9800">
        <v>4</v>
      </c>
    </row>
    <row r="9801" spans="18:20" x14ac:dyDescent="0.25">
      <c r="R9801">
        <v>294</v>
      </c>
      <c r="S9801">
        <v>419</v>
      </c>
      <c r="T9801">
        <v>4</v>
      </c>
    </row>
    <row r="9802" spans="18:20" x14ac:dyDescent="0.25">
      <c r="R9802">
        <v>294</v>
      </c>
      <c r="S9802">
        <v>435</v>
      </c>
      <c r="T9802">
        <v>1</v>
      </c>
    </row>
    <row r="9803" spans="18:20" x14ac:dyDescent="0.25">
      <c r="R9803">
        <v>295</v>
      </c>
      <c r="S9803">
        <v>2</v>
      </c>
      <c r="T9803">
        <v>2</v>
      </c>
    </row>
    <row r="9804" spans="18:20" x14ac:dyDescent="0.25">
      <c r="R9804">
        <v>295</v>
      </c>
      <c r="S9804">
        <v>3</v>
      </c>
      <c r="T9804">
        <v>1</v>
      </c>
    </row>
    <row r="9805" spans="18:20" x14ac:dyDescent="0.25">
      <c r="R9805">
        <v>295</v>
      </c>
      <c r="S9805">
        <v>6</v>
      </c>
      <c r="T9805">
        <v>1</v>
      </c>
    </row>
    <row r="9806" spans="18:20" x14ac:dyDescent="0.25">
      <c r="R9806">
        <v>295</v>
      </c>
      <c r="S9806">
        <v>27</v>
      </c>
      <c r="T9806">
        <v>5</v>
      </c>
    </row>
    <row r="9807" spans="18:20" x14ac:dyDescent="0.25">
      <c r="R9807">
        <v>295</v>
      </c>
      <c r="S9807">
        <v>42</v>
      </c>
      <c r="T9807">
        <v>3</v>
      </c>
    </row>
    <row r="9808" spans="18:20" x14ac:dyDescent="0.25">
      <c r="R9808">
        <v>295</v>
      </c>
      <c r="S9808">
        <v>54</v>
      </c>
      <c r="T9808">
        <v>2</v>
      </c>
    </row>
    <row r="9809" spans="18:20" x14ac:dyDescent="0.25">
      <c r="R9809">
        <v>295</v>
      </c>
      <c r="S9809">
        <v>62</v>
      </c>
      <c r="T9809">
        <v>2</v>
      </c>
    </row>
    <row r="9810" spans="18:20" x14ac:dyDescent="0.25">
      <c r="R9810">
        <v>295</v>
      </c>
      <c r="S9810">
        <v>68</v>
      </c>
      <c r="T9810">
        <v>2</v>
      </c>
    </row>
    <row r="9811" spans="18:20" x14ac:dyDescent="0.25">
      <c r="R9811">
        <v>295</v>
      </c>
      <c r="S9811">
        <v>73</v>
      </c>
      <c r="T9811">
        <v>4</v>
      </c>
    </row>
    <row r="9812" spans="18:20" x14ac:dyDescent="0.25">
      <c r="R9812">
        <v>295</v>
      </c>
      <c r="S9812">
        <v>89</v>
      </c>
      <c r="T9812">
        <v>3</v>
      </c>
    </row>
    <row r="9813" spans="18:20" x14ac:dyDescent="0.25">
      <c r="R9813">
        <v>295</v>
      </c>
      <c r="S9813">
        <v>97</v>
      </c>
      <c r="T9813">
        <v>5</v>
      </c>
    </row>
    <row r="9814" spans="18:20" x14ac:dyDescent="0.25">
      <c r="R9814">
        <v>295</v>
      </c>
      <c r="S9814">
        <v>99</v>
      </c>
      <c r="T9814">
        <v>3</v>
      </c>
    </row>
    <row r="9815" spans="18:20" x14ac:dyDescent="0.25">
      <c r="R9815">
        <v>295</v>
      </c>
      <c r="S9815">
        <v>107</v>
      </c>
      <c r="T9815">
        <v>5</v>
      </c>
    </row>
    <row r="9816" spans="18:20" x14ac:dyDescent="0.25">
      <c r="R9816">
        <v>295</v>
      </c>
      <c r="S9816">
        <v>110</v>
      </c>
      <c r="T9816">
        <v>1</v>
      </c>
    </row>
    <row r="9817" spans="18:20" x14ac:dyDescent="0.25">
      <c r="R9817">
        <v>295</v>
      </c>
      <c r="S9817">
        <v>127</v>
      </c>
      <c r="T9817">
        <v>2</v>
      </c>
    </row>
    <row r="9818" spans="18:20" x14ac:dyDescent="0.25">
      <c r="R9818">
        <v>295</v>
      </c>
      <c r="S9818">
        <v>128</v>
      </c>
      <c r="T9818">
        <v>1</v>
      </c>
    </row>
    <row r="9819" spans="18:20" x14ac:dyDescent="0.25">
      <c r="R9819">
        <v>295</v>
      </c>
      <c r="S9819">
        <v>130</v>
      </c>
      <c r="T9819">
        <v>1</v>
      </c>
    </row>
    <row r="9820" spans="18:20" x14ac:dyDescent="0.25">
      <c r="R9820">
        <v>295</v>
      </c>
      <c r="S9820">
        <v>145</v>
      </c>
      <c r="T9820">
        <v>5</v>
      </c>
    </row>
    <row r="9821" spans="18:20" x14ac:dyDescent="0.25">
      <c r="R9821">
        <v>295</v>
      </c>
      <c r="S9821">
        <v>160</v>
      </c>
      <c r="T9821">
        <v>5</v>
      </c>
    </row>
    <row r="9822" spans="18:20" x14ac:dyDescent="0.25">
      <c r="R9822">
        <v>295</v>
      </c>
      <c r="S9822">
        <v>163</v>
      </c>
      <c r="T9822">
        <v>1</v>
      </c>
    </row>
    <row r="9823" spans="18:20" x14ac:dyDescent="0.25">
      <c r="R9823">
        <v>295</v>
      </c>
      <c r="S9823">
        <v>197</v>
      </c>
      <c r="T9823">
        <v>2</v>
      </c>
    </row>
    <row r="9824" spans="18:20" x14ac:dyDescent="0.25">
      <c r="R9824">
        <v>295</v>
      </c>
      <c r="S9824">
        <v>255</v>
      </c>
      <c r="T9824">
        <v>3</v>
      </c>
    </row>
    <row r="9825" spans="18:20" x14ac:dyDescent="0.25">
      <c r="R9825">
        <v>295</v>
      </c>
      <c r="S9825">
        <v>266</v>
      </c>
      <c r="T9825">
        <v>5</v>
      </c>
    </row>
    <row r="9826" spans="18:20" x14ac:dyDescent="0.25">
      <c r="R9826">
        <v>295</v>
      </c>
      <c r="S9826">
        <v>277</v>
      </c>
      <c r="T9826">
        <v>1</v>
      </c>
    </row>
    <row r="9827" spans="18:20" x14ac:dyDescent="0.25">
      <c r="R9827">
        <v>295</v>
      </c>
      <c r="S9827">
        <v>296</v>
      </c>
      <c r="T9827">
        <v>4</v>
      </c>
    </row>
    <row r="9828" spans="18:20" x14ac:dyDescent="0.25">
      <c r="R9828">
        <v>295</v>
      </c>
      <c r="S9828">
        <v>341</v>
      </c>
      <c r="T9828">
        <v>4</v>
      </c>
    </row>
    <row r="9829" spans="18:20" x14ac:dyDescent="0.25">
      <c r="R9829">
        <v>295</v>
      </c>
      <c r="S9829">
        <v>359</v>
      </c>
      <c r="T9829">
        <v>3</v>
      </c>
    </row>
    <row r="9830" spans="18:20" x14ac:dyDescent="0.25">
      <c r="R9830">
        <v>295</v>
      </c>
      <c r="S9830">
        <v>372</v>
      </c>
      <c r="T9830">
        <v>1</v>
      </c>
    </row>
    <row r="9831" spans="18:20" x14ac:dyDescent="0.25">
      <c r="R9831">
        <v>295</v>
      </c>
      <c r="S9831">
        <v>402</v>
      </c>
      <c r="T9831">
        <v>1</v>
      </c>
    </row>
    <row r="9832" spans="18:20" x14ac:dyDescent="0.25">
      <c r="R9832">
        <v>295</v>
      </c>
      <c r="S9832">
        <v>402</v>
      </c>
      <c r="T9832">
        <v>1</v>
      </c>
    </row>
    <row r="9833" spans="18:20" x14ac:dyDescent="0.25">
      <c r="R9833">
        <v>295</v>
      </c>
      <c r="S9833">
        <v>405</v>
      </c>
      <c r="T9833">
        <v>3</v>
      </c>
    </row>
    <row r="9834" spans="18:20" x14ac:dyDescent="0.25">
      <c r="R9834">
        <v>295</v>
      </c>
      <c r="S9834">
        <v>421</v>
      </c>
      <c r="T9834">
        <v>5</v>
      </c>
    </row>
    <row r="9835" spans="18:20" x14ac:dyDescent="0.25">
      <c r="R9835">
        <v>296</v>
      </c>
      <c r="S9835">
        <v>6</v>
      </c>
      <c r="T9835">
        <v>5</v>
      </c>
    </row>
    <row r="9836" spans="18:20" x14ac:dyDescent="0.25">
      <c r="R9836">
        <v>296</v>
      </c>
      <c r="S9836">
        <v>6</v>
      </c>
      <c r="T9836">
        <v>3</v>
      </c>
    </row>
    <row r="9837" spans="18:20" x14ac:dyDescent="0.25">
      <c r="R9837">
        <v>296</v>
      </c>
      <c r="S9837">
        <v>13</v>
      </c>
      <c r="T9837">
        <v>2</v>
      </c>
    </row>
    <row r="9838" spans="18:20" x14ac:dyDescent="0.25">
      <c r="R9838">
        <v>296</v>
      </c>
      <c r="S9838">
        <v>18</v>
      </c>
      <c r="T9838">
        <v>4</v>
      </c>
    </row>
    <row r="9839" spans="18:20" x14ac:dyDescent="0.25">
      <c r="R9839">
        <v>296</v>
      </c>
      <c r="S9839">
        <v>21</v>
      </c>
      <c r="T9839">
        <v>3</v>
      </c>
    </row>
    <row r="9840" spans="18:20" x14ac:dyDescent="0.25">
      <c r="R9840">
        <v>296</v>
      </c>
      <c r="S9840">
        <v>29</v>
      </c>
      <c r="T9840">
        <v>2</v>
      </c>
    </row>
    <row r="9841" spans="18:20" x14ac:dyDescent="0.25">
      <c r="R9841">
        <v>296</v>
      </c>
      <c r="S9841">
        <v>64</v>
      </c>
      <c r="T9841">
        <v>2</v>
      </c>
    </row>
    <row r="9842" spans="18:20" x14ac:dyDescent="0.25">
      <c r="R9842">
        <v>296</v>
      </c>
      <c r="S9842">
        <v>69</v>
      </c>
      <c r="T9842">
        <v>2</v>
      </c>
    </row>
    <row r="9843" spans="18:20" x14ac:dyDescent="0.25">
      <c r="R9843">
        <v>296</v>
      </c>
      <c r="S9843">
        <v>71</v>
      </c>
      <c r="T9843">
        <v>1</v>
      </c>
    </row>
    <row r="9844" spans="18:20" x14ac:dyDescent="0.25">
      <c r="R9844">
        <v>296</v>
      </c>
      <c r="S9844">
        <v>97</v>
      </c>
      <c r="T9844">
        <v>2</v>
      </c>
    </row>
    <row r="9845" spans="18:20" x14ac:dyDescent="0.25">
      <c r="R9845">
        <v>296</v>
      </c>
      <c r="S9845">
        <v>113</v>
      </c>
      <c r="T9845">
        <v>2</v>
      </c>
    </row>
    <row r="9846" spans="18:20" x14ac:dyDescent="0.25">
      <c r="R9846">
        <v>296</v>
      </c>
      <c r="S9846">
        <v>118</v>
      </c>
      <c r="T9846">
        <v>1</v>
      </c>
    </row>
    <row r="9847" spans="18:20" x14ac:dyDescent="0.25">
      <c r="R9847">
        <v>296</v>
      </c>
      <c r="S9847">
        <v>125</v>
      </c>
      <c r="T9847">
        <v>4</v>
      </c>
    </row>
    <row r="9848" spans="18:20" x14ac:dyDescent="0.25">
      <c r="R9848">
        <v>296</v>
      </c>
      <c r="S9848">
        <v>162</v>
      </c>
      <c r="T9848">
        <v>2</v>
      </c>
    </row>
    <row r="9849" spans="18:20" x14ac:dyDescent="0.25">
      <c r="R9849">
        <v>296</v>
      </c>
      <c r="S9849">
        <v>174</v>
      </c>
      <c r="T9849">
        <v>2</v>
      </c>
    </row>
    <row r="9850" spans="18:20" x14ac:dyDescent="0.25">
      <c r="R9850">
        <v>296</v>
      </c>
      <c r="S9850">
        <v>177</v>
      </c>
      <c r="T9850">
        <v>2</v>
      </c>
    </row>
    <row r="9851" spans="18:20" x14ac:dyDescent="0.25">
      <c r="R9851">
        <v>296</v>
      </c>
      <c r="S9851">
        <v>177</v>
      </c>
      <c r="T9851">
        <v>4</v>
      </c>
    </row>
    <row r="9852" spans="18:20" x14ac:dyDescent="0.25">
      <c r="R9852">
        <v>296</v>
      </c>
      <c r="S9852">
        <v>177</v>
      </c>
      <c r="T9852">
        <v>4</v>
      </c>
    </row>
    <row r="9853" spans="18:20" x14ac:dyDescent="0.25">
      <c r="R9853">
        <v>296</v>
      </c>
      <c r="S9853">
        <v>213</v>
      </c>
      <c r="T9853">
        <v>4</v>
      </c>
    </row>
    <row r="9854" spans="18:20" x14ac:dyDescent="0.25">
      <c r="R9854">
        <v>296</v>
      </c>
      <c r="S9854">
        <v>216</v>
      </c>
      <c r="T9854">
        <v>2</v>
      </c>
    </row>
    <row r="9855" spans="18:20" x14ac:dyDescent="0.25">
      <c r="R9855">
        <v>296</v>
      </c>
      <c r="S9855">
        <v>224</v>
      </c>
      <c r="T9855">
        <v>4</v>
      </c>
    </row>
    <row r="9856" spans="18:20" x14ac:dyDescent="0.25">
      <c r="R9856">
        <v>296</v>
      </c>
      <c r="S9856">
        <v>225</v>
      </c>
      <c r="T9856">
        <v>2</v>
      </c>
    </row>
    <row r="9857" spans="18:20" x14ac:dyDescent="0.25">
      <c r="R9857">
        <v>296</v>
      </c>
      <c r="S9857">
        <v>225</v>
      </c>
      <c r="T9857">
        <v>4</v>
      </c>
    </row>
    <row r="9858" spans="18:20" x14ac:dyDescent="0.25">
      <c r="R9858">
        <v>296</v>
      </c>
      <c r="S9858">
        <v>240</v>
      </c>
      <c r="T9858">
        <v>2</v>
      </c>
    </row>
    <row r="9859" spans="18:20" x14ac:dyDescent="0.25">
      <c r="R9859">
        <v>296</v>
      </c>
      <c r="S9859">
        <v>259</v>
      </c>
      <c r="T9859">
        <v>3</v>
      </c>
    </row>
    <row r="9860" spans="18:20" x14ac:dyDescent="0.25">
      <c r="R9860">
        <v>296</v>
      </c>
      <c r="S9860">
        <v>276</v>
      </c>
      <c r="T9860">
        <v>2</v>
      </c>
    </row>
    <row r="9861" spans="18:20" x14ac:dyDescent="0.25">
      <c r="R9861">
        <v>296</v>
      </c>
      <c r="S9861">
        <v>280</v>
      </c>
      <c r="T9861">
        <v>3</v>
      </c>
    </row>
    <row r="9862" spans="18:20" x14ac:dyDescent="0.25">
      <c r="R9862">
        <v>296</v>
      </c>
      <c r="S9862">
        <v>296</v>
      </c>
      <c r="T9862">
        <v>4</v>
      </c>
    </row>
    <row r="9863" spans="18:20" x14ac:dyDescent="0.25">
      <c r="R9863">
        <v>296</v>
      </c>
      <c r="S9863">
        <v>297</v>
      </c>
      <c r="T9863">
        <v>3</v>
      </c>
    </row>
    <row r="9864" spans="18:20" x14ac:dyDescent="0.25">
      <c r="R9864">
        <v>296</v>
      </c>
      <c r="S9864">
        <v>303</v>
      </c>
      <c r="T9864">
        <v>2</v>
      </c>
    </row>
    <row r="9865" spans="18:20" x14ac:dyDescent="0.25">
      <c r="R9865">
        <v>296</v>
      </c>
      <c r="S9865">
        <v>313</v>
      </c>
      <c r="T9865">
        <v>2</v>
      </c>
    </row>
    <row r="9866" spans="18:20" x14ac:dyDescent="0.25">
      <c r="R9866">
        <v>296</v>
      </c>
      <c r="S9866">
        <v>350</v>
      </c>
      <c r="T9866">
        <v>5</v>
      </c>
    </row>
    <row r="9867" spans="18:20" x14ac:dyDescent="0.25">
      <c r="R9867">
        <v>296</v>
      </c>
      <c r="S9867">
        <v>388</v>
      </c>
      <c r="T9867">
        <v>4</v>
      </c>
    </row>
    <row r="9868" spans="18:20" x14ac:dyDescent="0.25">
      <c r="R9868">
        <v>296</v>
      </c>
      <c r="S9868">
        <v>405</v>
      </c>
      <c r="T9868">
        <v>4</v>
      </c>
    </row>
    <row r="9869" spans="18:20" x14ac:dyDescent="0.25">
      <c r="R9869">
        <v>296</v>
      </c>
      <c r="S9869">
        <v>406</v>
      </c>
      <c r="T9869">
        <v>3</v>
      </c>
    </row>
    <row r="9870" spans="18:20" x14ac:dyDescent="0.25">
      <c r="R9870">
        <v>296</v>
      </c>
      <c r="S9870">
        <v>426</v>
      </c>
      <c r="T9870">
        <v>5</v>
      </c>
    </row>
    <row r="9871" spans="18:20" x14ac:dyDescent="0.25">
      <c r="R9871">
        <v>297</v>
      </c>
      <c r="S9871">
        <v>7</v>
      </c>
      <c r="T9871">
        <v>5</v>
      </c>
    </row>
    <row r="9872" spans="18:20" x14ac:dyDescent="0.25">
      <c r="R9872">
        <v>297</v>
      </c>
      <c r="S9872">
        <v>15</v>
      </c>
      <c r="T9872">
        <v>1</v>
      </c>
    </row>
    <row r="9873" spans="18:20" x14ac:dyDescent="0.25">
      <c r="R9873">
        <v>297</v>
      </c>
      <c r="S9873">
        <v>23</v>
      </c>
      <c r="T9873">
        <v>1</v>
      </c>
    </row>
    <row r="9874" spans="18:20" x14ac:dyDescent="0.25">
      <c r="R9874">
        <v>297</v>
      </c>
      <c r="S9874">
        <v>38</v>
      </c>
      <c r="T9874">
        <v>3</v>
      </c>
    </row>
    <row r="9875" spans="18:20" x14ac:dyDescent="0.25">
      <c r="R9875">
        <v>297</v>
      </c>
      <c r="S9875">
        <v>41</v>
      </c>
      <c r="T9875">
        <v>1</v>
      </c>
    </row>
    <row r="9876" spans="18:20" x14ac:dyDescent="0.25">
      <c r="R9876">
        <v>297</v>
      </c>
      <c r="S9876">
        <v>54</v>
      </c>
      <c r="T9876">
        <v>3</v>
      </c>
    </row>
    <row r="9877" spans="18:20" x14ac:dyDescent="0.25">
      <c r="R9877">
        <v>297</v>
      </c>
      <c r="S9877">
        <v>56</v>
      </c>
      <c r="T9877">
        <v>4</v>
      </c>
    </row>
    <row r="9878" spans="18:20" x14ac:dyDescent="0.25">
      <c r="R9878">
        <v>297</v>
      </c>
      <c r="S9878">
        <v>77</v>
      </c>
      <c r="T9878">
        <v>4</v>
      </c>
    </row>
    <row r="9879" spans="18:20" x14ac:dyDescent="0.25">
      <c r="R9879">
        <v>297</v>
      </c>
      <c r="S9879">
        <v>88</v>
      </c>
      <c r="T9879">
        <v>2</v>
      </c>
    </row>
    <row r="9880" spans="18:20" x14ac:dyDescent="0.25">
      <c r="R9880">
        <v>297</v>
      </c>
      <c r="S9880">
        <v>95</v>
      </c>
      <c r="T9880">
        <v>3</v>
      </c>
    </row>
    <row r="9881" spans="18:20" x14ac:dyDescent="0.25">
      <c r="R9881">
        <v>297</v>
      </c>
      <c r="S9881">
        <v>105</v>
      </c>
      <c r="T9881">
        <v>4</v>
      </c>
    </row>
    <row r="9882" spans="18:20" x14ac:dyDescent="0.25">
      <c r="R9882">
        <v>297</v>
      </c>
      <c r="S9882">
        <v>107</v>
      </c>
      <c r="T9882">
        <v>3</v>
      </c>
    </row>
    <row r="9883" spans="18:20" x14ac:dyDescent="0.25">
      <c r="R9883">
        <v>297</v>
      </c>
      <c r="S9883">
        <v>170</v>
      </c>
      <c r="T9883">
        <v>4</v>
      </c>
    </row>
    <row r="9884" spans="18:20" x14ac:dyDescent="0.25">
      <c r="R9884">
        <v>297</v>
      </c>
      <c r="S9884">
        <v>187</v>
      </c>
      <c r="T9884">
        <v>2</v>
      </c>
    </row>
    <row r="9885" spans="18:20" x14ac:dyDescent="0.25">
      <c r="R9885">
        <v>297</v>
      </c>
      <c r="S9885">
        <v>191</v>
      </c>
      <c r="T9885">
        <v>4</v>
      </c>
    </row>
    <row r="9886" spans="18:20" x14ac:dyDescent="0.25">
      <c r="R9886">
        <v>297</v>
      </c>
      <c r="S9886">
        <v>199</v>
      </c>
      <c r="T9886">
        <v>5</v>
      </c>
    </row>
    <row r="9887" spans="18:20" x14ac:dyDescent="0.25">
      <c r="R9887">
        <v>297</v>
      </c>
      <c r="S9887">
        <v>209</v>
      </c>
      <c r="T9887">
        <v>3</v>
      </c>
    </row>
    <row r="9888" spans="18:20" x14ac:dyDescent="0.25">
      <c r="R9888">
        <v>297</v>
      </c>
      <c r="S9888">
        <v>217</v>
      </c>
      <c r="T9888">
        <v>4</v>
      </c>
    </row>
    <row r="9889" spans="18:20" x14ac:dyDescent="0.25">
      <c r="R9889">
        <v>297</v>
      </c>
      <c r="S9889">
        <v>234</v>
      </c>
      <c r="T9889">
        <v>3</v>
      </c>
    </row>
    <row r="9890" spans="18:20" x14ac:dyDescent="0.25">
      <c r="R9890">
        <v>297</v>
      </c>
      <c r="S9890">
        <v>234</v>
      </c>
      <c r="T9890">
        <v>4</v>
      </c>
    </row>
    <row r="9891" spans="18:20" x14ac:dyDescent="0.25">
      <c r="R9891">
        <v>297</v>
      </c>
      <c r="S9891">
        <v>241</v>
      </c>
      <c r="T9891">
        <v>4</v>
      </c>
    </row>
    <row r="9892" spans="18:20" x14ac:dyDescent="0.25">
      <c r="R9892">
        <v>297</v>
      </c>
      <c r="S9892">
        <v>287</v>
      </c>
      <c r="T9892">
        <v>4</v>
      </c>
    </row>
    <row r="9893" spans="18:20" x14ac:dyDescent="0.25">
      <c r="R9893">
        <v>297</v>
      </c>
      <c r="S9893">
        <v>297</v>
      </c>
      <c r="T9893">
        <v>5</v>
      </c>
    </row>
    <row r="9894" spans="18:20" x14ac:dyDescent="0.25">
      <c r="R9894">
        <v>297</v>
      </c>
      <c r="S9894">
        <v>299</v>
      </c>
      <c r="T9894">
        <v>1</v>
      </c>
    </row>
    <row r="9895" spans="18:20" x14ac:dyDescent="0.25">
      <c r="R9895">
        <v>297</v>
      </c>
      <c r="S9895">
        <v>331</v>
      </c>
      <c r="T9895">
        <v>1</v>
      </c>
    </row>
    <row r="9896" spans="18:20" x14ac:dyDescent="0.25">
      <c r="R9896">
        <v>297</v>
      </c>
      <c r="S9896">
        <v>383</v>
      </c>
      <c r="T9896">
        <v>2</v>
      </c>
    </row>
    <row r="9897" spans="18:20" x14ac:dyDescent="0.25">
      <c r="R9897">
        <v>297</v>
      </c>
      <c r="S9897">
        <v>385</v>
      </c>
      <c r="T9897">
        <v>5</v>
      </c>
    </row>
    <row r="9898" spans="18:20" x14ac:dyDescent="0.25">
      <c r="R9898">
        <v>297</v>
      </c>
      <c r="S9898">
        <v>391</v>
      </c>
      <c r="T9898">
        <v>1</v>
      </c>
    </row>
    <row r="9899" spans="18:20" x14ac:dyDescent="0.25">
      <c r="R9899">
        <v>297</v>
      </c>
      <c r="S9899">
        <v>400</v>
      </c>
      <c r="T9899">
        <v>5</v>
      </c>
    </row>
    <row r="9900" spans="18:20" x14ac:dyDescent="0.25">
      <c r="R9900">
        <v>297</v>
      </c>
      <c r="S9900">
        <v>416</v>
      </c>
      <c r="T9900">
        <v>2</v>
      </c>
    </row>
    <row r="9901" spans="18:20" x14ac:dyDescent="0.25">
      <c r="R9901">
        <v>297</v>
      </c>
      <c r="S9901">
        <v>417</v>
      </c>
      <c r="T9901">
        <v>5</v>
      </c>
    </row>
    <row r="9902" spans="18:20" x14ac:dyDescent="0.25">
      <c r="R9902">
        <v>297</v>
      </c>
      <c r="S9902">
        <v>417</v>
      </c>
      <c r="T9902">
        <v>2</v>
      </c>
    </row>
    <row r="9903" spans="18:20" x14ac:dyDescent="0.25">
      <c r="R9903">
        <v>297</v>
      </c>
      <c r="S9903">
        <v>423</v>
      </c>
      <c r="T9903">
        <v>2</v>
      </c>
    </row>
    <row r="9904" spans="18:20" x14ac:dyDescent="0.25">
      <c r="R9904">
        <v>297</v>
      </c>
      <c r="S9904">
        <v>428</v>
      </c>
      <c r="T9904">
        <v>4</v>
      </c>
    </row>
    <row r="9905" spans="18:20" x14ac:dyDescent="0.25">
      <c r="R9905">
        <v>297</v>
      </c>
      <c r="S9905">
        <v>429</v>
      </c>
      <c r="T9905">
        <v>5</v>
      </c>
    </row>
    <row r="9906" spans="18:20" x14ac:dyDescent="0.25">
      <c r="R9906">
        <v>297</v>
      </c>
      <c r="S9906">
        <v>436</v>
      </c>
      <c r="T9906">
        <v>4</v>
      </c>
    </row>
    <row r="9907" spans="18:20" x14ac:dyDescent="0.25">
      <c r="R9907">
        <v>298</v>
      </c>
      <c r="S9907">
        <v>15</v>
      </c>
      <c r="T9907">
        <v>5</v>
      </c>
    </row>
    <row r="9908" spans="18:20" x14ac:dyDescent="0.25">
      <c r="R9908">
        <v>298</v>
      </c>
      <c r="S9908">
        <v>39</v>
      </c>
      <c r="T9908">
        <v>4</v>
      </c>
    </row>
    <row r="9909" spans="18:20" x14ac:dyDescent="0.25">
      <c r="R9909">
        <v>298</v>
      </c>
      <c r="S9909">
        <v>83</v>
      </c>
      <c r="T9909">
        <v>5</v>
      </c>
    </row>
    <row r="9910" spans="18:20" x14ac:dyDescent="0.25">
      <c r="R9910">
        <v>298</v>
      </c>
      <c r="S9910">
        <v>117</v>
      </c>
      <c r="T9910">
        <v>5</v>
      </c>
    </row>
    <row r="9911" spans="18:20" x14ac:dyDescent="0.25">
      <c r="R9911">
        <v>298</v>
      </c>
      <c r="S9911">
        <v>120</v>
      </c>
      <c r="T9911">
        <v>2</v>
      </c>
    </row>
    <row r="9912" spans="18:20" x14ac:dyDescent="0.25">
      <c r="R9912">
        <v>298</v>
      </c>
      <c r="S9912">
        <v>126</v>
      </c>
      <c r="T9912">
        <v>1</v>
      </c>
    </row>
    <row r="9913" spans="18:20" x14ac:dyDescent="0.25">
      <c r="R9913">
        <v>298</v>
      </c>
      <c r="S9913">
        <v>137</v>
      </c>
      <c r="T9913">
        <v>5</v>
      </c>
    </row>
    <row r="9914" spans="18:20" x14ac:dyDescent="0.25">
      <c r="R9914">
        <v>298</v>
      </c>
      <c r="S9914">
        <v>143</v>
      </c>
      <c r="T9914">
        <v>5</v>
      </c>
    </row>
    <row r="9915" spans="18:20" x14ac:dyDescent="0.25">
      <c r="R9915">
        <v>298</v>
      </c>
      <c r="S9915">
        <v>159</v>
      </c>
      <c r="T9915">
        <v>1</v>
      </c>
    </row>
    <row r="9916" spans="18:20" x14ac:dyDescent="0.25">
      <c r="R9916">
        <v>298</v>
      </c>
      <c r="S9916">
        <v>171</v>
      </c>
      <c r="T9916">
        <v>4</v>
      </c>
    </row>
    <row r="9917" spans="18:20" x14ac:dyDescent="0.25">
      <c r="R9917">
        <v>298</v>
      </c>
      <c r="S9917">
        <v>176</v>
      </c>
      <c r="T9917">
        <v>4</v>
      </c>
    </row>
    <row r="9918" spans="18:20" x14ac:dyDescent="0.25">
      <c r="R9918">
        <v>298</v>
      </c>
      <c r="S9918">
        <v>201</v>
      </c>
      <c r="T9918">
        <v>5</v>
      </c>
    </row>
    <row r="9919" spans="18:20" x14ac:dyDescent="0.25">
      <c r="R9919">
        <v>298</v>
      </c>
      <c r="S9919">
        <v>220</v>
      </c>
      <c r="T9919">
        <v>3</v>
      </c>
    </row>
    <row r="9920" spans="18:20" x14ac:dyDescent="0.25">
      <c r="R9920">
        <v>298</v>
      </c>
      <c r="S9920">
        <v>236</v>
      </c>
      <c r="T9920">
        <v>4</v>
      </c>
    </row>
    <row r="9921" spans="18:20" x14ac:dyDescent="0.25">
      <c r="R9921">
        <v>298</v>
      </c>
      <c r="S9921">
        <v>238</v>
      </c>
      <c r="T9921">
        <v>4</v>
      </c>
    </row>
    <row r="9922" spans="18:20" x14ac:dyDescent="0.25">
      <c r="R9922">
        <v>298</v>
      </c>
      <c r="S9922">
        <v>240</v>
      </c>
      <c r="T9922">
        <v>4</v>
      </c>
    </row>
    <row r="9923" spans="18:20" x14ac:dyDescent="0.25">
      <c r="R9923">
        <v>298</v>
      </c>
      <c r="S9923">
        <v>240</v>
      </c>
      <c r="T9923">
        <v>5</v>
      </c>
    </row>
    <row r="9924" spans="18:20" x14ac:dyDescent="0.25">
      <c r="R9924">
        <v>298</v>
      </c>
      <c r="S9924">
        <v>254</v>
      </c>
      <c r="T9924">
        <v>5</v>
      </c>
    </row>
    <row r="9925" spans="18:20" x14ac:dyDescent="0.25">
      <c r="R9925">
        <v>298</v>
      </c>
      <c r="S9925">
        <v>255</v>
      </c>
      <c r="T9925">
        <v>5</v>
      </c>
    </row>
    <row r="9926" spans="18:20" x14ac:dyDescent="0.25">
      <c r="R9926">
        <v>298</v>
      </c>
      <c r="S9926">
        <v>268</v>
      </c>
      <c r="T9926">
        <v>2</v>
      </c>
    </row>
    <row r="9927" spans="18:20" x14ac:dyDescent="0.25">
      <c r="R9927">
        <v>298</v>
      </c>
      <c r="S9927">
        <v>283</v>
      </c>
      <c r="T9927">
        <v>5</v>
      </c>
    </row>
    <row r="9928" spans="18:20" x14ac:dyDescent="0.25">
      <c r="R9928">
        <v>298</v>
      </c>
      <c r="S9928">
        <v>307</v>
      </c>
      <c r="T9928">
        <v>2</v>
      </c>
    </row>
    <row r="9929" spans="18:20" x14ac:dyDescent="0.25">
      <c r="R9929">
        <v>298</v>
      </c>
      <c r="S9929">
        <v>334</v>
      </c>
      <c r="T9929">
        <v>4</v>
      </c>
    </row>
    <row r="9930" spans="18:20" x14ac:dyDescent="0.25">
      <c r="R9930">
        <v>298</v>
      </c>
      <c r="S9930">
        <v>341</v>
      </c>
      <c r="T9930">
        <v>4</v>
      </c>
    </row>
    <row r="9931" spans="18:20" x14ac:dyDescent="0.25">
      <c r="R9931">
        <v>298</v>
      </c>
      <c r="S9931">
        <v>349</v>
      </c>
      <c r="T9931">
        <v>4</v>
      </c>
    </row>
    <row r="9932" spans="18:20" x14ac:dyDescent="0.25">
      <c r="R9932">
        <v>298</v>
      </c>
      <c r="S9932">
        <v>357</v>
      </c>
      <c r="T9932">
        <v>1</v>
      </c>
    </row>
    <row r="9933" spans="18:20" x14ac:dyDescent="0.25">
      <c r="R9933">
        <v>298</v>
      </c>
      <c r="S9933">
        <v>390</v>
      </c>
      <c r="T9933">
        <v>4</v>
      </c>
    </row>
    <row r="9934" spans="18:20" x14ac:dyDescent="0.25">
      <c r="R9934">
        <v>298</v>
      </c>
      <c r="S9934">
        <v>391</v>
      </c>
      <c r="T9934">
        <v>3</v>
      </c>
    </row>
    <row r="9935" spans="18:20" x14ac:dyDescent="0.25">
      <c r="R9935">
        <v>298</v>
      </c>
      <c r="S9935">
        <v>423</v>
      </c>
      <c r="T9935">
        <v>1</v>
      </c>
    </row>
    <row r="9936" spans="18:20" x14ac:dyDescent="0.25">
      <c r="R9936">
        <v>298</v>
      </c>
      <c r="S9936">
        <v>436</v>
      </c>
      <c r="T9936">
        <v>3</v>
      </c>
    </row>
    <row r="9937" spans="18:20" x14ac:dyDescent="0.25">
      <c r="R9937">
        <v>299</v>
      </c>
      <c r="S9937">
        <v>8</v>
      </c>
      <c r="T9937">
        <v>4</v>
      </c>
    </row>
    <row r="9938" spans="18:20" x14ac:dyDescent="0.25">
      <c r="R9938">
        <v>299</v>
      </c>
      <c r="S9938">
        <v>12</v>
      </c>
      <c r="T9938">
        <v>3</v>
      </c>
    </row>
    <row r="9939" spans="18:20" x14ac:dyDescent="0.25">
      <c r="R9939">
        <v>299</v>
      </c>
      <c r="S9939">
        <v>13</v>
      </c>
      <c r="T9939">
        <v>1</v>
      </c>
    </row>
    <row r="9940" spans="18:20" x14ac:dyDescent="0.25">
      <c r="R9940">
        <v>299</v>
      </c>
      <c r="S9940">
        <v>21</v>
      </c>
      <c r="T9940">
        <v>5</v>
      </c>
    </row>
    <row r="9941" spans="18:20" x14ac:dyDescent="0.25">
      <c r="R9941">
        <v>299</v>
      </c>
      <c r="S9941">
        <v>25</v>
      </c>
      <c r="T9941">
        <v>2</v>
      </c>
    </row>
    <row r="9942" spans="18:20" x14ac:dyDescent="0.25">
      <c r="R9942">
        <v>299</v>
      </c>
      <c r="S9942">
        <v>28</v>
      </c>
      <c r="T9942">
        <v>2</v>
      </c>
    </row>
    <row r="9943" spans="18:20" x14ac:dyDescent="0.25">
      <c r="R9943">
        <v>299</v>
      </c>
      <c r="S9943">
        <v>37</v>
      </c>
      <c r="T9943">
        <v>3</v>
      </c>
    </row>
    <row r="9944" spans="18:20" x14ac:dyDescent="0.25">
      <c r="R9944">
        <v>299</v>
      </c>
      <c r="S9944">
        <v>41</v>
      </c>
      <c r="T9944">
        <v>1</v>
      </c>
    </row>
    <row r="9945" spans="18:20" x14ac:dyDescent="0.25">
      <c r="R9945">
        <v>299</v>
      </c>
      <c r="S9945">
        <v>47</v>
      </c>
      <c r="T9945">
        <v>2</v>
      </c>
    </row>
    <row r="9946" spans="18:20" x14ac:dyDescent="0.25">
      <c r="R9946">
        <v>299</v>
      </c>
      <c r="S9946">
        <v>66</v>
      </c>
      <c r="T9946">
        <v>5</v>
      </c>
    </row>
    <row r="9947" spans="18:20" x14ac:dyDescent="0.25">
      <c r="R9947">
        <v>299</v>
      </c>
      <c r="S9947">
        <v>72</v>
      </c>
      <c r="T9947">
        <v>1</v>
      </c>
    </row>
    <row r="9948" spans="18:20" x14ac:dyDescent="0.25">
      <c r="R9948">
        <v>299</v>
      </c>
      <c r="S9948">
        <v>101</v>
      </c>
      <c r="T9948">
        <v>4</v>
      </c>
    </row>
    <row r="9949" spans="18:20" x14ac:dyDescent="0.25">
      <c r="R9949">
        <v>299</v>
      </c>
      <c r="S9949">
        <v>105</v>
      </c>
      <c r="T9949">
        <v>3</v>
      </c>
    </row>
    <row r="9950" spans="18:20" x14ac:dyDescent="0.25">
      <c r="R9950">
        <v>299</v>
      </c>
      <c r="S9950">
        <v>109</v>
      </c>
      <c r="T9950">
        <v>1</v>
      </c>
    </row>
    <row r="9951" spans="18:20" x14ac:dyDescent="0.25">
      <c r="R9951">
        <v>299</v>
      </c>
      <c r="S9951">
        <v>121</v>
      </c>
      <c r="T9951">
        <v>3</v>
      </c>
    </row>
    <row r="9952" spans="18:20" x14ac:dyDescent="0.25">
      <c r="R9952">
        <v>299</v>
      </c>
      <c r="S9952">
        <v>153</v>
      </c>
      <c r="T9952">
        <v>3</v>
      </c>
    </row>
    <row r="9953" spans="18:20" x14ac:dyDescent="0.25">
      <c r="R9953">
        <v>299</v>
      </c>
      <c r="S9953">
        <v>182</v>
      </c>
      <c r="T9953">
        <v>1</v>
      </c>
    </row>
    <row r="9954" spans="18:20" x14ac:dyDescent="0.25">
      <c r="R9954">
        <v>299</v>
      </c>
      <c r="S9954">
        <v>220</v>
      </c>
      <c r="T9954">
        <v>1</v>
      </c>
    </row>
    <row r="9955" spans="18:20" x14ac:dyDescent="0.25">
      <c r="R9955">
        <v>299</v>
      </c>
      <c r="S9955">
        <v>224</v>
      </c>
      <c r="T9955">
        <v>5</v>
      </c>
    </row>
    <row r="9956" spans="18:20" x14ac:dyDescent="0.25">
      <c r="R9956">
        <v>299</v>
      </c>
      <c r="S9956">
        <v>244</v>
      </c>
      <c r="T9956">
        <v>4</v>
      </c>
    </row>
    <row r="9957" spans="18:20" x14ac:dyDescent="0.25">
      <c r="R9957">
        <v>299</v>
      </c>
      <c r="S9957">
        <v>267</v>
      </c>
      <c r="T9957">
        <v>4</v>
      </c>
    </row>
    <row r="9958" spans="18:20" x14ac:dyDescent="0.25">
      <c r="R9958">
        <v>299</v>
      </c>
      <c r="S9958">
        <v>275</v>
      </c>
      <c r="T9958">
        <v>2</v>
      </c>
    </row>
    <row r="9959" spans="18:20" x14ac:dyDescent="0.25">
      <c r="R9959">
        <v>299</v>
      </c>
      <c r="S9959">
        <v>280</v>
      </c>
      <c r="T9959">
        <v>4</v>
      </c>
    </row>
    <row r="9960" spans="18:20" x14ac:dyDescent="0.25">
      <c r="R9960">
        <v>299</v>
      </c>
      <c r="S9960">
        <v>281</v>
      </c>
      <c r="T9960">
        <v>3</v>
      </c>
    </row>
    <row r="9961" spans="18:20" x14ac:dyDescent="0.25">
      <c r="R9961">
        <v>299</v>
      </c>
      <c r="S9961">
        <v>290</v>
      </c>
      <c r="T9961">
        <v>3</v>
      </c>
    </row>
    <row r="9962" spans="18:20" x14ac:dyDescent="0.25">
      <c r="R9962">
        <v>299</v>
      </c>
      <c r="S9962">
        <v>290</v>
      </c>
      <c r="T9962">
        <v>5</v>
      </c>
    </row>
    <row r="9963" spans="18:20" x14ac:dyDescent="0.25">
      <c r="R9963">
        <v>299</v>
      </c>
      <c r="S9963">
        <v>295</v>
      </c>
      <c r="T9963">
        <v>2</v>
      </c>
    </row>
    <row r="9964" spans="18:20" x14ac:dyDescent="0.25">
      <c r="R9964">
        <v>299</v>
      </c>
      <c r="S9964">
        <v>304</v>
      </c>
      <c r="T9964">
        <v>2</v>
      </c>
    </row>
    <row r="9965" spans="18:20" x14ac:dyDescent="0.25">
      <c r="R9965">
        <v>299</v>
      </c>
      <c r="S9965">
        <v>327</v>
      </c>
      <c r="T9965">
        <v>2</v>
      </c>
    </row>
    <row r="9966" spans="18:20" x14ac:dyDescent="0.25">
      <c r="R9966">
        <v>299</v>
      </c>
      <c r="S9966">
        <v>340</v>
      </c>
      <c r="T9966">
        <v>3</v>
      </c>
    </row>
    <row r="9967" spans="18:20" x14ac:dyDescent="0.25">
      <c r="R9967">
        <v>299</v>
      </c>
      <c r="S9967">
        <v>372</v>
      </c>
      <c r="T9967">
        <v>1</v>
      </c>
    </row>
    <row r="9968" spans="18:20" x14ac:dyDescent="0.25">
      <c r="R9968">
        <v>299</v>
      </c>
      <c r="S9968">
        <v>382</v>
      </c>
      <c r="T9968">
        <v>1</v>
      </c>
    </row>
    <row r="9969" spans="18:20" x14ac:dyDescent="0.25">
      <c r="R9969">
        <v>299</v>
      </c>
      <c r="S9969">
        <v>383</v>
      </c>
      <c r="T9969">
        <v>5</v>
      </c>
    </row>
    <row r="9970" spans="18:20" x14ac:dyDescent="0.25">
      <c r="R9970">
        <v>299</v>
      </c>
      <c r="S9970">
        <v>401</v>
      </c>
      <c r="T9970">
        <v>3</v>
      </c>
    </row>
    <row r="9971" spans="18:20" x14ac:dyDescent="0.25">
      <c r="R9971">
        <v>299</v>
      </c>
      <c r="S9971">
        <v>406</v>
      </c>
      <c r="T9971">
        <v>1</v>
      </c>
    </row>
    <row r="9972" spans="18:20" x14ac:dyDescent="0.25">
      <c r="R9972">
        <v>299</v>
      </c>
      <c r="S9972">
        <v>406</v>
      </c>
      <c r="T9972">
        <v>5</v>
      </c>
    </row>
    <row r="9973" spans="18:20" x14ac:dyDescent="0.25">
      <c r="R9973">
        <v>299</v>
      </c>
      <c r="S9973">
        <v>408</v>
      </c>
      <c r="T9973">
        <v>3</v>
      </c>
    </row>
    <row r="9974" spans="18:20" x14ac:dyDescent="0.25">
      <c r="R9974">
        <v>299</v>
      </c>
      <c r="S9974">
        <v>419</v>
      </c>
      <c r="T9974">
        <v>2</v>
      </c>
    </row>
    <row r="9975" spans="18:20" x14ac:dyDescent="0.25">
      <c r="R9975">
        <v>299</v>
      </c>
      <c r="S9975">
        <v>429</v>
      </c>
      <c r="T9975">
        <v>2</v>
      </c>
    </row>
    <row r="9976" spans="18:20" x14ac:dyDescent="0.25">
      <c r="R9976">
        <v>300</v>
      </c>
      <c r="S9976">
        <v>8</v>
      </c>
      <c r="T9976">
        <v>1</v>
      </c>
    </row>
    <row r="9977" spans="18:20" x14ac:dyDescent="0.25">
      <c r="R9977">
        <v>300</v>
      </c>
      <c r="S9977">
        <v>64</v>
      </c>
      <c r="T9977">
        <v>4</v>
      </c>
    </row>
    <row r="9978" spans="18:20" x14ac:dyDescent="0.25">
      <c r="R9978">
        <v>300</v>
      </c>
      <c r="S9978">
        <v>69</v>
      </c>
      <c r="T9978">
        <v>4</v>
      </c>
    </row>
    <row r="9979" spans="18:20" x14ac:dyDescent="0.25">
      <c r="R9979">
        <v>300</v>
      </c>
      <c r="S9979">
        <v>69</v>
      </c>
      <c r="T9979">
        <v>3</v>
      </c>
    </row>
    <row r="9980" spans="18:20" x14ac:dyDescent="0.25">
      <c r="R9980">
        <v>300</v>
      </c>
      <c r="S9980">
        <v>69</v>
      </c>
      <c r="T9980">
        <v>1</v>
      </c>
    </row>
    <row r="9981" spans="18:20" x14ac:dyDescent="0.25">
      <c r="R9981">
        <v>300</v>
      </c>
      <c r="S9981">
        <v>103</v>
      </c>
      <c r="T9981">
        <v>5</v>
      </c>
    </row>
    <row r="9982" spans="18:20" x14ac:dyDescent="0.25">
      <c r="R9982">
        <v>300</v>
      </c>
      <c r="S9982">
        <v>107</v>
      </c>
      <c r="T9982">
        <v>2</v>
      </c>
    </row>
    <row r="9983" spans="18:20" x14ac:dyDescent="0.25">
      <c r="R9983">
        <v>300</v>
      </c>
      <c r="S9983">
        <v>108</v>
      </c>
      <c r="T9983">
        <v>5</v>
      </c>
    </row>
    <row r="9984" spans="18:20" x14ac:dyDescent="0.25">
      <c r="R9984">
        <v>300</v>
      </c>
      <c r="S9984">
        <v>144</v>
      </c>
      <c r="T9984">
        <v>5</v>
      </c>
    </row>
    <row r="9985" spans="18:20" x14ac:dyDescent="0.25">
      <c r="R9985">
        <v>300</v>
      </c>
      <c r="S9985">
        <v>163</v>
      </c>
      <c r="T9985">
        <v>2</v>
      </c>
    </row>
    <row r="9986" spans="18:20" x14ac:dyDescent="0.25">
      <c r="R9986">
        <v>300</v>
      </c>
      <c r="S9986">
        <v>193</v>
      </c>
      <c r="T9986">
        <v>5</v>
      </c>
    </row>
    <row r="9987" spans="18:20" x14ac:dyDescent="0.25">
      <c r="R9987">
        <v>300</v>
      </c>
      <c r="S9987">
        <v>200</v>
      </c>
      <c r="T9987">
        <v>4</v>
      </c>
    </row>
    <row r="9988" spans="18:20" x14ac:dyDescent="0.25">
      <c r="R9988">
        <v>300</v>
      </c>
      <c r="S9988">
        <v>221</v>
      </c>
      <c r="T9988">
        <v>3</v>
      </c>
    </row>
    <row r="9989" spans="18:20" x14ac:dyDescent="0.25">
      <c r="R9989">
        <v>300</v>
      </c>
      <c r="S9989">
        <v>255</v>
      </c>
      <c r="T9989">
        <v>4</v>
      </c>
    </row>
    <row r="9990" spans="18:20" x14ac:dyDescent="0.25">
      <c r="R9990">
        <v>300</v>
      </c>
      <c r="S9990">
        <v>279</v>
      </c>
      <c r="T9990">
        <v>4</v>
      </c>
    </row>
    <row r="9991" spans="18:20" x14ac:dyDescent="0.25">
      <c r="R9991">
        <v>300</v>
      </c>
      <c r="S9991">
        <v>285</v>
      </c>
      <c r="T9991">
        <v>5</v>
      </c>
    </row>
    <row r="9992" spans="18:20" x14ac:dyDescent="0.25">
      <c r="R9992">
        <v>300</v>
      </c>
      <c r="S9992">
        <v>311</v>
      </c>
      <c r="T9992">
        <v>3</v>
      </c>
    </row>
    <row r="9993" spans="18:20" x14ac:dyDescent="0.25">
      <c r="R9993">
        <v>300</v>
      </c>
      <c r="S9993">
        <v>322</v>
      </c>
      <c r="T9993">
        <v>1</v>
      </c>
    </row>
    <row r="9994" spans="18:20" x14ac:dyDescent="0.25">
      <c r="R9994">
        <v>300</v>
      </c>
      <c r="S9994">
        <v>323</v>
      </c>
      <c r="T9994">
        <v>3</v>
      </c>
    </row>
    <row r="9995" spans="18:20" x14ac:dyDescent="0.25">
      <c r="R9995">
        <v>300</v>
      </c>
      <c r="S9995">
        <v>342</v>
      </c>
      <c r="T9995">
        <v>4</v>
      </c>
    </row>
    <row r="9996" spans="18:20" x14ac:dyDescent="0.25">
      <c r="R9996">
        <v>300</v>
      </c>
      <c r="S9996">
        <v>345</v>
      </c>
      <c r="T9996">
        <v>4</v>
      </c>
    </row>
    <row r="9997" spans="18:20" x14ac:dyDescent="0.25">
      <c r="R9997">
        <v>300</v>
      </c>
      <c r="S9997">
        <v>362</v>
      </c>
      <c r="T9997">
        <v>1</v>
      </c>
    </row>
    <row r="9998" spans="18:20" x14ac:dyDescent="0.25">
      <c r="R9998">
        <v>300</v>
      </c>
      <c r="S9998">
        <v>396</v>
      </c>
      <c r="T9998">
        <v>2</v>
      </c>
    </row>
    <row r="9999" spans="18:20" x14ac:dyDescent="0.25">
      <c r="R9999">
        <v>300</v>
      </c>
      <c r="S9999">
        <v>415</v>
      </c>
      <c r="T9999">
        <v>4</v>
      </c>
    </row>
    <row r="10000" spans="18:20" x14ac:dyDescent="0.25">
      <c r="R10000">
        <v>300</v>
      </c>
      <c r="S10000">
        <v>424</v>
      </c>
      <c r="T10000">
        <v>2</v>
      </c>
    </row>
    <row r="10001" spans="18:20" x14ac:dyDescent="0.25">
      <c r="R10001">
        <v>300</v>
      </c>
      <c r="S10001">
        <v>434</v>
      </c>
      <c r="T10001">
        <v>4</v>
      </c>
    </row>
  </sheetData>
  <pageMargins left="0.7" right="0.7" top="0.75" bottom="0.75" header="0.3" footer="0.3"/>
  <tableParts count="7">
    <tablePart r:id="rId1"/>
    <tablePart r:id="rId2"/>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38B5-7CA5-44DF-B2BC-BAD50AD476A5}">
  <dimension ref="A1:Q440"/>
  <sheetViews>
    <sheetView zoomScale="115" zoomScaleNormal="115" workbookViewId="0">
      <selection activeCell="O145" sqref="O145"/>
    </sheetView>
  </sheetViews>
  <sheetFormatPr defaultRowHeight="15" x14ac:dyDescent="0.25"/>
  <cols>
    <col min="1" max="1" width="9.7109375" customWidth="1"/>
    <col min="2" max="2" width="10.7109375" customWidth="1"/>
    <col min="5" max="5" width="10.5703125" customWidth="1"/>
    <col min="6" max="6" width="9.85546875" customWidth="1"/>
    <col min="7" max="7" width="11.42578125" customWidth="1"/>
    <col min="9" max="9" width="10.5703125" customWidth="1"/>
    <col min="10" max="10" width="9.85546875" customWidth="1"/>
    <col min="11" max="11" width="11.42578125" customWidth="1"/>
    <col min="12" max="12" width="56.7109375" bestFit="1" customWidth="1"/>
    <col min="13" max="13" width="30.28515625" bestFit="1" customWidth="1"/>
    <col min="15" max="15" width="30.28515625" bestFit="1" customWidth="1"/>
    <col min="16" max="16" width="11.140625" bestFit="1" customWidth="1"/>
    <col min="17" max="17" width="18.5703125" bestFit="1" customWidth="1"/>
  </cols>
  <sheetData>
    <row r="1" spans="1:17" x14ac:dyDescent="0.25">
      <c r="A1" t="s">
        <v>3</v>
      </c>
      <c r="B1" t="s">
        <v>4</v>
      </c>
      <c r="C1" t="s">
        <v>5</v>
      </c>
      <c r="E1" t="s">
        <v>945</v>
      </c>
      <c r="F1" t="s">
        <v>946</v>
      </c>
      <c r="G1" t="s">
        <v>947</v>
      </c>
      <c r="I1" t="s">
        <v>945</v>
      </c>
      <c r="J1" t="s">
        <v>946</v>
      </c>
      <c r="K1" t="s">
        <v>947</v>
      </c>
      <c r="L1" t="s">
        <v>35</v>
      </c>
      <c r="M1" t="s">
        <v>948</v>
      </c>
      <c r="N1" t="s">
        <v>955</v>
      </c>
      <c r="O1" t="s">
        <v>958</v>
      </c>
      <c r="P1" t="s">
        <v>2</v>
      </c>
      <c r="Q1" t="s">
        <v>37</v>
      </c>
    </row>
    <row r="2" spans="1:17" x14ac:dyDescent="0.25">
      <c r="A2">
        <v>1</v>
      </c>
      <c r="B2" t="s">
        <v>6</v>
      </c>
      <c r="C2">
        <v>20</v>
      </c>
      <c r="E2">
        <f>Table3[[#This Row],[Place_Id]]</f>
        <v>1</v>
      </c>
      <c r="F2">
        <f>Table3[[#This Row],[Lat]]</f>
        <v>-6.1753923999999998</v>
      </c>
      <c r="G2">
        <f>Table3[[#This Row],[Long]]</f>
        <v>106.82715279999999</v>
      </c>
      <c r="I2">
        <v>9</v>
      </c>
      <c r="J2">
        <v>1.0788800000000001</v>
      </c>
      <c r="K2">
        <v>103.931398</v>
      </c>
      <c r="L2" t="s">
        <v>63</v>
      </c>
      <c r="M2" t="s">
        <v>951</v>
      </c>
      <c r="N2" t="s">
        <v>46</v>
      </c>
      <c r="O2" t="str">
        <f>IF(ISBLANK(Table7[[#This Row],[city]]),Table7[[#This Row],[city2]],Table7[[#This Row],[city]])</f>
        <v>North Jakarta</v>
      </c>
      <c r="P2" t="s">
        <v>928</v>
      </c>
      <c r="Q2" t="s">
        <v>65</v>
      </c>
    </row>
    <row r="3" spans="1:17" x14ac:dyDescent="0.25">
      <c r="A3">
        <v>2</v>
      </c>
      <c r="B3" t="s">
        <v>7</v>
      </c>
      <c r="C3">
        <v>21</v>
      </c>
      <c r="E3">
        <f>Table3[[#This Row],[Place_Id]]</f>
        <v>2</v>
      </c>
      <c r="F3">
        <f>Table3[[#This Row],[Lat]]</f>
        <v>-6.1376448000000003</v>
      </c>
      <c r="G3">
        <f>Table3[[#This Row],[Long]]</f>
        <v>106.81712450000001</v>
      </c>
      <c r="I3">
        <v>10</v>
      </c>
      <c r="J3">
        <v>-5.8032053000000001</v>
      </c>
      <c r="K3">
        <v>106.52379070000001</v>
      </c>
      <c r="L3" t="s">
        <v>66</v>
      </c>
      <c r="M3" t="s">
        <v>959</v>
      </c>
      <c r="N3" t="s">
        <v>46</v>
      </c>
      <c r="O3" t="str">
        <f>IF(ISBLANK(Table7[[#This Row],[city]]),Table7[[#This Row],[city2]],Table7[[#This Row],[city]])</f>
        <v>Thousand Islands</v>
      </c>
      <c r="P3" t="s">
        <v>928</v>
      </c>
      <c r="Q3" t="s">
        <v>65</v>
      </c>
    </row>
    <row r="4" spans="1:17" x14ac:dyDescent="0.25">
      <c r="A4">
        <v>3</v>
      </c>
      <c r="B4" t="s">
        <v>8</v>
      </c>
      <c r="C4">
        <v>23</v>
      </c>
      <c r="E4">
        <f>Table3[[#This Row],[Place_Id]]</f>
        <v>3</v>
      </c>
      <c r="F4">
        <f>Table3[[#This Row],[Lat]]</f>
        <v>-6.1253124000000003</v>
      </c>
      <c r="G4">
        <f>Table3[[#This Row],[Long]]</f>
        <v>106.83353769999999</v>
      </c>
      <c r="I4">
        <v>11</v>
      </c>
      <c r="J4">
        <v>-6.0358330000000002</v>
      </c>
      <c r="K4">
        <v>106.746944</v>
      </c>
      <c r="L4" t="s">
        <v>68</v>
      </c>
      <c r="M4" t="s">
        <v>959</v>
      </c>
      <c r="N4" t="s">
        <v>46</v>
      </c>
      <c r="O4" t="str">
        <f>IF(ISBLANK(Table7[[#This Row],[city]]),Table7[[#This Row],[city2]],Table7[[#This Row],[city]])</f>
        <v>Thousand Islands</v>
      </c>
      <c r="P4" t="s">
        <v>928</v>
      </c>
      <c r="Q4" t="s">
        <v>65</v>
      </c>
    </row>
    <row r="5" spans="1:17" x14ac:dyDescent="0.25">
      <c r="A5">
        <v>4</v>
      </c>
      <c r="B5" t="s">
        <v>7</v>
      </c>
      <c r="C5">
        <v>21</v>
      </c>
      <c r="E5">
        <f>Table3[[#This Row],[Place_Id]]</f>
        <v>4</v>
      </c>
      <c r="F5">
        <f>Table3[[#This Row],[Lat]]</f>
        <v>-6.3024459000000004</v>
      </c>
      <c r="G5">
        <f>Table3[[#This Row],[Long]]</f>
        <v>106.89515590000001</v>
      </c>
      <c r="I5">
        <v>12</v>
      </c>
      <c r="J5">
        <v>-5.9074327999999996</v>
      </c>
      <c r="K5">
        <v>106.58639890000001</v>
      </c>
      <c r="L5" t="s">
        <v>70</v>
      </c>
      <c r="M5" t="s">
        <v>959</v>
      </c>
      <c r="N5" t="s">
        <v>46</v>
      </c>
      <c r="O5" t="str">
        <f>IF(ISBLANK(Table7[[#This Row],[city]]),Table7[[#This Row],[city2]],Table7[[#This Row],[city]])</f>
        <v>Thousand Islands</v>
      </c>
      <c r="P5" t="s">
        <v>928</v>
      </c>
      <c r="Q5" t="s">
        <v>65</v>
      </c>
    </row>
    <row r="6" spans="1:17" x14ac:dyDescent="0.25">
      <c r="A6">
        <v>5</v>
      </c>
      <c r="B6" t="s">
        <v>9</v>
      </c>
      <c r="C6">
        <v>20</v>
      </c>
      <c r="E6">
        <f>Table3[[#This Row],[Place_Id]]</f>
        <v>5</v>
      </c>
      <c r="F6">
        <f>Table3[[#This Row],[Lat]]</f>
        <v>-6.1241899999999996</v>
      </c>
      <c r="G6">
        <f>Table3[[#This Row],[Long]]</f>
        <v>106.839134</v>
      </c>
      <c r="I6">
        <v>13</v>
      </c>
      <c r="J6">
        <v>-5.7459619999999996</v>
      </c>
      <c r="K6">
        <v>106.6136577</v>
      </c>
      <c r="L6" t="s">
        <v>72</v>
      </c>
      <c r="M6" t="s">
        <v>959</v>
      </c>
      <c r="N6" t="s">
        <v>46</v>
      </c>
      <c r="O6" t="str">
        <f>IF(ISBLANK(Table7[[#This Row],[city]]),Table7[[#This Row],[city2]],Table7[[#This Row],[city]])</f>
        <v>Thousand Islands</v>
      </c>
      <c r="P6" t="s">
        <v>928</v>
      </c>
      <c r="Q6" t="s">
        <v>65</v>
      </c>
    </row>
    <row r="7" spans="1:17" x14ac:dyDescent="0.25">
      <c r="A7">
        <v>6</v>
      </c>
      <c r="B7" t="s">
        <v>10</v>
      </c>
      <c r="C7">
        <v>18</v>
      </c>
      <c r="E7">
        <f>Table3[[#This Row],[Place_Id]]</f>
        <v>6</v>
      </c>
      <c r="F7">
        <f>Table3[[#This Row],[Lat]]</f>
        <v>-6.1173332</v>
      </c>
      <c r="G7">
        <f>Table3[[#This Row],[Long]]</f>
        <v>106.8579951</v>
      </c>
      <c r="I7">
        <v>14</v>
      </c>
      <c r="J7">
        <v>-5.5870550000000003</v>
      </c>
      <c r="K7">
        <v>106.5885</v>
      </c>
      <c r="L7" t="s">
        <v>74</v>
      </c>
      <c r="M7" t="s">
        <v>959</v>
      </c>
      <c r="N7" t="s">
        <v>46</v>
      </c>
      <c r="O7" t="str">
        <f>IF(ISBLANK(Table7[[#This Row],[city]]),Table7[[#This Row],[city2]],Table7[[#This Row],[city]])</f>
        <v>Thousand Islands</v>
      </c>
      <c r="P7" t="s">
        <v>928</v>
      </c>
      <c r="Q7" t="s">
        <v>65</v>
      </c>
    </row>
    <row r="8" spans="1:17" x14ac:dyDescent="0.25">
      <c r="A8">
        <v>7</v>
      </c>
      <c r="B8" t="s">
        <v>11</v>
      </c>
      <c r="C8">
        <v>39</v>
      </c>
      <c r="E8">
        <f>Table3[[#This Row],[Place_Id]]</f>
        <v>7</v>
      </c>
      <c r="F8">
        <f>Table3[[#This Row],[Lat]]</f>
        <v>-6.3124593000000004</v>
      </c>
      <c r="G8">
        <f>Table3[[#This Row],[Long]]</f>
        <v>106.82018650000001</v>
      </c>
      <c r="I8">
        <v>46</v>
      </c>
      <c r="J8">
        <v>-5.7296715999999996</v>
      </c>
      <c r="K8">
        <v>106.5714158</v>
      </c>
      <c r="L8" t="s">
        <v>140</v>
      </c>
      <c r="M8" t="s">
        <v>959</v>
      </c>
      <c r="N8" t="s">
        <v>46</v>
      </c>
      <c r="O8" t="str">
        <f>IF(ISBLANK(Table7[[#This Row],[city]]),Table7[[#This Row],[city2]],Table7[[#This Row],[city]])</f>
        <v>Thousand Islands</v>
      </c>
      <c r="P8" t="s">
        <v>928</v>
      </c>
      <c r="Q8" t="s">
        <v>65</v>
      </c>
    </row>
    <row r="9" spans="1:17" x14ac:dyDescent="0.25">
      <c r="A9">
        <v>8</v>
      </c>
      <c r="B9" t="s">
        <v>12</v>
      </c>
      <c r="C9">
        <v>40</v>
      </c>
      <c r="E9">
        <f>Table3[[#This Row],[Place_Id]]</f>
        <v>8</v>
      </c>
      <c r="F9">
        <f>Table3[[#This Row],[Lat]]</f>
        <v>-6.1258017000000002</v>
      </c>
      <c r="G9">
        <f>Table3[[#This Row],[Long]]</f>
        <v>106.83632489999999</v>
      </c>
      <c r="I9">
        <v>56</v>
      </c>
      <c r="J9">
        <v>-6.1194214999999996</v>
      </c>
      <c r="K9">
        <v>106.8502435</v>
      </c>
      <c r="L9" t="s">
        <v>160</v>
      </c>
      <c r="M9" t="s">
        <v>951</v>
      </c>
      <c r="N9" t="s">
        <v>46</v>
      </c>
      <c r="O9" t="str">
        <f>IF(ISBLANK(Table7[[#This Row],[city]]),Table7[[#This Row],[city2]],Table7[[#This Row],[city]])</f>
        <v>North Jakarta</v>
      </c>
      <c r="P9" t="s">
        <v>928</v>
      </c>
      <c r="Q9" t="s">
        <v>65</v>
      </c>
    </row>
    <row r="10" spans="1:17" x14ac:dyDescent="0.25">
      <c r="A10">
        <v>9</v>
      </c>
      <c r="B10" t="s">
        <v>13</v>
      </c>
      <c r="C10">
        <v>38</v>
      </c>
      <c r="E10">
        <f>Table3[[#This Row],[Place_Id]]</f>
        <v>9</v>
      </c>
      <c r="F10">
        <f>Table3[[#This Row],[Lat]]</f>
        <v>1.0788800000000001</v>
      </c>
      <c r="G10">
        <f>Table3[[#This Row],[Long]]</f>
        <v>103.931398</v>
      </c>
      <c r="I10">
        <v>126</v>
      </c>
      <c r="J10">
        <v>-7.9994230000000002</v>
      </c>
      <c r="K10">
        <v>110.248963</v>
      </c>
      <c r="L10" t="s">
        <v>301</v>
      </c>
      <c r="M10" t="s">
        <v>960</v>
      </c>
      <c r="N10" t="s">
        <v>220</v>
      </c>
      <c r="O10" t="str">
        <f>IF(ISBLANK(Table7[[#This Row],[city]]),Table7[[#This Row],[city2]],Table7[[#This Row],[city]])</f>
        <v>Bantul</v>
      </c>
      <c r="P10" t="s">
        <v>220</v>
      </c>
      <c r="Q10" t="s">
        <v>65</v>
      </c>
    </row>
    <row r="11" spans="1:17" x14ac:dyDescent="0.25">
      <c r="A11">
        <v>10</v>
      </c>
      <c r="B11" t="s">
        <v>7</v>
      </c>
      <c r="C11">
        <v>39</v>
      </c>
      <c r="E11">
        <f>Table3[[#This Row],[Place_Id]]</f>
        <v>10</v>
      </c>
      <c r="F11">
        <f>Table3[[#This Row],[Lat]]</f>
        <v>-5.8032053000000001</v>
      </c>
      <c r="G11">
        <f>Table3[[#This Row],[Long]]</f>
        <v>106.52379070000001</v>
      </c>
      <c r="I11">
        <v>152</v>
      </c>
      <c r="J11">
        <v>-7.9977780000000003</v>
      </c>
      <c r="K11">
        <v>110.2449113</v>
      </c>
      <c r="L11" t="s">
        <v>353</v>
      </c>
      <c r="M11" t="s">
        <v>960</v>
      </c>
      <c r="N11" t="s">
        <v>220</v>
      </c>
      <c r="O11" t="str">
        <f>IF(ISBLANK(Table7[[#This Row],[city]]),Table7[[#This Row],[city2]],Table7[[#This Row],[city]])</f>
        <v>Bantul</v>
      </c>
      <c r="P11" t="s">
        <v>220</v>
      </c>
      <c r="Q11" t="s">
        <v>65</v>
      </c>
    </row>
    <row r="12" spans="1:17" x14ac:dyDescent="0.25">
      <c r="A12">
        <v>11</v>
      </c>
      <c r="B12" t="s">
        <v>14</v>
      </c>
      <c r="C12">
        <v>20</v>
      </c>
      <c r="E12">
        <f>Table3[[#This Row],[Place_Id]]</f>
        <v>11</v>
      </c>
      <c r="F12">
        <f>Table3[[#This Row],[Lat]]</f>
        <v>-6.0358330000000002</v>
      </c>
      <c r="G12">
        <f>Table3[[#This Row],[Long]]</f>
        <v>106.746944</v>
      </c>
      <c r="I12">
        <v>153</v>
      </c>
      <c r="J12">
        <v>-8.1338763000000007</v>
      </c>
      <c r="K12">
        <v>110.5548349</v>
      </c>
      <c r="L12" t="s">
        <v>355</v>
      </c>
      <c r="M12" t="s">
        <v>964</v>
      </c>
      <c r="N12" t="s">
        <v>220</v>
      </c>
      <c r="O12" t="str">
        <f>IF(ISBLANK(Table7[[#This Row],[city]]),Table7[[#This Row],[city2]],Table7[[#This Row],[city]])</f>
        <v>Gunungkidul</v>
      </c>
      <c r="P12" t="s">
        <v>220</v>
      </c>
      <c r="Q12" t="s">
        <v>65</v>
      </c>
    </row>
    <row r="13" spans="1:17" x14ac:dyDescent="0.25">
      <c r="A13">
        <v>12</v>
      </c>
      <c r="B13" t="s">
        <v>15</v>
      </c>
      <c r="C13">
        <v>37</v>
      </c>
      <c r="E13">
        <f>Table3[[#This Row],[Place_Id]]</f>
        <v>12</v>
      </c>
      <c r="F13">
        <f>Table3[[#This Row],[Lat]]</f>
        <v>-5.9074327999999996</v>
      </c>
      <c r="G13">
        <f>Table3[[#This Row],[Long]]</f>
        <v>106.58639890000001</v>
      </c>
      <c r="I13">
        <v>154</v>
      </c>
      <c r="J13">
        <v>-8.1333389</v>
      </c>
      <c r="K13">
        <v>110.5537405</v>
      </c>
      <c r="L13" t="s">
        <v>357</v>
      </c>
      <c r="M13" t="s">
        <v>964</v>
      </c>
      <c r="N13" t="s">
        <v>220</v>
      </c>
      <c r="O13" t="str">
        <f>IF(ISBLANK(Table7[[#This Row],[city]]),Table7[[#This Row],[city2]],Table7[[#This Row],[city]])</f>
        <v>Gunungkidul</v>
      </c>
      <c r="P13" t="s">
        <v>220</v>
      </c>
      <c r="Q13" t="s">
        <v>65</v>
      </c>
    </row>
    <row r="14" spans="1:17" x14ac:dyDescent="0.25">
      <c r="A14">
        <v>13</v>
      </c>
      <c r="B14" t="s">
        <v>16</v>
      </c>
      <c r="C14">
        <v>18</v>
      </c>
      <c r="E14">
        <f>Table3[[#This Row],[Place_Id]]</f>
        <v>13</v>
      </c>
      <c r="F14">
        <f>Table3[[#This Row],[Lat]]</f>
        <v>-5.7459619999999996</v>
      </c>
      <c r="G14">
        <f>Table3[[#This Row],[Long]]</f>
        <v>106.6136577</v>
      </c>
      <c r="I14">
        <v>155</v>
      </c>
      <c r="J14">
        <v>-8.1184843999999998</v>
      </c>
      <c r="K14">
        <v>110.50287849999999</v>
      </c>
      <c r="L14" t="s">
        <v>359</v>
      </c>
      <c r="M14" t="s">
        <v>964</v>
      </c>
      <c r="N14" t="s">
        <v>220</v>
      </c>
      <c r="O14" t="str">
        <f>IF(ISBLANK(Table7[[#This Row],[city]]),Table7[[#This Row],[city2]],Table7[[#This Row],[city]])</f>
        <v>Gunungkidul</v>
      </c>
      <c r="P14" t="s">
        <v>220</v>
      </c>
      <c r="Q14" t="s">
        <v>65</v>
      </c>
    </row>
    <row r="15" spans="1:17" x14ac:dyDescent="0.25">
      <c r="A15">
        <v>14</v>
      </c>
      <c r="B15" t="s">
        <v>17</v>
      </c>
      <c r="C15">
        <v>26</v>
      </c>
      <c r="E15">
        <f>Table3[[#This Row],[Place_Id]]</f>
        <v>14</v>
      </c>
      <c r="F15">
        <f>Table3[[#This Row],[Lat]]</f>
        <v>-5.5870550000000003</v>
      </c>
      <c r="G15">
        <f>Table3[[#This Row],[Long]]</f>
        <v>106.5885</v>
      </c>
      <c r="I15">
        <v>156</v>
      </c>
      <c r="J15">
        <v>-8.1506588999999998</v>
      </c>
      <c r="K15">
        <v>110.6126311</v>
      </c>
      <c r="L15" t="s">
        <v>361</v>
      </c>
      <c r="M15" t="s">
        <v>964</v>
      </c>
      <c r="N15" t="s">
        <v>220</v>
      </c>
      <c r="O15" t="str">
        <f>IF(ISBLANK(Table7[[#This Row],[city]]),Table7[[#This Row],[city2]],Table7[[#This Row],[city]])</f>
        <v>Gunungkidul</v>
      </c>
      <c r="P15" t="s">
        <v>220</v>
      </c>
      <c r="Q15" t="s">
        <v>65</v>
      </c>
    </row>
    <row r="16" spans="1:17" x14ac:dyDescent="0.25">
      <c r="A16">
        <v>15</v>
      </c>
      <c r="B16" t="s">
        <v>18</v>
      </c>
      <c r="C16">
        <v>34</v>
      </c>
      <c r="E16">
        <f>Table3[[#This Row],[Place_Id]]</f>
        <v>15</v>
      </c>
      <c r="F16">
        <f>Table3[[#This Row],[Lat]]</f>
        <v>-6.1766867999999997</v>
      </c>
      <c r="G16">
        <f>Table3[[#This Row],[Long]]</f>
        <v>106.8417666</v>
      </c>
      <c r="I16">
        <v>157</v>
      </c>
      <c r="J16">
        <v>-8.1288245999999997</v>
      </c>
      <c r="K16">
        <v>110.5487763</v>
      </c>
      <c r="L16" t="s">
        <v>363</v>
      </c>
      <c r="M16" t="s">
        <v>964</v>
      </c>
      <c r="N16" t="s">
        <v>220</v>
      </c>
      <c r="O16" t="str">
        <f>IF(ISBLANK(Table7[[#This Row],[city]]),Table7[[#This Row],[city2]],Table7[[#This Row],[city]])</f>
        <v>Gunungkidul</v>
      </c>
      <c r="P16" t="s">
        <v>220</v>
      </c>
      <c r="Q16" t="s">
        <v>65</v>
      </c>
    </row>
    <row r="17" spans="1:17" x14ac:dyDescent="0.25">
      <c r="A17">
        <v>16</v>
      </c>
      <c r="B17" t="s">
        <v>7</v>
      </c>
      <c r="C17">
        <v>40</v>
      </c>
      <c r="E17">
        <f>Table3[[#This Row],[Place_Id]]</f>
        <v>16</v>
      </c>
      <c r="F17">
        <f>Table3[[#This Row],[Lat]]</f>
        <v>-6.1314571999999998</v>
      </c>
      <c r="G17">
        <f>Table3[[#This Row],[Long]]</f>
        <v>106.8106169</v>
      </c>
      <c r="I17">
        <v>158</v>
      </c>
      <c r="J17">
        <v>-8.1554468</v>
      </c>
      <c r="K17">
        <v>110.6217582</v>
      </c>
      <c r="L17" t="s">
        <v>365</v>
      </c>
      <c r="M17" t="s">
        <v>964</v>
      </c>
      <c r="N17" t="s">
        <v>220</v>
      </c>
      <c r="O17" t="str">
        <f>IF(ISBLANK(Table7[[#This Row],[city]]),Table7[[#This Row],[city2]],Table7[[#This Row],[city]])</f>
        <v>Gunungkidul</v>
      </c>
      <c r="P17" t="s">
        <v>220</v>
      </c>
      <c r="Q17" t="s">
        <v>65</v>
      </c>
    </row>
    <row r="18" spans="1:17" x14ac:dyDescent="0.25">
      <c r="A18">
        <v>17</v>
      </c>
      <c r="B18" t="s">
        <v>6</v>
      </c>
      <c r="C18">
        <v>31</v>
      </c>
      <c r="E18">
        <f>Table3[[#This Row],[Place_Id]]</f>
        <v>17</v>
      </c>
      <c r="F18">
        <f>Table3[[#This Row],[Lat]]</f>
        <v>-6.1364489000000004</v>
      </c>
      <c r="G18">
        <f>Table3[[#This Row],[Long]]</f>
        <v>106.8130661</v>
      </c>
      <c r="I18">
        <v>168</v>
      </c>
      <c r="J18">
        <v>-8.1759266000000004</v>
      </c>
      <c r="K18">
        <v>110.66241960000001</v>
      </c>
      <c r="L18" t="s">
        <v>385</v>
      </c>
      <c r="M18" t="s">
        <v>964</v>
      </c>
      <c r="N18" t="s">
        <v>220</v>
      </c>
      <c r="O18" t="str">
        <f>IF(ISBLANK(Table7[[#This Row],[city]]),Table7[[#This Row],[city2]],Table7[[#This Row],[city]])</f>
        <v>Gunungkidul</v>
      </c>
      <c r="P18" t="s">
        <v>220</v>
      </c>
      <c r="Q18" t="s">
        <v>65</v>
      </c>
    </row>
    <row r="19" spans="1:17" x14ac:dyDescent="0.25">
      <c r="A19">
        <v>18</v>
      </c>
      <c r="B19" t="s">
        <v>14</v>
      </c>
      <c r="C19">
        <v>39</v>
      </c>
      <c r="E19">
        <f>Table3[[#This Row],[Place_Id]]</f>
        <v>18</v>
      </c>
      <c r="F19">
        <f>Table3[[#This Row],[Lat]]</f>
        <v>-6.1371270000000004</v>
      </c>
      <c r="G19">
        <f>Table3[[#This Row],[Long]]</f>
        <v>106.813005</v>
      </c>
      <c r="I19">
        <v>172</v>
      </c>
      <c r="J19">
        <v>-8.1508415000000003</v>
      </c>
      <c r="K19">
        <v>110.6129852</v>
      </c>
      <c r="L19" t="s">
        <v>393</v>
      </c>
      <c r="M19" t="s">
        <v>964</v>
      </c>
      <c r="N19" t="s">
        <v>220</v>
      </c>
      <c r="O19" t="str">
        <f>IF(ISBLANK(Table7[[#This Row],[city]]),Table7[[#This Row],[city2]],Table7[[#This Row],[city]])</f>
        <v>Gunungkidul</v>
      </c>
      <c r="P19" t="s">
        <v>220</v>
      </c>
      <c r="Q19" t="s">
        <v>65</v>
      </c>
    </row>
    <row r="20" spans="1:17" x14ac:dyDescent="0.25">
      <c r="A20">
        <v>19</v>
      </c>
      <c r="B20" t="s">
        <v>8</v>
      </c>
      <c r="C20">
        <v>26</v>
      </c>
      <c r="E20">
        <f>Table3[[#This Row],[Place_Id]]</f>
        <v>19</v>
      </c>
      <c r="F20">
        <f>Table3[[#This Row],[Lat]]</f>
        <v>-6.2250734999999997</v>
      </c>
      <c r="G20">
        <f>Table3[[#This Row],[Long]]</f>
        <v>106.8097144</v>
      </c>
      <c r="I20">
        <v>173</v>
      </c>
      <c r="J20">
        <v>-8.1827027999999995</v>
      </c>
      <c r="K20">
        <v>110.6792399</v>
      </c>
      <c r="L20" t="s">
        <v>395</v>
      </c>
      <c r="M20" t="s">
        <v>964</v>
      </c>
      <c r="N20" t="s">
        <v>220</v>
      </c>
      <c r="O20" t="str">
        <f>IF(ISBLANK(Table7[[#This Row],[city]]),Table7[[#This Row],[city2]],Table7[[#This Row],[city]])</f>
        <v>Gunungkidul</v>
      </c>
      <c r="P20" t="s">
        <v>220</v>
      </c>
      <c r="Q20" t="s">
        <v>65</v>
      </c>
    </row>
    <row r="21" spans="1:17" x14ac:dyDescent="0.25">
      <c r="A21">
        <v>20</v>
      </c>
      <c r="B21" t="s">
        <v>9</v>
      </c>
      <c r="C21">
        <v>30</v>
      </c>
      <c r="E21">
        <f>Table3[[#This Row],[Place_Id]]</f>
        <v>20</v>
      </c>
      <c r="F21">
        <f>Table3[[#This Row],[Lat]]</f>
        <v>-6.1722241000000002</v>
      </c>
      <c r="G21">
        <f>Table3[[#This Row],[Long]]</f>
        <v>106.81896949999999</v>
      </c>
      <c r="I21">
        <v>177</v>
      </c>
      <c r="J21">
        <v>-8.0246080000000006</v>
      </c>
      <c r="K21">
        <v>110.32980449999999</v>
      </c>
      <c r="L21" t="s">
        <v>403</v>
      </c>
      <c r="M21" t="s">
        <v>960</v>
      </c>
      <c r="N21" t="s">
        <v>220</v>
      </c>
      <c r="O21" t="str">
        <f>IF(ISBLANK(Table7[[#This Row],[city]]),Table7[[#This Row],[city2]],Table7[[#This Row],[city]])</f>
        <v>Bantul</v>
      </c>
      <c r="P21" t="s">
        <v>220</v>
      </c>
      <c r="Q21" t="s">
        <v>65</v>
      </c>
    </row>
    <row r="22" spans="1:17" x14ac:dyDescent="0.25">
      <c r="A22">
        <v>21</v>
      </c>
      <c r="B22" t="s">
        <v>6</v>
      </c>
      <c r="C22">
        <v>30</v>
      </c>
      <c r="E22">
        <f>Table3[[#This Row],[Place_Id]]</f>
        <v>21</v>
      </c>
      <c r="F22">
        <f>Table3[[#This Row],[Lat]]</f>
        <v>-6.1349071999999998</v>
      </c>
      <c r="G22">
        <f>Table3[[#This Row],[Long]]</f>
        <v>106.8124452</v>
      </c>
      <c r="I22">
        <v>180</v>
      </c>
      <c r="J22">
        <v>-8.0137087000000005</v>
      </c>
      <c r="K22">
        <v>110.2914777</v>
      </c>
      <c r="L22" t="s">
        <v>409</v>
      </c>
      <c r="M22" t="s">
        <v>960</v>
      </c>
      <c r="N22" t="s">
        <v>220</v>
      </c>
      <c r="O22" t="str">
        <f>IF(ISBLANK(Table7[[#This Row],[city]]),Table7[[#This Row],[city2]],Table7[[#This Row],[city]])</f>
        <v>Bantul</v>
      </c>
      <c r="P22" t="s">
        <v>220</v>
      </c>
      <c r="Q22" t="s">
        <v>65</v>
      </c>
    </row>
    <row r="23" spans="1:17" x14ac:dyDescent="0.25">
      <c r="A23">
        <v>22</v>
      </c>
      <c r="B23" t="s">
        <v>19</v>
      </c>
      <c r="C23">
        <v>25</v>
      </c>
      <c r="E23">
        <f>Table3[[#This Row],[Place_Id]]</f>
        <v>22</v>
      </c>
      <c r="F23">
        <f>Table3[[#This Row],[Lat]]</f>
        <v>-6.1701699999999997</v>
      </c>
      <c r="G23">
        <f>Table3[[#This Row],[Long]]</f>
        <v>106.83139</v>
      </c>
      <c r="I23">
        <v>181</v>
      </c>
      <c r="J23">
        <v>-8.1470719999999996</v>
      </c>
      <c r="K23">
        <v>110.6079043</v>
      </c>
      <c r="L23" t="s">
        <v>411</v>
      </c>
      <c r="M23" t="s">
        <v>964</v>
      </c>
      <c r="N23" t="s">
        <v>220</v>
      </c>
      <c r="O23" t="str">
        <f>IF(ISBLANK(Table7[[#This Row],[city]]),Table7[[#This Row],[city2]],Table7[[#This Row],[city]])</f>
        <v>Gunungkidul</v>
      </c>
      <c r="P23" t="s">
        <v>220</v>
      </c>
      <c r="Q23" t="s">
        <v>65</v>
      </c>
    </row>
    <row r="24" spans="1:17" x14ac:dyDescent="0.25">
      <c r="A24">
        <v>23</v>
      </c>
      <c r="B24" t="s">
        <v>20</v>
      </c>
      <c r="C24">
        <v>37</v>
      </c>
      <c r="E24">
        <f>Table3[[#This Row],[Place_Id]]</f>
        <v>23</v>
      </c>
      <c r="F24">
        <f>Table3[[#This Row],[Lat]]</f>
        <v>-6.169225</v>
      </c>
      <c r="G24">
        <f>Table3[[#This Row],[Long]]</f>
        <v>106.833063</v>
      </c>
      <c r="I24">
        <v>182</v>
      </c>
      <c r="J24">
        <v>-7.8933458999999999</v>
      </c>
      <c r="K24">
        <v>110.0198257</v>
      </c>
      <c r="L24" t="s">
        <v>413</v>
      </c>
      <c r="M24" t="s">
        <v>965</v>
      </c>
      <c r="N24" t="s">
        <v>220</v>
      </c>
      <c r="O24" t="str">
        <f>IF(ISBLANK(Table7[[#This Row],[city]]),Table7[[#This Row],[city2]],Table7[[#This Row],[city]])</f>
        <v>Kulon Progo</v>
      </c>
      <c r="P24" t="s">
        <v>220</v>
      </c>
      <c r="Q24" t="s">
        <v>65</v>
      </c>
    </row>
    <row r="25" spans="1:17" x14ac:dyDescent="0.25">
      <c r="A25">
        <v>24</v>
      </c>
      <c r="B25" t="s">
        <v>7</v>
      </c>
      <c r="C25">
        <v>36</v>
      </c>
      <c r="E25">
        <f>Table3[[#This Row],[Place_Id]]</f>
        <v>24</v>
      </c>
      <c r="F25">
        <f>Table3[[#This Row],[Lat]]</f>
        <v>-6.1764020999999998</v>
      </c>
      <c r="G25">
        <f>Table3[[#This Row],[Long]]</f>
        <v>106.82159009999999</v>
      </c>
      <c r="I25">
        <v>184</v>
      </c>
      <c r="J25">
        <v>-8.1366656000000006</v>
      </c>
      <c r="K25">
        <v>110.5659962</v>
      </c>
      <c r="L25" t="s">
        <v>417</v>
      </c>
      <c r="M25" t="s">
        <v>964</v>
      </c>
      <c r="N25" t="s">
        <v>220</v>
      </c>
      <c r="O25" t="str">
        <f>IF(ISBLANK(Table7[[#This Row],[city]]),Table7[[#This Row],[city2]],Table7[[#This Row],[city]])</f>
        <v>Gunungkidul</v>
      </c>
      <c r="P25" t="s">
        <v>220</v>
      </c>
      <c r="Q25" t="s">
        <v>65</v>
      </c>
    </row>
    <row r="26" spans="1:17" x14ac:dyDescent="0.25">
      <c r="A26">
        <v>25</v>
      </c>
      <c r="B26" t="s">
        <v>9</v>
      </c>
      <c r="C26">
        <v>40</v>
      </c>
      <c r="E26">
        <f>Table3[[#This Row],[Place_Id]]</f>
        <v>25</v>
      </c>
      <c r="F26">
        <f>Table3[[#This Row],[Lat]]</f>
        <v>-6.1890096000000003</v>
      </c>
      <c r="G26">
        <f>Table3[[#This Row],[Long]]</f>
        <v>106.8119312</v>
      </c>
      <c r="I26">
        <v>185</v>
      </c>
      <c r="J26">
        <v>-8.1450189999999996</v>
      </c>
      <c r="K26">
        <v>110.5998857</v>
      </c>
      <c r="L26" t="s">
        <v>419</v>
      </c>
      <c r="M26" t="s">
        <v>964</v>
      </c>
      <c r="N26" t="s">
        <v>220</v>
      </c>
      <c r="O26" t="str">
        <f>IF(ISBLANK(Table7[[#This Row],[city]]),Table7[[#This Row],[city2]],Table7[[#This Row],[city]])</f>
        <v>Gunungkidul</v>
      </c>
      <c r="P26" t="s">
        <v>220</v>
      </c>
      <c r="Q26" t="s">
        <v>65</v>
      </c>
    </row>
    <row r="27" spans="1:17" x14ac:dyDescent="0.25">
      <c r="A27">
        <v>26</v>
      </c>
      <c r="B27" t="s">
        <v>21</v>
      </c>
      <c r="C27">
        <v>38</v>
      </c>
      <c r="E27">
        <f>Table3[[#This Row],[Place_Id]]</f>
        <v>26</v>
      </c>
      <c r="F27">
        <f>Table3[[#This Row],[Lat]]</f>
        <v>-6.1427588000000002</v>
      </c>
      <c r="G27">
        <f>Table3[[#This Row],[Long]]</f>
        <v>106.8140791</v>
      </c>
      <c r="I27">
        <v>186</v>
      </c>
      <c r="J27">
        <v>-7.9119427</v>
      </c>
      <c r="K27">
        <v>110.06473389999999</v>
      </c>
      <c r="L27" t="s">
        <v>421</v>
      </c>
      <c r="M27" t="s">
        <v>965</v>
      </c>
      <c r="N27" t="s">
        <v>220</v>
      </c>
      <c r="O27" t="str">
        <f>IF(ISBLANK(Table7[[#This Row],[city]]),Table7[[#This Row],[city2]],Table7[[#This Row],[city]])</f>
        <v>Kulon Progo</v>
      </c>
      <c r="P27" t="s">
        <v>220</v>
      </c>
      <c r="Q27" t="s">
        <v>65</v>
      </c>
    </row>
    <row r="28" spans="1:17" x14ac:dyDescent="0.25">
      <c r="A28">
        <v>27</v>
      </c>
      <c r="B28" t="s">
        <v>15</v>
      </c>
      <c r="C28">
        <v>22</v>
      </c>
      <c r="E28">
        <f>Table3[[#This Row],[Place_Id]]</f>
        <v>27</v>
      </c>
      <c r="F28">
        <f>Table3[[#This Row],[Lat]]</f>
        <v>-6.1264775</v>
      </c>
      <c r="G28">
        <f>Table3[[#This Row],[Long]]</f>
        <v>106.842963</v>
      </c>
      <c r="I28">
        <v>187</v>
      </c>
      <c r="J28">
        <v>-8.1818232999999996</v>
      </c>
      <c r="K28">
        <v>110.68323940000001</v>
      </c>
      <c r="L28" t="s">
        <v>423</v>
      </c>
      <c r="M28" t="s">
        <v>964</v>
      </c>
      <c r="N28" t="s">
        <v>220</v>
      </c>
      <c r="O28" t="str">
        <f>IF(ISBLANK(Table7[[#This Row],[city]]),Table7[[#This Row],[city2]],Table7[[#This Row],[city]])</f>
        <v>Gunungkidul</v>
      </c>
      <c r="P28" t="s">
        <v>220</v>
      </c>
      <c r="Q28" t="s">
        <v>65</v>
      </c>
    </row>
    <row r="29" spans="1:17" x14ac:dyDescent="0.25">
      <c r="A29">
        <v>28</v>
      </c>
      <c r="B29" t="s">
        <v>22</v>
      </c>
      <c r="C29">
        <v>38</v>
      </c>
      <c r="E29">
        <f>Table3[[#This Row],[Place_Id]]</f>
        <v>28</v>
      </c>
      <c r="F29">
        <f>Table3[[#This Row],[Lat]]</f>
        <v>-6.3568093000000001</v>
      </c>
      <c r="G29">
        <f>Table3[[#This Row],[Long]]</f>
        <v>106.9062371</v>
      </c>
      <c r="I29">
        <v>188</v>
      </c>
      <c r="J29">
        <v>-8.1456680000000006</v>
      </c>
      <c r="K29">
        <v>110.6043914</v>
      </c>
      <c r="L29" t="s">
        <v>425</v>
      </c>
      <c r="M29" t="s">
        <v>964</v>
      </c>
      <c r="N29" t="s">
        <v>220</v>
      </c>
      <c r="O29" t="str">
        <f>IF(ISBLANK(Table7[[#This Row],[city]]),Table7[[#This Row],[city2]],Table7[[#This Row],[city]])</f>
        <v>Gunungkidul</v>
      </c>
      <c r="P29" t="s">
        <v>220</v>
      </c>
      <c r="Q29" t="s">
        <v>65</v>
      </c>
    </row>
    <row r="30" spans="1:17" x14ac:dyDescent="0.25">
      <c r="A30">
        <v>29</v>
      </c>
      <c r="B30" t="s">
        <v>23</v>
      </c>
      <c r="C30">
        <v>34</v>
      </c>
      <c r="E30">
        <f>Table3[[#This Row],[Place_Id]]</f>
        <v>29</v>
      </c>
      <c r="F30">
        <f>Table3[[#This Row],[Lat]]</f>
        <v>-6.1667886999999997</v>
      </c>
      <c r="G30">
        <f>Table3[[#This Row],[Long]]</f>
        <v>106.8265261</v>
      </c>
      <c r="I30">
        <v>189</v>
      </c>
      <c r="J30">
        <v>-8.1060061000000001</v>
      </c>
      <c r="K30">
        <v>110.4618655</v>
      </c>
      <c r="L30" t="s">
        <v>427</v>
      </c>
      <c r="M30" t="s">
        <v>964</v>
      </c>
      <c r="N30" t="s">
        <v>220</v>
      </c>
      <c r="O30" t="str">
        <f>IF(ISBLANK(Table7[[#This Row],[city]]),Table7[[#This Row],[city2]],Table7[[#This Row],[city]])</f>
        <v>Gunungkidul</v>
      </c>
      <c r="P30" t="s">
        <v>220</v>
      </c>
      <c r="Q30" t="s">
        <v>65</v>
      </c>
    </row>
    <row r="31" spans="1:17" x14ac:dyDescent="0.25">
      <c r="A31">
        <v>30</v>
      </c>
      <c r="B31" t="s">
        <v>16</v>
      </c>
      <c r="C31">
        <v>30</v>
      </c>
      <c r="E31">
        <f>Table3[[#This Row],[Place_Id]]</f>
        <v>30</v>
      </c>
      <c r="F31">
        <f>Table3[[#This Row],[Lat]]</f>
        <v>-6.1964087000000001</v>
      </c>
      <c r="G31">
        <f>Table3[[#This Row],[Long]]</f>
        <v>106.8293106</v>
      </c>
      <c r="I31">
        <v>190</v>
      </c>
      <c r="J31">
        <v>-8.0045535000000001</v>
      </c>
      <c r="K31">
        <v>110.27037559999999</v>
      </c>
      <c r="L31" t="s">
        <v>429</v>
      </c>
      <c r="M31" t="s">
        <v>960</v>
      </c>
      <c r="N31" t="s">
        <v>220</v>
      </c>
      <c r="O31" t="str">
        <f>IF(ISBLANK(Table7[[#This Row],[city]]),Table7[[#This Row],[city2]],Table7[[#This Row],[city]])</f>
        <v>Bantul</v>
      </c>
      <c r="P31" t="s">
        <v>220</v>
      </c>
      <c r="Q31" t="s">
        <v>65</v>
      </c>
    </row>
    <row r="32" spans="1:17" x14ac:dyDescent="0.25">
      <c r="A32">
        <v>31</v>
      </c>
      <c r="B32" t="s">
        <v>11</v>
      </c>
      <c r="C32">
        <v>26</v>
      </c>
      <c r="E32">
        <f>Table3[[#This Row],[Place_Id]]</f>
        <v>31</v>
      </c>
      <c r="F32">
        <f>Table3[[#This Row],[Lat]]</f>
        <v>-6.105334</v>
      </c>
      <c r="G32">
        <f>Table3[[#This Row],[Long]]</f>
        <v>106.735584</v>
      </c>
      <c r="I32">
        <v>191</v>
      </c>
      <c r="J32">
        <v>-8.1384509000000005</v>
      </c>
      <c r="K32">
        <v>110.577522</v>
      </c>
      <c r="L32" t="s">
        <v>431</v>
      </c>
      <c r="M32" t="s">
        <v>964</v>
      </c>
      <c r="N32" t="s">
        <v>220</v>
      </c>
      <c r="O32" t="str">
        <f>IF(ISBLANK(Table7[[#This Row],[city]]),Table7[[#This Row],[city2]],Table7[[#This Row],[city]])</f>
        <v>Gunungkidul</v>
      </c>
      <c r="P32" t="s">
        <v>220</v>
      </c>
      <c r="Q32" t="s">
        <v>65</v>
      </c>
    </row>
    <row r="33" spans="1:17" x14ac:dyDescent="0.25">
      <c r="A33">
        <v>32</v>
      </c>
      <c r="B33" t="s">
        <v>7</v>
      </c>
      <c r="C33">
        <v>34</v>
      </c>
      <c r="E33">
        <f>Table3[[#This Row],[Place_Id]]</f>
        <v>32</v>
      </c>
      <c r="F33">
        <f>Table3[[#This Row],[Lat]]</f>
        <v>-6.3416667000000002</v>
      </c>
      <c r="G33">
        <f>Table3[[#This Row],[Long]]</f>
        <v>106.8238889</v>
      </c>
      <c r="I33">
        <v>194</v>
      </c>
      <c r="J33">
        <v>-8.1862461999999994</v>
      </c>
      <c r="K33">
        <v>110.709901</v>
      </c>
      <c r="L33" t="s">
        <v>437</v>
      </c>
      <c r="M33" t="s">
        <v>964</v>
      </c>
      <c r="N33" t="s">
        <v>220</v>
      </c>
      <c r="O33" t="str">
        <f>IF(ISBLANK(Table7[[#This Row],[city]]),Table7[[#This Row],[city2]],Table7[[#This Row],[city]])</f>
        <v>Gunungkidul</v>
      </c>
      <c r="P33" t="s">
        <v>220</v>
      </c>
      <c r="Q33" t="s">
        <v>65</v>
      </c>
    </row>
    <row r="34" spans="1:17" x14ac:dyDescent="0.25">
      <c r="A34">
        <v>33</v>
      </c>
      <c r="B34" t="s">
        <v>23</v>
      </c>
      <c r="C34">
        <v>24</v>
      </c>
      <c r="E34">
        <f>Table3[[#This Row],[Place_Id]]</f>
        <v>33</v>
      </c>
      <c r="F34">
        <f>Table3[[#This Row],[Lat]]</f>
        <v>-6.1994033999999996</v>
      </c>
      <c r="G34">
        <f>Table3[[#This Row],[Long]]</f>
        <v>106.8326228</v>
      </c>
      <c r="I34">
        <v>195</v>
      </c>
      <c r="J34">
        <v>-8.1801349999999999</v>
      </c>
      <c r="K34">
        <v>110.6763715</v>
      </c>
      <c r="L34" t="s">
        <v>439</v>
      </c>
      <c r="M34" t="s">
        <v>964</v>
      </c>
      <c r="N34" t="s">
        <v>220</v>
      </c>
      <c r="O34" t="str">
        <f>IF(ISBLANK(Table7[[#This Row],[city]]),Table7[[#This Row],[city2]],Table7[[#This Row],[city]])</f>
        <v>Gunungkidul</v>
      </c>
      <c r="P34" t="s">
        <v>220</v>
      </c>
      <c r="Q34" t="s">
        <v>65</v>
      </c>
    </row>
    <row r="35" spans="1:17" x14ac:dyDescent="0.25">
      <c r="A35">
        <v>34</v>
      </c>
      <c r="B35" t="s">
        <v>22</v>
      </c>
      <c r="C35">
        <v>31</v>
      </c>
      <c r="E35">
        <f>Table3[[#This Row],[Place_Id]]</f>
        <v>34</v>
      </c>
      <c r="F35">
        <f>Table3[[#This Row],[Lat]]</f>
        <v>-6.2413689999999997</v>
      </c>
      <c r="G35">
        <f>Table3[[#This Row],[Long]]</f>
        <v>106.7890587</v>
      </c>
      <c r="I35">
        <v>196</v>
      </c>
      <c r="J35">
        <v>-8.1211474999999993</v>
      </c>
      <c r="K35">
        <v>110.51423370000001</v>
      </c>
      <c r="L35" t="s">
        <v>441</v>
      </c>
      <c r="M35" t="s">
        <v>964</v>
      </c>
      <c r="N35" t="s">
        <v>220</v>
      </c>
      <c r="O35" t="str">
        <f>IF(ISBLANK(Table7[[#This Row],[city]]),Table7[[#This Row],[city2]],Table7[[#This Row],[city]])</f>
        <v>Gunungkidul</v>
      </c>
      <c r="P35" t="s">
        <v>220</v>
      </c>
      <c r="Q35" t="s">
        <v>65</v>
      </c>
    </row>
    <row r="36" spans="1:17" x14ac:dyDescent="0.25">
      <c r="A36">
        <v>35</v>
      </c>
      <c r="B36" t="s">
        <v>24</v>
      </c>
      <c r="C36">
        <v>24</v>
      </c>
      <c r="E36">
        <f>Table3[[#This Row],[Place_Id]]</f>
        <v>35</v>
      </c>
      <c r="F36">
        <f>Table3[[#This Row],[Lat]]</f>
        <v>-6.1951801</v>
      </c>
      <c r="G36">
        <f>Table3[[#This Row],[Long]]</f>
        <v>106.8204412</v>
      </c>
      <c r="I36">
        <v>197</v>
      </c>
      <c r="J36">
        <v>-8.1978220000000004</v>
      </c>
      <c r="K36">
        <v>110.7123397</v>
      </c>
      <c r="L36" t="s">
        <v>443</v>
      </c>
      <c r="M36" t="s">
        <v>964</v>
      </c>
      <c r="N36" t="s">
        <v>220</v>
      </c>
      <c r="O36" t="str">
        <f>IF(ISBLANK(Table7[[#This Row],[city]]),Table7[[#This Row],[city2]],Table7[[#This Row],[city]])</f>
        <v>Gunungkidul</v>
      </c>
      <c r="P36" t="s">
        <v>220</v>
      </c>
      <c r="Q36" t="s">
        <v>65</v>
      </c>
    </row>
    <row r="37" spans="1:17" x14ac:dyDescent="0.25">
      <c r="A37">
        <v>36</v>
      </c>
      <c r="B37" t="s">
        <v>25</v>
      </c>
      <c r="C37">
        <v>20</v>
      </c>
      <c r="E37">
        <f>Table3[[#This Row],[Place_Id]]</f>
        <v>36</v>
      </c>
      <c r="F37">
        <f>Table3[[#This Row],[Lat]]</f>
        <v>-6.1789959999999997</v>
      </c>
      <c r="G37">
        <f>Table3[[#This Row],[Long]]</f>
        <v>106.79194099999999</v>
      </c>
      <c r="I37">
        <v>198</v>
      </c>
      <c r="J37">
        <v>-8.1978644000000003</v>
      </c>
      <c r="K37">
        <v>110.71862160000001</v>
      </c>
      <c r="L37" t="s">
        <v>445</v>
      </c>
      <c r="M37" t="s">
        <v>964</v>
      </c>
      <c r="N37" t="s">
        <v>220</v>
      </c>
      <c r="O37" t="str">
        <f>IF(ISBLANK(Table7[[#This Row],[city]]),Table7[[#This Row],[city2]],Table7[[#This Row],[city]])</f>
        <v>Gunungkidul</v>
      </c>
      <c r="P37" t="s">
        <v>220</v>
      </c>
      <c r="Q37" t="s">
        <v>65</v>
      </c>
    </row>
    <row r="38" spans="1:17" x14ac:dyDescent="0.25">
      <c r="A38">
        <v>37</v>
      </c>
      <c r="B38" t="s">
        <v>26</v>
      </c>
      <c r="C38">
        <v>21</v>
      </c>
      <c r="E38">
        <f>Table3[[#This Row],[Place_Id]]</f>
        <v>37</v>
      </c>
      <c r="F38">
        <f>Table3[[#This Row],[Lat]]</f>
        <v>-6.3602486999999996</v>
      </c>
      <c r="G38">
        <f>Table3[[#This Row],[Long]]</f>
        <v>106.89384200000001</v>
      </c>
      <c r="I38">
        <v>199</v>
      </c>
      <c r="J38">
        <v>-8.1978942999999997</v>
      </c>
      <c r="K38">
        <v>110.7208535</v>
      </c>
      <c r="L38" t="s">
        <v>447</v>
      </c>
      <c r="M38" t="s">
        <v>964</v>
      </c>
      <c r="N38" t="s">
        <v>220</v>
      </c>
      <c r="O38" t="str">
        <f>IF(ISBLANK(Table7[[#This Row],[city]]),Table7[[#This Row],[city2]],Table7[[#This Row],[city]])</f>
        <v>Gunungkidul</v>
      </c>
      <c r="P38" t="s">
        <v>220</v>
      </c>
      <c r="Q38" t="s">
        <v>65</v>
      </c>
    </row>
    <row r="39" spans="1:17" x14ac:dyDescent="0.25">
      <c r="A39">
        <v>38</v>
      </c>
      <c r="B39" t="s">
        <v>27</v>
      </c>
      <c r="C39">
        <v>26</v>
      </c>
      <c r="E39">
        <f>Table3[[#This Row],[Place_Id]]</f>
        <v>38</v>
      </c>
      <c r="F39">
        <f>Table3[[#This Row],[Lat]]</f>
        <v>-6.168069</v>
      </c>
      <c r="G39">
        <f>Table3[[#This Row],[Long]]</f>
        <v>106.8239727</v>
      </c>
      <c r="I39">
        <v>200</v>
      </c>
      <c r="J39">
        <v>-8.1370556000000001</v>
      </c>
      <c r="K39">
        <v>110.5746611</v>
      </c>
      <c r="L39" t="s">
        <v>449</v>
      </c>
      <c r="M39" t="s">
        <v>964</v>
      </c>
      <c r="N39" t="s">
        <v>220</v>
      </c>
      <c r="O39" t="str">
        <f>IF(ISBLANK(Table7[[#This Row],[city]]),Table7[[#This Row],[city2]],Table7[[#This Row],[city]])</f>
        <v>Gunungkidul</v>
      </c>
      <c r="P39" t="s">
        <v>220</v>
      </c>
      <c r="Q39" t="s">
        <v>65</v>
      </c>
    </row>
    <row r="40" spans="1:17" x14ac:dyDescent="0.25">
      <c r="A40">
        <v>39</v>
      </c>
      <c r="B40" t="s">
        <v>28</v>
      </c>
      <c r="C40">
        <v>32</v>
      </c>
      <c r="E40">
        <f>Table3[[#This Row],[Place_Id]]</f>
        <v>39</v>
      </c>
      <c r="F40">
        <f>Table3[[#This Row],[Lat]]</f>
        <v>-6.1909419999999997</v>
      </c>
      <c r="G40">
        <f>Table3[[#This Row],[Long]]</f>
        <v>106.767622</v>
      </c>
      <c r="I40">
        <v>201</v>
      </c>
      <c r="J40">
        <v>-8.0961534999999998</v>
      </c>
      <c r="K40">
        <v>110.43504830000001</v>
      </c>
      <c r="L40" t="s">
        <v>451</v>
      </c>
      <c r="M40" t="s">
        <v>964</v>
      </c>
      <c r="N40" t="s">
        <v>220</v>
      </c>
      <c r="O40" t="str">
        <f>IF(ISBLANK(Table7[[#This Row],[city]]),Table7[[#This Row],[city2]],Table7[[#This Row],[city]])</f>
        <v>Gunungkidul</v>
      </c>
      <c r="P40" t="s">
        <v>220</v>
      </c>
      <c r="Q40" t="s">
        <v>65</v>
      </c>
    </row>
    <row r="41" spans="1:17" x14ac:dyDescent="0.25">
      <c r="A41">
        <v>40</v>
      </c>
      <c r="B41" t="s">
        <v>6</v>
      </c>
      <c r="C41">
        <v>27</v>
      </c>
      <c r="E41">
        <f>Table3[[#This Row],[Place_Id]]</f>
        <v>40</v>
      </c>
      <c r="F41">
        <f>Table3[[#This Row],[Lat]]</f>
        <v>-6.1785481999999998</v>
      </c>
      <c r="G41">
        <f>Table3[[#This Row],[Long]]</f>
        <v>106.8327716</v>
      </c>
      <c r="I41">
        <v>202</v>
      </c>
      <c r="J41">
        <v>-8.1464230000000004</v>
      </c>
      <c r="K41">
        <v>110.60614080000001</v>
      </c>
      <c r="L41" t="s">
        <v>453</v>
      </c>
      <c r="M41" t="s">
        <v>964</v>
      </c>
      <c r="N41" t="s">
        <v>220</v>
      </c>
      <c r="O41" t="str">
        <f>IF(ISBLANK(Table7[[#This Row],[city]]),Table7[[#This Row],[city2]],Table7[[#This Row],[city]])</f>
        <v>Gunungkidul</v>
      </c>
      <c r="P41" t="s">
        <v>220</v>
      </c>
      <c r="Q41" t="s">
        <v>65</v>
      </c>
    </row>
    <row r="42" spans="1:17" x14ac:dyDescent="0.25">
      <c r="A42">
        <v>41</v>
      </c>
      <c r="B42" t="s">
        <v>14</v>
      </c>
      <c r="C42">
        <v>24</v>
      </c>
      <c r="E42">
        <f>Table3[[#This Row],[Place_Id]]</f>
        <v>41</v>
      </c>
      <c r="F42">
        <f>Table3[[#This Row],[Lat]]</f>
        <v>-6.1269552999999997</v>
      </c>
      <c r="G42">
        <f>Table3[[#This Row],[Long]]</f>
        <v>106.8085899</v>
      </c>
      <c r="I42">
        <v>209</v>
      </c>
      <c r="J42">
        <v>-8.1367455999999994</v>
      </c>
      <c r="K42">
        <v>110.5716362</v>
      </c>
      <c r="L42" t="s">
        <v>467</v>
      </c>
      <c r="M42" t="s">
        <v>964</v>
      </c>
      <c r="N42" t="s">
        <v>220</v>
      </c>
      <c r="O42" t="str">
        <f>IF(ISBLANK(Table7[[#This Row],[city]]),Table7[[#This Row],[city2]],Table7[[#This Row],[city]])</f>
        <v>Gunungkidul</v>
      </c>
      <c r="P42" t="s">
        <v>220</v>
      </c>
      <c r="Q42" t="s">
        <v>65</v>
      </c>
    </row>
    <row r="43" spans="1:17" x14ac:dyDescent="0.25">
      <c r="A43">
        <v>42</v>
      </c>
      <c r="B43" t="s">
        <v>29</v>
      </c>
      <c r="C43">
        <v>37</v>
      </c>
      <c r="E43">
        <f>Table3[[#This Row],[Place_Id]]</f>
        <v>42</v>
      </c>
      <c r="F43">
        <f>Table3[[#This Row],[Lat]]</f>
        <v>-6.1342597999999997</v>
      </c>
      <c r="G43">
        <f>Table3[[#This Row],[Long]]</f>
        <v>106.81455200000001</v>
      </c>
      <c r="I43">
        <v>210</v>
      </c>
      <c r="J43">
        <v>-7.9075424999999999</v>
      </c>
      <c r="K43">
        <v>110.0535658</v>
      </c>
      <c r="L43" t="s">
        <v>469</v>
      </c>
      <c r="M43" t="s">
        <v>965</v>
      </c>
      <c r="N43" t="s">
        <v>220</v>
      </c>
      <c r="O43" t="str">
        <f>IF(ISBLANK(Table7[[#This Row],[city]]),Table7[[#This Row],[city2]],Table7[[#This Row],[city]])</f>
        <v>Kulon Progo</v>
      </c>
      <c r="P43" t="s">
        <v>220</v>
      </c>
      <c r="Q43" t="s">
        <v>65</v>
      </c>
    </row>
    <row r="44" spans="1:17" x14ac:dyDescent="0.25">
      <c r="A44">
        <v>43</v>
      </c>
      <c r="B44" t="s">
        <v>8</v>
      </c>
      <c r="C44">
        <v>33</v>
      </c>
      <c r="E44">
        <f>Table3[[#This Row],[Place_Id]]</f>
        <v>43</v>
      </c>
      <c r="F44">
        <f>Table3[[#This Row],[Lat]]</f>
        <v>-6.2555033</v>
      </c>
      <c r="G44">
        <f>Table3[[#This Row],[Long]]</f>
        <v>106.81225910000001</v>
      </c>
      <c r="I44">
        <v>342</v>
      </c>
      <c r="J44">
        <v>-6.9451052000000004</v>
      </c>
      <c r="K44">
        <v>110.3982398</v>
      </c>
      <c r="L44" t="s">
        <v>734</v>
      </c>
      <c r="M44" t="s">
        <v>719</v>
      </c>
      <c r="N44" t="s">
        <v>719</v>
      </c>
      <c r="O44" t="str">
        <f>IF(ISBLANK(Table7[[#This Row],[city]]),Table7[[#This Row],[city2]],Table7[[#This Row],[city]])</f>
        <v>Semarang</v>
      </c>
      <c r="P44" t="s">
        <v>974</v>
      </c>
      <c r="Q44" t="s">
        <v>65</v>
      </c>
    </row>
    <row r="45" spans="1:17" x14ac:dyDescent="0.25">
      <c r="A45">
        <v>44</v>
      </c>
      <c r="B45" t="s">
        <v>19</v>
      </c>
      <c r="C45">
        <v>21</v>
      </c>
      <c r="E45">
        <f>Table3[[#This Row],[Place_Id]]</f>
        <v>44</v>
      </c>
      <c r="F45">
        <f>Table3[[#This Row],[Lat]]</f>
        <v>-6.1949978000000003</v>
      </c>
      <c r="G45">
        <f>Table3[[#This Row],[Long]]</f>
        <v>106.8230496</v>
      </c>
      <c r="I45">
        <v>343</v>
      </c>
      <c r="J45">
        <v>-6.9488770000000004</v>
      </c>
      <c r="K45">
        <v>110.3893285</v>
      </c>
      <c r="L45" t="s">
        <v>736</v>
      </c>
      <c r="M45" t="s">
        <v>719</v>
      </c>
      <c r="N45" t="s">
        <v>719</v>
      </c>
      <c r="O45" t="str">
        <f>IF(ISBLANK(Table7[[#This Row],[city]]),Table7[[#This Row],[city2]],Table7[[#This Row],[city]])</f>
        <v>Semarang</v>
      </c>
      <c r="P45" t="s">
        <v>974</v>
      </c>
      <c r="Q45" t="s">
        <v>65</v>
      </c>
    </row>
    <row r="46" spans="1:17" x14ac:dyDescent="0.25">
      <c r="A46">
        <v>45</v>
      </c>
      <c r="B46" t="s">
        <v>30</v>
      </c>
      <c r="C46">
        <v>25</v>
      </c>
      <c r="E46">
        <f>Table3[[#This Row],[Place_Id]]</f>
        <v>45</v>
      </c>
      <c r="F46">
        <f>Table3[[#This Row],[Lat]]</f>
        <v>-6.1752646999999996</v>
      </c>
      <c r="G46">
        <f>Table3[[#This Row],[Long]]</f>
        <v>106.79046839999999</v>
      </c>
      <c r="I46">
        <v>349</v>
      </c>
      <c r="J46">
        <v>-6.9486401999999998</v>
      </c>
      <c r="K46">
        <v>110.41029229999999</v>
      </c>
      <c r="L46" t="s">
        <v>748</v>
      </c>
      <c r="M46" t="s">
        <v>719</v>
      </c>
      <c r="N46" t="s">
        <v>719</v>
      </c>
      <c r="O46" t="str">
        <f>IF(ISBLANK(Table7[[#This Row],[city]]),Table7[[#This Row],[city2]],Table7[[#This Row],[city]])</f>
        <v>Semarang</v>
      </c>
      <c r="P46" t="s">
        <v>974</v>
      </c>
      <c r="Q46" t="s">
        <v>65</v>
      </c>
    </row>
    <row r="47" spans="1:17" x14ac:dyDescent="0.25">
      <c r="A47">
        <v>46</v>
      </c>
      <c r="B47" t="s">
        <v>31</v>
      </c>
      <c r="C47">
        <v>38</v>
      </c>
      <c r="E47">
        <f>Table3[[#This Row],[Place_Id]]</f>
        <v>46</v>
      </c>
      <c r="F47">
        <f>Table3[[#This Row],[Lat]]</f>
        <v>-5.7296715999999996</v>
      </c>
      <c r="G47">
        <f>Table3[[#This Row],[Long]]</f>
        <v>106.5714158</v>
      </c>
      <c r="I47">
        <v>362</v>
      </c>
      <c r="J47">
        <v>-6.9545687000000003</v>
      </c>
      <c r="K47">
        <v>110.3600951</v>
      </c>
      <c r="L47" t="s">
        <v>774</v>
      </c>
      <c r="M47" t="s">
        <v>719</v>
      </c>
      <c r="N47" t="s">
        <v>719</v>
      </c>
      <c r="O47" t="str">
        <f>IF(ISBLANK(Table7[[#This Row],[city]]),Table7[[#This Row],[city2]],Table7[[#This Row],[city]])</f>
        <v>Semarang</v>
      </c>
      <c r="P47" t="s">
        <v>974</v>
      </c>
      <c r="Q47" t="s">
        <v>65</v>
      </c>
    </row>
    <row r="48" spans="1:17" x14ac:dyDescent="0.25">
      <c r="A48">
        <v>47</v>
      </c>
      <c r="B48" t="s">
        <v>10</v>
      </c>
      <c r="C48">
        <v>31</v>
      </c>
      <c r="E48">
        <f>Table3[[#This Row],[Place_Id]]</f>
        <v>47</v>
      </c>
      <c r="F48">
        <f>Table3[[#This Row],[Lat]]</f>
        <v>-6.1978860999999998</v>
      </c>
      <c r="G48">
        <f>Table3[[#This Row],[Long]]</f>
        <v>106.8346708</v>
      </c>
      <c r="I48">
        <v>423</v>
      </c>
      <c r="J48">
        <v>-7.2509164000000004</v>
      </c>
      <c r="K48">
        <v>112.8009332</v>
      </c>
      <c r="L48" t="s">
        <v>897</v>
      </c>
      <c r="M48" t="s">
        <v>834</v>
      </c>
      <c r="N48" t="s">
        <v>834</v>
      </c>
      <c r="O48" t="str">
        <f>IF(ISBLANK(Table7[[#This Row],[city]]),Table7[[#This Row],[city2]],Table7[[#This Row],[city]])</f>
        <v>Surabaya</v>
      </c>
      <c r="P48" t="s">
        <v>974</v>
      </c>
      <c r="Q48" t="s">
        <v>65</v>
      </c>
    </row>
    <row r="49" spans="1:17" x14ac:dyDescent="0.25">
      <c r="A49">
        <v>48</v>
      </c>
      <c r="B49" t="s">
        <v>11</v>
      </c>
      <c r="C49">
        <v>35</v>
      </c>
      <c r="E49">
        <f>Table3[[#This Row],[Place_Id]]</f>
        <v>48</v>
      </c>
      <c r="F49">
        <f>Table3[[#This Row],[Lat]]</f>
        <v>-6.1891585999999998</v>
      </c>
      <c r="G49">
        <f>Table3[[#This Row],[Long]]</f>
        <v>106.8397738</v>
      </c>
      <c r="I49">
        <v>1</v>
      </c>
      <c r="J49">
        <v>-6.1753923999999998</v>
      </c>
      <c r="K49">
        <v>106.82715279999999</v>
      </c>
      <c r="L49" t="s">
        <v>43</v>
      </c>
      <c r="M49" t="s">
        <v>949</v>
      </c>
      <c r="N49" t="s">
        <v>46</v>
      </c>
      <c r="O49" t="str">
        <f>IF(ISBLANK(Table7[[#This Row],[city]]),Table7[[#This Row],[city2]],Table7[[#This Row],[city]])</f>
        <v>Central Jakarta</v>
      </c>
      <c r="P49" t="s">
        <v>928</v>
      </c>
      <c r="Q49" t="s">
        <v>45</v>
      </c>
    </row>
    <row r="50" spans="1:17" x14ac:dyDescent="0.25">
      <c r="A50">
        <v>49</v>
      </c>
      <c r="B50" t="s">
        <v>17</v>
      </c>
      <c r="C50">
        <v>24</v>
      </c>
      <c r="E50">
        <f>Table3[[#This Row],[Place_Id]]</f>
        <v>49</v>
      </c>
      <c r="F50">
        <f>Table3[[#This Row],[Lat]]</f>
        <v>-6.1948499000000004</v>
      </c>
      <c r="G50">
        <f>Table3[[#This Row],[Long]]</f>
        <v>106.8200607</v>
      </c>
      <c r="I50">
        <v>2</v>
      </c>
      <c r="J50">
        <v>-6.1376448000000003</v>
      </c>
      <c r="K50">
        <v>106.81712450000001</v>
      </c>
      <c r="L50" t="s">
        <v>47</v>
      </c>
      <c r="M50" t="s">
        <v>950</v>
      </c>
      <c r="N50" t="s">
        <v>46</v>
      </c>
      <c r="O50" t="str">
        <f>IF(ISBLANK(Table7[[#This Row],[city]]),Table7[[#This Row],[city2]],Table7[[#This Row],[city]])</f>
        <v>West Jakarta</v>
      </c>
      <c r="P50" t="s">
        <v>928</v>
      </c>
      <c r="Q50" t="s">
        <v>45</v>
      </c>
    </row>
    <row r="51" spans="1:17" x14ac:dyDescent="0.25">
      <c r="A51">
        <v>50</v>
      </c>
      <c r="B51" t="s">
        <v>7</v>
      </c>
      <c r="C51">
        <v>19</v>
      </c>
      <c r="E51">
        <f>Table3[[#This Row],[Place_Id]]</f>
        <v>50</v>
      </c>
      <c r="F51">
        <f>Table3[[#This Row],[Lat]]</f>
        <v>-6.1861838000000002</v>
      </c>
      <c r="G51">
        <f>Table3[[#This Row],[Long]]</f>
        <v>106.8364761</v>
      </c>
      <c r="I51">
        <v>16</v>
      </c>
      <c r="J51">
        <v>-6.1314571999999998</v>
      </c>
      <c r="K51">
        <v>106.8106169</v>
      </c>
      <c r="L51" t="s">
        <v>79</v>
      </c>
      <c r="M51" t="s">
        <v>950</v>
      </c>
      <c r="N51" t="s">
        <v>46</v>
      </c>
      <c r="O51" t="str">
        <f>IF(ISBLANK(Table7[[#This Row],[city]]),Table7[[#This Row],[city2]],Table7[[#This Row],[city]])</f>
        <v>West Jakarta</v>
      </c>
      <c r="P51" t="s">
        <v>928</v>
      </c>
      <c r="Q51" t="s">
        <v>45</v>
      </c>
    </row>
    <row r="52" spans="1:17" x14ac:dyDescent="0.25">
      <c r="A52">
        <v>51</v>
      </c>
      <c r="B52" t="s">
        <v>15</v>
      </c>
      <c r="C52">
        <v>29</v>
      </c>
      <c r="E52">
        <f>Table3[[#This Row],[Place_Id]]</f>
        <v>51</v>
      </c>
      <c r="F52">
        <f>Table3[[#This Row],[Lat]]</f>
        <v>-6.1900819</v>
      </c>
      <c r="G52">
        <f>Table3[[#This Row],[Long]]</f>
        <v>106.8388532</v>
      </c>
      <c r="I52">
        <v>17</v>
      </c>
      <c r="J52">
        <v>-6.1364489000000004</v>
      </c>
      <c r="K52">
        <v>106.8130661</v>
      </c>
      <c r="L52" t="s">
        <v>81</v>
      </c>
      <c r="M52" t="s">
        <v>950</v>
      </c>
      <c r="N52" t="s">
        <v>46</v>
      </c>
      <c r="O52" t="str">
        <f>IF(ISBLANK(Table7[[#This Row],[city]]),Table7[[#This Row],[city2]],Table7[[#This Row],[city]])</f>
        <v>West Jakarta</v>
      </c>
      <c r="P52" t="s">
        <v>928</v>
      </c>
      <c r="Q52" t="s">
        <v>45</v>
      </c>
    </row>
    <row r="53" spans="1:17" x14ac:dyDescent="0.25">
      <c r="A53">
        <v>52</v>
      </c>
      <c r="B53" t="s">
        <v>30</v>
      </c>
      <c r="C53">
        <v>18</v>
      </c>
      <c r="E53">
        <f>Table3[[#This Row],[Place_Id]]</f>
        <v>52</v>
      </c>
      <c r="F53">
        <f>Table3[[#This Row],[Lat]]</f>
        <v>-6.3651356999999997</v>
      </c>
      <c r="G53">
        <f>Table3[[#This Row],[Long]]</f>
        <v>106.7617984</v>
      </c>
      <c r="I53">
        <v>18</v>
      </c>
      <c r="J53">
        <v>-6.1371270000000004</v>
      </c>
      <c r="K53">
        <v>106.813005</v>
      </c>
      <c r="L53" t="s">
        <v>83</v>
      </c>
      <c r="M53" t="s">
        <v>950</v>
      </c>
      <c r="N53" t="s">
        <v>46</v>
      </c>
      <c r="O53" t="str">
        <f>IF(ISBLANK(Table7[[#This Row],[city]]),Table7[[#This Row],[city2]],Table7[[#This Row],[city]])</f>
        <v>West Jakarta</v>
      </c>
      <c r="P53" t="s">
        <v>928</v>
      </c>
      <c r="Q53" t="s">
        <v>45</v>
      </c>
    </row>
    <row r="54" spans="1:17" x14ac:dyDescent="0.25">
      <c r="A54">
        <v>53</v>
      </c>
      <c r="B54" t="s">
        <v>19</v>
      </c>
      <c r="C54">
        <v>28</v>
      </c>
      <c r="E54">
        <f>Table3[[#This Row],[Place_Id]]</f>
        <v>53</v>
      </c>
      <c r="F54">
        <f>Table3[[#This Row],[Lat]]</f>
        <v>-6.1001599999999998</v>
      </c>
      <c r="G54">
        <f>Table3[[#This Row],[Long]]</f>
        <v>106.96057</v>
      </c>
      <c r="I54">
        <v>20</v>
      </c>
      <c r="J54">
        <v>-6.1722241000000002</v>
      </c>
      <c r="K54">
        <v>106.81896949999999</v>
      </c>
      <c r="L54" t="s">
        <v>87</v>
      </c>
      <c r="M54" t="s">
        <v>949</v>
      </c>
      <c r="N54" t="s">
        <v>46</v>
      </c>
      <c r="O54" t="str">
        <f>IF(ISBLANK(Table7[[#This Row],[city]]),Table7[[#This Row],[city2]],Table7[[#This Row],[city]])</f>
        <v>Central Jakarta</v>
      </c>
      <c r="P54" t="s">
        <v>928</v>
      </c>
      <c r="Q54" t="s">
        <v>45</v>
      </c>
    </row>
    <row r="55" spans="1:17" x14ac:dyDescent="0.25">
      <c r="A55">
        <v>54</v>
      </c>
      <c r="B55" t="s">
        <v>27</v>
      </c>
      <c r="C55">
        <v>31</v>
      </c>
      <c r="E55">
        <f>Table3[[#This Row],[Place_Id]]</f>
        <v>54</v>
      </c>
      <c r="F55">
        <f>Table3[[#This Row],[Lat]]</f>
        <v>-6.3401513999999999</v>
      </c>
      <c r="G55">
        <f>Table3[[#This Row],[Long]]</f>
        <v>106.9012561</v>
      </c>
      <c r="I55">
        <v>21</v>
      </c>
      <c r="J55">
        <v>-6.1349071999999998</v>
      </c>
      <c r="K55">
        <v>106.8124452</v>
      </c>
      <c r="L55" t="s">
        <v>89</v>
      </c>
      <c r="M55" t="s">
        <v>950</v>
      </c>
      <c r="N55" t="s">
        <v>46</v>
      </c>
      <c r="O55" t="str">
        <f>IF(ISBLANK(Table7[[#This Row],[city]]),Table7[[#This Row],[city2]],Table7[[#This Row],[city]])</f>
        <v>West Jakarta</v>
      </c>
      <c r="P55" t="s">
        <v>928</v>
      </c>
      <c r="Q55" t="s">
        <v>45</v>
      </c>
    </row>
    <row r="56" spans="1:17" x14ac:dyDescent="0.25">
      <c r="A56">
        <v>55</v>
      </c>
      <c r="B56" t="s">
        <v>26</v>
      </c>
      <c r="C56">
        <v>19</v>
      </c>
      <c r="E56">
        <f>Table3[[#This Row],[Place_Id]]</f>
        <v>55</v>
      </c>
      <c r="F56">
        <f>Table3[[#This Row],[Lat]]</f>
        <v>-6.1444736999999998</v>
      </c>
      <c r="G56">
        <f>Table3[[#This Row],[Long]]</f>
        <v>106.8126018</v>
      </c>
      <c r="I56">
        <v>24</v>
      </c>
      <c r="J56">
        <v>-6.1764020999999998</v>
      </c>
      <c r="K56">
        <v>106.82159009999999</v>
      </c>
      <c r="L56" t="s">
        <v>96</v>
      </c>
      <c r="M56" t="s">
        <v>949</v>
      </c>
      <c r="N56" t="s">
        <v>46</v>
      </c>
      <c r="O56" t="str">
        <f>IF(ISBLANK(Table7[[#This Row],[city]]),Table7[[#This Row],[city2]],Table7[[#This Row],[city]])</f>
        <v>Central Jakarta</v>
      </c>
      <c r="P56" t="s">
        <v>928</v>
      </c>
      <c r="Q56" t="s">
        <v>45</v>
      </c>
    </row>
    <row r="57" spans="1:17" x14ac:dyDescent="0.25">
      <c r="A57">
        <v>56</v>
      </c>
      <c r="B57" t="s">
        <v>29</v>
      </c>
      <c r="C57">
        <v>18</v>
      </c>
      <c r="E57">
        <f>Table3[[#This Row],[Place_Id]]</f>
        <v>56</v>
      </c>
      <c r="F57">
        <f>Table3[[#This Row],[Lat]]</f>
        <v>-6.1194214999999996</v>
      </c>
      <c r="G57">
        <f>Table3[[#This Row],[Long]]</f>
        <v>106.8502435</v>
      </c>
      <c r="I57">
        <v>32</v>
      </c>
      <c r="J57">
        <v>-6.3416667000000002</v>
      </c>
      <c r="K57">
        <v>106.8238889</v>
      </c>
      <c r="L57" t="s">
        <v>112</v>
      </c>
      <c r="M57" t="s">
        <v>953</v>
      </c>
      <c r="N57" t="s">
        <v>46</v>
      </c>
      <c r="O57" t="str">
        <f>IF(ISBLANK(Table7[[#This Row],[city]]),Table7[[#This Row],[city2]],Table7[[#This Row],[city]])</f>
        <v>South Jakarta</v>
      </c>
      <c r="P57" t="s">
        <v>928</v>
      </c>
      <c r="Q57" t="s">
        <v>45</v>
      </c>
    </row>
    <row r="58" spans="1:17" x14ac:dyDescent="0.25">
      <c r="A58">
        <v>57</v>
      </c>
      <c r="B58" t="s">
        <v>14</v>
      </c>
      <c r="C58">
        <v>21</v>
      </c>
      <c r="E58">
        <f>Table3[[#This Row],[Place_Id]]</f>
        <v>57</v>
      </c>
      <c r="F58">
        <f>Table3[[#This Row],[Lat]]</f>
        <v>-6.1705550000000002</v>
      </c>
      <c r="G58">
        <f>Table3[[#This Row],[Long]]</f>
        <v>106.83503779999999</v>
      </c>
      <c r="I58">
        <v>38</v>
      </c>
      <c r="J58">
        <v>-6.168069</v>
      </c>
      <c r="K58">
        <v>106.8239727</v>
      </c>
      <c r="L58" t="s">
        <v>124</v>
      </c>
      <c r="M58" t="s">
        <v>949</v>
      </c>
      <c r="N58" t="s">
        <v>46</v>
      </c>
      <c r="O58" t="str">
        <f>IF(ISBLANK(Table7[[#This Row],[city]]),Table7[[#This Row],[city2]],Table7[[#This Row],[city]])</f>
        <v>Central Jakarta</v>
      </c>
      <c r="P58" t="s">
        <v>928</v>
      </c>
      <c r="Q58" t="s">
        <v>45</v>
      </c>
    </row>
    <row r="59" spans="1:17" x14ac:dyDescent="0.25">
      <c r="A59">
        <v>58</v>
      </c>
      <c r="B59" t="s">
        <v>9</v>
      </c>
      <c r="C59">
        <v>21</v>
      </c>
      <c r="E59">
        <f>Table3[[#This Row],[Place_Id]]</f>
        <v>58</v>
      </c>
      <c r="F59">
        <f>Table3[[#This Row],[Lat]]</f>
        <v>-6.2452294000000004</v>
      </c>
      <c r="G59">
        <f>Table3[[#This Row],[Long]]</f>
        <v>106.79466549999999</v>
      </c>
      <c r="I59">
        <v>39</v>
      </c>
      <c r="J59">
        <v>-6.1909419999999997</v>
      </c>
      <c r="K59">
        <v>106.767622</v>
      </c>
      <c r="L59" t="s">
        <v>126</v>
      </c>
      <c r="M59" t="s">
        <v>950</v>
      </c>
      <c r="N59" t="s">
        <v>46</v>
      </c>
      <c r="O59" t="str">
        <f>IF(ISBLANK(Table7[[#This Row],[city]]),Table7[[#This Row],[city2]],Table7[[#This Row],[city]])</f>
        <v>West Jakarta</v>
      </c>
      <c r="P59" t="s">
        <v>928</v>
      </c>
      <c r="Q59" t="s">
        <v>45</v>
      </c>
    </row>
    <row r="60" spans="1:17" x14ac:dyDescent="0.25">
      <c r="A60">
        <v>59</v>
      </c>
      <c r="B60" t="s">
        <v>23</v>
      </c>
      <c r="C60">
        <v>26</v>
      </c>
      <c r="E60">
        <f>Table3[[#This Row],[Place_Id]]</f>
        <v>59</v>
      </c>
      <c r="F60">
        <f>Table3[[#This Row],[Lat]]</f>
        <v>-6.1838388000000002</v>
      </c>
      <c r="G60">
        <f>Table3[[#This Row],[Long]]</f>
        <v>106.84305070000001</v>
      </c>
      <c r="I60">
        <v>40</v>
      </c>
      <c r="J60">
        <v>-6.1785481999999998</v>
      </c>
      <c r="K60">
        <v>106.8327716</v>
      </c>
      <c r="L60" t="s">
        <v>128</v>
      </c>
      <c r="M60" t="s">
        <v>949</v>
      </c>
      <c r="N60" t="s">
        <v>46</v>
      </c>
      <c r="O60" t="str">
        <f>IF(ISBLANK(Table7[[#This Row],[city]]),Table7[[#This Row],[city2]],Table7[[#This Row],[city]])</f>
        <v>Central Jakarta</v>
      </c>
      <c r="P60" t="s">
        <v>928</v>
      </c>
      <c r="Q60" t="s">
        <v>45</v>
      </c>
    </row>
    <row r="61" spans="1:17" x14ac:dyDescent="0.25">
      <c r="A61">
        <v>60</v>
      </c>
      <c r="B61" t="s">
        <v>13</v>
      </c>
      <c r="C61">
        <v>25</v>
      </c>
      <c r="E61">
        <f>Table3[[#This Row],[Place_Id]]</f>
        <v>60</v>
      </c>
      <c r="F61">
        <f>Table3[[#This Row],[Lat]]</f>
        <v>-6.1879634000000001</v>
      </c>
      <c r="G61">
        <f>Table3[[#This Row],[Long]]</f>
        <v>106.80960810000001</v>
      </c>
      <c r="I61">
        <v>41</v>
      </c>
      <c r="J61">
        <v>-6.1269552999999997</v>
      </c>
      <c r="K61">
        <v>106.8085899</v>
      </c>
      <c r="L61" t="s">
        <v>130</v>
      </c>
      <c r="M61" t="s">
        <v>951</v>
      </c>
      <c r="N61" t="s">
        <v>46</v>
      </c>
      <c r="O61" t="str">
        <f>IF(ISBLANK(Table7[[#This Row],[city]]),Table7[[#This Row],[city2]],Table7[[#This Row],[city]])</f>
        <v>North Jakarta</v>
      </c>
      <c r="P61" t="s">
        <v>928</v>
      </c>
      <c r="Q61" t="s">
        <v>45</v>
      </c>
    </row>
    <row r="62" spans="1:17" x14ac:dyDescent="0.25">
      <c r="A62">
        <v>61</v>
      </c>
      <c r="B62" t="s">
        <v>32</v>
      </c>
      <c r="C62">
        <v>23</v>
      </c>
      <c r="E62">
        <f>Table3[[#This Row],[Place_Id]]</f>
        <v>61</v>
      </c>
      <c r="F62">
        <f>Table3[[#This Row],[Lat]]</f>
        <v>-6.2030468000000001</v>
      </c>
      <c r="G62">
        <f>Table3[[#This Row],[Long]]</f>
        <v>106.84666230000001</v>
      </c>
      <c r="I62">
        <v>42</v>
      </c>
      <c r="J62">
        <v>-6.1342597999999997</v>
      </c>
      <c r="K62">
        <v>106.81455200000001</v>
      </c>
      <c r="L62" t="s">
        <v>132</v>
      </c>
      <c r="M62" t="s">
        <v>950</v>
      </c>
      <c r="N62" t="s">
        <v>46</v>
      </c>
      <c r="O62" t="str">
        <f>IF(ISBLANK(Table7[[#This Row],[city]]),Table7[[#This Row],[city2]],Table7[[#This Row],[city]])</f>
        <v>West Jakarta</v>
      </c>
      <c r="P62" t="s">
        <v>928</v>
      </c>
      <c r="Q62" t="s">
        <v>45</v>
      </c>
    </row>
    <row r="63" spans="1:17" x14ac:dyDescent="0.25">
      <c r="A63">
        <v>62</v>
      </c>
      <c r="B63" t="s">
        <v>33</v>
      </c>
      <c r="C63">
        <v>36</v>
      </c>
      <c r="E63">
        <f>Table3[[#This Row],[Place_Id]]</f>
        <v>62</v>
      </c>
      <c r="F63">
        <f>Table3[[#This Row],[Lat]]</f>
        <v>-6.3039041999999998</v>
      </c>
      <c r="G63">
        <f>Table3[[#This Row],[Long]]</f>
        <v>106.8936219</v>
      </c>
      <c r="I63">
        <v>44</v>
      </c>
      <c r="J63">
        <v>-6.1949978000000003</v>
      </c>
      <c r="K63">
        <v>106.8230496</v>
      </c>
      <c r="L63" t="s">
        <v>136</v>
      </c>
      <c r="M63" t="s">
        <v>949</v>
      </c>
      <c r="N63" t="s">
        <v>46</v>
      </c>
      <c r="O63" t="str">
        <f>IF(ISBLANK(Table7[[#This Row],[city]]),Table7[[#This Row],[city2]],Table7[[#This Row],[city]])</f>
        <v>Central Jakarta</v>
      </c>
      <c r="P63" t="s">
        <v>928</v>
      </c>
      <c r="Q63" t="s">
        <v>45</v>
      </c>
    </row>
    <row r="64" spans="1:17" x14ac:dyDescent="0.25">
      <c r="A64">
        <v>63</v>
      </c>
      <c r="B64" t="s">
        <v>6</v>
      </c>
      <c r="C64">
        <v>35</v>
      </c>
      <c r="E64">
        <f>Table3[[#This Row],[Place_Id]]</f>
        <v>63</v>
      </c>
      <c r="F64">
        <f>Table3[[#This Row],[Lat]]</f>
        <v>-6.1783520000000003</v>
      </c>
      <c r="G64">
        <f>Table3[[#This Row],[Long]]</f>
        <v>106.838094</v>
      </c>
      <c r="I64">
        <v>48</v>
      </c>
      <c r="J64">
        <v>-6.1891585999999998</v>
      </c>
      <c r="K64">
        <v>106.8397738</v>
      </c>
      <c r="L64" t="s">
        <v>144</v>
      </c>
      <c r="M64" t="s">
        <v>949</v>
      </c>
      <c r="N64" t="s">
        <v>46</v>
      </c>
      <c r="O64" t="str">
        <f>IF(ISBLANK(Table7[[#This Row],[city]]),Table7[[#This Row],[city2]],Table7[[#This Row],[city]])</f>
        <v>Central Jakarta</v>
      </c>
      <c r="P64" t="s">
        <v>928</v>
      </c>
      <c r="Q64" t="s">
        <v>45</v>
      </c>
    </row>
    <row r="65" spans="1:17" x14ac:dyDescent="0.25">
      <c r="A65">
        <v>64</v>
      </c>
      <c r="B65" t="s">
        <v>12</v>
      </c>
      <c r="C65">
        <v>38</v>
      </c>
      <c r="E65">
        <f>Table3[[#This Row],[Place_Id]]</f>
        <v>64</v>
      </c>
      <c r="F65">
        <f>Table3[[#This Row],[Lat]]</f>
        <v>-6.2046302999999998</v>
      </c>
      <c r="G65">
        <f>Table3[[#This Row],[Long]]</f>
        <v>106.8365324</v>
      </c>
      <c r="I65">
        <v>49</v>
      </c>
      <c r="J65">
        <v>-6.1948499000000004</v>
      </c>
      <c r="K65">
        <v>106.8200607</v>
      </c>
      <c r="L65" t="s">
        <v>146</v>
      </c>
      <c r="M65" t="s">
        <v>949</v>
      </c>
      <c r="N65" t="s">
        <v>46</v>
      </c>
      <c r="O65" t="str">
        <f>IF(ISBLANK(Table7[[#This Row],[city]]),Table7[[#This Row],[city2]],Table7[[#This Row],[city]])</f>
        <v>Central Jakarta</v>
      </c>
      <c r="P65" t="s">
        <v>928</v>
      </c>
      <c r="Q65" t="s">
        <v>45</v>
      </c>
    </row>
    <row r="66" spans="1:17" x14ac:dyDescent="0.25">
      <c r="A66">
        <v>65</v>
      </c>
      <c r="B66" t="s">
        <v>14</v>
      </c>
      <c r="C66">
        <v>22</v>
      </c>
      <c r="E66">
        <f>Table3[[#This Row],[Place_Id]]</f>
        <v>65</v>
      </c>
      <c r="F66">
        <f>Table3[[#This Row],[Lat]]</f>
        <v>-6.2897885000000002</v>
      </c>
      <c r="G66">
        <f>Table3[[#This Row],[Long]]</f>
        <v>106.79326810000001</v>
      </c>
      <c r="I66">
        <v>50</v>
      </c>
      <c r="J66">
        <v>-6.1861838000000002</v>
      </c>
      <c r="K66">
        <v>106.8364761</v>
      </c>
      <c r="L66" t="s">
        <v>148</v>
      </c>
      <c r="M66" t="s">
        <v>949</v>
      </c>
      <c r="N66" t="s">
        <v>46</v>
      </c>
      <c r="O66" t="str">
        <f>IF(ISBLANK(Table7[[#This Row],[city]]),Table7[[#This Row],[city2]],Table7[[#This Row],[city]])</f>
        <v>Central Jakarta</v>
      </c>
      <c r="P66" t="s">
        <v>928</v>
      </c>
      <c r="Q66" t="s">
        <v>45</v>
      </c>
    </row>
    <row r="67" spans="1:17" x14ac:dyDescent="0.25">
      <c r="A67">
        <v>66</v>
      </c>
      <c r="B67" t="s">
        <v>7</v>
      </c>
      <c r="C67">
        <v>33</v>
      </c>
      <c r="E67">
        <f>Table3[[#This Row],[Place_Id]]</f>
        <v>66</v>
      </c>
      <c r="F67">
        <f>Table3[[#This Row],[Lat]]</f>
        <v>-6.3080281999999999</v>
      </c>
      <c r="G67">
        <f>Table3[[#This Row],[Long]]</f>
        <v>106.790548</v>
      </c>
      <c r="I67">
        <v>52</v>
      </c>
      <c r="J67">
        <v>-6.3651356999999997</v>
      </c>
      <c r="K67">
        <v>106.7617984</v>
      </c>
      <c r="L67" t="s">
        <v>152</v>
      </c>
      <c r="M67" t="s">
        <v>952</v>
      </c>
      <c r="N67" t="s">
        <v>46</v>
      </c>
      <c r="O67" t="str">
        <f>IF(ISBLANK(Table7[[#This Row],[city]]),Table7[[#This Row],[city2]],Table7[[#This Row],[city]])</f>
        <v>East Jakarta</v>
      </c>
      <c r="P67" t="s">
        <v>928</v>
      </c>
      <c r="Q67" t="s">
        <v>45</v>
      </c>
    </row>
    <row r="68" spans="1:17" x14ac:dyDescent="0.25">
      <c r="A68">
        <v>67</v>
      </c>
      <c r="B68" t="s">
        <v>13</v>
      </c>
      <c r="C68">
        <v>25</v>
      </c>
      <c r="E68">
        <f>Table3[[#This Row],[Place_Id]]</f>
        <v>67</v>
      </c>
      <c r="F68">
        <f>Table3[[#This Row],[Lat]]</f>
        <v>-6.1160075000000003</v>
      </c>
      <c r="G68">
        <f>Table3[[#This Row],[Long]]</f>
        <v>106.7692016</v>
      </c>
      <c r="I68">
        <v>53</v>
      </c>
      <c r="J68">
        <v>-6.1001599999999998</v>
      </c>
      <c r="K68">
        <v>106.96057</v>
      </c>
      <c r="L68" t="s">
        <v>154</v>
      </c>
      <c r="M68" t="s">
        <v>951</v>
      </c>
      <c r="N68" t="s">
        <v>46</v>
      </c>
      <c r="O68" t="str">
        <f>IF(ISBLANK(Table7[[#This Row],[city]]),Table7[[#This Row],[city2]],Table7[[#This Row],[city]])</f>
        <v>North Jakarta</v>
      </c>
      <c r="P68" t="s">
        <v>928</v>
      </c>
      <c r="Q68" t="s">
        <v>45</v>
      </c>
    </row>
    <row r="69" spans="1:17" x14ac:dyDescent="0.25">
      <c r="A69">
        <v>68</v>
      </c>
      <c r="B69" t="s">
        <v>29</v>
      </c>
      <c r="C69">
        <v>37</v>
      </c>
      <c r="E69">
        <f>Table3[[#This Row],[Place_Id]]</f>
        <v>68</v>
      </c>
      <c r="F69">
        <f>Table3[[#This Row],[Lat]]</f>
        <v>-6.1436722000000001</v>
      </c>
      <c r="G69">
        <f>Table3[[#This Row],[Long]]</f>
        <v>106.8129398</v>
      </c>
      <c r="I69">
        <v>59</v>
      </c>
      <c r="J69">
        <v>-6.1838388000000002</v>
      </c>
      <c r="K69">
        <v>106.84305070000001</v>
      </c>
      <c r="L69" t="s">
        <v>166</v>
      </c>
      <c r="M69" t="s">
        <v>949</v>
      </c>
      <c r="N69" t="s">
        <v>46</v>
      </c>
      <c r="O69" t="str">
        <f>IF(ISBLANK(Table7[[#This Row],[city]]),Table7[[#This Row],[city2]],Table7[[#This Row],[city]])</f>
        <v>Central Jakarta</v>
      </c>
      <c r="P69" t="s">
        <v>928</v>
      </c>
      <c r="Q69" t="s">
        <v>45</v>
      </c>
    </row>
    <row r="70" spans="1:17" x14ac:dyDescent="0.25">
      <c r="A70">
        <v>69</v>
      </c>
      <c r="B70" t="s">
        <v>7</v>
      </c>
      <c r="C70">
        <v>24</v>
      </c>
      <c r="E70">
        <f>Table3[[#This Row],[Place_Id]]</f>
        <v>69</v>
      </c>
      <c r="F70">
        <f>Table3[[#This Row],[Lat]]</f>
        <v>-6.2022481999999997</v>
      </c>
      <c r="G70">
        <f>Table3[[#This Row],[Long]]</f>
        <v>106.8451968</v>
      </c>
      <c r="I70">
        <v>60</v>
      </c>
      <c r="J70">
        <v>-6.1879634000000001</v>
      </c>
      <c r="K70">
        <v>106.80960810000001</v>
      </c>
      <c r="L70" t="s">
        <v>168</v>
      </c>
      <c r="M70" t="s">
        <v>950</v>
      </c>
      <c r="N70" t="s">
        <v>46</v>
      </c>
      <c r="O70" t="str">
        <f>IF(ISBLANK(Table7[[#This Row],[city]]),Table7[[#This Row],[city2]],Table7[[#This Row],[city]])</f>
        <v>West Jakarta</v>
      </c>
      <c r="P70" t="s">
        <v>928</v>
      </c>
      <c r="Q70" t="s">
        <v>45</v>
      </c>
    </row>
    <row r="71" spans="1:17" x14ac:dyDescent="0.25">
      <c r="A71">
        <v>70</v>
      </c>
      <c r="B71" t="s">
        <v>15</v>
      </c>
      <c r="C71">
        <v>21</v>
      </c>
      <c r="E71">
        <f>Table3[[#This Row],[Place_Id]]</f>
        <v>70</v>
      </c>
      <c r="F71">
        <f>Table3[[#This Row],[Lat]]</f>
        <v>-6.1812918000000003</v>
      </c>
      <c r="G71">
        <f>Table3[[#This Row],[Long]]</f>
        <v>106.8268717</v>
      </c>
      <c r="I71">
        <v>61</v>
      </c>
      <c r="J71">
        <v>-6.2030468000000001</v>
      </c>
      <c r="K71">
        <v>106.84666230000001</v>
      </c>
      <c r="L71" t="s">
        <v>170</v>
      </c>
      <c r="M71" t="s">
        <v>949</v>
      </c>
      <c r="N71" t="s">
        <v>46</v>
      </c>
      <c r="O71" t="str">
        <f>IF(ISBLANK(Table7[[#This Row],[city]]),Table7[[#This Row],[city2]],Table7[[#This Row],[city]])</f>
        <v>Central Jakarta</v>
      </c>
      <c r="P71" t="s">
        <v>928</v>
      </c>
      <c r="Q71" t="s">
        <v>45</v>
      </c>
    </row>
    <row r="72" spans="1:17" x14ac:dyDescent="0.25">
      <c r="A72">
        <v>71</v>
      </c>
      <c r="B72" t="s">
        <v>16</v>
      </c>
      <c r="C72">
        <v>39</v>
      </c>
      <c r="E72">
        <f>Table3[[#This Row],[Place_Id]]</f>
        <v>71</v>
      </c>
      <c r="F72">
        <f>Table3[[#This Row],[Lat]]</f>
        <v>-6.3799969000000001</v>
      </c>
      <c r="G72">
        <f>Table3[[#This Row],[Long]]</f>
        <v>106.8949793</v>
      </c>
      <c r="I72">
        <v>63</v>
      </c>
      <c r="J72">
        <v>-6.1783520000000003</v>
      </c>
      <c r="K72">
        <v>106.838094</v>
      </c>
      <c r="L72" t="s">
        <v>174</v>
      </c>
      <c r="M72" t="s">
        <v>949</v>
      </c>
      <c r="N72" t="s">
        <v>46</v>
      </c>
      <c r="O72" t="str">
        <f>IF(ISBLANK(Table7[[#This Row],[city]]),Table7[[#This Row],[city2]],Table7[[#This Row],[city]])</f>
        <v>Central Jakarta</v>
      </c>
      <c r="P72" t="s">
        <v>928</v>
      </c>
      <c r="Q72" t="s">
        <v>45</v>
      </c>
    </row>
    <row r="73" spans="1:17" x14ac:dyDescent="0.25">
      <c r="A73">
        <v>72</v>
      </c>
      <c r="B73" t="s">
        <v>26</v>
      </c>
      <c r="C73">
        <v>19</v>
      </c>
      <c r="E73">
        <f>Table3[[#This Row],[Place_Id]]</f>
        <v>72</v>
      </c>
      <c r="F73">
        <f>Table3[[#This Row],[Lat]]</f>
        <v>-6.1136559000000004</v>
      </c>
      <c r="G73">
        <f>Table3[[#This Row],[Long]]</f>
        <v>106.7478596</v>
      </c>
      <c r="I73">
        <v>64</v>
      </c>
      <c r="J73">
        <v>-6.2046302999999998</v>
      </c>
      <c r="K73">
        <v>106.8365324</v>
      </c>
      <c r="L73" t="s">
        <v>176</v>
      </c>
      <c r="M73" t="s">
        <v>949</v>
      </c>
      <c r="N73" t="s">
        <v>46</v>
      </c>
      <c r="O73" t="str">
        <f>IF(ISBLANK(Table7[[#This Row],[city]]),Table7[[#This Row],[city2]],Table7[[#This Row],[city]])</f>
        <v>Central Jakarta</v>
      </c>
      <c r="P73" t="s">
        <v>928</v>
      </c>
      <c r="Q73" t="s">
        <v>45</v>
      </c>
    </row>
    <row r="74" spans="1:17" x14ac:dyDescent="0.25">
      <c r="A74">
        <v>73</v>
      </c>
      <c r="B74" t="s">
        <v>27</v>
      </c>
      <c r="C74">
        <v>29</v>
      </c>
      <c r="E74">
        <f>Table3[[#This Row],[Place_Id]]</f>
        <v>73</v>
      </c>
      <c r="F74">
        <f>Table3[[#This Row],[Lat]]</f>
        <v>-6.3041840999999996</v>
      </c>
      <c r="G74">
        <f>Table3[[#This Row],[Long]]</f>
        <v>106.90177250000001</v>
      </c>
      <c r="I74">
        <v>65</v>
      </c>
      <c r="J74">
        <v>-6.2897885000000002</v>
      </c>
      <c r="K74">
        <v>106.79326810000001</v>
      </c>
      <c r="L74" t="s">
        <v>178</v>
      </c>
      <c r="M74" t="s">
        <v>953</v>
      </c>
      <c r="N74" t="s">
        <v>46</v>
      </c>
      <c r="O74" t="str">
        <f>IF(ISBLANK(Table7[[#This Row],[city]]),Table7[[#This Row],[city2]],Table7[[#This Row],[city]])</f>
        <v>South Jakarta</v>
      </c>
      <c r="P74" t="s">
        <v>928</v>
      </c>
      <c r="Q74" t="s">
        <v>45</v>
      </c>
    </row>
    <row r="75" spans="1:17" x14ac:dyDescent="0.25">
      <c r="A75">
        <v>74</v>
      </c>
      <c r="B75" t="s">
        <v>6</v>
      </c>
      <c r="C75">
        <v>30</v>
      </c>
      <c r="E75">
        <f>Table3[[#This Row],[Place_Id]]</f>
        <v>74</v>
      </c>
      <c r="F75">
        <f>Table3[[#This Row],[Lat]]</f>
        <v>-6.2675130000000001</v>
      </c>
      <c r="G75">
        <f>Table3[[#This Row],[Long]]</f>
        <v>106.824107</v>
      </c>
      <c r="I75">
        <v>66</v>
      </c>
      <c r="J75">
        <v>-6.3080281999999999</v>
      </c>
      <c r="K75">
        <v>106.790548</v>
      </c>
      <c r="L75" t="s">
        <v>180</v>
      </c>
      <c r="M75" t="s">
        <v>953</v>
      </c>
      <c r="N75" t="s">
        <v>46</v>
      </c>
      <c r="O75" t="str">
        <f>IF(ISBLANK(Table7[[#This Row],[city]]),Table7[[#This Row],[city2]],Table7[[#This Row],[city]])</f>
        <v>South Jakarta</v>
      </c>
      <c r="P75" t="s">
        <v>928</v>
      </c>
      <c r="Q75" t="s">
        <v>45</v>
      </c>
    </row>
    <row r="76" spans="1:17" x14ac:dyDescent="0.25">
      <c r="A76">
        <v>75</v>
      </c>
      <c r="B76" t="s">
        <v>7</v>
      </c>
      <c r="C76">
        <v>19</v>
      </c>
      <c r="E76">
        <f>Table3[[#This Row],[Place_Id]]</f>
        <v>75</v>
      </c>
      <c r="F76">
        <f>Table3[[#This Row],[Lat]]</f>
        <v>-6.2992717999999996</v>
      </c>
      <c r="G76">
        <f>Table3[[#This Row],[Long]]</f>
        <v>106.89151</v>
      </c>
      <c r="I76">
        <v>69</v>
      </c>
      <c r="J76">
        <v>-6.2022481999999997</v>
      </c>
      <c r="K76">
        <v>106.8451968</v>
      </c>
      <c r="L76" t="s">
        <v>186</v>
      </c>
      <c r="M76" t="s">
        <v>949</v>
      </c>
      <c r="N76" t="s">
        <v>46</v>
      </c>
      <c r="O76" t="str">
        <f>IF(ISBLANK(Table7[[#This Row],[city]]),Table7[[#This Row],[city2]],Table7[[#This Row],[city]])</f>
        <v>Central Jakarta</v>
      </c>
      <c r="P76" t="s">
        <v>928</v>
      </c>
      <c r="Q76" t="s">
        <v>45</v>
      </c>
    </row>
    <row r="77" spans="1:17" x14ac:dyDescent="0.25">
      <c r="A77">
        <v>76</v>
      </c>
      <c r="B77" t="s">
        <v>8</v>
      </c>
      <c r="C77">
        <v>19</v>
      </c>
      <c r="E77">
        <f>Table3[[#This Row],[Place_Id]]</f>
        <v>76</v>
      </c>
      <c r="F77">
        <f>Table3[[#This Row],[Lat]]</f>
        <v>-6.1810843000000002</v>
      </c>
      <c r="G77">
        <f>Table3[[#This Row],[Long]]</f>
        <v>106.7954476</v>
      </c>
      <c r="I77">
        <v>70</v>
      </c>
      <c r="J77">
        <v>-6.1812918000000003</v>
      </c>
      <c r="K77">
        <v>106.8268717</v>
      </c>
      <c r="L77" t="s">
        <v>188</v>
      </c>
      <c r="M77" t="s">
        <v>949</v>
      </c>
      <c r="N77" t="s">
        <v>46</v>
      </c>
      <c r="O77" t="str">
        <f>IF(ISBLANK(Table7[[#This Row],[city]]),Table7[[#This Row],[city2]],Table7[[#This Row],[city]])</f>
        <v>Central Jakarta</v>
      </c>
      <c r="P77" t="s">
        <v>928</v>
      </c>
      <c r="Q77" t="s">
        <v>45</v>
      </c>
    </row>
    <row r="78" spans="1:17" x14ac:dyDescent="0.25">
      <c r="A78">
        <v>77</v>
      </c>
      <c r="B78" t="s">
        <v>7</v>
      </c>
      <c r="C78">
        <v>34</v>
      </c>
      <c r="E78">
        <f>Table3[[#This Row],[Place_Id]]</f>
        <v>77</v>
      </c>
      <c r="F78">
        <f>Table3[[#This Row],[Lat]]</f>
        <v>-6.2371409</v>
      </c>
      <c r="G78">
        <f>Table3[[#This Row],[Long]]</f>
        <v>106.8526505</v>
      </c>
      <c r="I78">
        <v>73</v>
      </c>
      <c r="J78">
        <v>-6.3041840999999996</v>
      </c>
      <c r="K78">
        <v>106.90177250000001</v>
      </c>
      <c r="L78" t="s">
        <v>194</v>
      </c>
      <c r="M78" t="s">
        <v>952</v>
      </c>
      <c r="N78" t="s">
        <v>46</v>
      </c>
      <c r="O78" t="str">
        <f>IF(ISBLANK(Table7[[#This Row],[city]]),Table7[[#This Row],[city2]],Table7[[#This Row],[city]])</f>
        <v>East Jakarta</v>
      </c>
      <c r="P78" t="s">
        <v>928</v>
      </c>
      <c r="Q78" t="s">
        <v>45</v>
      </c>
    </row>
    <row r="79" spans="1:17" x14ac:dyDescent="0.25">
      <c r="A79">
        <v>78</v>
      </c>
      <c r="B79" t="s">
        <v>9</v>
      </c>
      <c r="C79">
        <v>22</v>
      </c>
      <c r="E79">
        <f>Table3[[#This Row],[Place_Id]]</f>
        <v>78</v>
      </c>
      <c r="F79">
        <f>Table3[[#This Row],[Lat]]</f>
        <v>-6.2106944999999998</v>
      </c>
      <c r="G79">
        <f>Table3[[#This Row],[Long]]</f>
        <v>106.7643954</v>
      </c>
      <c r="I79">
        <v>74</v>
      </c>
      <c r="J79">
        <v>-6.2675130000000001</v>
      </c>
      <c r="K79">
        <v>106.824107</v>
      </c>
      <c r="L79" t="s">
        <v>196</v>
      </c>
      <c r="M79" t="s">
        <v>953</v>
      </c>
      <c r="N79" t="s">
        <v>46</v>
      </c>
      <c r="O79" t="str">
        <f>IF(ISBLANK(Table7[[#This Row],[city]]),Table7[[#This Row],[city2]],Table7[[#This Row],[city]])</f>
        <v>South Jakarta</v>
      </c>
      <c r="P79" t="s">
        <v>928</v>
      </c>
      <c r="Q79" t="s">
        <v>45</v>
      </c>
    </row>
    <row r="80" spans="1:17" x14ac:dyDescent="0.25">
      <c r="A80">
        <v>79</v>
      </c>
      <c r="B80" t="s">
        <v>10</v>
      </c>
      <c r="C80">
        <v>31</v>
      </c>
      <c r="E80">
        <f>Table3[[#This Row],[Place_Id]]</f>
        <v>79</v>
      </c>
      <c r="F80">
        <f>Table3[[#This Row],[Lat]]</f>
        <v>-6.3226133000000004</v>
      </c>
      <c r="G80">
        <f>Table3[[#This Row],[Long]]</f>
        <v>106.8241871</v>
      </c>
      <c r="I80">
        <v>82</v>
      </c>
      <c r="J80">
        <v>-6.2316985000000003</v>
      </c>
      <c r="K80">
        <v>106.81854250000001</v>
      </c>
      <c r="L80" t="s">
        <v>212</v>
      </c>
      <c r="M80" t="s">
        <v>953</v>
      </c>
      <c r="N80" t="s">
        <v>46</v>
      </c>
      <c r="O80" t="str">
        <f>IF(ISBLANK(Table7[[#This Row],[city]]),Table7[[#This Row],[city2]],Table7[[#This Row],[city]])</f>
        <v>South Jakarta</v>
      </c>
      <c r="P80" t="s">
        <v>928</v>
      </c>
      <c r="Q80" t="s">
        <v>45</v>
      </c>
    </row>
    <row r="81" spans="1:17" x14ac:dyDescent="0.25">
      <c r="A81">
        <v>80</v>
      </c>
      <c r="B81" t="s">
        <v>11</v>
      </c>
      <c r="C81">
        <v>32</v>
      </c>
      <c r="E81">
        <f>Table3[[#This Row],[Place_Id]]</f>
        <v>80</v>
      </c>
      <c r="F81">
        <f>Table3[[#This Row],[Lat]]</f>
        <v>-6.1939259</v>
      </c>
      <c r="G81">
        <f>Table3[[#This Row],[Long]]</f>
        <v>106.8222158</v>
      </c>
      <c r="I81">
        <v>86</v>
      </c>
      <c r="J81">
        <v>-7.8052845</v>
      </c>
      <c r="K81">
        <v>110.3642031</v>
      </c>
      <c r="L81" t="s">
        <v>221</v>
      </c>
      <c r="M81" t="s">
        <v>220</v>
      </c>
      <c r="N81" t="s">
        <v>220</v>
      </c>
      <c r="O81" t="str">
        <f>IF(ISBLANK(Table7[[#This Row],[city]]),Table7[[#This Row],[city2]],Table7[[#This Row],[city]])</f>
        <v>Yogyakarta</v>
      </c>
      <c r="P81" t="s">
        <v>220</v>
      </c>
      <c r="Q81" t="s">
        <v>45</v>
      </c>
    </row>
    <row r="82" spans="1:17" x14ac:dyDescent="0.25">
      <c r="A82">
        <v>81</v>
      </c>
      <c r="B82" t="s">
        <v>12</v>
      </c>
      <c r="C82">
        <v>29</v>
      </c>
      <c r="E82">
        <f>Table3[[#This Row],[Place_Id]]</f>
        <v>81</v>
      </c>
      <c r="F82">
        <f>Table3[[#This Row],[Lat]]</f>
        <v>-6.1946095999999997</v>
      </c>
      <c r="G82">
        <f>Table3[[#This Row],[Long]]</f>
        <v>106.817905</v>
      </c>
      <c r="I82">
        <v>88</v>
      </c>
      <c r="J82">
        <v>-7.8002016000000003</v>
      </c>
      <c r="K82">
        <v>110.3663044</v>
      </c>
      <c r="L82" t="s">
        <v>225</v>
      </c>
      <c r="M82" t="s">
        <v>220</v>
      </c>
      <c r="N82" t="s">
        <v>220</v>
      </c>
      <c r="O82" t="str">
        <f>IF(ISBLANK(Table7[[#This Row],[city]]),Table7[[#This Row],[city2]],Table7[[#This Row],[city]])</f>
        <v>Yogyakarta</v>
      </c>
      <c r="P82" t="s">
        <v>220</v>
      </c>
      <c r="Q82" t="s">
        <v>45</v>
      </c>
    </row>
    <row r="83" spans="1:17" x14ac:dyDescent="0.25">
      <c r="A83">
        <v>82</v>
      </c>
      <c r="B83" t="s">
        <v>13</v>
      </c>
      <c r="C83">
        <v>24</v>
      </c>
      <c r="E83">
        <f>Table3[[#This Row],[Place_Id]]</f>
        <v>82</v>
      </c>
      <c r="F83">
        <f>Table3[[#This Row],[Lat]]</f>
        <v>-6.2316985000000003</v>
      </c>
      <c r="G83">
        <f>Table3[[#This Row],[Long]]</f>
        <v>106.81854250000001</v>
      </c>
      <c r="I83">
        <v>89</v>
      </c>
      <c r="J83">
        <v>-7.8163156000000003</v>
      </c>
      <c r="K83">
        <v>110.38714419999999</v>
      </c>
      <c r="L83" t="s">
        <v>227</v>
      </c>
      <c r="M83" t="s">
        <v>220</v>
      </c>
      <c r="N83" t="s">
        <v>220</v>
      </c>
      <c r="O83" t="str">
        <f>IF(ISBLANK(Table7[[#This Row],[city]]),Table7[[#This Row],[city2]],Table7[[#This Row],[city]])</f>
        <v>Yogyakarta</v>
      </c>
      <c r="P83" t="s">
        <v>220</v>
      </c>
      <c r="Q83" t="s">
        <v>45</v>
      </c>
    </row>
    <row r="84" spans="1:17" x14ac:dyDescent="0.25">
      <c r="A84">
        <v>83</v>
      </c>
      <c r="B84" t="s">
        <v>7</v>
      </c>
      <c r="C84">
        <v>32</v>
      </c>
      <c r="E84">
        <f>Table3[[#This Row],[Place_Id]]</f>
        <v>83</v>
      </c>
      <c r="F84">
        <f>Table3[[#This Row],[Lat]]</f>
        <v>-6.1175344000000003</v>
      </c>
      <c r="G84">
        <f>Table3[[#This Row],[Long]]</f>
        <v>106.857313</v>
      </c>
      <c r="I84">
        <v>97</v>
      </c>
      <c r="J84">
        <v>-7.7495903999999998</v>
      </c>
      <c r="K84">
        <v>110.3696068</v>
      </c>
      <c r="L84" t="s">
        <v>243</v>
      </c>
      <c r="M84" t="s">
        <v>956</v>
      </c>
      <c r="N84" t="s">
        <v>220</v>
      </c>
      <c r="O84" t="str">
        <f>IF(ISBLANK(Table7[[#This Row],[city]]),Table7[[#This Row],[city2]],Table7[[#This Row],[city]])</f>
        <v>Sleman</v>
      </c>
      <c r="P84" t="s">
        <v>220</v>
      </c>
      <c r="Q84" t="s">
        <v>45</v>
      </c>
    </row>
    <row r="85" spans="1:17" x14ac:dyDescent="0.25">
      <c r="A85">
        <v>84</v>
      </c>
      <c r="B85" t="s">
        <v>14</v>
      </c>
      <c r="C85">
        <v>35</v>
      </c>
      <c r="E85">
        <f>Table3[[#This Row],[Place_Id]]</f>
        <v>84</v>
      </c>
      <c r="F85">
        <f>Table3[[#This Row],[Lat]]</f>
        <v>-6.1842588000000003</v>
      </c>
      <c r="G85">
        <f>Table3[[#This Row],[Long]]</f>
        <v>106.824033</v>
      </c>
      <c r="I85">
        <v>99</v>
      </c>
      <c r="J85">
        <v>-7.8060929999999997</v>
      </c>
      <c r="K85">
        <v>110.35831</v>
      </c>
      <c r="L85" t="s">
        <v>247</v>
      </c>
      <c r="M85" t="s">
        <v>220</v>
      </c>
      <c r="N85" t="s">
        <v>220</v>
      </c>
      <c r="O85" t="str">
        <f>IF(ISBLANK(Table7[[#This Row],[city]]),Table7[[#This Row],[city2]],Table7[[#This Row],[city]])</f>
        <v>Yogyakarta</v>
      </c>
      <c r="P85" t="s">
        <v>220</v>
      </c>
      <c r="Q85" t="s">
        <v>45</v>
      </c>
    </row>
    <row r="86" spans="1:17" x14ac:dyDescent="0.25">
      <c r="A86">
        <v>85</v>
      </c>
      <c r="B86" t="s">
        <v>15</v>
      </c>
      <c r="C86">
        <v>31</v>
      </c>
      <c r="E86">
        <f>Table3[[#This Row],[Place_Id]]</f>
        <v>85</v>
      </c>
      <c r="F86">
        <f>Table3[[#This Row],[Lat]]</f>
        <v>-7.8006715</v>
      </c>
      <c r="G86">
        <f>Table3[[#This Row],[Long]]</f>
        <v>110.36765509999999</v>
      </c>
      <c r="I86">
        <v>100</v>
      </c>
      <c r="J86">
        <v>-7.8001041000000004</v>
      </c>
      <c r="K86">
        <v>110.3676579</v>
      </c>
      <c r="L86" t="s">
        <v>249</v>
      </c>
      <c r="M86" t="s">
        <v>220</v>
      </c>
      <c r="N86" t="s">
        <v>220</v>
      </c>
      <c r="O86" t="str">
        <f>IF(ISBLANK(Table7[[#This Row],[city]]),Table7[[#This Row],[city2]],Table7[[#This Row],[city]])</f>
        <v>Yogyakarta</v>
      </c>
      <c r="P86" t="s">
        <v>220</v>
      </c>
      <c r="Q86" t="s">
        <v>45</v>
      </c>
    </row>
    <row r="87" spans="1:17" x14ac:dyDescent="0.25">
      <c r="A87">
        <v>86</v>
      </c>
      <c r="B87" t="s">
        <v>16</v>
      </c>
      <c r="C87">
        <v>32</v>
      </c>
      <c r="E87">
        <f>Table3[[#This Row],[Place_Id]]</f>
        <v>86</v>
      </c>
      <c r="F87">
        <f>Table3[[#This Row],[Lat]]</f>
        <v>-7.8052845</v>
      </c>
      <c r="G87">
        <f>Table3[[#This Row],[Long]]</f>
        <v>110.3642031</v>
      </c>
      <c r="I87">
        <v>101</v>
      </c>
      <c r="J87">
        <v>-7.7921899999999997</v>
      </c>
      <c r="K87">
        <v>110.362151</v>
      </c>
      <c r="L87" t="s">
        <v>251</v>
      </c>
      <c r="M87" t="s">
        <v>220</v>
      </c>
      <c r="N87" t="s">
        <v>220</v>
      </c>
      <c r="O87" t="str">
        <f>IF(ISBLANK(Table7[[#This Row],[city]]),Table7[[#This Row],[city2]],Table7[[#This Row],[city]])</f>
        <v>Yogyakarta</v>
      </c>
      <c r="P87" t="s">
        <v>220</v>
      </c>
      <c r="Q87" t="s">
        <v>45</v>
      </c>
    </row>
    <row r="88" spans="1:17" x14ac:dyDescent="0.25">
      <c r="A88">
        <v>87</v>
      </c>
      <c r="B88" t="s">
        <v>17</v>
      </c>
      <c r="C88">
        <v>30</v>
      </c>
      <c r="E88">
        <f>Table3[[#This Row],[Place_Id]]</f>
        <v>87</v>
      </c>
      <c r="F88">
        <f>Table3[[#This Row],[Lat]]</f>
        <v>-7.7672973000000001</v>
      </c>
      <c r="G88">
        <f>Table3[[#This Row],[Long]]</f>
        <v>110.35424860000001</v>
      </c>
      <c r="I88">
        <v>102</v>
      </c>
      <c r="J88">
        <v>-7.8011159000000001</v>
      </c>
      <c r="K88">
        <v>110.3646172</v>
      </c>
      <c r="L88" t="s">
        <v>253</v>
      </c>
      <c r="M88" t="s">
        <v>220</v>
      </c>
      <c r="N88" t="s">
        <v>220</v>
      </c>
      <c r="O88" t="str">
        <f>IF(ISBLANK(Table7[[#This Row],[city]]),Table7[[#This Row],[city2]],Table7[[#This Row],[city]])</f>
        <v>Yogyakarta</v>
      </c>
      <c r="P88" t="s">
        <v>220</v>
      </c>
      <c r="Q88" t="s">
        <v>45</v>
      </c>
    </row>
    <row r="89" spans="1:17" x14ac:dyDescent="0.25">
      <c r="A89">
        <v>88</v>
      </c>
      <c r="B89" t="s">
        <v>18</v>
      </c>
      <c r="C89">
        <v>27</v>
      </c>
      <c r="E89">
        <f>Table3[[#This Row],[Place_Id]]</f>
        <v>88</v>
      </c>
      <c r="F89">
        <f>Table3[[#This Row],[Lat]]</f>
        <v>-7.8002016000000003</v>
      </c>
      <c r="G89">
        <f>Table3[[#This Row],[Long]]</f>
        <v>110.3663044</v>
      </c>
      <c r="I89">
        <v>104</v>
      </c>
      <c r="J89">
        <v>-7.7815713999999998</v>
      </c>
      <c r="K89">
        <v>110.5045827</v>
      </c>
      <c r="L89" t="s">
        <v>257</v>
      </c>
      <c r="M89" t="s">
        <v>956</v>
      </c>
      <c r="N89" t="s">
        <v>220</v>
      </c>
      <c r="O89" t="str">
        <f>IF(ISBLANK(Table7[[#This Row],[city]]),Table7[[#This Row],[city2]],Table7[[#This Row],[city]])</f>
        <v>Sleman</v>
      </c>
      <c r="P89" t="s">
        <v>220</v>
      </c>
      <c r="Q89" t="s">
        <v>45</v>
      </c>
    </row>
    <row r="90" spans="1:17" x14ac:dyDescent="0.25">
      <c r="A90">
        <v>89</v>
      </c>
      <c r="B90" t="s">
        <v>7</v>
      </c>
      <c r="C90">
        <v>35</v>
      </c>
      <c r="E90">
        <f>Table3[[#This Row],[Place_Id]]</f>
        <v>89</v>
      </c>
      <c r="F90">
        <f>Table3[[#This Row],[Lat]]</f>
        <v>-7.8163156000000003</v>
      </c>
      <c r="G90">
        <f>Table3[[#This Row],[Long]]</f>
        <v>110.38714419999999</v>
      </c>
      <c r="I90">
        <v>105</v>
      </c>
      <c r="J90">
        <v>-7.7955613000000001</v>
      </c>
      <c r="K90">
        <v>110.3612095</v>
      </c>
      <c r="L90" t="s">
        <v>259</v>
      </c>
      <c r="M90" t="s">
        <v>220</v>
      </c>
      <c r="N90" t="s">
        <v>220</v>
      </c>
      <c r="O90" t="str">
        <f>IF(ISBLANK(Table7[[#This Row],[city]]),Table7[[#This Row],[city2]],Table7[[#This Row],[city]])</f>
        <v>Yogyakarta</v>
      </c>
      <c r="P90" t="s">
        <v>220</v>
      </c>
      <c r="Q90" t="s">
        <v>45</v>
      </c>
    </row>
    <row r="91" spans="1:17" x14ac:dyDescent="0.25">
      <c r="A91">
        <v>90</v>
      </c>
      <c r="B91" t="s">
        <v>6</v>
      </c>
      <c r="C91">
        <v>29</v>
      </c>
      <c r="E91">
        <f>Table3[[#This Row],[Place_Id]]</f>
        <v>90</v>
      </c>
      <c r="F91">
        <f>Table3[[#This Row],[Lat]]</f>
        <v>-7.8100673</v>
      </c>
      <c r="G91">
        <f>Table3[[#This Row],[Long]]</f>
        <v>110.3594581</v>
      </c>
      <c r="I91">
        <v>107</v>
      </c>
      <c r="J91">
        <v>-7.8052843000000003</v>
      </c>
      <c r="K91">
        <v>110.36421369999999</v>
      </c>
      <c r="L91" t="s">
        <v>263</v>
      </c>
      <c r="M91" t="s">
        <v>220</v>
      </c>
      <c r="N91" t="s">
        <v>220</v>
      </c>
      <c r="O91" t="str">
        <f>IF(ISBLANK(Table7[[#This Row],[city]]),Table7[[#This Row],[city2]],Table7[[#This Row],[city]])</f>
        <v>Yogyakarta</v>
      </c>
      <c r="P91" t="s">
        <v>220</v>
      </c>
      <c r="Q91" t="s">
        <v>45</v>
      </c>
    </row>
    <row r="92" spans="1:17" x14ac:dyDescent="0.25">
      <c r="A92">
        <v>91</v>
      </c>
      <c r="B92" t="s">
        <v>14</v>
      </c>
      <c r="C92">
        <v>32</v>
      </c>
      <c r="E92">
        <f>Table3[[#This Row],[Place_Id]]</f>
        <v>91</v>
      </c>
      <c r="F92">
        <f>Table3[[#This Row],[Lat]]</f>
        <v>-7.8102685000000003</v>
      </c>
      <c r="G92">
        <f>Table3[[#This Row],[Long]]</f>
        <v>110.3931513</v>
      </c>
      <c r="I92">
        <v>113</v>
      </c>
      <c r="J92">
        <v>-7.8001506000000003</v>
      </c>
      <c r="K92">
        <v>110.3637507</v>
      </c>
      <c r="L92" t="s">
        <v>275</v>
      </c>
      <c r="M92" t="s">
        <v>220</v>
      </c>
      <c r="N92" t="s">
        <v>220</v>
      </c>
      <c r="O92" t="str">
        <f>IF(ISBLANK(Table7[[#This Row],[city]]),Table7[[#This Row],[city2]],Table7[[#This Row],[city]])</f>
        <v>Yogyakarta</v>
      </c>
      <c r="P92" t="s">
        <v>220</v>
      </c>
      <c r="Q92" t="s">
        <v>45</v>
      </c>
    </row>
    <row r="93" spans="1:17" x14ac:dyDescent="0.25">
      <c r="A93">
        <v>92</v>
      </c>
      <c r="B93" t="s">
        <v>8</v>
      </c>
      <c r="C93">
        <v>39</v>
      </c>
      <c r="E93">
        <f>Table3[[#This Row],[Place_Id]]</f>
        <v>92</v>
      </c>
      <c r="F93">
        <f>Table3[[#This Row],[Lat]]</f>
        <v>-7.8013802999999999</v>
      </c>
      <c r="G93">
        <f>Table3[[#This Row],[Long]]</f>
        <v>110.36476519999999</v>
      </c>
      <c r="I93">
        <v>115</v>
      </c>
      <c r="J93">
        <v>-7.7881727999999999</v>
      </c>
      <c r="K93">
        <v>110.37154030000001</v>
      </c>
      <c r="L93" t="s">
        <v>279</v>
      </c>
      <c r="M93" t="s">
        <v>220</v>
      </c>
      <c r="N93" t="s">
        <v>220</v>
      </c>
      <c r="O93" t="str">
        <f>IF(ISBLANK(Table7[[#This Row],[city]]),Table7[[#This Row],[city2]],Table7[[#This Row],[city]])</f>
        <v>Yogyakarta</v>
      </c>
      <c r="P93" t="s">
        <v>220</v>
      </c>
      <c r="Q93" t="s">
        <v>45</v>
      </c>
    </row>
    <row r="94" spans="1:17" x14ac:dyDescent="0.25">
      <c r="A94">
        <v>93</v>
      </c>
      <c r="B94" t="s">
        <v>9</v>
      </c>
      <c r="C94">
        <v>18</v>
      </c>
      <c r="E94">
        <f>Table3[[#This Row],[Place_Id]]</f>
        <v>93</v>
      </c>
      <c r="F94">
        <f>Table3[[#This Row],[Lat]]</f>
        <v>-7.8062344000000001</v>
      </c>
      <c r="G94">
        <f>Table3[[#This Row],[Long]]</f>
        <v>110.39679769999999</v>
      </c>
      <c r="I94">
        <v>118</v>
      </c>
      <c r="J94">
        <v>-7.8024499</v>
      </c>
      <c r="K94">
        <v>110.3639555</v>
      </c>
      <c r="L94" t="s">
        <v>285</v>
      </c>
      <c r="M94" t="s">
        <v>220</v>
      </c>
      <c r="N94" t="s">
        <v>220</v>
      </c>
      <c r="O94" t="str">
        <f>IF(ISBLANK(Table7[[#This Row],[city]]),Table7[[#This Row],[city2]],Table7[[#This Row],[city]])</f>
        <v>Yogyakarta</v>
      </c>
      <c r="P94" t="s">
        <v>220</v>
      </c>
      <c r="Q94" t="s">
        <v>45</v>
      </c>
    </row>
    <row r="95" spans="1:17" x14ac:dyDescent="0.25">
      <c r="A95">
        <v>94</v>
      </c>
      <c r="B95" t="s">
        <v>6</v>
      </c>
      <c r="C95">
        <v>34</v>
      </c>
      <c r="E95">
        <f>Table3[[#This Row],[Place_Id]]</f>
        <v>94</v>
      </c>
      <c r="F95">
        <f>Table3[[#This Row],[Lat]]</f>
        <v>-7.8087910999999997</v>
      </c>
      <c r="G95">
        <f>Table3[[#This Row],[Long]]</f>
        <v>110.3591825</v>
      </c>
      <c r="I95">
        <v>119</v>
      </c>
      <c r="J95">
        <v>-7.8081518000000001</v>
      </c>
      <c r="K95">
        <v>110.4595183</v>
      </c>
      <c r="L95" t="s">
        <v>287</v>
      </c>
      <c r="M95" t="s">
        <v>956</v>
      </c>
      <c r="N95" t="s">
        <v>220</v>
      </c>
      <c r="O95" t="str">
        <f>IF(ISBLANK(Table7[[#This Row],[city]]),Table7[[#This Row],[city2]],Table7[[#This Row],[city]])</f>
        <v>Sleman</v>
      </c>
      <c r="P95" t="s">
        <v>220</v>
      </c>
      <c r="Q95" t="s">
        <v>45</v>
      </c>
    </row>
    <row r="96" spans="1:17" x14ac:dyDescent="0.25">
      <c r="A96">
        <v>95</v>
      </c>
      <c r="B96" t="s">
        <v>19</v>
      </c>
      <c r="C96">
        <v>27</v>
      </c>
      <c r="E96">
        <f>Table3[[#This Row],[Place_Id]]</f>
        <v>95</v>
      </c>
      <c r="F96">
        <f>Table3[[#This Row],[Lat]]</f>
        <v>-7.8229088999999998</v>
      </c>
      <c r="G96">
        <f>Table3[[#This Row],[Long]]</f>
        <v>110.3756894</v>
      </c>
      <c r="I96">
        <v>120</v>
      </c>
      <c r="J96">
        <v>-7.9583694999999999</v>
      </c>
      <c r="K96">
        <v>110.44076219999999</v>
      </c>
      <c r="L96" t="s">
        <v>289</v>
      </c>
      <c r="M96" t="s">
        <v>960</v>
      </c>
      <c r="N96" t="s">
        <v>220</v>
      </c>
      <c r="O96" t="str">
        <f>IF(ISBLANK(Table7[[#This Row],[city]]),Table7[[#This Row],[city2]],Table7[[#This Row],[city]])</f>
        <v>Bantul</v>
      </c>
      <c r="P96" t="s">
        <v>220</v>
      </c>
      <c r="Q96" t="s">
        <v>45</v>
      </c>
    </row>
    <row r="97" spans="1:17" x14ac:dyDescent="0.25">
      <c r="A97">
        <v>96</v>
      </c>
      <c r="B97" t="s">
        <v>20</v>
      </c>
      <c r="C97">
        <v>19</v>
      </c>
      <c r="E97">
        <f>Table3[[#This Row],[Place_Id]]</f>
        <v>96</v>
      </c>
      <c r="F97">
        <f>Table3[[#This Row],[Lat]]</f>
        <v>-7.8116719000000003</v>
      </c>
      <c r="G97">
        <f>Table3[[#This Row],[Long]]</f>
        <v>110.363238</v>
      </c>
      <c r="I97">
        <v>121</v>
      </c>
      <c r="J97">
        <v>-7.7520205999999998</v>
      </c>
      <c r="K97">
        <v>110.4914674</v>
      </c>
      <c r="L97" t="s">
        <v>291</v>
      </c>
      <c r="M97" t="s">
        <v>956</v>
      </c>
      <c r="N97" t="s">
        <v>220</v>
      </c>
      <c r="O97" t="str">
        <f>IF(ISBLANK(Table7[[#This Row],[city]]),Table7[[#This Row],[city2]],Table7[[#This Row],[city]])</f>
        <v>Sleman</v>
      </c>
      <c r="P97" t="s">
        <v>220</v>
      </c>
      <c r="Q97" t="s">
        <v>45</v>
      </c>
    </row>
    <row r="98" spans="1:17" x14ac:dyDescent="0.25">
      <c r="A98">
        <v>97</v>
      </c>
      <c r="B98" t="s">
        <v>7</v>
      </c>
      <c r="C98">
        <v>38</v>
      </c>
      <c r="E98">
        <f>Table3[[#This Row],[Place_Id]]</f>
        <v>97</v>
      </c>
      <c r="F98">
        <f>Table3[[#This Row],[Lat]]</f>
        <v>-7.7495903999999998</v>
      </c>
      <c r="G98">
        <f>Table3[[#This Row],[Long]]</f>
        <v>110.3696068</v>
      </c>
      <c r="I98">
        <v>122</v>
      </c>
      <c r="J98">
        <v>-7.9274085999999997</v>
      </c>
      <c r="K98">
        <v>110.41205859999999</v>
      </c>
      <c r="L98" t="s">
        <v>293</v>
      </c>
      <c r="M98" t="s">
        <v>960</v>
      </c>
      <c r="N98" t="s">
        <v>220</v>
      </c>
      <c r="O98" t="str">
        <f>IF(ISBLANK(Table7[[#This Row],[city]]),Table7[[#This Row],[city2]],Table7[[#This Row],[city]])</f>
        <v>Bantul</v>
      </c>
      <c r="P98" t="s">
        <v>220</v>
      </c>
      <c r="Q98" t="s">
        <v>45</v>
      </c>
    </row>
    <row r="99" spans="1:17" x14ac:dyDescent="0.25">
      <c r="A99">
        <v>98</v>
      </c>
      <c r="B99" t="s">
        <v>9</v>
      </c>
      <c r="C99">
        <v>28</v>
      </c>
      <c r="E99">
        <f>Table3[[#This Row],[Place_Id]]</f>
        <v>98</v>
      </c>
      <c r="F99">
        <f>Table3[[#This Row],[Lat]]</f>
        <v>-7.7505259000000004</v>
      </c>
      <c r="G99">
        <f>Table3[[#This Row],[Long]]</f>
        <v>110.3687049</v>
      </c>
      <c r="I99">
        <v>123</v>
      </c>
      <c r="J99">
        <v>-7.8152775999999999</v>
      </c>
      <c r="K99">
        <v>110.39883589999999</v>
      </c>
      <c r="L99" t="s">
        <v>295</v>
      </c>
      <c r="M99" t="s">
        <v>220</v>
      </c>
      <c r="N99" t="s">
        <v>220</v>
      </c>
      <c r="O99" t="str">
        <f>IF(ISBLANK(Table7[[#This Row],[city]]),Table7[[#This Row],[city2]],Table7[[#This Row],[city]])</f>
        <v>Yogyakarta</v>
      </c>
      <c r="P99" t="s">
        <v>220</v>
      </c>
      <c r="Q99" t="s">
        <v>45</v>
      </c>
    </row>
    <row r="100" spans="1:17" x14ac:dyDescent="0.25">
      <c r="A100">
        <v>99</v>
      </c>
      <c r="B100" t="s">
        <v>21</v>
      </c>
      <c r="C100">
        <v>33</v>
      </c>
      <c r="E100">
        <f>Table3[[#This Row],[Place_Id]]</f>
        <v>99</v>
      </c>
      <c r="F100">
        <f>Table3[[#This Row],[Lat]]</f>
        <v>-7.8060929999999997</v>
      </c>
      <c r="G100">
        <f>Table3[[#This Row],[Long]]</f>
        <v>110.35831</v>
      </c>
      <c r="I100">
        <v>124</v>
      </c>
      <c r="J100">
        <v>-7.8010346999999998</v>
      </c>
      <c r="K100">
        <v>110.3751922</v>
      </c>
      <c r="L100" t="s">
        <v>297</v>
      </c>
      <c r="M100" t="s">
        <v>220</v>
      </c>
      <c r="N100" t="s">
        <v>220</v>
      </c>
      <c r="O100" t="str">
        <f>IF(ISBLANK(Table7[[#This Row],[city]]),Table7[[#This Row],[city2]],Table7[[#This Row],[city]])</f>
        <v>Yogyakarta</v>
      </c>
      <c r="P100" t="s">
        <v>220</v>
      </c>
      <c r="Q100" t="s">
        <v>45</v>
      </c>
    </row>
    <row r="101" spans="1:17" x14ac:dyDescent="0.25">
      <c r="A101">
        <v>100</v>
      </c>
      <c r="B101" t="s">
        <v>15</v>
      </c>
      <c r="C101">
        <v>28</v>
      </c>
      <c r="E101">
        <f>Table3[[#This Row],[Place_Id]]</f>
        <v>100</v>
      </c>
      <c r="F101">
        <f>Table3[[#This Row],[Lat]]</f>
        <v>-7.8001041000000004</v>
      </c>
      <c r="G101">
        <f>Table3[[#This Row],[Long]]</f>
        <v>110.3676579</v>
      </c>
      <c r="I101">
        <v>125</v>
      </c>
      <c r="J101">
        <v>-7.8038974999999997</v>
      </c>
      <c r="K101">
        <v>110.3644232</v>
      </c>
      <c r="L101" t="s">
        <v>299</v>
      </c>
      <c r="M101" t="s">
        <v>220</v>
      </c>
      <c r="N101" t="s">
        <v>220</v>
      </c>
      <c r="O101" t="str">
        <f>IF(ISBLANK(Table7[[#This Row],[city]]),Table7[[#This Row],[city2]],Table7[[#This Row],[city]])</f>
        <v>Yogyakarta</v>
      </c>
      <c r="P101" t="s">
        <v>220</v>
      </c>
      <c r="Q101" t="s">
        <v>45</v>
      </c>
    </row>
    <row r="102" spans="1:17" x14ac:dyDescent="0.25">
      <c r="A102">
        <v>101</v>
      </c>
      <c r="B102" t="s">
        <v>22</v>
      </c>
      <c r="C102">
        <v>39</v>
      </c>
      <c r="E102">
        <f>Table3[[#This Row],[Place_Id]]</f>
        <v>101</v>
      </c>
      <c r="F102">
        <f>Table3[[#This Row],[Lat]]</f>
        <v>-7.7921899999999997</v>
      </c>
      <c r="G102">
        <f>Table3[[#This Row],[Long]]</f>
        <v>110.362151</v>
      </c>
      <c r="I102">
        <v>147</v>
      </c>
      <c r="J102">
        <v>-7.7857241999999998</v>
      </c>
      <c r="K102">
        <v>110.37469539999999</v>
      </c>
      <c r="L102" t="s">
        <v>343</v>
      </c>
      <c r="M102" t="s">
        <v>220</v>
      </c>
      <c r="N102" t="s">
        <v>220</v>
      </c>
      <c r="O102" t="str">
        <f>IF(ISBLANK(Table7[[#This Row],[city]]),Table7[[#This Row],[city2]],Table7[[#This Row],[city]])</f>
        <v>Yogyakarta</v>
      </c>
      <c r="P102" t="s">
        <v>220</v>
      </c>
      <c r="Q102" t="s">
        <v>45</v>
      </c>
    </row>
    <row r="103" spans="1:17" x14ac:dyDescent="0.25">
      <c r="A103">
        <v>102</v>
      </c>
      <c r="B103" t="s">
        <v>23</v>
      </c>
      <c r="C103">
        <v>21</v>
      </c>
      <c r="E103">
        <f>Table3[[#This Row],[Place_Id]]</f>
        <v>102</v>
      </c>
      <c r="F103">
        <f>Table3[[#This Row],[Lat]]</f>
        <v>-7.8011159000000001</v>
      </c>
      <c r="G103">
        <f>Table3[[#This Row],[Long]]</f>
        <v>110.3646172</v>
      </c>
      <c r="I103">
        <v>150</v>
      </c>
      <c r="J103">
        <v>-7.8067535000000001</v>
      </c>
      <c r="K103">
        <v>110.3636659</v>
      </c>
      <c r="L103" t="s">
        <v>349</v>
      </c>
      <c r="M103" t="s">
        <v>220</v>
      </c>
      <c r="N103" t="s">
        <v>220</v>
      </c>
      <c r="O103" t="str">
        <f>IF(ISBLANK(Table7[[#This Row],[city]]),Table7[[#This Row],[city2]],Table7[[#This Row],[city]])</f>
        <v>Yogyakarta</v>
      </c>
      <c r="P103" t="s">
        <v>220</v>
      </c>
      <c r="Q103" t="s">
        <v>45</v>
      </c>
    </row>
    <row r="104" spans="1:17" x14ac:dyDescent="0.25">
      <c r="A104">
        <v>103</v>
      </c>
      <c r="B104" t="s">
        <v>16</v>
      </c>
      <c r="C104">
        <v>30</v>
      </c>
      <c r="E104">
        <f>Table3[[#This Row],[Place_Id]]</f>
        <v>103</v>
      </c>
      <c r="F104">
        <f>Table3[[#This Row],[Lat]]</f>
        <v>-7.7829436999999997</v>
      </c>
      <c r="G104">
        <f>Table3[[#This Row],[Long]]</f>
        <v>110.36705480000001</v>
      </c>
      <c r="I104">
        <v>162</v>
      </c>
      <c r="J104">
        <v>-7.8105529000000002</v>
      </c>
      <c r="K104">
        <v>110.3704987</v>
      </c>
      <c r="L104" t="s">
        <v>373</v>
      </c>
      <c r="M104" t="s">
        <v>220</v>
      </c>
      <c r="N104" t="s">
        <v>220</v>
      </c>
      <c r="O104" t="str">
        <f>IF(ISBLANK(Table7[[#This Row],[city]]),Table7[[#This Row],[city2]],Table7[[#This Row],[city]])</f>
        <v>Yogyakarta</v>
      </c>
      <c r="P104" t="s">
        <v>220</v>
      </c>
      <c r="Q104" t="s">
        <v>45</v>
      </c>
    </row>
    <row r="105" spans="1:17" x14ac:dyDescent="0.25">
      <c r="A105">
        <v>104</v>
      </c>
      <c r="B105" t="s">
        <v>11</v>
      </c>
      <c r="C105">
        <v>27</v>
      </c>
      <c r="E105">
        <f>Table3[[#This Row],[Place_Id]]</f>
        <v>104</v>
      </c>
      <c r="F105">
        <f>Table3[[#This Row],[Lat]]</f>
        <v>-7.7815713999999998</v>
      </c>
      <c r="G105">
        <f>Table3[[#This Row],[Long]]</f>
        <v>110.5045827</v>
      </c>
      <c r="I105">
        <v>170</v>
      </c>
      <c r="J105">
        <v>-7.6078738000000001</v>
      </c>
      <c r="K105">
        <v>110.20375129999999</v>
      </c>
      <c r="L105" t="s">
        <v>389</v>
      </c>
      <c r="M105" t="s">
        <v>967</v>
      </c>
      <c r="N105" t="s">
        <v>968</v>
      </c>
      <c r="O105" t="str">
        <f>IF(ISBLANK(Table7[[#This Row],[city]]),Table7[[#This Row],[city2]],Table7[[#This Row],[city]])</f>
        <v>Magelang</v>
      </c>
      <c r="P105" t="s">
        <v>968</v>
      </c>
      <c r="Q105" t="s">
        <v>45</v>
      </c>
    </row>
    <row r="106" spans="1:17" x14ac:dyDescent="0.25">
      <c r="A106">
        <v>105</v>
      </c>
      <c r="B106" t="s">
        <v>7</v>
      </c>
      <c r="C106">
        <v>37</v>
      </c>
      <c r="E106">
        <f>Table3[[#This Row],[Place_Id]]</f>
        <v>105</v>
      </c>
      <c r="F106">
        <f>Table3[[#This Row],[Lat]]</f>
        <v>-7.7955613000000001</v>
      </c>
      <c r="G106">
        <f>Table3[[#This Row],[Long]]</f>
        <v>110.3612095</v>
      </c>
      <c r="I106">
        <v>171</v>
      </c>
      <c r="J106">
        <v>-7.7838276000000004</v>
      </c>
      <c r="K106">
        <v>110.5118987</v>
      </c>
      <c r="L106" t="s">
        <v>391</v>
      </c>
      <c r="M106" t="s">
        <v>956</v>
      </c>
      <c r="N106" t="s">
        <v>220</v>
      </c>
      <c r="O106" t="str">
        <f>IF(ISBLANK(Table7[[#This Row],[city]]),Table7[[#This Row],[city2]],Table7[[#This Row],[city]])</f>
        <v>Sleman</v>
      </c>
      <c r="P106" t="s">
        <v>220</v>
      </c>
      <c r="Q106" t="s">
        <v>45</v>
      </c>
    </row>
    <row r="107" spans="1:17" x14ac:dyDescent="0.25">
      <c r="A107">
        <v>106</v>
      </c>
      <c r="B107" t="s">
        <v>23</v>
      </c>
      <c r="C107">
        <v>32</v>
      </c>
      <c r="E107">
        <f>Table3[[#This Row],[Place_Id]]</f>
        <v>106</v>
      </c>
      <c r="F107">
        <f>Table3[[#This Row],[Lat]]</f>
        <v>-7.7931670000000004</v>
      </c>
      <c r="G107">
        <f>Table3[[#This Row],[Long]]</f>
        <v>110.36552380000001</v>
      </c>
      <c r="I107">
        <v>175</v>
      </c>
      <c r="J107">
        <v>-7.5978656000000004</v>
      </c>
      <c r="K107">
        <v>110.4233959</v>
      </c>
      <c r="L107" t="s">
        <v>399</v>
      </c>
      <c r="M107" t="s">
        <v>956</v>
      </c>
      <c r="N107" t="s">
        <v>220</v>
      </c>
      <c r="O107" t="str">
        <f>IF(ISBLANK(Table7[[#This Row],[city]]),Table7[[#This Row],[city2]],Table7[[#This Row],[city]])</f>
        <v>Sleman</v>
      </c>
      <c r="P107" t="s">
        <v>220</v>
      </c>
      <c r="Q107" t="s">
        <v>45</v>
      </c>
    </row>
    <row r="108" spans="1:17" x14ac:dyDescent="0.25">
      <c r="A108">
        <v>107</v>
      </c>
      <c r="B108" t="s">
        <v>22</v>
      </c>
      <c r="C108">
        <v>24</v>
      </c>
      <c r="E108">
        <f>Table3[[#This Row],[Place_Id]]</f>
        <v>107</v>
      </c>
      <c r="F108">
        <f>Table3[[#This Row],[Lat]]</f>
        <v>-7.8052843000000003</v>
      </c>
      <c r="G108">
        <f>Table3[[#This Row],[Long]]</f>
        <v>110.36421369999999</v>
      </c>
      <c r="I108">
        <v>176</v>
      </c>
      <c r="J108">
        <v>-7.6159271999999998</v>
      </c>
      <c r="K108">
        <v>110.4243329</v>
      </c>
      <c r="L108" t="s">
        <v>401</v>
      </c>
      <c r="M108" t="s">
        <v>956</v>
      </c>
      <c r="N108" t="s">
        <v>220</v>
      </c>
      <c r="O108" t="str">
        <f>IF(ISBLANK(Table7[[#This Row],[city]]),Table7[[#This Row],[city2]],Table7[[#This Row],[city]])</f>
        <v>Sleman</v>
      </c>
      <c r="P108" t="s">
        <v>220</v>
      </c>
      <c r="Q108" t="s">
        <v>45</v>
      </c>
    </row>
    <row r="109" spans="1:17" x14ac:dyDescent="0.25">
      <c r="A109">
        <v>108</v>
      </c>
      <c r="B109" t="s">
        <v>24</v>
      </c>
      <c r="C109">
        <v>33</v>
      </c>
      <c r="E109">
        <f>Table3[[#This Row],[Place_Id]]</f>
        <v>108</v>
      </c>
      <c r="F109">
        <f>Table3[[#This Row],[Lat]]</f>
        <v>-7.756227</v>
      </c>
      <c r="G109">
        <f>Table3[[#This Row],[Long]]</f>
        <v>110.4150131</v>
      </c>
      <c r="I109">
        <v>179</v>
      </c>
      <c r="J109">
        <v>-7.7705415999999996</v>
      </c>
      <c r="K109">
        <v>110.4894158</v>
      </c>
      <c r="L109" t="s">
        <v>407</v>
      </c>
      <c r="M109" t="s">
        <v>956</v>
      </c>
      <c r="N109" t="s">
        <v>220</v>
      </c>
      <c r="O109" t="str">
        <f>IF(ISBLANK(Table7[[#This Row],[city]]),Table7[[#This Row],[city2]],Table7[[#This Row],[city]])</f>
        <v>Sleman</v>
      </c>
      <c r="P109" t="s">
        <v>220</v>
      </c>
      <c r="Q109" t="s">
        <v>45</v>
      </c>
    </row>
    <row r="110" spans="1:17" x14ac:dyDescent="0.25">
      <c r="A110">
        <v>109</v>
      </c>
      <c r="B110" t="s">
        <v>25</v>
      </c>
      <c r="C110">
        <v>18</v>
      </c>
      <c r="E110">
        <f>Table3[[#This Row],[Place_Id]]</f>
        <v>109</v>
      </c>
      <c r="F110">
        <f>Table3[[#This Row],[Lat]]</f>
        <v>-7.8704831999999998</v>
      </c>
      <c r="G110">
        <f>Table3[[#This Row],[Long]]</f>
        <v>110.4599108</v>
      </c>
      <c r="I110">
        <v>193</v>
      </c>
      <c r="J110">
        <v>-7.7439216999999996</v>
      </c>
      <c r="K110">
        <v>110.4929095</v>
      </c>
      <c r="L110" t="s">
        <v>435</v>
      </c>
      <c r="M110" t="s">
        <v>935</v>
      </c>
      <c r="N110" t="s">
        <v>220</v>
      </c>
      <c r="O110" t="str">
        <f>IF(ISBLANK(Table7[[#This Row],[city]]),Table7[[#This Row],[city2]],Table7[[#This Row],[city]])</f>
        <v>Klaten</v>
      </c>
      <c r="P110" t="s">
        <v>220</v>
      </c>
      <c r="Q110" t="s">
        <v>45</v>
      </c>
    </row>
    <row r="111" spans="1:17" x14ac:dyDescent="0.25">
      <c r="A111">
        <v>110</v>
      </c>
      <c r="B111" t="s">
        <v>26</v>
      </c>
      <c r="C111">
        <v>39</v>
      </c>
      <c r="E111">
        <f>Table3[[#This Row],[Place_Id]]</f>
        <v>110</v>
      </c>
      <c r="F111">
        <f>Table3[[#This Row],[Lat]]</f>
        <v>-7.8010124000000003</v>
      </c>
      <c r="G111">
        <f>Table3[[#This Row],[Long]]</f>
        <v>110.3653376</v>
      </c>
      <c r="I111">
        <v>212</v>
      </c>
      <c r="J111">
        <v>-6.9150533999999997</v>
      </c>
      <c r="K111">
        <v>107.60898419999999</v>
      </c>
      <c r="L111" t="s">
        <v>473</v>
      </c>
      <c r="M111" t="s">
        <v>472</v>
      </c>
      <c r="N111" t="s">
        <v>472</v>
      </c>
      <c r="O111" t="str">
        <f>IF(ISBLANK(Table7[[#This Row],[city]]),Table7[[#This Row],[city2]],Table7[[#This Row],[city]])</f>
        <v>Bandung</v>
      </c>
      <c r="P111" t="s">
        <v>972</v>
      </c>
      <c r="Q111" t="s">
        <v>45</v>
      </c>
    </row>
    <row r="112" spans="1:17" x14ac:dyDescent="0.25">
      <c r="A112">
        <v>111</v>
      </c>
      <c r="B112" t="s">
        <v>27</v>
      </c>
      <c r="C112">
        <v>38</v>
      </c>
      <c r="E112">
        <f>Table3[[#This Row],[Place_Id]]</f>
        <v>111</v>
      </c>
      <c r="F112">
        <f>Table3[[#This Row],[Lat]]</f>
        <v>-7.9020355000000002</v>
      </c>
      <c r="G112">
        <f>Table3[[#This Row],[Long]]</f>
        <v>110.4374627</v>
      </c>
      <c r="I112">
        <v>213</v>
      </c>
      <c r="J112">
        <v>-6.9024812000000004</v>
      </c>
      <c r="K112">
        <v>107.61881</v>
      </c>
      <c r="L112" t="s">
        <v>475</v>
      </c>
      <c r="M112" t="s">
        <v>472</v>
      </c>
      <c r="N112" t="s">
        <v>472</v>
      </c>
      <c r="O112" t="str">
        <f>IF(ISBLANK(Table7[[#This Row],[city]]),Table7[[#This Row],[city2]],Table7[[#This Row],[city]])</f>
        <v>Bandung</v>
      </c>
      <c r="P112" t="s">
        <v>972</v>
      </c>
      <c r="Q112" t="s">
        <v>45</v>
      </c>
    </row>
    <row r="113" spans="1:17" x14ac:dyDescent="0.25">
      <c r="A113">
        <v>112</v>
      </c>
      <c r="B113" t="s">
        <v>28</v>
      </c>
      <c r="C113">
        <v>18</v>
      </c>
      <c r="E113">
        <f>Table3[[#This Row],[Place_Id]]</f>
        <v>112</v>
      </c>
      <c r="F113">
        <f>Table3[[#This Row],[Lat]]</f>
        <v>-7.8458407000000001</v>
      </c>
      <c r="G113">
        <f>Table3[[#This Row],[Long]]</f>
        <v>110.4798457</v>
      </c>
      <c r="I113">
        <v>221</v>
      </c>
      <c r="J113">
        <v>-6.9007161999999997</v>
      </c>
      <c r="K113">
        <v>107.62145529999999</v>
      </c>
      <c r="L113" t="s">
        <v>491</v>
      </c>
      <c r="M113" t="s">
        <v>472</v>
      </c>
      <c r="N113" t="s">
        <v>472</v>
      </c>
      <c r="O113" t="str">
        <f>IF(ISBLANK(Table7[[#This Row],[city]]),Table7[[#This Row],[city2]],Table7[[#This Row],[city]])</f>
        <v>Bandung</v>
      </c>
      <c r="P113" t="s">
        <v>972</v>
      </c>
      <c r="Q113" t="s">
        <v>45</v>
      </c>
    </row>
    <row r="114" spans="1:17" x14ac:dyDescent="0.25">
      <c r="A114">
        <v>113</v>
      </c>
      <c r="B114" t="s">
        <v>6</v>
      </c>
      <c r="C114">
        <v>38</v>
      </c>
      <c r="E114">
        <f>Table3[[#This Row],[Place_Id]]</f>
        <v>113</v>
      </c>
      <c r="F114">
        <f>Table3[[#This Row],[Lat]]</f>
        <v>-7.8001506000000003</v>
      </c>
      <c r="G114">
        <f>Table3[[#This Row],[Long]]</f>
        <v>110.3637507</v>
      </c>
      <c r="I114">
        <v>222</v>
      </c>
      <c r="J114">
        <v>-6.9211092000000001</v>
      </c>
      <c r="K114">
        <v>107.60959699999999</v>
      </c>
      <c r="L114" t="s">
        <v>493</v>
      </c>
      <c r="M114" t="s">
        <v>472</v>
      </c>
      <c r="N114" t="s">
        <v>472</v>
      </c>
      <c r="O114" t="str">
        <f>IF(ISBLANK(Table7[[#This Row],[city]]),Table7[[#This Row],[city2]],Table7[[#This Row],[city]])</f>
        <v>Bandung</v>
      </c>
      <c r="P114" t="s">
        <v>972</v>
      </c>
      <c r="Q114" t="s">
        <v>45</v>
      </c>
    </row>
    <row r="115" spans="1:17" x14ac:dyDescent="0.25">
      <c r="A115">
        <v>114</v>
      </c>
      <c r="B115" t="s">
        <v>14</v>
      </c>
      <c r="C115">
        <v>39</v>
      </c>
      <c r="E115">
        <f>Table3[[#This Row],[Place_Id]]</f>
        <v>114</v>
      </c>
      <c r="F115">
        <f>Table3[[#This Row],[Lat]]</f>
        <v>-7.6041648000000004</v>
      </c>
      <c r="G115">
        <f>Table3[[#This Row],[Long]]</f>
        <v>110.4510042</v>
      </c>
      <c r="I115">
        <v>228</v>
      </c>
      <c r="J115">
        <v>-6.9375748000000002</v>
      </c>
      <c r="K115">
        <v>107.603775</v>
      </c>
      <c r="L115" t="s">
        <v>505</v>
      </c>
      <c r="M115" t="s">
        <v>472</v>
      </c>
      <c r="N115" t="s">
        <v>472</v>
      </c>
      <c r="O115" t="str">
        <f>IF(ISBLANK(Table7[[#This Row],[city]]),Table7[[#This Row],[city2]],Table7[[#This Row],[city]])</f>
        <v>Bandung</v>
      </c>
      <c r="P115" t="s">
        <v>972</v>
      </c>
      <c r="Q115" t="s">
        <v>45</v>
      </c>
    </row>
    <row r="116" spans="1:17" x14ac:dyDescent="0.25">
      <c r="A116">
        <v>115</v>
      </c>
      <c r="B116" t="s">
        <v>29</v>
      </c>
      <c r="C116">
        <v>26</v>
      </c>
      <c r="E116">
        <f>Table3[[#This Row],[Place_Id]]</f>
        <v>115</v>
      </c>
      <c r="F116">
        <f>Table3[[#This Row],[Lat]]</f>
        <v>-7.7881727999999999</v>
      </c>
      <c r="G116">
        <f>Table3[[#This Row],[Long]]</f>
        <v>110.37154030000001</v>
      </c>
      <c r="I116">
        <v>234</v>
      </c>
      <c r="J116">
        <v>-6.8516591</v>
      </c>
      <c r="K116">
        <v>107.5955534</v>
      </c>
      <c r="L116" t="s">
        <v>517</v>
      </c>
      <c r="M116" t="s">
        <v>472</v>
      </c>
      <c r="N116" t="s">
        <v>472</v>
      </c>
      <c r="O116" t="str">
        <f>IF(ISBLANK(Table7[[#This Row],[city]]),Table7[[#This Row],[city2]],Table7[[#This Row],[city]])</f>
        <v>Bandung</v>
      </c>
      <c r="P116" t="s">
        <v>972</v>
      </c>
      <c r="Q116" t="s">
        <v>45</v>
      </c>
    </row>
    <row r="117" spans="1:17" x14ac:dyDescent="0.25">
      <c r="A117">
        <v>116</v>
      </c>
      <c r="B117" t="s">
        <v>8</v>
      </c>
      <c r="C117">
        <v>23</v>
      </c>
      <c r="E117">
        <f>Table3[[#This Row],[Place_Id]]</f>
        <v>116</v>
      </c>
      <c r="F117">
        <f>Table3[[#This Row],[Lat]]</f>
        <v>-7.9401064999999997</v>
      </c>
      <c r="G117">
        <f>Table3[[#This Row],[Long]]</f>
        <v>110.43000619999999</v>
      </c>
      <c r="I117">
        <v>243</v>
      </c>
      <c r="J117">
        <v>-6.9154546000000003</v>
      </c>
      <c r="K117">
        <v>107.64076900000001</v>
      </c>
      <c r="L117" t="s">
        <v>535</v>
      </c>
      <c r="M117" t="s">
        <v>472</v>
      </c>
      <c r="N117" t="s">
        <v>472</v>
      </c>
      <c r="O117" t="str">
        <f>IF(ISBLANK(Table7[[#This Row],[city]]),Table7[[#This Row],[city2]],Table7[[#This Row],[city]])</f>
        <v>Bandung</v>
      </c>
      <c r="P117" t="s">
        <v>972</v>
      </c>
      <c r="Q117" t="s">
        <v>45</v>
      </c>
    </row>
    <row r="118" spans="1:17" x14ac:dyDescent="0.25">
      <c r="A118">
        <v>117</v>
      </c>
      <c r="B118" t="s">
        <v>19</v>
      </c>
      <c r="C118">
        <v>30</v>
      </c>
      <c r="E118">
        <f>Table3[[#This Row],[Place_Id]]</f>
        <v>117</v>
      </c>
      <c r="F118">
        <f>Table3[[#This Row],[Lat]]</f>
        <v>-7.6209046000000003</v>
      </c>
      <c r="G118">
        <f>Table3[[#This Row],[Long]]</f>
        <v>110.4216275</v>
      </c>
      <c r="I118">
        <v>255</v>
      </c>
      <c r="J118">
        <v>-6.8782386999999998</v>
      </c>
      <c r="K118">
        <v>107.58753489999999</v>
      </c>
      <c r="L118" t="s">
        <v>559</v>
      </c>
      <c r="M118" t="s">
        <v>472</v>
      </c>
      <c r="N118" t="s">
        <v>472</v>
      </c>
      <c r="O118" t="str">
        <f>IF(ISBLANK(Table7[[#This Row],[city]]),Table7[[#This Row],[city2]],Table7[[#This Row],[city]])</f>
        <v>Bandung</v>
      </c>
      <c r="P118" t="s">
        <v>972</v>
      </c>
      <c r="Q118" t="s">
        <v>45</v>
      </c>
    </row>
    <row r="119" spans="1:17" x14ac:dyDescent="0.25">
      <c r="A119">
        <v>118</v>
      </c>
      <c r="B119" t="s">
        <v>30</v>
      </c>
      <c r="C119">
        <v>32</v>
      </c>
      <c r="E119">
        <f>Table3[[#This Row],[Place_Id]]</f>
        <v>118</v>
      </c>
      <c r="F119">
        <f>Table3[[#This Row],[Lat]]</f>
        <v>-7.8024499</v>
      </c>
      <c r="G119">
        <f>Table3[[#This Row],[Long]]</f>
        <v>110.3639555</v>
      </c>
      <c r="I119">
        <v>257</v>
      </c>
      <c r="J119">
        <v>-6.9338496999999997</v>
      </c>
      <c r="K119">
        <v>107.60492499999999</v>
      </c>
      <c r="L119" t="s">
        <v>563</v>
      </c>
      <c r="M119" t="s">
        <v>472</v>
      </c>
      <c r="N119" t="s">
        <v>472</v>
      </c>
      <c r="O119" t="str">
        <f>IF(ISBLANK(Table7[[#This Row],[city]]),Table7[[#This Row],[city2]],Table7[[#This Row],[city]])</f>
        <v>Bandung</v>
      </c>
      <c r="P119" t="s">
        <v>972</v>
      </c>
      <c r="Q119" t="s">
        <v>45</v>
      </c>
    </row>
    <row r="120" spans="1:17" x14ac:dyDescent="0.25">
      <c r="A120">
        <v>119</v>
      </c>
      <c r="B120" t="s">
        <v>31</v>
      </c>
      <c r="C120">
        <v>25</v>
      </c>
      <c r="E120">
        <f>Table3[[#This Row],[Place_Id]]</f>
        <v>119</v>
      </c>
      <c r="F120">
        <f>Table3[[#This Row],[Lat]]</f>
        <v>-7.8081518000000001</v>
      </c>
      <c r="G120">
        <f>Table3[[#This Row],[Long]]</f>
        <v>110.4595183</v>
      </c>
      <c r="I120">
        <v>258</v>
      </c>
      <c r="J120">
        <v>-6.9026379000000002</v>
      </c>
      <c r="K120">
        <v>107.619169</v>
      </c>
      <c r="L120" t="s">
        <v>565</v>
      </c>
      <c r="M120" t="s">
        <v>472</v>
      </c>
      <c r="N120" t="s">
        <v>472</v>
      </c>
      <c r="O120" t="str">
        <f>IF(ISBLANK(Table7[[#This Row],[city]]),Table7[[#This Row],[city2]],Table7[[#This Row],[city]])</f>
        <v>Bandung</v>
      </c>
      <c r="P120" t="s">
        <v>972</v>
      </c>
      <c r="Q120" t="s">
        <v>45</v>
      </c>
    </row>
    <row r="121" spans="1:17" x14ac:dyDescent="0.25">
      <c r="A121">
        <v>120</v>
      </c>
      <c r="B121" t="s">
        <v>10</v>
      </c>
      <c r="C121">
        <v>32</v>
      </c>
      <c r="E121">
        <f>Table3[[#This Row],[Place_Id]]</f>
        <v>120</v>
      </c>
      <c r="F121">
        <f>Table3[[#This Row],[Lat]]</f>
        <v>-7.9583694999999999</v>
      </c>
      <c r="G121">
        <f>Table3[[#This Row],[Long]]</f>
        <v>110.44076219999999</v>
      </c>
      <c r="I121">
        <v>259</v>
      </c>
      <c r="J121">
        <v>-6.8934327</v>
      </c>
      <c r="K121">
        <v>107.61855129999999</v>
      </c>
      <c r="L121" t="s">
        <v>567</v>
      </c>
      <c r="M121" t="s">
        <v>472</v>
      </c>
      <c r="N121" t="s">
        <v>472</v>
      </c>
      <c r="O121" t="str">
        <f>IF(ISBLANK(Table7[[#This Row],[city]]),Table7[[#This Row],[city2]],Table7[[#This Row],[city]])</f>
        <v>Bandung</v>
      </c>
      <c r="P121" t="s">
        <v>972</v>
      </c>
      <c r="Q121" t="s">
        <v>45</v>
      </c>
    </row>
    <row r="122" spans="1:17" x14ac:dyDescent="0.25">
      <c r="A122">
        <v>121</v>
      </c>
      <c r="B122" t="s">
        <v>11</v>
      </c>
      <c r="C122">
        <v>35</v>
      </c>
      <c r="E122">
        <f>Table3[[#This Row],[Place_Id]]</f>
        <v>121</v>
      </c>
      <c r="F122">
        <f>Table3[[#This Row],[Lat]]</f>
        <v>-7.7520205999999998</v>
      </c>
      <c r="G122">
        <f>Table3[[#This Row],[Long]]</f>
        <v>110.4914674</v>
      </c>
      <c r="I122">
        <v>260</v>
      </c>
      <c r="J122">
        <v>-6.9020130000000002</v>
      </c>
      <c r="K122">
        <v>107.6197787</v>
      </c>
      <c r="L122" t="s">
        <v>569</v>
      </c>
      <c r="M122" t="s">
        <v>472</v>
      </c>
      <c r="N122" t="s">
        <v>472</v>
      </c>
      <c r="O122" t="str">
        <f>IF(ISBLANK(Table7[[#This Row],[city]]),Table7[[#This Row],[city2]],Table7[[#This Row],[city]])</f>
        <v>Bandung</v>
      </c>
      <c r="P122" t="s">
        <v>972</v>
      </c>
      <c r="Q122" t="s">
        <v>45</v>
      </c>
    </row>
    <row r="123" spans="1:17" x14ac:dyDescent="0.25">
      <c r="A123">
        <v>122</v>
      </c>
      <c r="B123" t="s">
        <v>17</v>
      </c>
      <c r="C123">
        <v>24</v>
      </c>
      <c r="E123">
        <f>Table3[[#This Row],[Place_Id]]</f>
        <v>122</v>
      </c>
      <c r="F123">
        <f>Table3[[#This Row],[Lat]]</f>
        <v>-7.9274085999999997</v>
      </c>
      <c r="G123">
        <f>Table3[[#This Row],[Long]]</f>
        <v>110.41205859999999</v>
      </c>
      <c r="I123">
        <v>265</v>
      </c>
      <c r="J123">
        <v>-6.9173404999999999</v>
      </c>
      <c r="K123">
        <v>107.6112627</v>
      </c>
      <c r="L123" t="s">
        <v>579</v>
      </c>
      <c r="M123" t="s">
        <v>472</v>
      </c>
      <c r="N123" t="s">
        <v>472</v>
      </c>
      <c r="O123" t="str">
        <f>IF(ISBLANK(Table7[[#This Row],[city]]),Table7[[#This Row],[city2]],Table7[[#This Row],[city]])</f>
        <v>Bandung</v>
      </c>
      <c r="P123" t="s">
        <v>972</v>
      </c>
      <c r="Q123" t="s">
        <v>45</v>
      </c>
    </row>
    <row r="124" spans="1:17" x14ac:dyDescent="0.25">
      <c r="A124">
        <v>123</v>
      </c>
      <c r="B124" t="s">
        <v>7</v>
      </c>
      <c r="C124">
        <v>32</v>
      </c>
      <c r="E124">
        <f>Table3[[#This Row],[Place_Id]]</f>
        <v>123</v>
      </c>
      <c r="F124">
        <f>Table3[[#This Row],[Lat]]</f>
        <v>-7.8152775999999999</v>
      </c>
      <c r="G124">
        <f>Table3[[#This Row],[Long]]</f>
        <v>110.39883589999999</v>
      </c>
      <c r="I124">
        <v>272</v>
      </c>
      <c r="J124">
        <v>-6.8700989999999997</v>
      </c>
      <c r="K124">
        <v>107.6164386</v>
      </c>
      <c r="L124" t="s">
        <v>593</v>
      </c>
      <c r="M124" t="s">
        <v>472</v>
      </c>
      <c r="N124" t="s">
        <v>472</v>
      </c>
      <c r="O124" t="str">
        <f>IF(ISBLANK(Table7[[#This Row],[city]]),Table7[[#This Row],[city2]],Table7[[#This Row],[city]])</f>
        <v>Bandung</v>
      </c>
      <c r="P124" t="s">
        <v>972</v>
      </c>
      <c r="Q124" t="s">
        <v>45</v>
      </c>
    </row>
    <row r="125" spans="1:17" x14ac:dyDescent="0.25">
      <c r="A125">
        <v>124</v>
      </c>
      <c r="B125" t="s">
        <v>15</v>
      </c>
      <c r="C125">
        <v>22</v>
      </c>
      <c r="E125">
        <f>Table3[[#This Row],[Place_Id]]</f>
        <v>124</v>
      </c>
      <c r="F125">
        <f>Table3[[#This Row],[Lat]]</f>
        <v>-7.8010346999999998</v>
      </c>
      <c r="G125">
        <f>Table3[[#This Row],[Long]]</f>
        <v>110.3751922</v>
      </c>
      <c r="I125">
        <v>285</v>
      </c>
      <c r="J125">
        <v>-6.9103085999999996</v>
      </c>
      <c r="K125">
        <v>107.6098619</v>
      </c>
      <c r="L125" t="s">
        <v>619</v>
      </c>
      <c r="M125" t="s">
        <v>472</v>
      </c>
      <c r="N125" t="s">
        <v>472</v>
      </c>
      <c r="O125" t="str">
        <f>IF(ISBLANK(Table7[[#This Row],[city]]),Table7[[#This Row],[city2]],Table7[[#This Row],[city]])</f>
        <v>Bandung</v>
      </c>
      <c r="P125" t="s">
        <v>972</v>
      </c>
      <c r="Q125" t="s">
        <v>45</v>
      </c>
    </row>
    <row r="126" spans="1:17" x14ac:dyDescent="0.25">
      <c r="A126">
        <v>125</v>
      </c>
      <c r="B126" t="s">
        <v>30</v>
      </c>
      <c r="C126">
        <v>24</v>
      </c>
      <c r="E126">
        <f>Table3[[#This Row],[Place_Id]]</f>
        <v>125</v>
      </c>
      <c r="F126">
        <f>Table3[[#This Row],[Lat]]</f>
        <v>-7.8038974999999997</v>
      </c>
      <c r="G126">
        <f>Table3[[#This Row],[Long]]</f>
        <v>110.3644232</v>
      </c>
      <c r="I126">
        <v>286</v>
      </c>
      <c r="J126">
        <v>-6.9204173000000004</v>
      </c>
      <c r="K126">
        <v>107.5996425</v>
      </c>
      <c r="L126" t="s">
        <v>621</v>
      </c>
      <c r="M126" t="s">
        <v>472</v>
      </c>
      <c r="N126" t="s">
        <v>472</v>
      </c>
      <c r="O126" t="str">
        <f>IF(ISBLANK(Table7[[#This Row],[city]]),Table7[[#This Row],[city2]],Table7[[#This Row],[city]])</f>
        <v>Bandung</v>
      </c>
      <c r="P126" t="s">
        <v>972</v>
      </c>
      <c r="Q126" t="s">
        <v>45</v>
      </c>
    </row>
    <row r="127" spans="1:17" x14ac:dyDescent="0.25">
      <c r="A127">
        <v>126</v>
      </c>
      <c r="B127" t="s">
        <v>19</v>
      </c>
      <c r="C127">
        <v>32</v>
      </c>
      <c r="E127">
        <f>Table3[[#This Row],[Place_Id]]</f>
        <v>126</v>
      </c>
      <c r="F127">
        <f>Table3[[#This Row],[Lat]]</f>
        <v>-7.9994230000000002</v>
      </c>
      <c r="G127">
        <f>Table3[[#This Row],[Long]]</f>
        <v>110.248963</v>
      </c>
      <c r="I127">
        <v>290</v>
      </c>
      <c r="J127">
        <v>-6.8597473999999998</v>
      </c>
      <c r="K127">
        <v>107.5941693</v>
      </c>
      <c r="L127" t="s">
        <v>629</v>
      </c>
      <c r="M127" t="s">
        <v>472</v>
      </c>
      <c r="N127" t="s">
        <v>472</v>
      </c>
      <c r="O127" t="str">
        <f>IF(ISBLANK(Table7[[#This Row],[city]]),Table7[[#This Row],[city2]],Table7[[#This Row],[city]])</f>
        <v>Bandung</v>
      </c>
      <c r="P127" t="s">
        <v>972</v>
      </c>
      <c r="Q127" t="s">
        <v>45</v>
      </c>
    </row>
    <row r="128" spans="1:17" x14ac:dyDescent="0.25">
      <c r="A128">
        <v>127</v>
      </c>
      <c r="B128" t="s">
        <v>27</v>
      </c>
      <c r="C128">
        <v>38</v>
      </c>
      <c r="E128">
        <f>Table3[[#This Row],[Place_Id]]</f>
        <v>127</v>
      </c>
      <c r="F128">
        <f>Table3[[#This Row],[Lat]]</f>
        <v>-7.7044357999999997</v>
      </c>
      <c r="G128">
        <f>Table3[[#This Row],[Long]]</f>
        <v>110.45026</v>
      </c>
      <c r="I128">
        <v>294</v>
      </c>
      <c r="J128">
        <v>-6.8986869000000004</v>
      </c>
      <c r="K128">
        <v>107.6077451</v>
      </c>
      <c r="L128" t="s">
        <v>637</v>
      </c>
      <c r="M128" t="s">
        <v>472</v>
      </c>
      <c r="N128" t="s">
        <v>472</v>
      </c>
      <c r="O128" t="str">
        <f>IF(ISBLANK(Table7[[#This Row],[city]]),Table7[[#This Row],[city2]],Table7[[#This Row],[city]])</f>
        <v>Bandung</v>
      </c>
      <c r="P128" t="s">
        <v>972</v>
      </c>
      <c r="Q128" t="s">
        <v>45</v>
      </c>
    </row>
    <row r="129" spans="1:17" x14ac:dyDescent="0.25">
      <c r="A129">
        <v>128</v>
      </c>
      <c r="B129" t="s">
        <v>26</v>
      </c>
      <c r="C129">
        <v>28</v>
      </c>
      <c r="E129">
        <f>Table3[[#This Row],[Place_Id]]</f>
        <v>128</v>
      </c>
      <c r="F129">
        <f>Table3[[#This Row],[Lat]]</f>
        <v>-8.0173266000000005</v>
      </c>
      <c r="G129">
        <f>Table3[[#This Row],[Long]]</f>
        <v>110.31807910000001</v>
      </c>
      <c r="I129">
        <v>295</v>
      </c>
      <c r="J129">
        <v>-6.9406014999999996</v>
      </c>
      <c r="K129">
        <v>107.6725445</v>
      </c>
      <c r="L129" t="s">
        <v>639</v>
      </c>
      <c r="M129" t="s">
        <v>472</v>
      </c>
      <c r="N129" t="s">
        <v>472</v>
      </c>
      <c r="O129" t="str">
        <f>IF(ISBLANK(Table7[[#This Row],[city]]),Table7[[#This Row],[city2]],Table7[[#This Row],[city]])</f>
        <v>Bandung</v>
      </c>
      <c r="P129" t="s">
        <v>972</v>
      </c>
      <c r="Q129" t="s">
        <v>45</v>
      </c>
    </row>
    <row r="130" spans="1:17" x14ac:dyDescent="0.25">
      <c r="A130">
        <v>129</v>
      </c>
      <c r="B130" t="s">
        <v>29</v>
      </c>
      <c r="C130">
        <v>29</v>
      </c>
      <c r="E130">
        <f>Table3[[#This Row],[Place_Id]]</f>
        <v>129</v>
      </c>
      <c r="F130">
        <f>Table3[[#This Row],[Lat]]</f>
        <v>-7.9157997</v>
      </c>
      <c r="G130">
        <f>Table3[[#This Row],[Long]]</f>
        <v>110.4366436</v>
      </c>
      <c r="I130">
        <v>324</v>
      </c>
      <c r="J130">
        <v>-6.8971362000000003</v>
      </c>
      <c r="K130">
        <v>107.6558466</v>
      </c>
      <c r="L130" t="s">
        <v>697</v>
      </c>
      <c r="M130" t="s">
        <v>472</v>
      </c>
      <c r="N130" t="s">
        <v>472</v>
      </c>
      <c r="O130" t="str">
        <f>IF(ISBLANK(Table7[[#This Row],[city]]),Table7[[#This Row],[city2]],Table7[[#This Row],[city]])</f>
        <v>Bandung</v>
      </c>
      <c r="P130" t="s">
        <v>972</v>
      </c>
      <c r="Q130" t="s">
        <v>45</v>
      </c>
    </row>
    <row r="131" spans="1:17" x14ac:dyDescent="0.25">
      <c r="A131">
        <v>130</v>
      </c>
      <c r="B131" t="s">
        <v>14</v>
      </c>
      <c r="C131">
        <v>27</v>
      </c>
      <c r="E131">
        <f>Table3[[#This Row],[Place_Id]]</f>
        <v>130</v>
      </c>
      <c r="F131">
        <f>Table3[[#This Row],[Lat]]</f>
        <v>-7.8057936000000003</v>
      </c>
      <c r="G131">
        <f>Table3[[#This Row],[Long]]</f>
        <v>110.2367304</v>
      </c>
      <c r="I131">
        <v>329</v>
      </c>
      <c r="J131">
        <v>-6.9220816000000003</v>
      </c>
      <c r="K131">
        <v>107.60731819999999</v>
      </c>
      <c r="L131" t="s">
        <v>707</v>
      </c>
      <c r="M131" t="s">
        <v>472</v>
      </c>
      <c r="N131" t="s">
        <v>472</v>
      </c>
      <c r="O131" t="str">
        <f>IF(ISBLANK(Table7[[#This Row],[city]]),Table7[[#This Row],[city2]],Table7[[#This Row],[city]])</f>
        <v>Bandung</v>
      </c>
      <c r="P131" t="s">
        <v>972</v>
      </c>
      <c r="Q131" t="s">
        <v>45</v>
      </c>
    </row>
    <row r="132" spans="1:17" x14ac:dyDescent="0.25">
      <c r="A132">
        <v>131</v>
      </c>
      <c r="B132" t="s">
        <v>9</v>
      </c>
      <c r="C132">
        <v>21</v>
      </c>
      <c r="E132">
        <f>Table3[[#This Row],[Place_Id]]</f>
        <v>131</v>
      </c>
      <c r="F132">
        <f>Table3[[#This Row],[Lat]]</f>
        <v>-7.9924378999999997</v>
      </c>
      <c r="G132">
        <f>Table3[[#This Row],[Long]]</f>
        <v>110.317778</v>
      </c>
      <c r="I132">
        <v>330</v>
      </c>
      <c r="J132">
        <v>-6.8198749999999997</v>
      </c>
      <c r="K132">
        <v>107.618707</v>
      </c>
      <c r="L132" t="s">
        <v>709</v>
      </c>
      <c r="M132" t="s">
        <v>969</v>
      </c>
      <c r="N132" t="s">
        <v>472</v>
      </c>
      <c r="O132" t="str">
        <f>IF(ISBLANK(Table7[[#This Row],[city]]),Table7[[#This Row],[city2]],Table7[[#This Row],[city]])</f>
        <v>West Bandung regency</v>
      </c>
      <c r="P132" t="s">
        <v>972</v>
      </c>
      <c r="Q132" t="s">
        <v>45</v>
      </c>
    </row>
    <row r="133" spans="1:17" x14ac:dyDescent="0.25">
      <c r="A133">
        <v>132</v>
      </c>
      <c r="B133" t="s">
        <v>23</v>
      </c>
      <c r="C133">
        <v>31</v>
      </c>
      <c r="E133">
        <f>Table3[[#This Row],[Place_Id]]</f>
        <v>132</v>
      </c>
      <c r="F133">
        <f>Table3[[#This Row],[Lat]]</f>
        <v>-7.7699875</v>
      </c>
      <c r="G133">
        <f>Table3[[#This Row],[Long]]</f>
        <v>110.1210707</v>
      </c>
      <c r="I133">
        <v>334</v>
      </c>
      <c r="J133">
        <v>-7.2098867000000002</v>
      </c>
      <c r="K133">
        <v>110.34211190000001</v>
      </c>
      <c r="L133" t="s">
        <v>717</v>
      </c>
      <c r="M133" t="s">
        <v>971</v>
      </c>
      <c r="N133" t="s">
        <v>719</v>
      </c>
      <c r="O133" t="str">
        <f>IF(ISBLANK(Table7[[#This Row],[city]]),Table7[[#This Row],[city2]],Table7[[#This Row],[city]])</f>
        <v>Semarang regency</v>
      </c>
      <c r="P133" t="s">
        <v>974</v>
      </c>
      <c r="Q133" t="s">
        <v>45</v>
      </c>
    </row>
    <row r="134" spans="1:17" x14ac:dyDescent="0.25">
      <c r="A134">
        <v>133</v>
      </c>
      <c r="B134" t="s">
        <v>13</v>
      </c>
      <c r="C134">
        <v>29</v>
      </c>
      <c r="E134">
        <f>Table3[[#This Row],[Place_Id]]</f>
        <v>133</v>
      </c>
      <c r="F134">
        <f>Table3[[#This Row],[Lat]]</f>
        <v>-7.9413717999999998</v>
      </c>
      <c r="G134">
        <f>Table3[[#This Row],[Long]]</f>
        <v>110.4247345</v>
      </c>
      <c r="I134">
        <v>337</v>
      </c>
      <c r="J134">
        <v>-6.9839098999999996</v>
      </c>
      <c r="K134">
        <v>110.4104342</v>
      </c>
      <c r="L134" t="s">
        <v>724</v>
      </c>
      <c r="M134" t="s">
        <v>719</v>
      </c>
      <c r="N134" t="s">
        <v>719</v>
      </c>
      <c r="O134" t="str">
        <f>IF(ISBLANK(Table7[[#This Row],[city]]),Table7[[#This Row],[city2]],Table7[[#This Row],[city]])</f>
        <v>Semarang</v>
      </c>
      <c r="P134" t="s">
        <v>974</v>
      </c>
      <c r="Q134" t="s">
        <v>45</v>
      </c>
    </row>
    <row r="135" spans="1:17" x14ac:dyDescent="0.25">
      <c r="A135">
        <v>134</v>
      </c>
      <c r="B135" t="s">
        <v>32</v>
      </c>
      <c r="C135">
        <v>27</v>
      </c>
      <c r="E135">
        <f>Table3[[#This Row],[Place_Id]]</f>
        <v>134</v>
      </c>
      <c r="F135">
        <f>Table3[[#This Row],[Lat]]</f>
        <v>-7.8055231999999997</v>
      </c>
      <c r="G135">
        <f>Table3[[#This Row],[Long]]</f>
        <v>110.2374676</v>
      </c>
      <c r="I135">
        <v>338</v>
      </c>
      <c r="J135">
        <v>-6.9962365999999996</v>
      </c>
      <c r="K135">
        <v>110.398122</v>
      </c>
      <c r="L135" t="s">
        <v>726</v>
      </c>
      <c r="M135" t="s">
        <v>719</v>
      </c>
      <c r="N135" t="s">
        <v>719</v>
      </c>
      <c r="O135" t="str">
        <f>IF(ISBLANK(Table7[[#This Row],[city]]),Table7[[#This Row],[city2]],Table7[[#This Row],[city]])</f>
        <v>Semarang</v>
      </c>
      <c r="P135" t="s">
        <v>974</v>
      </c>
      <c r="Q135" t="s">
        <v>45</v>
      </c>
    </row>
    <row r="136" spans="1:17" x14ac:dyDescent="0.25">
      <c r="A136">
        <v>135</v>
      </c>
      <c r="B136" t="s">
        <v>33</v>
      </c>
      <c r="C136">
        <v>22</v>
      </c>
      <c r="E136">
        <f>Table3[[#This Row],[Place_Id]]</f>
        <v>135</v>
      </c>
      <c r="F136">
        <f>Table3[[#This Row],[Lat]]</f>
        <v>-7.7916235</v>
      </c>
      <c r="G136">
        <f>Table3[[#This Row],[Long]]</f>
        <v>110.36195600000001</v>
      </c>
      <c r="I136">
        <v>344</v>
      </c>
      <c r="J136">
        <v>-6.9687730999999999</v>
      </c>
      <c r="K136">
        <v>110.4319505</v>
      </c>
      <c r="L136" t="s">
        <v>738</v>
      </c>
      <c r="M136" t="s">
        <v>719</v>
      </c>
      <c r="N136" t="s">
        <v>719</v>
      </c>
      <c r="O136" t="str">
        <f>IF(ISBLANK(Table7[[#This Row],[city]]),Table7[[#This Row],[city2]],Table7[[#This Row],[city]])</f>
        <v>Semarang</v>
      </c>
      <c r="P136" t="s">
        <v>974</v>
      </c>
      <c r="Q136" t="s">
        <v>45</v>
      </c>
    </row>
    <row r="137" spans="1:17" x14ac:dyDescent="0.25">
      <c r="A137">
        <v>136</v>
      </c>
      <c r="B137" t="s">
        <v>6</v>
      </c>
      <c r="C137">
        <v>35</v>
      </c>
      <c r="E137">
        <f>Table3[[#This Row],[Place_Id]]</f>
        <v>136</v>
      </c>
      <c r="F137">
        <f>Table3[[#This Row],[Lat]]</f>
        <v>-7.6340171999999997</v>
      </c>
      <c r="G137">
        <f>Table3[[#This Row],[Long]]</f>
        <v>110.33837</v>
      </c>
      <c r="I137">
        <v>347</v>
      </c>
      <c r="J137">
        <v>-6.9984758999999999</v>
      </c>
      <c r="K137">
        <v>110.41064679999999</v>
      </c>
      <c r="L137" t="s">
        <v>744</v>
      </c>
      <c r="M137" t="s">
        <v>719</v>
      </c>
      <c r="N137" t="s">
        <v>719</v>
      </c>
      <c r="O137" t="str">
        <f>IF(ISBLANK(Table7[[#This Row],[city]]),Table7[[#This Row],[city2]],Table7[[#This Row],[city]])</f>
        <v>Semarang</v>
      </c>
      <c r="P137" t="s">
        <v>974</v>
      </c>
      <c r="Q137" t="s">
        <v>45</v>
      </c>
    </row>
    <row r="138" spans="1:17" x14ac:dyDescent="0.25">
      <c r="A138">
        <v>137</v>
      </c>
      <c r="B138" t="s">
        <v>12</v>
      </c>
      <c r="C138">
        <v>28</v>
      </c>
      <c r="E138">
        <f>Table3[[#This Row],[Place_Id]]</f>
        <v>137</v>
      </c>
      <c r="F138">
        <f>Table3[[#This Row],[Lat]]</f>
        <v>-7.8057305000000001</v>
      </c>
      <c r="G138">
        <f>Table3[[#This Row],[Long]]</f>
        <v>110.12796899999999</v>
      </c>
      <c r="I138">
        <v>350</v>
      </c>
      <c r="J138">
        <v>-6.9684064000000001</v>
      </c>
      <c r="K138">
        <v>110.4261995</v>
      </c>
      <c r="L138" t="s">
        <v>750</v>
      </c>
      <c r="M138" t="s">
        <v>719</v>
      </c>
      <c r="N138" t="s">
        <v>719</v>
      </c>
      <c r="O138" t="str">
        <f>IF(ISBLANK(Table7[[#This Row],[city]]),Table7[[#This Row],[city2]],Table7[[#This Row],[city]])</f>
        <v>Semarang</v>
      </c>
      <c r="P138" t="s">
        <v>974</v>
      </c>
      <c r="Q138" t="s">
        <v>45</v>
      </c>
    </row>
    <row r="139" spans="1:17" x14ac:dyDescent="0.25">
      <c r="A139">
        <v>138</v>
      </c>
      <c r="B139" t="s">
        <v>14</v>
      </c>
      <c r="C139">
        <v>25</v>
      </c>
      <c r="E139">
        <f>Table3[[#This Row],[Place_Id]]</f>
        <v>138</v>
      </c>
      <c r="F139">
        <f>Table3[[#This Row],[Lat]]</f>
        <v>-7.7280356000000001</v>
      </c>
      <c r="G139">
        <f>Table3[[#This Row],[Long]]</f>
        <v>110.35917120000001</v>
      </c>
      <c r="I139">
        <v>353</v>
      </c>
      <c r="J139">
        <v>-6.9675000000000002</v>
      </c>
      <c r="K139">
        <v>110.4282</v>
      </c>
      <c r="L139" t="s">
        <v>756</v>
      </c>
      <c r="M139" t="s">
        <v>719</v>
      </c>
      <c r="N139" t="s">
        <v>719</v>
      </c>
      <c r="O139" t="str">
        <f>IF(ISBLANK(Table7[[#This Row],[city]]),Table7[[#This Row],[city2]],Table7[[#This Row],[city]])</f>
        <v>Semarang</v>
      </c>
      <c r="P139" t="s">
        <v>974</v>
      </c>
      <c r="Q139" t="s">
        <v>45</v>
      </c>
    </row>
    <row r="140" spans="1:17" x14ac:dyDescent="0.25">
      <c r="A140">
        <v>139</v>
      </c>
      <c r="B140" t="s">
        <v>7</v>
      </c>
      <c r="C140">
        <v>33</v>
      </c>
      <c r="E140">
        <f>Table3[[#This Row],[Place_Id]]</f>
        <v>139</v>
      </c>
      <c r="F140">
        <f>Table3[[#This Row],[Lat]]</f>
        <v>-7.841253</v>
      </c>
      <c r="G140">
        <f>Table3[[#This Row],[Long]]</f>
        <v>110.54305600000001</v>
      </c>
      <c r="I140">
        <v>368</v>
      </c>
      <c r="J140">
        <v>-7.2598861000000001</v>
      </c>
      <c r="K140">
        <v>110.4025602</v>
      </c>
      <c r="L140" t="s">
        <v>786</v>
      </c>
      <c r="M140" t="s">
        <v>971</v>
      </c>
      <c r="N140" t="s">
        <v>719</v>
      </c>
      <c r="O140" t="str">
        <f>IF(ISBLANK(Table7[[#This Row],[city]]),Table7[[#This Row],[city2]],Table7[[#This Row],[city]])</f>
        <v>Semarang regency</v>
      </c>
      <c r="P140" t="s">
        <v>974</v>
      </c>
      <c r="Q140" t="s">
        <v>45</v>
      </c>
    </row>
    <row r="141" spans="1:17" x14ac:dyDescent="0.25">
      <c r="A141">
        <v>140</v>
      </c>
      <c r="B141" t="s">
        <v>13</v>
      </c>
      <c r="C141">
        <v>25</v>
      </c>
      <c r="E141">
        <f>Table3[[#This Row],[Place_Id]]</f>
        <v>140</v>
      </c>
      <c r="F141">
        <f>Table3[[#This Row],[Lat]]</f>
        <v>-7.8316667999999998</v>
      </c>
      <c r="G141">
        <f>Table3[[#This Row],[Long]]</f>
        <v>110.3945119</v>
      </c>
      <c r="I141">
        <v>369</v>
      </c>
      <c r="J141">
        <v>-7.2706461999999998</v>
      </c>
      <c r="K141">
        <v>110.4103291</v>
      </c>
      <c r="L141" t="s">
        <v>788</v>
      </c>
      <c r="M141" t="s">
        <v>940</v>
      </c>
      <c r="N141" t="s">
        <v>719</v>
      </c>
      <c r="O141" t="str">
        <f>IF(ISBLANK(Table7[[#This Row],[city]]),Table7[[#This Row],[city2]],Table7[[#This Row],[city]])</f>
        <v>Cilacap</v>
      </c>
      <c r="P141" t="s">
        <v>974</v>
      </c>
      <c r="Q141" t="s">
        <v>45</v>
      </c>
    </row>
    <row r="142" spans="1:17" x14ac:dyDescent="0.25">
      <c r="A142">
        <v>141</v>
      </c>
      <c r="B142" t="s">
        <v>29</v>
      </c>
      <c r="C142">
        <v>34</v>
      </c>
      <c r="E142">
        <f>Table3[[#This Row],[Place_Id]]</f>
        <v>141</v>
      </c>
      <c r="F142">
        <f>Table3[[#This Row],[Lat]]</f>
        <v>-7.5829198</v>
      </c>
      <c r="G142">
        <f>Table3[[#This Row],[Long]]</f>
        <v>110.4476816</v>
      </c>
      <c r="I142">
        <v>372</v>
      </c>
      <c r="J142">
        <v>-7.2645989000000002</v>
      </c>
      <c r="K142">
        <v>110.4046017</v>
      </c>
      <c r="L142" t="s">
        <v>794</v>
      </c>
      <c r="M142" t="s">
        <v>971</v>
      </c>
      <c r="N142" t="s">
        <v>719</v>
      </c>
      <c r="O142" t="str">
        <f>IF(ISBLANK(Table7[[#This Row],[city]]),Table7[[#This Row],[city2]],Table7[[#This Row],[city]])</f>
        <v>Semarang regency</v>
      </c>
      <c r="P142" t="s">
        <v>974</v>
      </c>
      <c r="Q142" t="s">
        <v>45</v>
      </c>
    </row>
    <row r="143" spans="1:17" x14ac:dyDescent="0.25">
      <c r="A143">
        <v>142</v>
      </c>
      <c r="B143" t="s">
        <v>7</v>
      </c>
      <c r="C143">
        <v>29</v>
      </c>
      <c r="E143">
        <f>Table3[[#This Row],[Place_Id]]</f>
        <v>142</v>
      </c>
      <c r="F143">
        <f>Table3[[#This Row],[Lat]]</f>
        <v>-7.6470943</v>
      </c>
      <c r="G143">
        <f>Table3[[#This Row],[Long]]</f>
        <v>110.4280998</v>
      </c>
      <c r="I143">
        <v>374</v>
      </c>
      <c r="J143">
        <v>-6.9681398999999997</v>
      </c>
      <c r="K143">
        <v>110.4278611</v>
      </c>
      <c r="L143" t="s">
        <v>798</v>
      </c>
      <c r="M143" t="s">
        <v>719</v>
      </c>
      <c r="N143" t="s">
        <v>719</v>
      </c>
      <c r="O143" t="str">
        <f>IF(ISBLANK(Table7[[#This Row],[city]]),Table7[[#This Row],[city2]],Table7[[#This Row],[city]])</f>
        <v>Semarang</v>
      </c>
      <c r="P143" t="s">
        <v>974</v>
      </c>
      <c r="Q143" t="s">
        <v>45</v>
      </c>
    </row>
    <row r="144" spans="1:17" x14ac:dyDescent="0.25">
      <c r="A144">
        <v>143</v>
      </c>
      <c r="B144" t="s">
        <v>15</v>
      </c>
      <c r="C144">
        <v>25</v>
      </c>
      <c r="E144">
        <f>Table3[[#This Row],[Place_Id]]</f>
        <v>143</v>
      </c>
      <c r="F144">
        <f>Table3[[#This Row],[Lat]]</f>
        <v>-7.9310983999999998</v>
      </c>
      <c r="G144">
        <f>Table3[[#This Row],[Long]]</f>
        <v>110.430919</v>
      </c>
      <c r="I144">
        <v>375</v>
      </c>
      <c r="J144">
        <v>-6.9749923000000003</v>
      </c>
      <c r="K144">
        <v>110.424954</v>
      </c>
      <c r="L144" t="s">
        <v>800</v>
      </c>
      <c r="M144" t="s">
        <v>719</v>
      </c>
      <c r="N144" t="s">
        <v>719</v>
      </c>
      <c r="O144" t="str">
        <f>IF(ISBLANK(Table7[[#This Row],[city]]),Table7[[#This Row],[city2]],Table7[[#This Row],[city]])</f>
        <v>Semarang</v>
      </c>
      <c r="P144" t="s">
        <v>974</v>
      </c>
      <c r="Q144" t="s">
        <v>45</v>
      </c>
    </row>
    <row r="145" spans="1:17" x14ac:dyDescent="0.25">
      <c r="A145">
        <v>144</v>
      </c>
      <c r="B145" t="s">
        <v>16</v>
      </c>
      <c r="C145">
        <v>18</v>
      </c>
      <c r="E145">
        <f>Table3[[#This Row],[Place_Id]]</f>
        <v>144</v>
      </c>
      <c r="F145">
        <f>Table3[[#This Row],[Lat]]</f>
        <v>-8.0281561999999997</v>
      </c>
      <c r="G145">
        <f>Table3[[#This Row],[Long]]</f>
        <v>110.6383307</v>
      </c>
      <c r="I145">
        <v>380</v>
      </c>
      <c r="J145">
        <v>-6.9843485000000003</v>
      </c>
      <c r="K145">
        <v>110.40932069999999</v>
      </c>
      <c r="L145" t="s">
        <v>810</v>
      </c>
      <c r="M145" t="s">
        <v>719</v>
      </c>
      <c r="N145" t="s">
        <v>719</v>
      </c>
      <c r="O145" t="str">
        <f>IF(ISBLANK(Table7[[#This Row],[city]]),Table7[[#This Row],[city2]],Table7[[#This Row],[city]])</f>
        <v>Semarang</v>
      </c>
      <c r="P145" t="s">
        <v>974</v>
      </c>
      <c r="Q145" t="s">
        <v>45</v>
      </c>
    </row>
    <row r="146" spans="1:17" x14ac:dyDescent="0.25">
      <c r="A146">
        <v>145</v>
      </c>
      <c r="B146" t="s">
        <v>26</v>
      </c>
      <c r="C146">
        <v>37</v>
      </c>
      <c r="E146">
        <f>Table3[[#This Row],[Place_Id]]</f>
        <v>145</v>
      </c>
      <c r="F146">
        <f>Table3[[#This Row],[Lat]]</f>
        <v>-7.8136085</v>
      </c>
      <c r="G146">
        <f>Table3[[#This Row],[Long]]</f>
        <v>110.5033442</v>
      </c>
      <c r="I146">
        <v>383</v>
      </c>
      <c r="J146">
        <v>-7.0290974000000004</v>
      </c>
      <c r="K146">
        <v>110.3775382</v>
      </c>
      <c r="L146" t="s">
        <v>816</v>
      </c>
      <c r="M146" t="s">
        <v>719</v>
      </c>
      <c r="N146" t="s">
        <v>719</v>
      </c>
      <c r="O146" t="str">
        <f>IF(ISBLANK(Table7[[#This Row],[city]]),Table7[[#This Row],[city2]],Table7[[#This Row],[city]])</f>
        <v>Semarang</v>
      </c>
      <c r="P146" t="s">
        <v>974</v>
      </c>
      <c r="Q146" t="s">
        <v>45</v>
      </c>
    </row>
    <row r="147" spans="1:17" x14ac:dyDescent="0.25">
      <c r="A147">
        <v>146</v>
      </c>
      <c r="B147" t="s">
        <v>27</v>
      </c>
      <c r="C147">
        <v>38</v>
      </c>
      <c r="E147">
        <f>Table3[[#This Row],[Place_Id]]</f>
        <v>146</v>
      </c>
      <c r="F147">
        <f>Table3[[#This Row],[Lat]]</f>
        <v>-7.8001106</v>
      </c>
      <c r="G147">
        <f>Table3[[#This Row],[Long]]</f>
        <v>110.12389539999999</v>
      </c>
      <c r="I147">
        <v>384</v>
      </c>
      <c r="J147">
        <v>-6.9688821000000001</v>
      </c>
      <c r="K147">
        <v>110.43186919999999</v>
      </c>
      <c r="L147" t="s">
        <v>818</v>
      </c>
      <c r="M147" t="s">
        <v>719</v>
      </c>
      <c r="N147" t="s">
        <v>719</v>
      </c>
      <c r="O147" t="str">
        <f>IF(ISBLANK(Table7[[#This Row],[city]]),Table7[[#This Row],[city2]],Table7[[#This Row],[city]])</f>
        <v>Semarang</v>
      </c>
      <c r="P147" t="s">
        <v>974</v>
      </c>
      <c r="Q147" t="s">
        <v>45</v>
      </c>
    </row>
    <row r="148" spans="1:17" x14ac:dyDescent="0.25">
      <c r="A148">
        <v>147</v>
      </c>
      <c r="B148" t="s">
        <v>6</v>
      </c>
      <c r="C148">
        <v>18</v>
      </c>
      <c r="E148">
        <f>Table3[[#This Row],[Place_Id]]</f>
        <v>147</v>
      </c>
      <c r="F148">
        <f>Table3[[#This Row],[Lat]]</f>
        <v>-7.7857241999999998</v>
      </c>
      <c r="G148">
        <f>Table3[[#This Row],[Long]]</f>
        <v>110.37469539999999</v>
      </c>
      <c r="I148">
        <v>395</v>
      </c>
      <c r="J148">
        <v>-7.2654303999999996</v>
      </c>
      <c r="K148">
        <v>112.7503052</v>
      </c>
      <c r="L148" t="s">
        <v>841</v>
      </c>
      <c r="M148" t="s">
        <v>834</v>
      </c>
      <c r="N148" t="s">
        <v>834</v>
      </c>
      <c r="O148" t="str">
        <f>IF(ISBLANK(Table7[[#This Row],[city]]),Table7[[#This Row],[city2]],Table7[[#This Row],[city]])</f>
        <v>Surabaya</v>
      </c>
      <c r="P148" t="s">
        <v>974</v>
      </c>
      <c r="Q148" t="s">
        <v>45</v>
      </c>
    </row>
    <row r="149" spans="1:17" x14ac:dyDescent="0.25">
      <c r="A149">
        <v>148</v>
      </c>
      <c r="B149" t="s">
        <v>7</v>
      </c>
      <c r="C149">
        <v>33</v>
      </c>
      <c r="E149">
        <f>Table3[[#This Row],[Place_Id]]</f>
        <v>148</v>
      </c>
      <c r="F149">
        <f>Table3[[#This Row],[Lat]]</f>
        <v>-7.9492611999999996</v>
      </c>
      <c r="G149">
        <f>Table3[[#This Row],[Long]]</f>
        <v>110.4926511</v>
      </c>
      <c r="I149">
        <v>408</v>
      </c>
      <c r="J149">
        <v>-7.2787360000000003</v>
      </c>
      <c r="K149">
        <v>112.718453</v>
      </c>
      <c r="L149" t="s">
        <v>867</v>
      </c>
      <c r="M149" t="s">
        <v>834</v>
      </c>
      <c r="N149" t="s">
        <v>834</v>
      </c>
      <c r="O149" t="str">
        <f>IF(ISBLANK(Table7[[#This Row],[city]]),Table7[[#This Row],[city2]],Table7[[#This Row],[city]])</f>
        <v>Surabaya</v>
      </c>
      <c r="P149" t="s">
        <v>974</v>
      </c>
      <c r="Q149" t="s">
        <v>45</v>
      </c>
    </row>
    <row r="150" spans="1:17" x14ac:dyDescent="0.25">
      <c r="A150">
        <v>149</v>
      </c>
      <c r="B150" t="s">
        <v>8</v>
      </c>
      <c r="C150">
        <v>30</v>
      </c>
      <c r="E150">
        <f>Table3[[#This Row],[Place_Id]]</f>
        <v>149</v>
      </c>
      <c r="F150">
        <f>Table3[[#This Row],[Lat]]</f>
        <v>-7.9794413000000004</v>
      </c>
      <c r="G150">
        <f>Table3[[#This Row],[Long]]</f>
        <v>110.3803114</v>
      </c>
      <c r="I150">
        <v>412</v>
      </c>
      <c r="J150">
        <v>-7.2271850000000004</v>
      </c>
      <c r="K150">
        <v>112.718997</v>
      </c>
      <c r="L150" t="s">
        <v>875</v>
      </c>
      <c r="M150" t="s">
        <v>834</v>
      </c>
      <c r="N150" t="s">
        <v>834</v>
      </c>
      <c r="O150" t="str">
        <f>IF(ISBLANK(Table7[[#This Row],[city]]),Table7[[#This Row],[city2]],Table7[[#This Row],[city]])</f>
        <v>Surabaya</v>
      </c>
      <c r="P150" t="s">
        <v>974</v>
      </c>
      <c r="Q150" t="s">
        <v>45</v>
      </c>
    </row>
    <row r="151" spans="1:17" x14ac:dyDescent="0.25">
      <c r="A151">
        <v>150</v>
      </c>
      <c r="B151" t="s">
        <v>7</v>
      </c>
      <c r="C151">
        <v>40</v>
      </c>
      <c r="E151">
        <f>Table3[[#This Row],[Place_Id]]</f>
        <v>150</v>
      </c>
      <c r="F151">
        <f>Table3[[#This Row],[Lat]]</f>
        <v>-7.8067535000000001</v>
      </c>
      <c r="G151">
        <f>Table3[[#This Row],[Long]]</f>
        <v>110.3636659</v>
      </c>
      <c r="I151">
        <v>413</v>
      </c>
      <c r="J151">
        <v>-7.2367447</v>
      </c>
      <c r="K151">
        <v>112.7383009</v>
      </c>
      <c r="L151" t="s">
        <v>877</v>
      </c>
      <c r="M151" t="s">
        <v>834</v>
      </c>
      <c r="N151" t="s">
        <v>834</v>
      </c>
      <c r="O151" t="str">
        <f>IF(ISBLANK(Table7[[#This Row],[city]]),Table7[[#This Row],[city2]],Table7[[#This Row],[city]])</f>
        <v>Surabaya</v>
      </c>
      <c r="P151" t="s">
        <v>974</v>
      </c>
      <c r="Q151" t="s">
        <v>45</v>
      </c>
    </row>
    <row r="152" spans="1:17" x14ac:dyDescent="0.25">
      <c r="A152">
        <v>151</v>
      </c>
      <c r="B152" t="s">
        <v>9</v>
      </c>
      <c r="C152">
        <v>36</v>
      </c>
      <c r="E152">
        <f>Table3[[#This Row],[Place_Id]]</f>
        <v>151</v>
      </c>
      <c r="F152">
        <f>Table3[[#This Row],[Lat]]</f>
        <v>-7.6410258000000004</v>
      </c>
      <c r="G152">
        <f>Table3[[#This Row],[Long]]</f>
        <v>110.36227940000001</v>
      </c>
      <c r="I152">
        <v>414</v>
      </c>
      <c r="J152">
        <v>-7.2353939</v>
      </c>
      <c r="K152">
        <v>112.7367646</v>
      </c>
      <c r="L152" t="s">
        <v>879</v>
      </c>
      <c r="M152" t="s">
        <v>834</v>
      </c>
      <c r="N152" t="s">
        <v>834</v>
      </c>
      <c r="O152" t="str">
        <f>IF(ISBLANK(Table7[[#This Row],[city]]),Table7[[#This Row],[city2]],Table7[[#This Row],[city]])</f>
        <v>Surabaya</v>
      </c>
      <c r="P152" t="s">
        <v>974</v>
      </c>
      <c r="Q152" t="s">
        <v>45</v>
      </c>
    </row>
    <row r="153" spans="1:17" x14ac:dyDescent="0.25">
      <c r="A153">
        <v>152</v>
      </c>
      <c r="B153" t="s">
        <v>10</v>
      </c>
      <c r="C153">
        <v>25</v>
      </c>
      <c r="E153">
        <f>Table3[[#This Row],[Place_Id]]</f>
        <v>152</v>
      </c>
      <c r="F153">
        <f>Table3[[#This Row],[Lat]]</f>
        <v>-7.9977780000000003</v>
      </c>
      <c r="G153">
        <f>Table3[[#This Row],[Long]]</f>
        <v>110.2449113</v>
      </c>
      <c r="I153">
        <v>415</v>
      </c>
      <c r="J153">
        <v>-7.2567553</v>
      </c>
      <c r="K153">
        <v>112.79422030000001</v>
      </c>
      <c r="L153" t="s">
        <v>881</v>
      </c>
      <c r="M153" t="s">
        <v>834</v>
      </c>
      <c r="N153" t="s">
        <v>834</v>
      </c>
      <c r="O153" t="str">
        <f>IF(ISBLANK(Table7[[#This Row],[city]]),Table7[[#This Row],[city2]],Table7[[#This Row],[city]])</f>
        <v>Surabaya</v>
      </c>
      <c r="P153" t="s">
        <v>974</v>
      </c>
      <c r="Q153" t="s">
        <v>45</v>
      </c>
    </row>
    <row r="154" spans="1:17" x14ac:dyDescent="0.25">
      <c r="A154">
        <v>153</v>
      </c>
      <c r="B154" t="s">
        <v>11</v>
      </c>
      <c r="C154">
        <v>39</v>
      </c>
      <c r="E154">
        <f>Table3[[#This Row],[Place_Id]]</f>
        <v>153</v>
      </c>
      <c r="F154">
        <f>Table3[[#This Row],[Lat]]</f>
        <v>-8.1338763000000007</v>
      </c>
      <c r="G154">
        <f>Table3[[#This Row],[Long]]</f>
        <v>110.5548349</v>
      </c>
      <c r="I154">
        <v>416</v>
      </c>
      <c r="J154">
        <v>-7.2469440000000001</v>
      </c>
      <c r="K154">
        <v>112.802222</v>
      </c>
      <c r="L154" t="s">
        <v>883</v>
      </c>
      <c r="M154" t="s">
        <v>834</v>
      </c>
      <c r="N154" t="s">
        <v>834</v>
      </c>
      <c r="O154" t="str">
        <f>IF(ISBLANK(Table7[[#This Row],[city]]),Table7[[#This Row],[city2]],Table7[[#This Row],[city]])</f>
        <v>Surabaya</v>
      </c>
      <c r="P154" t="s">
        <v>974</v>
      </c>
      <c r="Q154" t="s">
        <v>45</v>
      </c>
    </row>
    <row r="155" spans="1:17" x14ac:dyDescent="0.25">
      <c r="A155">
        <v>154</v>
      </c>
      <c r="B155" t="s">
        <v>12</v>
      </c>
      <c r="C155">
        <v>31</v>
      </c>
      <c r="E155">
        <f>Table3[[#This Row],[Place_Id]]</f>
        <v>154</v>
      </c>
      <c r="F155">
        <f>Table3[[#This Row],[Lat]]</f>
        <v>-8.1333389</v>
      </c>
      <c r="G155">
        <f>Table3[[#This Row],[Long]]</f>
        <v>110.5537405</v>
      </c>
      <c r="I155">
        <v>417</v>
      </c>
      <c r="J155">
        <v>-7.2454368999999996</v>
      </c>
      <c r="K155">
        <v>112.7378985</v>
      </c>
      <c r="L155" t="s">
        <v>885</v>
      </c>
      <c r="M155" t="s">
        <v>834</v>
      </c>
      <c r="N155" t="s">
        <v>834</v>
      </c>
      <c r="O155" t="str">
        <f>IF(ISBLANK(Table7[[#This Row],[city]]),Table7[[#This Row],[city2]],Table7[[#This Row],[city]])</f>
        <v>Surabaya</v>
      </c>
      <c r="P155" t="s">
        <v>974</v>
      </c>
      <c r="Q155" t="s">
        <v>45</v>
      </c>
    </row>
    <row r="156" spans="1:17" x14ac:dyDescent="0.25">
      <c r="A156">
        <v>155</v>
      </c>
      <c r="B156" t="s">
        <v>13</v>
      </c>
      <c r="C156">
        <v>37</v>
      </c>
      <c r="E156">
        <f>Table3[[#This Row],[Place_Id]]</f>
        <v>155</v>
      </c>
      <c r="F156">
        <f>Table3[[#This Row],[Lat]]</f>
        <v>-8.1184843999999998</v>
      </c>
      <c r="G156">
        <f>Table3[[#This Row],[Long]]</f>
        <v>110.50287849999999</v>
      </c>
      <c r="I156">
        <v>418</v>
      </c>
      <c r="J156">
        <v>-7.2469260000000002</v>
      </c>
      <c r="K156">
        <v>112.73781</v>
      </c>
      <c r="L156" t="s">
        <v>887</v>
      </c>
      <c r="M156" t="s">
        <v>834</v>
      </c>
      <c r="N156" t="s">
        <v>834</v>
      </c>
      <c r="O156" t="str">
        <f>IF(ISBLANK(Table7[[#This Row],[city]]),Table7[[#This Row],[city2]],Table7[[#This Row],[city]])</f>
        <v>Surabaya</v>
      </c>
      <c r="P156" t="s">
        <v>974</v>
      </c>
      <c r="Q156" t="s">
        <v>45</v>
      </c>
    </row>
    <row r="157" spans="1:17" x14ac:dyDescent="0.25">
      <c r="A157">
        <v>156</v>
      </c>
      <c r="B157" t="s">
        <v>7</v>
      </c>
      <c r="C157">
        <v>31</v>
      </c>
      <c r="E157">
        <f>Table3[[#This Row],[Place_Id]]</f>
        <v>156</v>
      </c>
      <c r="F157">
        <f>Table3[[#This Row],[Lat]]</f>
        <v>-8.1506588999999998</v>
      </c>
      <c r="G157">
        <f>Table3[[#This Row],[Long]]</f>
        <v>110.6126311</v>
      </c>
      <c r="I157">
        <v>419</v>
      </c>
      <c r="J157">
        <v>-7.2562971999999997</v>
      </c>
      <c r="K157">
        <v>112.7379955</v>
      </c>
      <c r="L157" t="s">
        <v>889</v>
      </c>
      <c r="M157" t="s">
        <v>834</v>
      </c>
      <c r="N157" t="s">
        <v>834</v>
      </c>
      <c r="O157" t="str">
        <f>IF(ISBLANK(Table7[[#This Row],[city]]),Table7[[#This Row],[city2]],Table7[[#This Row],[city]])</f>
        <v>Surabaya</v>
      </c>
      <c r="P157" t="s">
        <v>974</v>
      </c>
      <c r="Q157" t="s">
        <v>45</v>
      </c>
    </row>
    <row r="158" spans="1:17" x14ac:dyDescent="0.25">
      <c r="A158">
        <v>157</v>
      </c>
      <c r="B158" t="s">
        <v>14</v>
      </c>
      <c r="C158">
        <v>28</v>
      </c>
      <c r="E158">
        <f>Table3[[#This Row],[Place_Id]]</f>
        <v>157</v>
      </c>
      <c r="F158">
        <f>Table3[[#This Row],[Lat]]</f>
        <v>-8.1288245999999997</v>
      </c>
      <c r="G158">
        <f>Table3[[#This Row],[Long]]</f>
        <v>110.5487763</v>
      </c>
      <c r="I158">
        <v>420</v>
      </c>
      <c r="J158">
        <v>-7.2403279999999999</v>
      </c>
      <c r="K158">
        <v>112.731431</v>
      </c>
      <c r="L158" t="s">
        <v>891</v>
      </c>
      <c r="M158" t="s">
        <v>834</v>
      </c>
      <c r="N158" t="s">
        <v>834</v>
      </c>
      <c r="O158" t="str">
        <f>IF(ISBLANK(Table7[[#This Row],[city]]),Table7[[#This Row],[city2]],Table7[[#This Row],[city]])</f>
        <v>Surabaya</v>
      </c>
      <c r="P158" t="s">
        <v>974</v>
      </c>
      <c r="Q158" t="s">
        <v>45</v>
      </c>
    </row>
    <row r="159" spans="1:17" x14ac:dyDescent="0.25">
      <c r="A159">
        <v>158</v>
      </c>
      <c r="B159" t="s">
        <v>15</v>
      </c>
      <c r="C159">
        <v>23</v>
      </c>
      <c r="E159">
        <f>Table3[[#This Row],[Place_Id]]</f>
        <v>158</v>
      </c>
      <c r="F159">
        <f>Table3[[#This Row],[Lat]]</f>
        <v>-8.1554468</v>
      </c>
      <c r="G159">
        <f>Table3[[#This Row],[Long]]</f>
        <v>110.6217582</v>
      </c>
      <c r="I159">
        <v>421</v>
      </c>
      <c r="J159">
        <v>-7.1954748000000004</v>
      </c>
      <c r="K159">
        <v>112.73952060000001</v>
      </c>
      <c r="L159" t="s">
        <v>893</v>
      </c>
      <c r="M159" t="s">
        <v>834</v>
      </c>
      <c r="N159" t="s">
        <v>834</v>
      </c>
      <c r="O159" t="str">
        <f>IF(ISBLANK(Table7[[#This Row],[city]]),Table7[[#This Row],[city2]],Table7[[#This Row],[city]])</f>
        <v>Surabaya</v>
      </c>
      <c r="P159" t="s">
        <v>974</v>
      </c>
      <c r="Q159" t="s">
        <v>45</v>
      </c>
    </row>
    <row r="160" spans="1:17" x14ac:dyDescent="0.25">
      <c r="A160">
        <v>159</v>
      </c>
      <c r="B160" t="s">
        <v>16</v>
      </c>
      <c r="C160">
        <v>20</v>
      </c>
      <c r="E160">
        <f>Table3[[#This Row],[Place_Id]]</f>
        <v>159</v>
      </c>
      <c r="F160">
        <f>Table3[[#This Row],[Lat]]</f>
        <v>-7.9209208999999996</v>
      </c>
      <c r="G160">
        <f>Table3[[#This Row],[Long]]</f>
        <v>110.43556510000001</v>
      </c>
      <c r="I160">
        <v>422</v>
      </c>
      <c r="J160">
        <v>-7.2960491999999997</v>
      </c>
      <c r="K160">
        <v>112.73870119999999</v>
      </c>
      <c r="L160" t="s">
        <v>895</v>
      </c>
      <c r="M160" t="s">
        <v>834</v>
      </c>
      <c r="N160" t="s">
        <v>834</v>
      </c>
      <c r="O160" t="str">
        <f>IF(ISBLANK(Table7[[#This Row],[city]]),Table7[[#This Row],[city2]],Table7[[#This Row],[city]])</f>
        <v>Surabaya</v>
      </c>
      <c r="P160" t="s">
        <v>974</v>
      </c>
      <c r="Q160" t="s">
        <v>45</v>
      </c>
    </row>
    <row r="161" spans="1:17" x14ac:dyDescent="0.25">
      <c r="A161">
        <v>160</v>
      </c>
      <c r="B161" t="s">
        <v>17</v>
      </c>
      <c r="C161">
        <v>36</v>
      </c>
      <c r="E161">
        <f>Table3[[#This Row],[Place_Id]]</f>
        <v>160</v>
      </c>
      <c r="F161">
        <f>Table3[[#This Row],[Lat]]</f>
        <v>-7.8363205000000002</v>
      </c>
      <c r="G161">
        <f>Table3[[#This Row],[Long]]</f>
        <v>110.4575806</v>
      </c>
      <c r="I161">
        <v>425</v>
      </c>
      <c r="J161">
        <v>-7.2592948000000002</v>
      </c>
      <c r="K161">
        <v>112.7470512</v>
      </c>
      <c r="L161" t="s">
        <v>901</v>
      </c>
      <c r="M161" t="s">
        <v>834</v>
      </c>
      <c r="N161" t="s">
        <v>834</v>
      </c>
      <c r="O161" t="str">
        <f>IF(ISBLANK(Table7[[#This Row],[city]]),Table7[[#This Row],[city2]],Table7[[#This Row],[city]])</f>
        <v>Surabaya</v>
      </c>
      <c r="P161" t="s">
        <v>974</v>
      </c>
      <c r="Q161" t="s">
        <v>45</v>
      </c>
    </row>
    <row r="162" spans="1:17" x14ac:dyDescent="0.25">
      <c r="A162">
        <v>161</v>
      </c>
      <c r="B162" t="s">
        <v>18</v>
      </c>
      <c r="C162">
        <v>33</v>
      </c>
      <c r="E162">
        <f>Table3[[#This Row],[Place_Id]]</f>
        <v>161</v>
      </c>
      <c r="F162">
        <f>Table3[[#This Row],[Lat]]</f>
        <v>-8.0268551000000006</v>
      </c>
      <c r="G162">
        <f>Table3[[#This Row],[Long]]</f>
        <v>110.3459122</v>
      </c>
      <c r="I162">
        <v>426</v>
      </c>
      <c r="J162">
        <v>-7.2472840999999999</v>
      </c>
      <c r="K162">
        <v>112.8010814</v>
      </c>
      <c r="L162" t="s">
        <v>903</v>
      </c>
      <c r="M162" t="s">
        <v>834</v>
      </c>
      <c r="N162" t="s">
        <v>834</v>
      </c>
      <c r="O162" t="str">
        <f>IF(ISBLANK(Table7[[#This Row],[city]]),Table7[[#This Row],[city2]],Table7[[#This Row],[city]])</f>
        <v>Surabaya</v>
      </c>
      <c r="P162" t="s">
        <v>974</v>
      </c>
      <c r="Q162" t="s">
        <v>45</v>
      </c>
    </row>
    <row r="163" spans="1:17" x14ac:dyDescent="0.25">
      <c r="A163">
        <v>162</v>
      </c>
      <c r="B163" t="s">
        <v>7</v>
      </c>
      <c r="C163">
        <v>25</v>
      </c>
      <c r="E163">
        <f>Table3[[#This Row],[Place_Id]]</f>
        <v>162</v>
      </c>
      <c r="F163">
        <f>Table3[[#This Row],[Lat]]</f>
        <v>-7.8105529000000002</v>
      </c>
      <c r="G163">
        <f>Table3[[#This Row],[Long]]</f>
        <v>110.3704987</v>
      </c>
      <c r="I163">
        <v>427</v>
      </c>
      <c r="J163">
        <v>-7.2677754999999999</v>
      </c>
      <c r="K163">
        <v>112.74438979999999</v>
      </c>
      <c r="L163" t="s">
        <v>905</v>
      </c>
      <c r="M163" t="s">
        <v>834</v>
      </c>
      <c r="N163" t="s">
        <v>834</v>
      </c>
      <c r="O163" t="str">
        <f>IF(ISBLANK(Table7[[#This Row],[city]]),Table7[[#This Row],[city2]],Table7[[#This Row],[city]])</f>
        <v>Surabaya</v>
      </c>
      <c r="P163" t="s">
        <v>974</v>
      </c>
      <c r="Q163" t="s">
        <v>45</v>
      </c>
    </row>
    <row r="164" spans="1:17" x14ac:dyDescent="0.25">
      <c r="A164">
        <v>163</v>
      </c>
      <c r="B164" t="s">
        <v>6</v>
      </c>
      <c r="C164">
        <v>40</v>
      </c>
      <c r="E164">
        <f>Table3[[#This Row],[Place_Id]]</f>
        <v>163</v>
      </c>
      <c r="F164">
        <f>Table3[[#This Row],[Lat]]</f>
        <v>-7.9471210000000001</v>
      </c>
      <c r="G164">
        <f>Table3[[#This Row],[Long]]</f>
        <v>110.441</v>
      </c>
      <c r="I164">
        <v>428</v>
      </c>
      <c r="J164">
        <v>-7.2308173</v>
      </c>
      <c r="K164">
        <v>112.73423440000001</v>
      </c>
      <c r="L164" t="s">
        <v>907</v>
      </c>
      <c r="M164" t="s">
        <v>834</v>
      </c>
      <c r="N164" t="s">
        <v>834</v>
      </c>
      <c r="O164" t="str">
        <f>IF(ISBLANK(Table7[[#This Row],[city]]),Table7[[#This Row],[city2]],Table7[[#This Row],[city]])</f>
        <v>Surabaya</v>
      </c>
      <c r="P164" t="s">
        <v>974</v>
      </c>
      <c r="Q164" t="s">
        <v>45</v>
      </c>
    </row>
    <row r="165" spans="1:17" x14ac:dyDescent="0.25">
      <c r="A165">
        <v>164</v>
      </c>
      <c r="B165" t="s">
        <v>14</v>
      </c>
      <c r="C165">
        <v>19</v>
      </c>
      <c r="E165">
        <f>Table3[[#This Row],[Place_Id]]</f>
        <v>164</v>
      </c>
      <c r="F165">
        <f>Table3[[#This Row],[Lat]]</f>
        <v>-7.913608</v>
      </c>
      <c r="G165">
        <f>Table3[[#This Row],[Long]]</f>
        <v>110.437783</v>
      </c>
      <c r="I165">
        <v>432</v>
      </c>
      <c r="J165">
        <v>-7.4338592999999999</v>
      </c>
      <c r="K165">
        <v>112.71990580000001</v>
      </c>
      <c r="L165" t="s">
        <v>915</v>
      </c>
      <c r="M165" t="s">
        <v>962</v>
      </c>
      <c r="N165" t="s">
        <v>834</v>
      </c>
      <c r="O165" t="str">
        <f>IF(ISBLANK(Table7[[#This Row],[city]]),Table7[[#This Row],[city2]],Table7[[#This Row],[city]])</f>
        <v>Sidoarjo</v>
      </c>
      <c r="P165" t="s">
        <v>974</v>
      </c>
      <c r="Q165" t="s">
        <v>45</v>
      </c>
    </row>
    <row r="166" spans="1:17" x14ac:dyDescent="0.25">
      <c r="A166">
        <v>165</v>
      </c>
      <c r="B166" t="s">
        <v>8</v>
      </c>
      <c r="C166">
        <v>23</v>
      </c>
      <c r="E166">
        <f>Table3[[#This Row],[Place_Id]]</f>
        <v>165</v>
      </c>
      <c r="F166">
        <f>Table3[[#This Row],[Lat]]</f>
        <v>-7.8130940000000004</v>
      </c>
      <c r="G166">
        <f>Table3[[#This Row],[Long]]</f>
        <v>110.615571</v>
      </c>
      <c r="I166">
        <v>7</v>
      </c>
      <c r="J166">
        <v>-6.3124593000000004</v>
      </c>
      <c r="K166">
        <v>106.82018650000001</v>
      </c>
      <c r="L166" t="s">
        <v>58</v>
      </c>
      <c r="M166" t="s">
        <v>953</v>
      </c>
      <c r="N166" t="s">
        <v>46</v>
      </c>
      <c r="O166" t="str">
        <f>IF(ISBLANK(Table7[[#This Row],[city]]),Table7[[#This Row],[city2]],Table7[[#This Row],[city]])</f>
        <v>South Jakarta</v>
      </c>
      <c r="P166" t="s">
        <v>928</v>
      </c>
      <c r="Q166" t="s">
        <v>60</v>
      </c>
    </row>
    <row r="167" spans="1:17" x14ac:dyDescent="0.25">
      <c r="A167">
        <v>166</v>
      </c>
      <c r="B167" t="s">
        <v>9</v>
      </c>
      <c r="C167">
        <v>26</v>
      </c>
      <c r="E167">
        <f>Table3[[#This Row],[Place_Id]]</f>
        <v>166</v>
      </c>
      <c r="F167">
        <f>Table3[[#This Row],[Lat]]</f>
        <v>-7.6470539999999998</v>
      </c>
      <c r="G167">
        <f>Table3[[#This Row],[Long]]</f>
        <v>110.1414699</v>
      </c>
      <c r="I167">
        <v>31</v>
      </c>
      <c r="J167">
        <v>-6.105334</v>
      </c>
      <c r="K167">
        <v>106.735584</v>
      </c>
      <c r="L167" t="s">
        <v>110</v>
      </c>
      <c r="M167" t="s">
        <v>951</v>
      </c>
      <c r="N167" t="s">
        <v>46</v>
      </c>
      <c r="O167" t="str">
        <f>IF(ISBLANK(Table7[[#This Row],[city]]),Table7[[#This Row],[city2]],Table7[[#This Row],[city]])</f>
        <v>North Jakarta</v>
      </c>
      <c r="P167" t="s">
        <v>928</v>
      </c>
      <c r="Q167" t="s">
        <v>60</v>
      </c>
    </row>
    <row r="168" spans="1:17" x14ac:dyDescent="0.25">
      <c r="A168">
        <v>167</v>
      </c>
      <c r="B168" t="s">
        <v>6</v>
      </c>
      <c r="C168">
        <v>19</v>
      </c>
      <c r="E168">
        <f>Table3[[#This Row],[Place_Id]]</f>
        <v>167</v>
      </c>
      <c r="F168">
        <f>Table3[[#This Row],[Lat]]</f>
        <v>-7.9742940000000004</v>
      </c>
      <c r="G168">
        <f>Table3[[#This Row],[Long]]</f>
        <v>110.4364363</v>
      </c>
      <c r="I168">
        <v>67</v>
      </c>
      <c r="J168">
        <v>-6.1160075000000003</v>
      </c>
      <c r="K168">
        <v>106.7692016</v>
      </c>
      <c r="L168" t="s">
        <v>182</v>
      </c>
      <c r="M168" t="s">
        <v>951</v>
      </c>
      <c r="N168" t="s">
        <v>46</v>
      </c>
      <c r="O168" t="str">
        <f>IF(ISBLANK(Table7[[#This Row],[city]]),Table7[[#This Row],[city2]],Table7[[#This Row],[city]])</f>
        <v>North Jakarta</v>
      </c>
      <c r="P168" t="s">
        <v>928</v>
      </c>
      <c r="Q168" t="s">
        <v>60</v>
      </c>
    </row>
    <row r="169" spans="1:17" x14ac:dyDescent="0.25">
      <c r="A169">
        <v>168</v>
      </c>
      <c r="B169" t="s">
        <v>19</v>
      </c>
      <c r="C169">
        <v>38</v>
      </c>
      <c r="E169">
        <f>Table3[[#This Row],[Place_Id]]</f>
        <v>168</v>
      </c>
      <c r="F169">
        <f>Table3[[#This Row],[Lat]]</f>
        <v>-8.1759266000000004</v>
      </c>
      <c r="G169">
        <f>Table3[[#This Row],[Long]]</f>
        <v>110.66241960000001</v>
      </c>
      <c r="I169">
        <v>71</v>
      </c>
      <c r="J169">
        <v>-6.3799969000000001</v>
      </c>
      <c r="K169">
        <v>106.8949793</v>
      </c>
      <c r="L169" t="s">
        <v>190</v>
      </c>
      <c r="M169" t="s">
        <v>952</v>
      </c>
      <c r="N169" t="s">
        <v>46</v>
      </c>
      <c r="O169" t="str">
        <f>IF(ISBLANK(Table7[[#This Row],[city]]),Table7[[#This Row],[city2]],Table7[[#This Row],[city]])</f>
        <v>East Jakarta</v>
      </c>
      <c r="P169" t="s">
        <v>928</v>
      </c>
      <c r="Q169" t="s">
        <v>60</v>
      </c>
    </row>
    <row r="170" spans="1:17" x14ac:dyDescent="0.25">
      <c r="A170">
        <v>169</v>
      </c>
      <c r="B170" t="s">
        <v>20</v>
      </c>
      <c r="C170">
        <v>18</v>
      </c>
      <c r="E170">
        <f>Table3[[#This Row],[Place_Id]]</f>
        <v>169</v>
      </c>
      <c r="F170">
        <f>Table3[[#This Row],[Lat]]</f>
        <v>-8.1026167000000004</v>
      </c>
      <c r="G170">
        <f>Table3[[#This Row],[Long]]</f>
        <v>110.45620839999999</v>
      </c>
      <c r="I170">
        <v>93</v>
      </c>
      <c r="J170">
        <v>-7.8062344000000001</v>
      </c>
      <c r="K170">
        <v>110.39679769999999</v>
      </c>
      <c r="L170" t="s">
        <v>235</v>
      </c>
      <c r="M170" t="s">
        <v>220</v>
      </c>
      <c r="N170" t="s">
        <v>220</v>
      </c>
      <c r="O170" t="str">
        <f>IF(ISBLANK(Table7[[#This Row],[city]]),Table7[[#This Row],[city2]],Table7[[#This Row],[city]])</f>
        <v>Yogyakarta</v>
      </c>
      <c r="P170" t="s">
        <v>220</v>
      </c>
      <c r="Q170" t="s">
        <v>60</v>
      </c>
    </row>
    <row r="171" spans="1:17" x14ac:dyDescent="0.25">
      <c r="A171">
        <v>170</v>
      </c>
      <c r="B171" t="s">
        <v>7</v>
      </c>
      <c r="C171">
        <v>19</v>
      </c>
      <c r="E171">
        <f>Table3[[#This Row],[Place_Id]]</f>
        <v>170</v>
      </c>
      <c r="F171">
        <f>Table3[[#This Row],[Lat]]</f>
        <v>-7.6078738000000001</v>
      </c>
      <c r="G171">
        <f>Table3[[#This Row],[Long]]</f>
        <v>110.20375129999999</v>
      </c>
      <c r="I171">
        <v>131</v>
      </c>
      <c r="J171">
        <v>-7.9924378999999997</v>
      </c>
      <c r="K171">
        <v>110.317778</v>
      </c>
      <c r="L171" t="s">
        <v>311</v>
      </c>
      <c r="M171" t="s">
        <v>960</v>
      </c>
      <c r="N171" t="s">
        <v>220</v>
      </c>
      <c r="O171" t="str">
        <f>IF(ISBLANK(Table7[[#This Row],[city]]),Table7[[#This Row],[city2]],Table7[[#This Row],[city]])</f>
        <v>Bantul</v>
      </c>
      <c r="P171" t="s">
        <v>220</v>
      </c>
      <c r="Q171" t="s">
        <v>60</v>
      </c>
    </row>
    <row r="172" spans="1:17" x14ac:dyDescent="0.25">
      <c r="A172">
        <v>171</v>
      </c>
      <c r="B172" t="s">
        <v>9</v>
      </c>
      <c r="C172">
        <v>33</v>
      </c>
      <c r="E172">
        <f>Table3[[#This Row],[Place_Id]]</f>
        <v>171</v>
      </c>
      <c r="F172">
        <f>Table3[[#This Row],[Lat]]</f>
        <v>-7.7838276000000004</v>
      </c>
      <c r="G172">
        <f>Table3[[#This Row],[Long]]</f>
        <v>110.5118987</v>
      </c>
      <c r="I172">
        <v>132</v>
      </c>
      <c r="J172">
        <v>-7.7699875</v>
      </c>
      <c r="K172">
        <v>110.1210707</v>
      </c>
      <c r="L172" t="s">
        <v>313</v>
      </c>
      <c r="M172" t="s">
        <v>965</v>
      </c>
      <c r="N172" t="s">
        <v>220</v>
      </c>
      <c r="O172" t="str">
        <f>IF(ISBLANK(Table7[[#This Row],[city]]),Table7[[#This Row],[city2]],Table7[[#This Row],[city]])</f>
        <v>Kulon Progo</v>
      </c>
      <c r="P172" t="s">
        <v>220</v>
      </c>
      <c r="Q172" t="s">
        <v>60</v>
      </c>
    </row>
    <row r="173" spans="1:17" x14ac:dyDescent="0.25">
      <c r="A173">
        <v>172</v>
      </c>
      <c r="B173" t="s">
        <v>21</v>
      </c>
      <c r="C173">
        <v>34</v>
      </c>
      <c r="E173">
        <f>Table3[[#This Row],[Place_Id]]</f>
        <v>172</v>
      </c>
      <c r="F173">
        <f>Table3[[#This Row],[Lat]]</f>
        <v>-8.1508415000000003</v>
      </c>
      <c r="G173">
        <f>Table3[[#This Row],[Long]]</f>
        <v>110.6129852</v>
      </c>
      <c r="I173">
        <v>137</v>
      </c>
      <c r="J173">
        <v>-7.8057305000000001</v>
      </c>
      <c r="K173">
        <v>110.12796899999999</v>
      </c>
      <c r="L173" t="s">
        <v>323</v>
      </c>
      <c r="M173" t="s">
        <v>965</v>
      </c>
      <c r="N173" t="s">
        <v>220</v>
      </c>
      <c r="O173" t="str">
        <f>IF(ISBLANK(Table7[[#This Row],[city]]),Table7[[#This Row],[city2]],Table7[[#This Row],[city]])</f>
        <v>Kulon Progo</v>
      </c>
      <c r="P173" t="s">
        <v>220</v>
      </c>
      <c r="Q173" t="s">
        <v>60</v>
      </c>
    </row>
    <row r="174" spans="1:17" x14ac:dyDescent="0.25">
      <c r="A174">
        <v>173</v>
      </c>
      <c r="B174" t="s">
        <v>15</v>
      </c>
      <c r="C174">
        <v>29</v>
      </c>
      <c r="E174">
        <f>Table3[[#This Row],[Place_Id]]</f>
        <v>173</v>
      </c>
      <c r="F174">
        <f>Table3[[#This Row],[Lat]]</f>
        <v>-8.1827027999999995</v>
      </c>
      <c r="G174">
        <f>Table3[[#This Row],[Long]]</f>
        <v>110.6792399</v>
      </c>
      <c r="I174">
        <v>139</v>
      </c>
      <c r="J174">
        <v>-7.841253</v>
      </c>
      <c r="K174">
        <v>110.54305600000001</v>
      </c>
      <c r="L174" t="s">
        <v>327</v>
      </c>
      <c r="M174" t="s">
        <v>964</v>
      </c>
      <c r="N174" t="s">
        <v>220</v>
      </c>
      <c r="O174" t="str">
        <f>IF(ISBLANK(Table7[[#This Row],[city]]),Table7[[#This Row],[city2]],Table7[[#This Row],[city]])</f>
        <v>Gunungkidul</v>
      </c>
      <c r="P174" t="s">
        <v>220</v>
      </c>
      <c r="Q174" t="s">
        <v>60</v>
      </c>
    </row>
    <row r="175" spans="1:17" x14ac:dyDescent="0.25">
      <c r="A175">
        <v>174</v>
      </c>
      <c r="B175" t="s">
        <v>22</v>
      </c>
      <c r="C175">
        <v>32</v>
      </c>
      <c r="E175">
        <f>Table3[[#This Row],[Place_Id]]</f>
        <v>174</v>
      </c>
      <c r="F175">
        <f>Table3[[#This Row],[Lat]]</f>
        <v>-7.7987943</v>
      </c>
      <c r="G175">
        <f>Table3[[#This Row],[Long]]</f>
        <v>110.36744299999999</v>
      </c>
      <c r="I175">
        <v>141</v>
      </c>
      <c r="J175">
        <v>-7.5829198</v>
      </c>
      <c r="K175">
        <v>110.4476816</v>
      </c>
      <c r="L175" t="s">
        <v>331</v>
      </c>
      <c r="M175" t="s">
        <v>956</v>
      </c>
      <c r="N175" t="s">
        <v>220</v>
      </c>
      <c r="O175" t="str">
        <f>IF(ISBLANK(Table7[[#This Row],[city]]),Table7[[#This Row],[city2]],Table7[[#This Row],[city]])</f>
        <v>Sleman</v>
      </c>
      <c r="P175" t="s">
        <v>220</v>
      </c>
      <c r="Q175" t="s">
        <v>60</v>
      </c>
    </row>
    <row r="176" spans="1:17" x14ac:dyDescent="0.25">
      <c r="A176">
        <v>175</v>
      </c>
      <c r="B176" t="s">
        <v>23</v>
      </c>
      <c r="C176">
        <v>36</v>
      </c>
      <c r="E176">
        <f>Table3[[#This Row],[Place_Id]]</f>
        <v>175</v>
      </c>
      <c r="F176">
        <f>Table3[[#This Row],[Lat]]</f>
        <v>-7.5978656000000004</v>
      </c>
      <c r="G176">
        <f>Table3[[#This Row],[Long]]</f>
        <v>110.4233959</v>
      </c>
      <c r="I176">
        <v>142</v>
      </c>
      <c r="J176">
        <v>-7.6470943</v>
      </c>
      <c r="K176">
        <v>110.4280998</v>
      </c>
      <c r="L176" t="s">
        <v>333</v>
      </c>
      <c r="M176" t="s">
        <v>956</v>
      </c>
      <c r="N176" t="s">
        <v>220</v>
      </c>
      <c r="O176" t="str">
        <f>IF(ISBLANK(Table7[[#This Row],[city]]),Table7[[#This Row],[city2]],Table7[[#This Row],[city]])</f>
        <v>Sleman</v>
      </c>
      <c r="P176" t="s">
        <v>220</v>
      </c>
      <c r="Q176" t="s">
        <v>60</v>
      </c>
    </row>
    <row r="177" spans="1:17" x14ac:dyDescent="0.25">
      <c r="A177">
        <v>176</v>
      </c>
      <c r="B177" t="s">
        <v>16</v>
      </c>
      <c r="C177">
        <v>31</v>
      </c>
      <c r="E177">
        <f>Table3[[#This Row],[Place_Id]]</f>
        <v>176</v>
      </c>
      <c r="F177">
        <f>Table3[[#This Row],[Lat]]</f>
        <v>-7.6159271999999998</v>
      </c>
      <c r="G177">
        <f>Table3[[#This Row],[Long]]</f>
        <v>110.4243329</v>
      </c>
      <c r="I177">
        <v>143</v>
      </c>
      <c r="J177">
        <v>-7.9310983999999998</v>
      </c>
      <c r="K177">
        <v>110.430919</v>
      </c>
      <c r="L177" t="s">
        <v>335</v>
      </c>
      <c r="M177" t="s">
        <v>960</v>
      </c>
      <c r="N177" t="s">
        <v>220</v>
      </c>
      <c r="O177" t="str">
        <f>IF(ISBLANK(Table7[[#This Row],[city]]),Table7[[#This Row],[city2]],Table7[[#This Row],[city]])</f>
        <v>Bantul</v>
      </c>
      <c r="P177" t="s">
        <v>220</v>
      </c>
      <c r="Q177" t="s">
        <v>60</v>
      </c>
    </row>
    <row r="178" spans="1:17" x14ac:dyDescent="0.25">
      <c r="A178">
        <v>177</v>
      </c>
      <c r="B178" t="s">
        <v>11</v>
      </c>
      <c r="C178">
        <v>35</v>
      </c>
      <c r="E178">
        <f>Table3[[#This Row],[Place_Id]]</f>
        <v>177</v>
      </c>
      <c r="F178">
        <f>Table3[[#This Row],[Lat]]</f>
        <v>-8.0246080000000006</v>
      </c>
      <c r="G178">
        <f>Table3[[#This Row],[Long]]</f>
        <v>110.32980449999999</v>
      </c>
      <c r="I178">
        <v>144</v>
      </c>
      <c r="J178">
        <v>-8.0281561999999997</v>
      </c>
      <c r="K178">
        <v>110.6383307</v>
      </c>
      <c r="L178" t="s">
        <v>337</v>
      </c>
      <c r="M178" t="s">
        <v>964</v>
      </c>
      <c r="N178" t="s">
        <v>220</v>
      </c>
      <c r="O178" t="str">
        <f>IF(ISBLANK(Table7[[#This Row],[city]]),Table7[[#This Row],[city2]],Table7[[#This Row],[city]])</f>
        <v>Gunungkidul</v>
      </c>
      <c r="P178" t="s">
        <v>220</v>
      </c>
      <c r="Q178" t="s">
        <v>60</v>
      </c>
    </row>
    <row r="179" spans="1:17" x14ac:dyDescent="0.25">
      <c r="A179">
        <v>178</v>
      </c>
      <c r="B179" t="s">
        <v>7</v>
      </c>
      <c r="C179">
        <v>33</v>
      </c>
      <c r="E179">
        <f>Table3[[#This Row],[Place_Id]]</f>
        <v>178</v>
      </c>
      <c r="F179">
        <f>Table3[[#This Row],[Lat]]</f>
        <v>-7.9339721000000001</v>
      </c>
      <c r="G179">
        <f>Table3[[#This Row],[Long]]</f>
        <v>110.651966</v>
      </c>
      <c r="I179">
        <v>146</v>
      </c>
      <c r="J179">
        <v>-7.8001106</v>
      </c>
      <c r="K179">
        <v>110.12389539999999</v>
      </c>
      <c r="L179" t="s">
        <v>341</v>
      </c>
      <c r="M179" t="s">
        <v>965</v>
      </c>
      <c r="N179" t="s">
        <v>220</v>
      </c>
      <c r="O179" t="str">
        <f>IF(ISBLANK(Table7[[#This Row],[city]]),Table7[[#This Row],[city2]],Table7[[#This Row],[city]])</f>
        <v>Kulon Progo</v>
      </c>
      <c r="P179" t="s">
        <v>220</v>
      </c>
      <c r="Q179" t="s">
        <v>60</v>
      </c>
    </row>
    <row r="180" spans="1:17" x14ac:dyDescent="0.25">
      <c r="A180">
        <v>179</v>
      </c>
      <c r="B180" t="s">
        <v>23</v>
      </c>
      <c r="C180">
        <v>27</v>
      </c>
      <c r="E180">
        <f>Table3[[#This Row],[Place_Id]]</f>
        <v>179</v>
      </c>
      <c r="F180">
        <f>Table3[[#This Row],[Lat]]</f>
        <v>-7.7705415999999996</v>
      </c>
      <c r="G180">
        <f>Table3[[#This Row],[Long]]</f>
        <v>110.4894158</v>
      </c>
      <c r="I180">
        <v>148</v>
      </c>
      <c r="J180">
        <v>-7.9492611999999996</v>
      </c>
      <c r="K180">
        <v>110.4926511</v>
      </c>
      <c r="L180" t="s">
        <v>345</v>
      </c>
      <c r="M180" t="s">
        <v>964</v>
      </c>
      <c r="N180" t="s">
        <v>220</v>
      </c>
      <c r="O180" t="str">
        <f>IF(ISBLANK(Table7[[#This Row],[city]]),Table7[[#This Row],[city2]],Table7[[#This Row],[city]])</f>
        <v>Gunungkidul</v>
      </c>
      <c r="P180" t="s">
        <v>220</v>
      </c>
      <c r="Q180" t="s">
        <v>60</v>
      </c>
    </row>
    <row r="181" spans="1:17" x14ac:dyDescent="0.25">
      <c r="A181">
        <v>180</v>
      </c>
      <c r="B181" t="s">
        <v>22</v>
      </c>
      <c r="C181">
        <v>24</v>
      </c>
      <c r="E181">
        <f>Table3[[#This Row],[Place_Id]]</f>
        <v>180</v>
      </c>
      <c r="F181">
        <f>Table3[[#This Row],[Lat]]</f>
        <v>-8.0137087000000005</v>
      </c>
      <c r="G181">
        <f>Table3[[#This Row],[Long]]</f>
        <v>110.2914777</v>
      </c>
      <c r="I181">
        <v>149</v>
      </c>
      <c r="J181">
        <v>-7.9794413000000004</v>
      </c>
      <c r="K181">
        <v>110.3803114</v>
      </c>
      <c r="L181" t="s">
        <v>347</v>
      </c>
      <c r="M181" t="s">
        <v>960</v>
      </c>
      <c r="N181" t="s">
        <v>220</v>
      </c>
      <c r="O181" t="str">
        <f>IF(ISBLANK(Table7[[#This Row],[city]]),Table7[[#This Row],[city2]],Table7[[#This Row],[city]])</f>
        <v>Bantul</v>
      </c>
      <c r="P181" t="s">
        <v>220</v>
      </c>
      <c r="Q181" t="s">
        <v>60</v>
      </c>
    </row>
    <row r="182" spans="1:17" x14ac:dyDescent="0.25">
      <c r="A182">
        <v>181</v>
      </c>
      <c r="B182" t="s">
        <v>24</v>
      </c>
      <c r="C182">
        <v>29</v>
      </c>
      <c r="E182">
        <f>Table3[[#This Row],[Place_Id]]</f>
        <v>181</v>
      </c>
      <c r="F182">
        <f>Table3[[#This Row],[Lat]]</f>
        <v>-8.1470719999999996</v>
      </c>
      <c r="G182">
        <f>Table3[[#This Row],[Long]]</f>
        <v>110.6079043</v>
      </c>
      <c r="I182">
        <v>159</v>
      </c>
      <c r="J182">
        <v>-7.9209208999999996</v>
      </c>
      <c r="K182">
        <v>110.43556510000001</v>
      </c>
      <c r="L182" t="s">
        <v>367</v>
      </c>
      <c r="M182" t="s">
        <v>960</v>
      </c>
      <c r="N182" t="s">
        <v>220</v>
      </c>
      <c r="O182" t="str">
        <f>IF(ISBLANK(Table7[[#This Row],[city]]),Table7[[#This Row],[city2]],Table7[[#This Row],[city]])</f>
        <v>Bantul</v>
      </c>
      <c r="P182" t="s">
        <v>220</v>
      </c>
      <c r="Q182" t="s">
        <v>60</v>
      </c>
    </row>
    <row r="183" spans="1:17" x14ac:dyDescent="0.25">
      <c r="A183">
        <v>182</v>
      </c>
      <c r="B183" t="s">
        <v>25</v>
      </c>
      <c r="C183">
        <v>34</v>
      </c>
      <c r="E183">
        <f>Table3[[#This Row],[Place_Id]]</f>
        <v>182</v>
      </c>
      <c r="F183">
        <f>Table3[[#This Row],[Lat]]</f>
        <v>-7.8933458999999999</v>
      </c>
      <c r="G183">
        <f>Table3[[#This Row],[Long]]</f>
        <v>110.0198257</v>
      </c>
      <c r="I183">
        <v>161</v>
      </c>
      <c r="J183">
        <v>-8.0268551000000006</v>
      </c>
      <c r="K183">
        <v>110.3459122</v>
      </c>
      <c r="L183" t="s">
        <v>966</v>
      </c>
      <c r="M183" t="s">
        <v>964</v>
      </c>
      <c r="N183" t="s">
        <v>220</v>
      </c>
      <c r="O183" t="str">
        <f>IF(ISBLANK(Table7[[#This Row],[city]]),Table7[[#This Row],[city2]],Table7[[#This Row],[city]])</f>
        <v>Gunungkidul</v>
      </c>
      <c r="P183" t="s">
        <v>220</v>
      </c>
      <c r="Q183" t="s">
        <v>60</v>
      </c>
    </row>
    <row r="184" spans="1:17" x14ac:dyDescent="0.25">
      <c r="A184">
        <v>183</v>
      </c>
      <c r="B184" t="s">
        <v>26</v>
      </c>
      <c r="C184">
        <v>37</v>
      </c>
      <c r="E184">
        <f>Table3[[#This Row],[Place_Id]]</f>
        <v>183</v>
      </c>
      <c r="F184">
        <f>Table3[[#This Row],[Lat]]</f>
        <v>-7.7478461000000003</v>
      </c>
      <c r="G184">
        <f>Table3[[#This Row],[Long]]</f>
        <v>110.4188754</v>
      </c>
      <c r="I184">
        <v>163</v>
      </c>
      <c r="J184">
        <v>-7.9471210000000001</v>
      </c>
      <c r="K184">
        <v>110.441</v>
      </c>
      <c r="L184" t="s">
        <v>375</v>
      </c>
      <c r="M184" t="s">
        <v>960</v>
      </c>
      <c r="N184" t="s">
        <v>220</v>
      </c>
      <c r="O184" t="str">
        <f>IF(ISBLANK(Table7[[#This Row],[city]]),Table7[[#This Row],[city2]],Table7[[#This Row],[city]])</f>
        <v>Bantul</v>
      </c>
      <c r="P184" t="s">
        <v>220</v>
      </c>
      <c r="Q184" t="s">
        <v>60</v>
      </c>
    </row>
    <row r="185" spans="1:17" x14ac:dyDescent="0.25">
      <c r="A185">
        <v>184</v>
      </c>
      <c r="B185" t="s">
        <v>27</v>
      </c>
      <c r="C185">
        <v>30</v>
      </c>
      <c r="E185">
        <f>Table3[[#This Row],[Place_Id]]</f>
        <v>184</v>
      </c>
      <c r="F185">
        <f>Table3[[#This Row],[Lat]]</f>
        <v>-8.1366656000000006</v>
      </c>
      <c r="G185">
        <f>Table3[[#This Row],[Long]]</f>
        <v>110.5659962</v>
      </c>
      <c r="I185">
        <v>164</v>
      </c>
      <c r="J185">
        <v>-7.913608</v>
      </c>
      <c r="K185">
        <v>110.437783</v>
      </c>
      <c r="L185" t="s">
        <v>377</v>
      </c>
      <c r="M185" t="s">
        <v>960</v>
      </c>
      <c r="N185" t="s">
        <v>220</v>
      </c>
      <c r="O185" t="str">
        <f>IF(ISBLANK(Table7[[#This Row],[city]]),Table7[[#This Row],[city2]],Table7[[#This Row],[city]])</f>
        <v>Bantul</v>
      </c>
      <c r="P185" t="s">
        <v>220</v>
      </c>
      <c r="Q185" t="s">
        <v>60</v>
      </c>
    </row>
    <row r="186" spans="1:17" x14ac:dyDescent="0.25">
      <c r="A186">
        <v>185</v>
      </c>
      <c r="B186" t="s">
        <v>28</v>
      </c>
      <c r="C186">
        <v>33</v>
      </c>
      <c r="E186">
        <f>Table3[[#This Row],[Place_Id]]</f>
        <v>185</v>
      </c>
      <c r="F186">
        <f>Table3[[#This Row],[Lat]]</f>
        <v>-8.1450189999999996</v>
      </c>
      <c r="G186">
        <f>Table3[[#This Row],[Long]]</f>
        <v>110.5998857</v>
      </c>
      <c r="I186">
        <v>166</v>
      </c>
      <c r="J186">
        <v>-7.6470539999999998</v>
      </c>
      <c r="K186">
        <v>110.1414699</v>
      </c>
      <c r="L186" t="s">
        <v>381</v>
      </c>
      <c r="M186" t="s">
        <v>965</v>
      </c>
      <c r="N186" t="s">
        <v>220</v>
      </c>
      <c r="O186" t="str">
        <f>IF(ISBLANK(Table7[[#This Row],[city]]),Table7[[#This Row],[city2]],Table7[[#This Row],[city]])</f>
        <v>Kulon Progo</v>
      </c>
      <c r="P186" t="s">
        <v>220</v>
      </c>
      <c r="Q186" t="s">
        <v>60</v>
      </c>
    </row>
    <row r="187" spans="1:17" x14ac:dyDescent="0.25">
      <c r="A187">
        <v>186</v>
      </c>
      <c r="B187" t="s">
        <v>6</v>
      </c>
      <c r="C187">
        <v>28</v>
      </c>
      <c r="E187">
        <f>Table3[[#This Row],[Place_Id]]</f>
        <v>186</v>
      </c>
      <c r="F187">
        <f>Table3[[#This Row],[Lat]]</f>
        <v>-7.9119427</v>
      </c>
      <c r="G187">
        <f>Table3[[#This Row],[Long]]</f>
        <v>110.06473389999999</v>
      </c>
      <c r="I187">
        <v>167</v>
      </c>
      <c r="J187">
        <v>-7.9742940000000004</v>
      </c>
      <c r="K187">
        <v>110.4364363</v>
      </c>
      <c r="L187" t="s">
        <v>383</v>
      </c>
      <c r="M187" t="s">
        <v>964</v>
      </c>
      <c r="N187" t="s">
        <v>220</v>
      </c>
      <c r="O187" t="str">
        <f>IF(ISBLANK(Table7[[#This Row],[city]]),Table7[[#This Row],[city2]],Table7[[#This Row],[city]])</f>
        <v>Gunungkidul</v>
      </c>
      <c r="P187" t="s">
        <v>220</v>
      </c>
      <c r="Q187" t="s">
        <v>60</v>
      </c>
    </row>
    <row r="188" spans="1:17" x14ac:dyDescent="0.25">
      <c r="A188">
        <v>187</v>
      </c>
      <c r="B188" t="s">
        <v>14</v>
      </c>
      <c r="C188">
        <v>25</v>
      </c>
      <c r="E188">
        <f>Table3[[#This Row],[Place_Id]]</f>
        <v>187</v>
      </c>
      <c r="F188">
        <f>Table3[[#This Row],[Lat]]</f>
        <v>-8.1818232999999996</v>
      </c>
      <c r="G188">
        <f>Table3[[#This Row],[Long]]</f>
        <v>110.68323940000001</v>
      </c>
      <c r="I188">
        <v>169</v>
      </c>
      <c r="J188">
        <v>-8.1026167000000004</v>
      </c>
      <c r="K188">
        <v>110.45620839999999</v>
      </c>
      <c r="L188" t="s">
        <v>387</v>
      </c>
      <c r="M188" t="s">
        <v>964</v>
      </c>
      <c r="N188" t="s">
        <v>220</v>
      </c>
      <c r="O188" t="str">
        <f>IF(ISBLANK(Table7[[#This Row],[city]]),Table7[[#This Row],[city2]],Table7[[#This Row],[city]])</f>
        <v>Gunungkidul</v>
      </c>
      <c r="P188" t="s">
        <v>220</v>
      </c>
      <c r="Q188" t="s">
        <v>60</v>
      </c>
    </row>
    <row r="189" spans="1:17" x14ac:dyDescent="0.25">
      <c r="A189">
        <v>188</v>
      </c>
      <c r="B189" t="s">
        <v>29</v>
      </c>
      <c r="C189">
        <v>37</v>
      </c>
      <c r="E189">
        <f>Table3[[#This Row],[Place_Id]]</f>
        <v>188</v>
      </c>
      <c r="F189">
        <f>Table3[[#This Row],[Lat]]</f>
        <v>-8.1456680000000006</v>
      </c>
      <c r="G189">
        <f>Table3[[#This Row],[Long]]</f>
        <v>110.6043914</v>
      </c>
      <c r="I189">
        <v>178</v>
      </c>
      <c r="J189">
        <v>-7.9339721000000001</v>
      </c>
      <c r="K189">
        <v>110.651966</v>
      </c>
      <c r="L189" t="s">
        <v>405</v>
      </c>
      <c r="M189" t="s">
        <v>964</v>
      </c>
      <c r="N189" t="s">
        <v>220</v>
      </c>
      <c r="O189" t="str">
        <f>IF(ISBLANK(Table7[[#This Row],[city]]),Table7[[#This Row],[city2]],Table7[[#This Row],[city]])</f>
        <v>Gunungkidul</v>
      </c>
      <c r="P189" t="s">
        <v>220</v>
      </c>
      <c r="Q189" t="s">
        <v>60</v>
      </c>
    </row>
    <row r="190" spans="1:17" x14ac:dyDescent="0.25">
      <c r="A190">
        <v>189</v>
      </c>
      <c r="B190" t="s">
        <v>8</v>
      </c>
      <c r="C190">
        <v>21</v>
      </c>
      <c r="E190">
        <f>Table3[[#This Row],[Place_Id]]</f>
        <v>189</v>
      </c>
      <c r="F190">
        <f>Table3[[#This Row],[Lat]]</f>
        <v>-8.1060061000000001</v>
      </c>
      <c r="G190">
        <f>Table3[[#This Row],[Long]]</f>
        <v>110.4618655</v>
      </c>
      <c r="I190">
        <v>192</v>
      </c>
      <c r="J190">
        <v>-7.9431779999999996</v>
      </c>
      <c r="K190">
        <v>110.48924</v>
      </c>
      <c r="L190" t="s">
        <v>433</v>
      </c>
      <c r="M190" t="s">
        <v>964</v>
      </c>
      <c r="N190" t="s">
        <v>220</v>
      </c>
      <c r="O190" t="str">
        <f>IF(ISBLANK(Table7[[#This Row],[city]]),Table7[[#This Row],[city2]],Table7[[#This Row],[city]])</f>
        <v>Gunungkidul</v>
      </c>
      <c r="P190" t="s">
        <v>220</v>
      </c>
      <c r="Q190" t="s">
        <v>60</v>
      </c>
    </row>
    <row r="191" spans="1:17" x14ac:dyDescent="0.25">
      <c r="A191">
        <v>190</v>
      </c>
      <c r="B191" t="s">
        <v>19</v>
      </c>
      <c r="C191">
        <v>18</v>
      </c>
      <c r="E191">
        <f>Table3[[#This Row],[Place_Id]]</f>
        <v>190</v>
      </c>
      <c r="F191">
        <f>Table3[[#This Row],[Lat]]</f>
        <v>-8.0045535000000001</v>
      </c>
      <c r="G191">
        <f>Table3[[#This Row],[Long]]</f>
        <v>110.27037559999999</v>
      </c>
      <c r="I191">
        <v>206</v>
      </c>
      <c r="J191">
        <v>-7.6120675000000002</v>
      </c>
      <c r="K191">
        <v>110.4205209</v>
      </c>
      <c r="L191" t="s">
        <v>461</v>
      </c>
      <c r="M191" t="s">
        <v>956</v>
      </c>
      <c r="N191" t="s">
        <v>220</v>
      </c>
      <c r="O191" t="str">
        <f>IF(ISBLANK(Table7[[#This Row],[city]]),Table7[[#This Row],[city2]],Table7[[#This Row],[city]])</f>
        <v>Sleman</v>
      </c>
      <c r="P191" t="s">
        <v>220</v>
      </c>
      <c r="Q191" t="s">
        <v>60</v>
      </c>
    </row>
    <row r="192" spans="1:17" x14ac:dyDescent="0.25">
      <c r="A192">
        <v>191</v>
      </c>
      <c r="B192" t="s">
        <v>30</v>
      </c>
      <c r="C192">
        <v>32</v>
      </c>
      <c r="E192">
        <f>Table3[[#This Row],[Place_Id]]</f>
        <v>191</v>
      </c>
      <c r="F192">
        <f>Table3[[#This Row],[Lat]]</f>
        <v>-8.1384509000000005</v>
      </c>
      <c r="G192">
        <f>Table3[[#This Row],[Long]]</f>
        <v>110.577522</v>
      </c>
      <c r="I192">
        <v>208</v>
      </c>
      <c r="J192">
        <v>-7.7628136000000003</v>
      </c>
      <c r="K192">
        <v>110.1161626</v>
      </c>
      <c r="L192" t="s">
        <v>465</v>
      </c>
      <c r="M192" t="s">
        <v>965</v>
      </c>
      <c r="N192" t="s">
        <v>220</v>
      </c>
      <c r="O192" t="str">
        <f>IF(ISBLANK(Table7[[#This Row],[city]]),Table7[[#This Row],[city2]],Table7[[#This Row],[city]])</f>
        <v>Kulon Progo</v>
      </c>
      <c r="P192" t="s">
        <v>220</v>
      </c>
      <c r="Q192" t="s">
        <v>60</v>
      </c>
    </row>
    <row r="193" spans="1:17" x14ac:dyDescent="0.25">
      <c r="A193">
        <v>192</v>
      </c>
      <c r="B193" t="s">
        <v>31</v>
      </c>
      <c r="C193">
        <v>37</v>
      </c>
      <c r="E193">
        <f>Table3[[#This Row],[Place_Id]]</f>
        <v>192</v>
      </c>
      <c r="F193">
        <f>Table3[[#This Row],[Lat]]</f>
        <v>-7.9431779999999996</v>
      </c>
      <c r="G193">
        <f>Table3[[#This Row],[Long]]</f>
        <v>110.48924</v>
      </c>
      <c r="I193">
        <v>211</v>
      </c>
      <c r="J193">
        <v>-6.7596376999999999</v>
      </c>
      <c r="K193">
        <v>107.6097807</v>
      </c>
      <c r="L193" t="s">
        <v>961</v>
      </c>
      <c r="M193" t="s">
        <v>969</v>
      </c>
      <c r="N193" t="s">
        <v>472</v>
      </c>
      <c r="O193" t="str">
        <f>IF(ISBLANK(Table7[[#This Row],[city]]),Table7[[#This Row],[city2]],Table7[[#This Row],[city]])</f>
        <v>West Bandung regency</v>
      </c>
      <c r="P193" t="s">
        <v>972</v>
      </c>
      <c r="Q193" t="s">
        <v>60</v>
      </c>
    </row>
    <row r="194" spans="1:17" x14ac:dyDescent="0.25">
      <c r="A194">
        <v>193</v>
      </c>
      <c r="B194" t="s">
        <v>10</v>
      </c>
      <c r="C194">
        <v>20</v>
      </c>
      <c r="E194">
        <f>Table3[[#This Row],[Place_Id]]</f>
        <v>193</v>
      </c>
      <c r="F194">
        <f>Table3[[#This Row],[Lat]]</f>
        <v>-7.7439216999999996</v>
      </c>
      <c r="G194">
        <f>Table3[[#This Row],[Long]]</f>
        <v>110.4929095</v>
      </c>
      <c r="I194">
        <v>215</v>
      </c>
      <c r="J194">
        <v>-6.8565791000000003</v>
      </c>
      <c r="K194">
        <v>107.63237340000001</v>
      </c>
      <c r="L194" t="s">
        <v>479</v>
      </c>
      <c r="M194" t="s">
        <v>963</v>
      </c>
      <c r="N194" t="s">
        <v>472</v>
      </c>
      <c r="O194" t="str">
        <f>IF(ISBLANK(Table7[[#This Row],[city]]),Table7[[#This Row],[city2]],Table7[[#This Row],[city]])</f>
        <v>Bandung regency</v>
      </c>
      <c r="P194" t="s">
        <v>972</v>
      </c>
      <c r="Q194" t="s">
        <v>60</v>
      </c>
    </row>
    <row r="195" spans="1:17" x14ac:dyDescent="0.25">
      <c r="A195">
        <v>194</v>
      </c>
      <c r="B195" t="s">
        <v>11</v>
      </c>
      <c r="C195">
        <v>31</v>
      </c>
      <c r="E195">
        <f>Table3[[#This Row],[Place_Id]]</f>
        <v>194</v>
      </c>
      <c r="F195">
        <f>Table3[[#This Row],[Lat]]</f>
        <v>-8.1862461999999994</v>
      </c>
      <c r="G195">
        <f>Table3[[#This Row],[Long]]</f>
        <v>110.709901</v>
      </c>
      <c r="I195">
        <v>217</v>
      </c>
      <c r="J195">
        <v>-6.8897177000000003</v>
      </c>
      <c r="K195">
        <v>107.6077282</v>
      </c>
      <c r="L195" t="s">
        <v>483</v>
      </c>
      <c r="M195" t="s">
        <v>472</v>
      </c>
      <c r="N195" t="s">
        <v>472</v>
      </c>
      <c r="O195" t="str">
        <f>IF(ISBLANK(Table7[[#This Row],[city]]),Table7[[#This Row],[city2]],Table7[[#This Row],[city]])</f>
        <v>Bandung</v>
      </c>
      <c r="P195" t="s">
        <v>972</v>
      </c>
      <c r="Q195" t="s">
        <v>60</v>
      </c>
    </row>
    <row r="196" spans="1:17" x14ac:dyDescent="0.25">
      <c r="A196">
        <v>195</v>
      </c>
      <c r="B196" t="s">
        <v>17</v>
      </c>
      <c r="C196">
        <v>29</v>
      </c>
      <c r="E196">
        <f>Table3[[#This Row],[Place_Id]]</f>
        <v>195</v>
      </c>
      <c r="F196">
        <f>Table3[[#This Row],[Lat]]</f>
        <v>-8.1801349999999999</v>
      </c>
      <c r="G196">
        <f>Table3[[#This Row],[Long]]</f>
        <v>110.6763715</v>
      </c>
      <c r="I196">
        <v>218</v>
      </c>
      <c r="J196">
        <v>-7.1662039000000002</v>
      </c>
      <c r="K196">
        <v>107.40212560000001</v>
      </c>
      <c r="L196" t="s">
        <v>485</v>
      </c>
      <c r="M196" t="s">
        <v>963</v>
      </c>
      <c r="N196" t="s">
        <v>472</v>
      </c>
      <c r="O196" t="str">
        <f>IF(ISBLANK(Table7[[#This Row],[city]]),Table7[[#This Row],[city2]],Table7[[#This Row],[city]])</f>
        <v>Bandung regency</v>
      </c>
      <c r="P196" t="s">
        <v>972</v>
      </c>
      <c r="Q196" t="s">
        <v>60</v>
      </c>
    </row>
    <row r="197" spans="1:17" x14ac:dyDescent="0.25">
      <c r="A197">
        <v>196</v>
      </c>
      <c r="B197" t="s">
        <v>7</v>
      </c>
      <c r="C197">
        <v>28</v>
      </c>
      <c r="E197">
        <f>Table3[[#This Row],[Place_Id]]</f>
        <v>196</v>
      </c>
      <c r="F197">
        <f>Table3[[#This Row],[Lat]]</f>
        <v>-8.1211474999999993</v>
      </c>
      <c r="G197">
        <f>Table3[[#This Row],[Long]]</f>
        <v>110.51423370000001</v>
      </c>
      <c r="I197">
        <v>219</v>
      </c>
      <c r="J197">
        <v>-6.8340683000000002</v>
      </c>
      <c r="K197">
        <v>107.6636151</v>
      </c>
      <c r="L197" t="s">
        <v>487</v>
      </c>
      <c r="M197" t="s">
        <v>969</v>
      </c>
      <c r="N197" t="s">
        <v>472</v>
      </c>
      <c r="O197" t="str">
        <f>IF(ISBLANK(Table7[[#This Row],[city]]),Table7[[#This Row],[city2]],Table7[[#This Row],[city]])</f>
        <v>West Bandung regency</v>
      </c>
      <c r="P197" t="s">
        <v>972</v>
      </c>
      <c r="Q197" t="s">
        <v>60</v>
      </c>
    </row>
    <row r="198" spans="1:17" x14ac:dyDescent="0.25">
      <c r="A198">
        <v>197</v>
      </c>
      <c r="B198" t="s">
        <v>15</v>
      </c>
      <c r="C198">
        <v>27</v>
      </c>
      <c r="E198">
        <f>Table3[[#This Row],[Place_Id]]</f>
        <v>197</v>
      </c>
      <c r="F198">
        <f>Table3[[#This Row],[Lat]]</f>
        <v>-8.1978220000000004</v>
      </c>
      <c r="G198">
        <f>Table3[[#This Row],[Long]]</f>
        <v>110.7123397</v>
      </c>
      <c r="I198">
        <v>232</v>
      </c>
      <c r="J198">
        <v>-6.8422201999999999</v>
      </c>
      <c r="K198">
        <v>107.6767988</v>
      </c>
      <c r="L198" t="s">
        <v>513</v>
      </c>
      <c r="M198" t="s">
        <v>963</v>
      </c>
      <c r="N198" t="s">
        <v>472</v>
      </c>
      <c r="O198" t="str">
        <f>IF(ISBLANK(Table7[[#This Row],[city]]),Table7[[#This Row],[city2]],Table7[[#This Row],[city]])</f>
        <v>Bandung regency</v>
      </c>
      <c r="P198" t="s">
        <v>972</v>
      </c>
      <c r="Q198" t="s">
        <v>60</v>
      </c>
    </row>
    <row r="199" spans="1:17" x14ac:dyDescent="0.25">
      <c r="A199">
        <v>198</v>
      </c>
      <c r="B199" t="s">
        <v>30</v>
      </c>
      <c r="C199">
        <v>26</v>
      </c>
      <c r="E199">
        <f>Table3[[#This Row],[Place_Id]]</f>
        <v>198</v>
      </c>
      <c r="F199">
        <f>Table3[[#This Row],[Lat]]</f>
        <v>-8.1978644000000003</v>
      </c>
      <c r="G199">
        <f>Table3[[#This Row],[Long]]</f>
        <v>110.71862160000001</v>
      </c>
      <c r="I199">
        <v>233</v>
      </c>
      <c r="J199">
        <v>-7.3193253</v>
      </c>
      <c r="K199">
        <v>107.7310494</v>
      </c>
      <c r="L199" t="s">
        <v>515</v>
      </c>
      <c r="M199" t="s">
        <v>954</v>
      </c>
      <c r="N199" t="s">
        <v>472</v>
      </c>
      <c r="O199" t="str">
        <f>IF(ISBLANK(Table7[[#This Row],[city]]),Table7[[#This Row],[city2]],Table7[[#This Row],[city]])</f>
        <v>Garut</v>
      </c>
      <c r="P199" t="s">
        <v>972</v>
      </c>
      <c r="Q199" t="s">
        <v>60</v>
      </c>
    </row>
    <row r="200" spans="1:17" x14ac:dyDescent="0.25">
      <c r="A200">
        <v>199</v>
      </c>
      <c r="B200" t="s">
        <v>19</v>
      </c>
      <c r="C200">
        <v>18</v>
      </c>
      <c r="E200">
        <f>Table3[[#This Row],[Place_Id]]</f>
        <v>199</v>
      </c>
      <c r="F200">
        <f>Table3[[#This Row],[Lat]]</f>
        <v>-8.1978942999999997</v>
      </c>
      <c r="G200">
        <f>Table3[[#This Row],[Long]]</f>
        <v>110.7208535</v>
      </c>
      <c r="I200">
        <v>235</v>
      </c>
      <c r="J200">
        <v>-6.8544593999999996</v>
      </c>
      <c r="K200">
        <v>107.6377907</v>
      </c>
      <c r="L200" t="s">
        <v>519</v>
      </c>
      <c r="M200" t="s">
        <v>963</v>
      </c>
      <c r="N200" t="s">
        <v>472</v>
      </c>
      <c r="O200" t="str">
        <f>IF(ISBLANK(Table7[[#This Row],[city]]),Table7[[#This Row],[city2]],Table7[[#This Row],[city]])</f>
        <v>Bandung regency</v>
      </c>
      <c r="P200" t="s">
        <v>972</v>
      </c>
      <c r="Q200" t="s">
        <v>60</v>
      </c>
    </row>
    <row r="201" spans="1:17" x14ac:dyDescent="0.25">
      <c r="A201">
        <v>200</v>
      </c>
      <c r="B201" t="s">
        <v>27</v>
      </c>
      <c r="C201">
        <v>34</v>
      </c>
      <c r="E201">
        <f>Table3[[#This Row],[Place_Id]]</f>
        <v>200</v>
      </c>
      <c r="F201">
        <f>Table3[[#This Row],[Lat]]</f>
        <v>-8.1370556000000001</v>
      </c>
      <c r="G201">
        <f>Table3[[#This Row],[Long]]</f>
        <v>110.5746611</v>
      </c>
      <c r="I201">
        <v>238</v>
      </c>
      <c r="J201">
        <v>-6.8761111000000001</v>
      </c>
      <c r="K201">
        <v>107.7436111</v>
      </c>
      <c r="L201" t="s">
        <v>525</v>
      </c>
      <c r="M201" t="s">
        <v>963</v>
      </c>
      <c r="N201" t="s">
        <v>472</v>
      </c>
      <c r="O201" t="str">
        <f>IF(ISBLANK(Table7[[#This Row],[city]]),Table7[[#This Row],[city2]],Table7[[#This Row],[city]])</f>
        <v>Bandung regency</v>
      </c>
      <c r="P201" t="s">
        <v>972</v>
      </c>
      <c r="Q201" t="s">
        <v>60</v>
      </c>
    </row>
    <row r="202" spans="1:17" x14ac:dyDescent="0.25">
      <c r="A202">
        <v>201</v>
      </c>
      <c r="B202" t="s">
        <v>7</v>
      </c>
      <c r="C202">
        <v>21</v>
      </c>
      <c r="E202">
        <f>Table3[[#This Row],[Place_Id]]</f>
        <v>201</v>
      </c>
      <c r="F202">
        <f>Table3[[#This Row],[Lat]]</f>
        <v>-8.0961534999999998</v>
      </c>
      <c r="G202">
        <f>Table3[[#This Row],[Long]]</f>
        <v>110.43504830000001</v>
      </c>
      <c r="I202">
        <v>239</v>
      </c>
      <c r="J202">
        <v>-6.8059153999999999</v>
      </c>
      <c r="K202">
        <v>107.59197260000001</v>
      </c>
      <c r="L202" t="s">
        <v>527</v>
      </c>
      <c r="M202" t="s">
        <v>969</v>
      </c>
      <c r="N202" t="s">
        <v>472</v>
      </c>
      <c r="O202" t="str">
        <f>IF(ISBLANK(Table7[[#This Row],[city]]),Table7[[#This Row],[city2]],Table7[[#This Row],[city]])</f>
        <v>West Bandung regency</v>
      </c>
      <c r="P202" t="s">
        <v>972</v>
      </c>
      <c r="Q202" t="s">
        <v>60</v>
      </c>
    </row>
    <row r="203" spans="1:17" x14ac:dyDescent="0.25">
      <c r="A203">
        <v>202</v>
      </c>
      <c r="B203" t="s">
        <v>9</v>
      </c>
      <c r="C203">
        <v>21</v>
      </c>
      <c r="E203">
        <f>Table3[[#This Row],[Place_Id]]</f>
        <v>202</v>
      </c>
      <c r="F203">
        <f>Table3[[#This Row],[Lat]]</f>
        <v>-8.1464230000000004</v>
      </c>
      <c r="G203">
        <f>Table3[[#This Row],[Long]]</f>
        <v>110.60614080000001</v>
      </c>
      <c r="I203">
        <v>242</v>
      </c>
      <c r="J203">
        <v>-6.8655225</v>
      </c>
      <c r="K203">
        <v>107.6181878</v>
      </c>
      <c r="L203" t="s">
        <v>533</v>
      </c>
      <c r="M203" t="s">
        <v>472</v>
      </c>
      <c r="N203" t="s">
        <v>472</v>
      </c>
      <c r="O203" t="str">
        <f>IF(ISBLANK(Table7[[#This Row],[city]]),Table7[[#This Row],[city2]],Table7[[#This Row],[city]])</f>
        <v>Bandung</v>
      </c>
      <c r="P203" t="s">
        <v>972</v>
      </c>
      <c r="Q203" t="s">
        <v>60</v>
      </c>
    </row>
    <row r="204" spans="1:17" x14ac:dyDescent="0.25">
      <c r="A204">
        <v>203</v>
      </c>
      <c r="B204" t="s">
        <v>10</v>
      </c>
      <c r="C204">
        <v>24</v>
      </c>
      <c r="E204">
        <f>Table3[[#This Row],[Place_Id]]</f>
        <v>203</v>
      </c>
      <c r="F204">
        <f>Table3[[#This Row],[Lat]]</f>
        <v>-7.8159632999999999</v>
      </c>
      <c r="G204">
        <f>Table3[[#This Row],[Long]]</f>
        <v>110.4136917</v>
      </c>
      <c r="I204">
        <v>246</v>
      </c>
      <c r="J204">
        <v>-6.7905692000000002</v>
      </c>
      <c r="K204">
        <v>107.5826388</v>
      </c>
      <c r="L204" t="s">
        <v>541</v>
      </c>
      <c r="M204" t="s">
        <v>969</v>
      </c>
      <c r="N204" t="s">
        <v>472</v>
      </c>
      <c r="O204" t="str">
        <f>IF(ISBLANK(Table7[[#This Row],[city]]),Table7[[#This Row],[city2]],Table7[[#This Row],[city]])</f>
        <v>West Bandung regency</v>
      </c>
      <c r="P204" t="s">
        <v>972</v>
      </c>
      <c r="Q204" t="s">
        <v>60</v>
      </c>
    </row>
    <row r="205" spans="1:17" x14ac:dyDescent="0.25">
      <c r="A205">
        <v>204</v>
      </c>
      <c r="B205" t="s">
        <v>11</v>
      </c>
      <c r="C205">
        <v>21</v>
      </c>
      <c r="E205">
        <f>Table3[[#This Row],[Place_Id]]</f>
        <v>204</v>
      </c>
      <c r="F205">
        <f>Table3[[#This Row],[Lat]]</f>
        <v>-7.6258806000000003</v>
      </c>
      <c r="G205">
        <f>Table3[[#This Row],[Long]]</f>
        <v>110.37169799999999</v>
      </c>
      <c r="I205">
        <v>256</v>
      </c>
      <c r="J205">
        <v>-6.8936105999999997</v>
      </c>
      <c r="K205">
        <v>107.7447399</v>
      </c>
      <c r="L205" t="s">
        <v>561</v>
      </c>
      <c r="M205" t="s">
        <v>963</v>
      </c>
      <c r="N205" t="s">
        <v>472</v>
      </c>
      <c r="O205" t="str">
        <f>IF(ISBLANK(Table7[[#This Row],[city]]),Table7[[#This Row],[city2]],Table7[[#This Row],[city]])</f>
        <v>Bandung regency</v>
      </c>
      <c r="P205" t="s">
        <v>972</v>
      </c>
      <c r="Q205" t="s">
        <v>60</v>
      </c>
    </row>
    <row r="206" spans="1:17" x14ac:dyDescent="0.25">
      <c r="A206">
        <v>205</v>
      </c>
      <c r="B206" t="s">
        <v>12</v>
      </c>
      <c r="C206">
        <v>24</v>
      </c>
      <c r="E206">
        <f>Table3[[#This Row],[Place_Id]]</f>
        <v>205</v>
      </c>
      <c r="F206">
        <f>Table3[[#This Row],[Lat]]</f>
        <v>-7.8725673</v>
      </c>
      <c r="G206">
        <f>Table3[[#This Row],[Long]]</f>
        <v>110.3546963</v>
      </c>
      <c r="I206">
        <v>261</v>
      </c>
      <c r="J206">
        <v>-6.7869390000000003</v>
      </c>
      <c r="K206">
        <v>107.5837331</v>
      </c>
      <c r="L206" t="s">
        <v>571</v>
      </c>
      <c r="M206" t="s">
        <v>969</v>
      </c>
      <c r="N206" t="s">
        <v>472</v>
      </c>
      <c r="O206" t="str">
        <f>IF(ISBLANK(Table7[[#This Row],[city]]),Table7[[#This Row],[city2]],Table7[[#This Row],[city]])</f>
        <v>West Bandung regency</v>
      </c>
      <c r="P206" t="s">
        <v>972</v>
      </c>
      <c r="Q206" t="s">
        <v>60</v>
      </c>
    </row>
    <row r="207" spans="1:17" x14ac:dyDescent="0.25">
      <c r="A207">
        <v>206</v>
      </c>
      <c r="B207" t="s">
        <v>13</v>
      </c>
      <c r="C207">
        <v>30</v>
      </c>
      <c r="E207">
        <f>Table3[[#This Row],[Place_Id]]</f>
        <v>206</v>
      </c>
      <c r="F207">
        <f>Table3[[#This Row],[Lat]]</f>
        <v>-7.6120675000000002</v>
      </c>
      <c r="G207">
        <f>Table3[[#This Row],[Long]]</f>
        <v>110.4205209</v>
      </c>
      <c r="I207">
        <v>262</v>
      </c>
      <c r="J207">
        <v>-6.8597013000000002</v>
      </c>
      <c r="K207">
        <v>107.6360983</v>
      </c>
      <c r="L207" t="s">
        <v>573</v>
      </c>
      <c r="M207" t="s">
        <v>963</v>
      </c>
      <c r="N207" t="s">
        <v>472</v>
      </c>
      <c r="O207" t="str">
        <f>IF(ISBLANK(Table7[[#This Row],[city]]),Table7[[#This Row],[city2]],Table7[[#This Row],[city]])</f>
        <v>Bandung regency</v>
      </c>
      <c r="P207" t="s">
        <v>972</v>
      </c>
      <c r="Q207" t="s">
        <v>60</v>
      </c>
    </row>
    <row r="208" spans="1:17" x14ac:dyDescent="0.25">
      <c r="A208">
        <v>207</v>
      </c>
      <c r="B208" t="s">
        <v>7</v>
      </c>
      <c r="C208">
        <v>20</v>
      </c>
      <c r="E208">
        <f>Table3[[#This Row],[Place_Id]]</f>
        <v>207</v>
      </c>
      <c r="F208">
        <f>Table3[[#This Row],[Lat]]</f>
        <v>-7.8496144000000001</v>
      </c>
      <c r="G208">
        <f>Table3[[#This Row],[Long]]</f>
        <v>110.478324</v>
      </c>
      <c r="I208">
        <v>263</v>
      </c>
      <c r="J208">
        <v>-6.8743632999999997</v>
      </c>
      <c r="K208">
        <v>107.6844023</v>
      </c>
      <c r="L208" t="s">
        <v>575</v>
      </c>
      <c r="M208" t="s">
        <v>963</v>
      </c>
      <c r="N208" t="s">
        <v>472</v>
      </c>
      <c r="O208" t="str">
        <f>IF(ISBLANK(Table7[[#This Row],[city]]),Table7[[#This Row],[city2]],Table7[[#This Row],[city]])</f>
        <v>Bandung regency</v>
      </c>
      <c r="P208" t="s">
        <v>972</v>
      </c>
      <c r="Q208" t="s">
        <v>60</v>
      </c>
    </row>
    <row r="209" spans="1:17" x14ac:dyDescent="0.25">
      <c r="A209">
        <v>208</v>
      </c>
      <c r="B209" t="s">
        <v>14</v>
      </c>
      <c r="C209">
        <v>27</v>
      </c>
      <c r="E209">
        <f>Table3[[#This Row],[Place_Id]]</f>
        <v>208</v>
      </c>
      <c r="F209">
        <f>Table3[[#This Row],[Lat]]</f>
        <v>-7.7628136000000003</v>
      </c>
      <c r="G209">
        <f>Table3[[#This Row],[Long]]</f>
        <v>110.1161626</v>
      </c>
      <c r="I209">
        <v>266</v>
      </c>
      <c r="J209">
        <v>-6.8580464000000001</v>
      </c>
      <c r="K209">
        <v>107.66470839999999</v>
      </c>
      <c r="L209" t="s">
        <v>581</v>
      </c>
      <c r="M209" t="s">
        <v>963</v>
      </c>
      <c r="N209" t="s">
        <v>472</v>
      </c>
      <c r="O209" t="str">
        <f>IF(ISBLANK(Table7[[#This Row],[city]]),Table7[[#This Row],[city2]],Table7[[#This Row],[city]])</f>
        <v>Bandung regency</v>
      </c>
      <c r="P209" t="s">
        <v>972</v>
      </c>
      <c r="Q209" t="s">
        <v>60</v>
      </c>
    </row>
    <row r="210" spans="1:17" x14ac:dyDescent="0.25">
      <c r="A210">
        <v>209</v>
      </c>
      <c r="B210" t="s">
        <v>15</v>
      </c>
      <c r="C210">
        <v>19</v>
      </c>
      <c r="E210">
        <f>Table3[[#This Row],[Place_Id]]</f>
        <v>209</v>
      </c>
      <c r="F210">
        <f>Table3[[#This Row],[Lat]]</f>
        <v>-8.1367455999999994</v>
      </c>
      <c r="G210">
        <f>Table3[[#This Row],[Long]]</f>
        <v>110.5716362</v>
      </c>
      <c r="I210">
        <v>269</v>
      </c>
      <c r="J210">
        <v>-6.8932172999999999</v>
      </c>
      <c r="K210">
        <v>107.7448856</v>
      </c>
      <c r="L210" t="s">
        <v>587</v>
      </c>
      <c r="M210" t="s">
        <v>963</v>
      </c>
      <c r="N210" t="s">
        <v>472</v>
      </c>
      <c r="O210" t="str">
        <f>IF(ISBLANK(Table7[[#This Row],[city]]),Table7[[#This Row],[city2]],Table7[[#This Row],[city]])</f>
        <v>Bandung regency</v>
      </c>
      <c r="P210" t="s">
        <v>972</v>
      </c>
      <c r="Q210" t="s">
        <v>60</v>
      </c>
    </row>
    <row r="211" spans="1:17" x14ac:dyDescent="0.25">
      <c r="A211">
        <v>210</v>
      </c>
      <c r="B211" t="s">
        <v>16</v>
      </c>
      <c r="C211">
        <v>18</v>
      </c>
      <c r="E211">
        <f>Table3[[#This Row],[Place_Id]]</f>
        <v>210</v>
      </c>
      <c r="F211">
        <f>Table3[[#This Row],[Lat]]</f>
        <v>-7.9075424999999999</v>
      </c>
      <c r="G211">
        <f>Table3[[#This Row],[Long]]</f>
        <v>110.0535658</v>
      </c>
      <c r="I211">
        <v>270</v>
      </c>
      <c r="J211">
        <v>-6.8417795000000003</v>
      </c>
      <c r="K211">
        <v>107.67685849999999</v>
      </c>
      <c r="L211" t="s">
        <v>970</v>
      </c>
      <c r="M211" t="s">
        <v>963</v>
      </c>
      <c r="N211" t="s">
        <v>472</v>
      </c>
      <c r="O211" t="str">
        <f>IF(ISBLANK(Table7[[#This Row],[city]]),Table7[[#This Row],[city2]],Table7[[#This Row],[city]])</f>
        <v>Bandung regency</v>
      </c>
      <c r="P211" t="s">
        <v>972</v>
      </c>
      <c r="Q211" t="s">
        <v>60</v>
      </c>
    </row>
    <row r="212" spans="1:17" x14ac:dyDescent="0.25">
      <c r="A212">
        <v>211</v>
      </c>
      <c r="B212" t="s">
        <v>17</v>
      </c>
      <c r="C212">
        <v>22</v>
      </c>
      <c r="E212">
        <f>Table3[[#This Row],[Place_Id]]</f>
        <v>211</v>
      </c>
      <c r="F212">
        <f>Table3[[#This Row],[Lat]]</f>
        <v>-6.7596376999999999</v>
      </c>
      <c r="G212">
        <f>Table3[[#This Row],[Long]]</f>
        <v>107.6097807</v>
      </c>
      <c r="I212">
        <v>273</v>
      </c>
      <c r="J212">
        <v>-6.7903890000000002</v>
      </c>
      <c r="K212">
        <v>107.57776320000001</v>
      </c>
      <c r="L212" t="s">
        <v>595</v>
      </c>
      <c r="M212" t="s">
        <v>969</v>
      </c>
      <c r="N212" t="s">
        <v>472</v>
      </c>
      <c r="O212" t="str">
        <f>IF(ISBLANK(Table7[[#This Row],[city]]),Table7[[#This Row],[city2]],Table7[[#This Row],[city]])</f>
        <v>West Bandung regency</v>
      </c>
      <c r="P212" t="s">
        <v>972</v>
      </c>
      <c r="Q212" t="s">
        <v>60</v>
      </c>
    </row>
    <row r="213" spans="1:17" x14ac:dyDescent="0.25">
      <c r="A213">
        <v>212</v>
      </c>
      <c r="B213" t="s">
        <v>18</v>
      </c>
      <c r="C213">
        <v>28</v>
      </c>
      <c r="E213">
        <f>Table3[[#This Row],[Place_Id]]</f>
        <v>212</v>
      </c>
      <c r="F213">
        <f>Table3[[#This Row],[Lat]]</f>
        <v>-6.9150533999999997</v>
      </c>
      <c r="G213">
        <f>Table3[[#This Row],[Long]]</f>
        <v>107.60898419999999</v>
      </c>
      <c r="I213">
        <v>274</v>
      </c>
      <c r="J213">
        <v>-6.8853745999999996</v>
      </c>
      <c r="K213">
        <v>107.6111899</v>
      </c>
      <c r="L213" t="s">
        <v>597</v>
      </c>
      <c r="M213" t="s">
        <v>472</v>
      </c>
      <c r="N213" t="s">
        <v>472</v>
      </c>
      <c r="O213" t="str">
        <f>IF(ISBLANK(Table7[[#This Row],[city]]),Table7[[#This Row],[city2]],Table7[[#This Row],[city]])</f>
        <v>Bandung</v>
      </c>
      <c r="P213" t="s">
        <v>972</v>
      </c>
      <c r="Q213" t="s">
        <v>60</v>
      </c>
    </row>
    <row r="214" spans="1:17" x14ac:dyDescent="0.25">
      <c r="A214">
        <v>213</v>
      </c>
      <c r="B214" t="s">
        <v>7</v>
      </c>
      <c r="C214">
        <v>20</v>
      </c>
      <c r="E214">
        <f>Table3[[#This Row],[Place_Id]]</f>
        <v>213</v>
      </c>
      <c r="F214">
        <f>Table3[[#This Row],[Lat]]</f>
        <v>-6.9024812000000004</v>
      </c>
      <c r="G214">
        <f>Table3[[#This Row],[Long]]</f>
        <v>107.61881</v>
      </c>
      <c r="I214">
        <v>275</v>
      </c>
      <c r="J214">
        <v>-6.7991957999999997</v>
      </c>
      <c r="K214">
        <v>107.59220879999999</v>
      </c>
      <c r="L214" t="s">
        <v>599</v>
      </c>
      <c r="M214" t="s">
        <v>969</v>
      </c>
      <c r="N214" t="s">
        <v>472</v>
      </c>
      <c r="O214" t="str">
        <f>IF(ISBLANK(Table7[[#This Row],[city]]),Table7[[#This Row],[city2]],Table7[[#This Row],[city]])</f>
        <v>West Bandung regency</v>
      </c>
      <c r="P214" t="s">
        <v>972</v>
      </c>
      <c r="Q214" t="s">
        <v>60</v>
      </c>
    </row>
    <row r="215" spans="1:17" x14ac:dyDescent="0.25">
      <c r="A215">
        <v>214</v>
      </c>
      <c r="B215" t="s">
        <v>6</v>
      </c>
      <c r="C215">
        <v>30</v>
      </c>
      <c r="E215">
        <f>Table3[[#This Row],[Place_Id]]</f>
        <v>214</v>
      </c>
      <c r="F215">
        <f>Table3[[#This Row],[Lat]]</f>
        <v>-6.9250942999999996</v>
      </c>
      <c r="G215">
        <f>Table3[[#This Row],[Long]]</f>
        <v>107.6364944</v>
      </c>
      <c r="I215">
        <v>282</v>
      </c>
      <c r="J215">
        <v>-6.8908877000000004</v>
      </c>
      <c r="K215">
        <v>107.73070850000001</v>
      </c>
      <c r="L215" t="s">
        <v>613</v>
      </c>
      <c r="M215" t="s">
        <v>963</v>
      </c>
      <c r="N215" t="s">
        <v>472</v>
      </c>
      <c r="O215" t="str">
        <f>IF(ISBLANK(Table7[[#This Row],[city]]),Table7[[#This Row],[city2]],Table7[[#This Row],[city]])</f>
        <v>Bandung regency</v>
      </c>
      <c r="P215" t="s">
        <v>972</v>
      </c>
      <c r="Q215" t="s">
        <v>60</v>
      </c>
    </row>
    <row r="216" spans="1:17" x14ac:dyDescent="0.25">
      <c r="A216">
        <v>215</v>
      </c>
      <c r="B216" t="s">
        <v>14</v>
      </c>
      <c r="C216">
        <v>23</v>
      </c>
      <c r="E216">
        <f>Table3[[#This Row],[Place_Id]]</f>
        <v>215</v>
      </c>
      <c r="F216">
        <f>Table3[[#This Row],[Lat]]</f>
        <v>-6.8565791000000003</v>
      </c>
      <c r="G216">
        <f>Table3[[#This Row],[Long]]</f>
        <v>107.63237340000001</v>
      </c>
      <c r="I216">
        <v>289</v>
      </c>
      <c r="J216">
        <v>-6.7875652000000004</v>
      </c>
      <c r="K216">
        <v>107.58228440000001</v>
      </c>
      <c r="L216" t="s">
        <v>627</v>
      </c>
      <c r="M216" t="s">
        <v>969</v>
      </c>
      <c r="N216" t="s">
        <v>472</v>
      </c>
      <c r="O216" t="str">
        <f>IF(ISBLANK(Table7[[#This Row],[city]]),Table7[[#This Row],[city2]],Table7[[#This Row],[city]])</f>
        <v>West Bandung regency</v>
      </c>
      <c r="P216" t="s">
        <v>972</v>
      </c>
      <c r="Q216" t="s">
        <v>60</v>
      </c>
    </row>
    <row r="217" spans="1:17" x14ac:dyDescent="0.25">
      <c r="A217">
        <v>216</v>
      </c>
      <c r="B217" t="s">
        <v>8</v>
      </c>
      <c r="C217">
        <v>28</v>
      </c>
      <c r="E217">
        <f>Table3[[#This Row],[Place_Id]]</f>
        <v>216</v>
      </c>
      <c r="F217">
        <f>Table3[[#This Row],[Lat]]</f>
        <v>-6.8329690000000003</v>
      </c>
      <c r="G217">
        <f>Table3[[#This Row],[Long]]</f>
        <v>107.6056183</v>
      </c>
      <c r="I217">
        <v>292</v>
      </c>
      <c r="J217">
        <v>-6.8116009000000002</v>
      </c>
      <c r="K217">
        <v>107.56952130000001</v>
      </c>
      <c r="L217" t="s">
        <v>633</v>
      </c>
      <c r="M217" t="s">
        <v>969</v>
      </c>
      <c r="N217" t="s">
        <v>472</v>
      </c>
      <c r="O217" t="str">
        <f>IF(ISBLANK(Table7[[#This Row],[city]]),Table7[[#This Row],[city2]],Table7[[#This Row],[city]])</f>
        <v>West Bandung regency</v>
      </c>
      <c r="P217" t="s">
        <v>972</v>
      </c>
      <c r="Q217" t="s">
        <v>60</v>
      </c>
    </row>
    <row r="218" spans="1:17" x14ac:dyDescent="0.25">
      <c r="A218">
        <v>217</v>
      </c>
      <c r="B218" t="s">
        <v>9</v>
      </c>
      <c r="C218">
        <v>20</v>
      </c>
      <c r="E218">
        <f>Table3[[#This Row],[Place_Id]]</f>
        <v>217</v>
      </c>
      <c r="F218">
        <f>Table3[[#This Row],[Lat]]</f>
        <v>-6.8897177000000003</v>
      </c>
      <c r="G218">
        <f>Table3[[#This Row],[Long]]</f>
        <v>107.6077282</v>
      </c>
      <c r="I218">
        <v>297</v>
      </c>
      <c r="J218">
        <v>-6.8629384</v>
      </c>
      <c r="K218">
        <v>107.64821910000001</v>
      </c>
      <c r="L218" t="s">
        <v>643</v>
      </c>
      <c r="M218" t="s">
        <v>963</v>
      </c>
      <c r="N218" t="s">
        <v>472</v>
      </c>
      <c r="O218" t="str">
        <f>IF(ISBLANK(Table7[[#This Row],[city]]),Table7[[#This Row],[city2]],Table7[[#This Row],[city]])</f>
        <v>Bandung regency</v>
      </c>
      <c r="P218" t="s">
        <v>972</v>
      </c>
      <c r="Q218" t="s">
        <v>60</v>
      </c>
    </row>
    <row r="219" spans="1:17" x14ac:dyDescent="0.25">
      <c r="A219">
        <v>218</v>
      </c>
      <c r="B219" t="s">
        <v>6</v>
      </c>
      <c r="C219">
        <v>29</v>
      </c>
      <c r="E219">
        <f>Table3[[#This Row],[Place_Id]]</f>
        <v>218</v>
      </c>
      <c r="F219">
        <f>Table3[[#This Row],[Lat]]</f>
        <v>-7.1662039000000002</v>
      </c>
      <c r="G219">
        <f>Table3[[#This Row],[Long]]</f>
        <v>107.40212560000001</v>
      </c>
      <c r="I219">
        <v>298</v>
      </c>
      <c r="J219">
        <v>-6.9580555999999998</v>
      </c>
      <c r="K219">
        <v>107.52055559999999</v>
      </c>
      <c r="L219" t="s">
        <v>645</v>
      </c>
      <c r="M219" t="s">
        <v>969</v>
      </c>
      <c r="N219" t="s">
        <v>472</v>
      </c>
      <c r="O219" t="str">
        <f>IF(ISBLANK(Table7[[#This Row],[city]]),Table7[[#This Row],[city2]],Table7[[#This Row],[city]])</f>
        <v>West Bandung regency</v>
      </c>
      <c r="P219" t="s">
        <v>972</v>
      </c>
      <c r="Q219" t="s">
        <v>60</v>
      </c>
    </row>
    <row r="220" spans="1:17" x14ac:dyDescent="0.25">
      <c r="A220">
        <v>219</v>
      </c>
      <c r="B220" t="s">
        <v>19</v>
      </c>
      <c r="C220">
        <v>24</v>
      </c>
      <c r="E220">
        <f>Table3[[#This Row],[Place_Id]]</f>
        <v>219</v>
      </c>
      <c r="F220">
        <f>Table3[[#This Row],[Lat]]</f>
        <v>-6.8340683000000002</v>
      </c>
      <c r="G220">
        <f>Table3[[#This Row],[Long]]</f>
        <v>107.6636151</v>
      </c>
      <c r="I220">
        <v>299</v>
      </c>
      <c r="J220">
        <v>-6.7495267999999999</v>
      </c>
      <c r="K220">
        <v>107.478658</v>
      </c>
      <c r="L220" t="s">
        <v>647</v>
      </c>
      <c r="M220" t="s">
        <v>969</v>
      </c>
      <c r="N220" t="s">
        <v>472</v>
      </c>
      <c r="O220" t="str">
        <f>IF(ISBLANK(Table7[[#This Row],[city]]),Table7[[#This Row],[city2]],Table7[[#This Row],[city]])</f>
        <v>West Bandung regency</v>
      </c>
      <c r="P220" t="s">
        <v>972</v>
      </c>
      <c r="Q220" t="s">
        <v>60</v>
      </c>
    </row>
    <row r="221" spans="1:17" x14ac:dyDescent="0.25">
      <c r="A221">
        <v>220</v>
      </c>
      <c r="B221" t="s">
        <v>20</v>
      </c>
      <c r="C221">
        <v>23</v>
      </c>
      <c r="E221">
        <f>Table3[[#This Row],[Place_Id]]</f>
        <v>220</v>
      </c>
      <c r="F221">
        <f>Table3[[#This Row],[Lat]]</f>
        <v>-6.7897147000000002</v>
      </c>
      <c r="G221">
        <f>Table3[[#This Row],[Long]]</f>
        <v>107.5791627</v>
      </c>
      <c r="I221">
        <v>300</v>
      </c>
      <c r="J221">
        <v>-6.8765131000000004</v>
      </c>
      <c r="K221">
        <v>107.3422183</v>
      </c>
      <c r="L221" t="s">
        <v>649</v>
      </c>
      <c r="M221" t="s">
        <v>969</v>
      </c>
      <c r="N221" t="s">
        <v>472</v>
      </c>
      <c r="O221" t="str">
        <f>IF(ISBLANK(Table7[[#This Row],[city]]),Table7[[#This Row],[city2]],Table7[[#This Row],[city]])</f>
        <v>West Bandung regency</v>
      </c>
      <c r="P221" t="s">
        <v>972</v>
      </c>
      <c r="Q221" t="s">
        <v>60</v>
      </c>
    </row>
    <row r="222" spans="1:17" x14ac:dyDescent="0.25">
      <c r="A222">
        <v>221</v>
      </c>
      <c r="B222" t="s">
        <v>7</v>
      </c>
      <c r="C222">
        <v>30</v>
      </c>
      <c r="E222">
        <f>Table3[[#This Row],[Place_Id]]</f>
        <v>221</v>
      </c>
      <c r="F222">
        <f>Table3[[#This Row],[Lat]]</f>
        <v>-6.9007161999999997</v>
      </c>
      <c r="G222">
        <f>Table3[[#This Row],[Long]]</f>
        <v>107.62145529999999</v>
      </c>
      <c r="I222">
        <v>301</v>
      </c>
      <c r="J222">
        <v>-6.8425349999999998</v>
      </c>
      <c r="K222">
        <v>107.622698</v>
      </c>
      <c r="L222" t="s">
        <v>651</v>
      </c>
      <c r="M222" t="s">
        <v>969</v>
      </c>
      <c r="N222" t="s">
        <v>472</v>
      </c>
      <c r="O222" t="str">
        <f>IF(ISBLANK(Table7[[#This Row],[city]]),Table7[[#This Row],[city2]],Table7[[#This Row],[city]])</f>
        <v>West Bandung regency</v>
      </c>
      <c r="P222" t="s">
        <v>972</v>
      </c>
      <c r="Q222" t="s">
        <v>60</v>
      </c>
    </row>
    <row r="223" spans="1:17" x14ac:dyDescent="0.25">
      <c r="A223">
        <v>222</v>
      </c>
      <c r="B223" t="s">
        <v>9</v>
      </c>
      <c r="C223">
        <v>30</v>
      </c>
      <c r="E223">
        <f>Table3[[#This Row],[Place_Id]]</f>
        <v>222</v>
      </c>
      <c r="F223">
        <f>Table3[[#This Row],[Lat]]</f>
        <v>-6.9211092000000001</v>
      </c>
      <c r="G223">
        <f>Table3[[#This Row],[Long]]</f>
        <v>107.60959699999999</v>
      </c>
      <c r="I223">
        <v>304</v>
      </c>
      <c r="J223">
        <v>-7.1923281000000001</v>
      </c>
      <c r="K223">
        <v>107.5510012</v>
      </c>
      <c r="L223" t="s">
        <v>657</v>
      </c>
      <c r="M223" t="s">
        <v>963</v>
      </c>
      <c r="N223" t="s">
        <v>472</v>
      </c>
      <c r="O223" t="str">
        <f>IF(ISBLANK(Table7[[#This Row],[city]]),Table7[[#This Row],[city2]],Table7[[#This Row],[city]])</f>
        <v>Bandung regency</v>
      </c>
      <c r="P223" t="s">
        <v>972</v>
      </c>
      <c r="Q223" t="s">
        <v>60</v>
      </c>
    </row>
    <row r="224" spans="1:17" x14ac:dyDescent="0.25">
      <c r="A224">
        <v>223</v>
      </c>
      <c r="B224" t="s">
        <v>21</v>
      </c>
      <c r="C224">
        <v>20</v>
      </c>
      <c r="E224">
        <f>Table3[[#This Row],[Place_Id]]</f>
        <v>223</v>
      </c>
      <c r="F224">
        <f>Table3[[#This Row],[Lat]]</f>
        <v>-6.9216896999999999</v>
      </c>
      <c r="G224">
        <f>Table3[[#This Row],[Long]]</f>
        <v>107.6061399</v>
      </c>
      <c r="I224">
        <v>305</v>
      </c>
      <c r="J224">
        <v>-7.233689</v>
      </c>
      <c r="K224">
        <v>107.5342933</v>
      </c>
      <c r="L224" t="s">
        <v>659</v>
      </c>
      <c r="M224" t="s">
        <v>963</v>
      </c>
      <c r="N224" t="s">
        <v>472</v>
      </c>
      <c r="O224" t="str">
        <f>IF(ISBLANK(Table7[[#This Row],[city]]),Table7[[#This Row],[city2]],Table7[[#This Row],[city]])</f>
        <v>Bandung regency</v>
      </c>
      <c r="P224" t="s">
        <v>972</v>
      </c>
      <c r="Q224" t="s">
        <v>60</v>
      </c>
    </row>
    <row r="225" spans="1:17" x14ac:dyDescent="0.25">
      <c r="A225">
        <v>224</v>
      </c>
      <c r="B225" t="s">
        <v>15</v>
      </c>
      <c r="C225">
        <v>28</v>
      </c>
      <c r="E225">
        <f>Table3[[#This Row],[Place_Id]]</f>
        <v>224</v>
      </c>
      <c r="F225">
        <f>Table3[[#This Row],[Lat]]</f>
        <v>-6.8486422999999998</v>
      </c>
      <c r="G225">
        <f>Table3[[#This Row],[Long]]</f>
        <v>107.625939</v>
      </c>
      <c r="I225">
        <v>306</v>
      </c>
      <c r="J225">
        <v>-7.1965022999999997</v>
      </c>
      <c r="K225">
        <v>107.5454594</v>
      </c>
      <c r="L225" t="s">
        <v>661</v>
      </c>
      <c r="M225" t="s">
        <v>963</v>
      </c>
      <c r="N225" t="s">
        <v>472</v>
      </c>
      <c r="O225" t="str">
        <f>IF(ISBLANK(Table7[[#This Row],[city]]),Table7[[#This Row],[city2]],Table7[[#This Row],[city]])</f>
        <v>Bandung regency</v>
      </c>
      <c r="P225" t="s">
        <v>972</v>
      </c>
      <c r="Q225" t="s">
        <v>60</v>
      </c>
    </row>
    <row r="226" spans="1:17" x14ac:dyDescent="0.25">
      <c r="A226">
        <v>225</v>
      </c>
      <c r="B226" t="s">
        <v>22</v>
      </c>
      <c r="C226">
        <v>19</v>
      </c>
      <c r="E226">
        <f>Table3[[#This Row],[Place_Id]]</f>
        <v>225</v>
      </c>
      <c r="F226">
        <f>Table3[[#This Row],[Lat]]</f>
        <v>-6.7804929999999999</v>
      </c>
      <c r="G226">
        <f>Table3[[#This Row],[Long]]</f>
        <v>107.63747499999999</v>
      </c>
      <c r="I226">
        <v>307</v>
      </c>
      <c r="J226">
        <v>-7.2274463000000004</v>
      </c>
      <c r="K226">
        <v>107.6050805</v>
      </c>
      <c r="L226" t="s">
        <v>663</v>
      </c>
      <c r="M226" t="s">
        <v>963</v>
      </c>
      <c r="N226" t="s">
        <v>472</v>
      </c>
      <c r="O226" t="str">
        <f>IF(ISBLANK(Table7[[#This Row],[city]]),Table7[[#This Row],[city2]],Table7[[#This Row],[city]])</f>
        <v>Bandung regency</v>
      </c>
      <c r="P226" t="s">
        <v>972</v>
      </c>
      <c r="Q226" t="s">
        <v>60</v>
      </c>
    </row>
    <row r="227" spans="1:17" x14ac:dyDescent="0.25">
      <c r="A227">
        <v>226</v>
      </c>
      <c r="B227" t="s">
        <v>23</v>
      </c>
      <c r="C227">
        <v>23</v>
      </c>
      <c r="E227">
        <f>Table3[[#This Row],[Place_Id]]</f>
        <v>226</v>
      </c>
      <c r="F227">
        <f>Table3[[#This Row],[Lat]]</f>
        <v>-6.8419755999999996</v>
      </c>
      <c r="G227">
        <f>Table3[[#This Row],[Long]]</f>
        <v>107.62282399999999</v>
      </c>
      <c r="I227">
        <v>308</v>
      </c>
      <c r="J227">
        <v>-6.7380852999999998</v>
      </c>
      <c r="K227">
        <v>107.65660920000001</v>
      </c>
      <c r="L227" t="s">
        <v>665</v>
      </c>
      <c r="M227" t="s">
        <v>931</v>
      </c>
      <c r="N227" t="s">
        <v>472</v>
      </c>
      <c r="O227" t="str">
        <f>IF(ISBLANK(Table7[[#This Row],[city]]),Table7[[#This Row],[city2]],Table7[[#This Row],[city]])</f>
        <v>Subang</v>
      </c>
      <c r="P227" t="s">
        <v>972</v>
      </c>
      <c r="Q227" t="s">
        <v>60</v>
      </c>
    </row>
    <row r="228" spans="1:17" x14ac:dyDescent="0.25">
      <c r="A228">
        <v>227</v>
      </c>
      <c r="B228" t="s">
        <v>16</v>
      </c>
      <c r="C228">
        <v>25</v>
      </c>
      <c r="E228">
        <f>Table3[[#This Row],[Place_Id]]</f>
        <v>227</v>
      </c>
      <c r="F228">
        <f>Table3[[#This Row],[Lat]]</f>
        <v>-6.9218571000000004</v>
      </c>
      <c r="G228">
        <f>Table3[[#This Row],[Long]]</f>
        <v>107.6070141</v>
      </c>
      <c r="I228">
        <v>309</v>
      </c>
      <c r="J228">
        <v>-6.8246311000000004</v>
      </c>
      <c r="K228">
        <v>107.6171106</v>
      </c>
      <c r="L228" t="s">
        <v>667</v>
      </c>
      <c r="M228" t="s">
        <v>969</v>
      </c>
      <c r="N228" t="s">
        <v>472</v>
      </c>
      <c r="O228" t="str">
        <f>IF(ISBLANK(Table7[[#This Row],[city]]),Table7[[#This Row],[city2]],Table7[[#This Row],[city]])</f>
        <v>West Bandung regency</v>
      </c>
      <c r="P228" t="s">
        <v>972</v>
      </c>
      <c r="Q228" t="s">
        <v>60</v>
      </c>
    </row>
    <row r="229" spans="1:17" x14ac:dyDescent="0.25">
      <c r="A229">
        <v>228</v>
      </c>
      <c r="B229" t="s">
        <v>11</v>
      </c>
      <c r="C229">
        <v>18</v>
      </c>
      <c r="E229">
        <f>Table3[[#This Row],[Place_Id]]</f>
        <v>228</v>
      </c>
      <c r="F229">
        <f>Table3[[#This Row],[Lat]]</f>
        <v>-6.9375748000000002</v>
      </c>
      <c r="G229">
        <f>Table3[[#This Row],[Long]]</f>
        <v>107.603775</v>
      </c>
      <c r="I229">
        <v>310</v>
      </c>
      <c r="J229">
        <v>-6.8038882999999997</v>
      </c>
      <c r="K229">
        <v>107.58663129999999</v>
      </c>
      <c r="L229" t="s">
        <v>669</v>
      </c>
      <c r="M229" t="s">
        <v>969</v>
      </c>
      <c r="N229" t="s">
        <v>472</v>
      </c>
      <c r="O229" t="str">
        <f>IF(ISBLANK(Table7[[#This Row],[city]]),Table7[[#This Row],[city2]],Table7[[#This Row],[city]])</f>
        <v>West Bandung regency</v>
      </c>
      <c r="P229" t="s">
        <v>972</v>
      </c>
      <c r="Q229" t="s">
        <v>60</v>
      </c>
    </row>
    <row r="230" spans="1:17" x14ac:dyDescent="0.25">
      <c r="A230">
        <v>229</v>
      </c>
      <c r="B230" t="s">
        <v>7</v>
      </c>
      <c r="C230">
        <v>20</v>
      </c>
      <c r="E230">
        <f>Table3[[#This Row],[Place_Id]]</f>
        <v>229</v>
      </c>
      <c r="F230">
        <f>Table3[[#This Row],[Lat]]</f>
        <v>-6.8669517999999998</v>
      </c>
      <c r="G230">
        <f>Table3[[#This Row],[Long]]</f>
        <v>107.6100859</v>
      </c>
      <c r="I230">
        <v>311</v>
      </c>
      <c r="J230">
        <v>-6.8294112</v>
      </c>
      <c r="K230">
        <v>107.68746659999999</v>
      </c>
      <c r="L230" t="s">
        <v>671</v>
      </c>
      <c r="M230" t="s">
        <v>969</v>
      </c>
      <c r="N230" t="s">
        <v>472</v>
      </c>
      <c r="O230" t="str">
        <f>IF(ISBLANK(Table7[[#This Row],[city]]),Table7[[#This Row],[city2]],Table7[[#This Row],[city]])</f>
        <v>West Bandung regency</v>
      </c>
      <c r="P230" t="s">
        <v>972</v>
      </c>
      <c r="Q230" t="s">
        <v>60</v>
      </c>
    </row>
    <row r="231" spans="1:17" x14ac:dyDescent="0.25">
      <c r="A231">
        <v>230</v>
      </c>
      <c r="B231" t="s">
        <v>23</v>
      </c>
      <c r="C231">
        <v>20</v>
      </c>
      <c r="E231">
        <f>Table3[[#This Row],[Place_Id]]</f>
        <v>230</v>
      </c>
      <c r="F231">
        <f>Table3[[#This Row],[Lat]]</f>
        <v>-6.8281527999999998</v>
      </c>
      <c r="G231">
        <f>Table3[[#This Row],[Long]]</f>
        <v>107.43501790000001</v>
      </c>
      <c r="I231">
        <v>312</v>
      </c>
      <c r="J231">
        <v>-6.8260163</v>
      </c>
      <c r="K231">
        <v>107.63835640000001</v>
      </c>
      <c r="L231" t="s">
        <v>673</v>
      </c>
      <c r="M231" t="s">
        <v>969</v>
      </c>
      <c r="N231" t="s">
        <v>472</v>
      </c>
      <c r="O231" t="str">
        <f>IF(ISBLANK(Table7[[#This Row],[city]]),Table7[[#This Row],[city2]],Table7[[#This Row],[city]])</f>
        <v>West Bandung regency</v>
      </c>
      <c r="P231" t="s">
        <v>972</v>
      </c>
      <c r="Q231" t="s">
        <v>60</v>
      </c>
    </row>
    <row r="232" spans="1:17" x14ac:dyDescent="0.25">
      <c r="A232">
        <v>231</v>
      </c>
      <c r="B232" t="s">
        <v>22</v>
      </c>
      <c r="C232">
        <v>28</v>
      </c>
      <c r="E232">
        <f>Table3[[#This Row],[Place_Id]]</f>
        <v>231</v>
      </c>
      <c r="F232">
        <f>Table3[[#This Row],[Lat]]</f>
        <v>-6.8331229999999996</v>
      </c>
      <c r="G232">
        <f>Table3[[#This Row],[Long]]</f>
        <v>107.60415949999999</v>
      </c>
      <c r="I232">
        <v>313</v>
      </c>
      <c r="J232">
        <v>-6.8426445999999999</v>
      </c>
      <c r="K232">
        <v>107.62284080000001</v>
      </c>
      <c r="L232" t="s">
        <v>675</v>
      </c>
      <c r="M232" t="s">
        <v>969</v>
      </c>
      <c r="N232" t="s">
        <v>472</v>
      </c>
      <c r="O232" t="str">
        <f>IF(ISBLANK(Table7[[#This Row],[city]]),Table7[[#This Row],[city2]],Table7[[#This Row],[city]])</f>
        <v>West Bandung regency</v>
      </c>
      <c r="P232" t="s">
        <v>972</v>
      </c>
      <c r="Q232" t="s">
        <v>60</v>
      </c>
    </row>
    <row r="233" spans="1:17" x14ac:dyDescent="0.25">
      <c r="A233">
        <v>232</v>
      </c>
      <c r="B233" t="s">
        <v>24</v>
      </c>
      <c r="C233">
        <v>30</v>
      </c>
      <c r="E233">
        <f>Table3[[#This Row],[Place_Id]]</f>
        <v>232</v>
      </c>
      <c r="F233">
        <f>Table3[[#This Row],[Lat]]</f>
        <v>-6.8422201999999999</v>
      </c>
      <c r="G233">
        <f>Table3[[#This Row],[Long]]</f>
        <v>107.6767988</v>
      </c>
      <c r="I233">
        <v>314</v>
      </c>
      <c r="J233">
        <v>-6.8131766999999996</v>
      </c>
      <c r="K233">
        <v>107.7136367</v>
      </c>
      <c r="L233" t="s">
        <v>677</v>
      </c>
      <c r="M233" t="s">
        <v>969</v>
      </c>
      <c r="N233" t="s">
        <v>472</v>
      </c>
      <c r="O233" t="str">
        <f>IF(ISBLANK(Table7[[#This Row],[city]]),Table7[[#This Row],[city2]],Table7[[#This Row],[city]])</f>
        <v>West Bandung regency</v>
      </c>
      <c r="P233" t="s">
        <v>972</v>
      </c>
      <c r="Q233" t="s">
        <v>60</v>
      </c>
    </row>
    <row r="234" spans="1:17" x14ac:dyDescent="0.25">
      <c r="A234">
        <v>233</v>
      </c>
      <c r="B234" t="s">
        <v>25</v>
      </c>
      <c r="C234">
        <v>23</v>
      </c>
      <c r="E234">
        <f>Table3[[#This Row],[Place_Id]]</f>
        <v>233</v>
      </c>
      <c r="F234">
        <f>Table3[[#This Row],[Lat]]</f>
        <v>-7.3193253</v>
      </c>
      <c r="G234">
        <f>Table3[[#This Row],[Long]]</f>
        <v>107.7310494</v>
      </c>
      <c r="I234">
        <v>315</v>
      </c>
      <c r="J234">
        <v>-7.0182386000000001</v>
      </c>
      <c r="K234">
        <v>107.20721450000001</v>
      </c>
      <c r="L234" t="s">
        <v>679</v>
      </c>
      <c r="M234" t="s">
        <v>969</v>
      </c>
      <c r="N234" t="s">
        <v>472</v>
      </c>
      <c r="O234" t="str">
        <f>IF(ISBLANK(Table7[[#This Row],[city]]),Table7[[#This Row],[city2]],Table7[[#This Row],[city]])</f>
        <v>West Bandung regency</v>
      </c>
      <c r="P234" t="s">
        <v>972</v>
      </c>
      <c r="Q234" t="s">
        <v>60</v>
      </c>
    </row>
    <row r="235" spans="1:17" x14ac:dyDescent="0.25">
      <c r="A235">
        <v>234</v>
      </c>
      <c r="B235" t="s">
        <v>26</v>
      </c>
      <c r="C235">
        <v>27</v>
      </c>
      <c r="E235">
        <f>Table3[[#This Row],[Place_Id]]</f>
        <v>234</v>
      </c>
      <c r="F235">
        <f>Table3[[#This Row],[Lat]]</f>
        <v>-6.8516591</v>
      </c>
      <c r="G235">
        <f>Table3[[#This Row],[Long]]</f>
        <v>107.5955534</v>
      </c>
      <c r="I235">
        <v>316</v>
      </c>
      <c r="J235">
        <v>-6.7977382999999998</v>
      </c>
      <c r="K235">
        <v>107.5783691</v>
      </c>
      <c r="L235" t="s">
        <v>681</v>
      </c>
      <c r="M235" t="s">
        <v>969</v>
      </c>
      <c r="N235" t="s">
        <v>472</v>
      </c>
      <c r="O235" t="str">
        <f>IF(ISBLANK(Table7[[#This Row],[city]]),Table7[[#This Row],[city2]],Table7[[#This Row],[city]])</f>
        <v>West Bandung regency</v>
      </c>
      <c r="P235" t="s">
        <v>972</v>
      </c>
      <c r="Q235" t="s">
        <v>60</v>
      </c>
    </row>
    <row r="236" spans="1:17" x14ac:dyDescent="0.25">
      <c r="A236">
        <v>235</v>
      </c>
      <c r="B236" t="s">
        <v>27</v>
      </c>
      <c r="C236">
        <v>18</v>
      </c>
      <c r="E236">
        <f>Table3[[#This Row],[Place_Id]]</f>
        <v>235</v>
      </c>
      <c r="F236">
        <f>Table3[[#This Row],[Lat]]</f>
        <v>-6.8544593999999996</v>
      </c>
      <c r="G236">
        <f>Table3[[#This Row],[Long]]</f>
        <v>107.6377907</v>
      </c>
      <c r="I236">
        <v>317</v>
      </c>
      <c r="J236">
        <v>-7.1669649</v>
      </c>
      <c r="K236">
        <v>107.35753440000001</v>
      </c>
      <c r="L236" t="s">
        <v>683</v>
      </c>
      <c r="M236" t="s">
        <v>963</v>
      </c>
      <c r="N236" t="s">
        <v>472</v>
      </c>
      <c r="O236" t="str">
        <f>IF(ISBLANK(Table7[[#This Row],[city]]),Table7[[#This Row],[city2]],Table7[[#This Row],[city]])</f>
        <v>Bandung regency</v>
      </c>
      <c r="P236" t="s">
        <v>972</v>
      </c>
      <c r="Q236" t="s">
        <v>60</v>
      </c>
    </row>
    <row r="237" spans="1:17" x14ac:dyDescent="0.25">
      <c r="A237">
        <v>236</v>
      </c>
      <c r="B237" t="s">
        <v>28</v>
      </c>
      <c r="C237">
        <v>23</v>
      </c>
      <c r="E237">
        <f>Table3[[#This Row],[Place_Id]]</f>
        <v>236</v>
      </c>
      <c r="F237">
        <f>Table3[[#This Row],[Lat]]</f>
        <v>-6.9129659999999999</v>
      </c>
      <c r="G237">
        <f>Table3[[#This Row],[Long]]</f>
        <v>107.6096031</v>
      </c>
      <c r="I237">
        <v>318</v>
      </c>
      <c r="J237">
        <v>-7.1724126000000004</v>
      </c>
      <c r="K237">
        <v>107.3766656</v>
      </c>
      <c r="L237" t="s">
        <v>685</v>
      </c>
      <c r="M237" t="s">
        <v>963</v>
      </c>
      <c r="N237" t="s">
        <v>472</v>
      </c>
      <c r="O237" t="str">
        <f>IF(ISBLANK(Table7[[#This Row],[city]]),Table7[[#This Row],[city2]],Table7[[#This Row],[city]])</f>
        <v>Bandung regency</v>
      </c>
      <c r="P237" t="s">
        <v>972</v>
      </c>
      <c r="Q237" t="s">
        <v>60</v>
      </c>
    </row>
    <row r="238" spans="1:17" x14ac:dyDescent="0.25">
      <c r="A238">
        <v>237</v>
      </c>
      <c r="B238" t="s">
        <v>6</v>
      </c>
      <c r="C238">
        <v>20</v>
      </c>
      <c r="E238">
        <f>Table3[[#This Row],[Place_Id]]</f>
        <v>237</v>
      </c>
      <c r="F238">
        <f>Table3[[#This Row],[Lat]]</f>
        <v>-6.9614032000000003</v>
      </c>
      <c r="G238">
        <f>Table3[[#This Row],[Long]]</f>
        <v>107.62273209999999</v>
      </c>
      <c r="I238">
        <v>319</v>
      </c>
      <c r="J238">
        <v>-7.1471529</v>
      </c>
      <c r="K238">
        <v>107.3901424</v>
      </c>
      <c r="L238" t="s">
        <v>687</v>
      </c>
      <c r="M238" t="s">
        <v>963</v>
      </c>
      <c r="N238" t="s">
        <v>472</v>
      </c>
      <c r="O238" t="str">
        <f>IF(ISBLANK(Table7[[#This Row],[city]]),Table7[[#This Row],[city2]],Table7[[#This Row],[city]])</f>
        <v>Bandung regency</v>
      </c>
      <c r="P238" t="s">
        <v>972</v>
      </c>
      <c r="Q238" t="s">
        <v>60</v>
      </c>
    </row>
    <row r="239" spans="1:17" x14ac:dyDescent="0.25">
      <c r="A239">
        <v>238</v>
      </c>
      <c r="B239" t="s">
        <v>14</v>
      </c>
      <c r="C239">
        <v>30</v>
      </c>
      <c r="E239">
        <f>Table3[[#This Row],[Place_Id]]</f>
        <v>238</v>
      </c>
      <c r="F239">
        <f>Table3[[#This Row],[Lat]]</f>
        <v>-6.8761111000000001</v>
      </c>
      <c r="G239">
        <f>Table3[[#This Row],[Long]]</f>
        <v>107.7436111</v>
      </c>
      <c r="I239">
        <v>321</v>
      </c>
      <c r="J239">
        <v>-7.1951102000000002</v>
      </c>
      <c r="K239">
        <v>107.43128110000001</v>
      </c>
      <c r="L239" t="s">
        <v>691</v>
      </c>
      <c r="M239" t="s">
        <v>963</v>
      </c>
      <c r="N239" t="s">
        <v>472</v>
      </c>
      <c r="O239" t="str">
        <f>IF(ISBLANK(Table7[[#This Row],[city]]),Table7[[#This Row],[city2]],Table7[[#This Row],[city]])</f>
        <v>Bandung regency</v>
      </c>
      <c r="P239" t="s">
        <v>972</v>
      </c>
      <c r="Q239" t="s">
        <v>60</v>
      </c>
    </row>
    <row r="240" spans="1:17" x14ac:dyDescent="0.25">
      <c r="A240">
        <v>239</v>
      </c>
      <c r="B240" t="s">
        <v>29</v>
      </c>
      <c r="C240">
        <v>23</v>
      </c>
      <c r="E240">
        <f>Table3[[#This Row],[Place_Id]]</f>
        <v>239</v>
      </c>
      <c r="F240">
        <f>Table3[[#This Row],[Lat]]</f>
        <v>-6.8059153999999999</v>
      </c>
      <c r="G240">
        <f>Table3[[#This Row],[Long]]</f>
        <v>107.59197260000001</v>
      </c>
      <c r="I240">
        <v>322</v>
      </c>
      <c r="J240">
        <v>-6.6013210000000004</v>
      </c>
      <c r="K240">
        <v>106.632734</v>
      </c>
      <c r="L240" t="s">
        <v>693</v>
      </c>
      <c r="M240" t="s">
        <v>963</v>
      </c>
      <c r="N240" t="s">
        <v>472</v>
      </c>
      <c r="O240" t="str">
        <f>IF(ISBLANK(Table7[[#This Row],[city]]),Table7[[#This Row],[city2]],Table7[[#This Row],[city]])</f>
        <v>Bandung regency</v>
      </c>
      <c r="P240" t="s">
        <v>972</v>
      </c>
      <c r="Q240" t="s">
        <v>60</v>
      </c>
    </row>
    <row r="241" spans="1:17" x14ac:dyDescent="0.25">
      <c r="A241">
        <v>240</v>
      </c>
      <c r="B241" t="s">
        <v>8</v>
      </c>
      <c r="C241">
        <v>22</v>
      </c>
      <c r="E241">
        <f>Table3[[#This Row],[Place_Id]]</f>
        <v>240</v>
      </c>
      <c r="F241">
        <f>Table3[[#This Row],[Lat]]</f>
        <v>-6.9112109999999998</v>
      </c>
      <c r="G241">
        <f>Table3[[#This Row],[Long]]</f>
        <v>107.6133389</v>
      </c>
      <c r="I241">
        <v>323</v>
      </c>
      <c r="J241">
        <v>-7.1147876999999999</v>
      </c>
      <c r="K241">
        <v>107.4380865</v>
      </c>
      <c r="L241" t="s">
        <v>695</v>
      </c>
      <c r="M241" t="s">
        <v>963</v>
      </c>
      <c r="N241" t="s">
        <v>472</v>
      </c>
      <c r="O241" t="str">
        <f>IF(ISBLANK(Table7[[#This Row],[city]]),Table7[[#This Row],[city2]],Table7[[#This Row],[city]])</f>
        <v>Bandung regency</v>
      </c>
      <c r="P241" t="s">
        <v>972</v>
      </c>
      <c r="Q241" t="s">
        <v>60</v>
      </c>
    </row>
    <row r="242" spans="1:17" x14ac:dyDescent="0.25">
      <c r="A242">
        <v>241</v>
      </c>
      <c r="B242" t="s">
        <v>19</v>
      </c>
      <c r="C242">
        <v>20</v>
      </c>
      <c r="E242">
        <f>Table3[[#This Row],[Place_Id]]</f>
        <v>241</v>
      </c>
      <c r="F242">
        <f>Table3[[#This Row],[Lat]]</f>
        <v>-6.8478979999999998</v>
      </c>
      <c r="G242">
        <f>Table3[[#This Row],[Long]]</f>
        <v>107.6276146</v>
      </c>
      <c r="I242">
        <v>325</v>
      </c>
      <c r="J242">
        <v>-6.8590046999999998</v>
      </c>
      <c r="K242">
        <v>107.56877900000001</v>
      </c>
      <c r="L242" t="s">
        <v>699</v>
      </c>
      <c r="M242" t="s">
        <v>969</v>
      </c>
      <c r="N242" t="s">
        <v>472</v>
      </c>
      <c r="O242" t="str">
        <f>IF(ISBLANK(Table7[[#This Row],[city]]),Table7[[#This Row],[city2]],Table7[[#This Row],[city]])</f>
        <v>West Bandung regency</v>
      </c>
      <c r="P242" t="s">
        <v>972</v>
      </c>
      <c r="Q242" t="s">
        <v>60</v>
      </c>
    </row>
    <row r="243" spans="1:17" x14ac:dyDescent="0.25">
      <c r="A243">
        <v>242</v>
      </c>
      <c r="B243" t="s">
        <v>30</v>
      </c>
      <c r="C243">
        <v>20</v>
      </c>
      <c r="E243">
        <f>Table3[[#This Row],[Place_Id]]</f>
        <v>242</v>
      </c>
      <c r="F243">
        <f>Table3[[#This Row],[Lat]]</f>
        <v>-6.8655225</v>
      </c>
      <c r="G243">
        <f>Table3[[#This Row],[Long]]</f>
        <v>107.6181878</v>
      </c>
      <c r="I243">
        <v>327</v>
      </c>
      <c r="J243">
        <v>-6.8231833000000002</v>
      </c>
      <c r="K243">
        <v>107.43716550000001</v>
      </c>
      <c r="L243" t="s">
        <v>703</v>
      </c>
      <c r="M243" t="s">
        <v>969</v>
      </c>
      <c r="N243" t="s">
        <v>472</v>
      </c>
      <c r="O243" t="str">
        <f>IF(ISBLANK(Table7[[#This Row],[city]]),Table7[[#This Row],[city2]],Table7[[#This Row],[city]])</f>
        <v>West Bandung regency</v>
      </c>
      <c r="P243" t="s">
        <v>972</v>
      </c>
      <c r="Q243" t="s">
        <v>60</v>
      </c>
    </row>
    <row r="244" spans="1:17" x14ac:dyDescent="0.25">
      <c r="A244">
        <v>243</v>
      </c>
      <c r="B244" t="s">
        <v>31</v>
      </c>
      <c r="C244">
        <v>20</v>
      </c>
      <c r="E244">
        <f>Table3[[#This Row],[Place_Id]]</f>
        <v>243</v>
      </c>
      <c r="F244">
        <f>Table3[[#This Row],[Lat]]</f>
        <v>-6.9154546000000003</v>
      </c>
      <c r="G244">
        <f>Table3[[#This Row],[Long]]</f>
        <v>107.64076900000001</v>
      </c>
      <c r="I244">
        <v>328</v>
      </c>
      <c r="J244">
        <v>-6.9588812000000004</v>
      </c>
      <c r="K244">
        <v>107.47131469999999</v>
      </c>
      <c r="L244" t="s">
        <v>705</v>
      </c>
      <c r="M244" t="s">
        <v>969</v>
      </c>
      <c r="N244" t="s">
        <v>472</v>
      </c>
      <c r="O244" t="str">
        <f>IF(ISBLANK(Table7[[#This Row],[city]]),Table7[[#This Row],[city2]],Table7[[#This Row],[city]])</f>
        <v>West Bandung regency</v>
      </c>
      <c r="P244" t="s">
        <v>972</v>
      </c>
      <c r="Q244" t="s">
        <v>60</v>
      </c>
    </row>
    <row r="245" spans="1:17" x14ac:dyDescent="0.25">
      <c r="A245">
        <v>244</v>
      </c>
      <c r="B245" t="s">
        <v>10</v>
      </c>
      <c r="C245">
        <v>27</v>
      </c>
      <c r="E245">
        <f>Table3[[#This Row],[Place_Id]]</f>
        <v>244</v>
      </c>
      <c r="F245">
        <f>Table3[[#This Row],[Lat]]</f>
        <v>-7.0093633000000004</v>
      </c>
      <c r="G245">
        <f>Table3[[#This Row],[Long]]</f>
        <v>107.6069444</v>
      </c>
      <c r="I245">
        <v>331</v>
      </c>
      <c r="J245">
        <v>-6.8179514000000001</v>
      </c>
      <c r="K245">
        <v>107.618914</v>
      </c>
      <c r="L245" t="s">
        <v>711</v>
      </c>
      <c r="M245" t="s">
        <v>963</v>
      </c>
      <c r="N245" t="s">
        <v>472</v>
      </c>
      <c r="O245" t="str">
        <f>IF(ISBLANK(Table7[[#This Row],[city]]),Table7[[#This Row],[city2]],Table7[[#This Row],[city]])</f>
        <v>Bandung regency</v>
      </c>
      <c r="P245" t="s">
        <v>972</v>
      </c>
      <c r="Q245" t="s">
        <v>60</v>
      </c>
    </row>
    <row r="246" spans="1:17" x14ac:dyDescent="0.25">
      <c r="A246">
        <v>245</v>
      </c>
      <c r="B246" t="s">
        <v>11</v>
      </c>
      <c r="C246">
        <v>27</v>
      </c>
      <c r="E246">
        <f>Table3[[#This Row],[Place_Id]]</f>
        <v>245</v>
      </c>
      <c r="F246">
        <f>Table3[[#This Row],[Lat]]</f>
        <v>-6.819604</v>
      </c>
      <c r="G246">
        <f>Table3[[#This Row],[Long]]</f>
        <v>107.59645190000001</v>
      </c>
      <c r="I246">
        <v>340</v>
      </c>
      <c r="J246">
        <v>-7.0296836999999996</v>
      </c>
      <c r="K246">
        <v>110.3999611</v>
      </c>
      <c r="L246" t="s">
        <v>730</v>
      </c>
      <c r="M246" t="s">
        <v>719</v>
      </c>
      <c r="N246" t="s">
        <v>719</v>
      </c>
      <c r="O246" t="str">
        <f>IF(ISBLANK(Table7[[#This Row],[city]]),Table7[[#This Row],[city2]],Table7[[#This Row],[city]])</f>
        <v>Semarang</v>
      </c>
      <c r="P246" t="s">
        <v>974</v>
      </c>
      <c r="Q246" t="s">
        <v>60</v>
      </c>
    </row>
    <row r="247" spans="1:17" x14ac:dyDescent="0.25">
      <c r="A247">
        <v>246</v>
      </c>
      <c r="B247" t="s">
        <v>17</v>
      </c>
      <c r="C247">
        <v>28</v>
      </c>
      <c r="E247">
        <f>Table3[[#This Row],[Place_Id]]</f>
        <v>246</v>
      </c>
      <c r="F247">
        <f>Table3[[#This Row],[Lat]]</f>
        <v>-6.7905692000000002</v>
      </c>
      <c r="G247">
        <f>Table3[[#This Row],[Long]]</f>
        <v>107.5826388</v>
      </c>
      <c r="I247">
        <v>348</v>
      </c>
      <c r="J247">
        <v>-6.9685617999999998</v>
      </c>
      <c r="K247">
        <v>110.3459696</v>
      </c>
      <c r="L247" t="s">
        <v>746</v>
      </c>
      <c r="M247" t="s">
        <v>719</v>
      </c>
      <c r="N247" t="s">
        <v>719</v>
      </c>
      <c r="O247" t="str">
        <f>IF(ISBLANK(Table7[[#This Row],[city]]),Table7[[#This Row],[city2]],Table7[[#This Row],[city]])</f>
        <v>Semarang</v>
      </c>
      <c r="P247" t="s">
        <v>974</v>
      </c>
      <c r="Q247" t="s">
        <v>60</v>
      </c>
    </row>
    <row r="248" spans="1:17" x14ac:dyDescent="0.25">
      <c r="A248">
        <v>247</v>
      </c>
      <c r="B248" t="s">
        <v>7</v>
      </c>
      <c r="C248">
        <v>28</v>
      </c>
      <c r="E248">
        <f>Table3[[#This Row],[Place_Id]]</f>
        <v>247</v>
      </c>
      <c r="F248">
        <f>Table3[[#This Row],[Lat]]</f>
        <v>-6.9159458999999996</v>
      </c>
      <c r="G248">
        <f>Table3[[#This Row],[Long]]</f>
        <v>107.6421462</v>
      </c>
      <c r="I248">
        <v>354</v>
      </c>
      <c r="J248">
        <v>-7.1945902999999998</v>
      </c>
      <c r="K248">
        <v>110.37335830000001</v>
      </c>
      <c r="L248" t="s">
        <v>758</v>
      </c>
      <c r="M248" t="s">
        <v>971</v>
      </c>
      <c r="N248" t="s">
        <v>719</v>
      </c>
      <c r="O248" t="str">
        <f>IF(ISBLANK(Table7[[#This Row],[city]]),Table7[[#This Row],[city2]],Table7[[#This Row],[city]])</f>
        <v>Semarang regency</v>
      </c>
      <c r="P248" t="s">
        <v>974</v>
      </c>
      <c r="Q248" t="s">
        <v>60</v>
      </c>
    </row>
    <row r="249" spans="1:17" x14ac:dyDescent="0.25">
      <c r="A249">
        <v>248</v>
      </c>
      <c r="B249" t="s">
        <v>15</v>
      </c>
      <c r="C249">
        <v>29</v>
      </c>
      <c r="E249">
        <f>Table3[[#This Row],[Place_Id]]</f>
        <v>248</v>
      </c>
      <c r="F249">
        <f>Table3[[#This Row],[Lat]]</f>
        <v>-6.8778588999999997</v>
      </c>
      <c r="G249">
        <f>Table3[[#This Row],[Long]]</f>
        <v>107.5720263</v>
      </c>
      <c r="I249">
        <v>356</v>
      </c>
      <c r="J249">
        <v>-7.1157969000000003</v>
      </c>
      <c r="K249">
        <v>110.42179659999999</v>
      </c>
      <c r="L249" t="s">
        <v>762</v>
      </c>
      <c r="M249" t="s">
        <v>971</v>
      </c>
      <c r="N249" t="s">
        <v>719</v>
      </c>
      <c r="O249" t="str">
        <f>IF(ISBLANK(Table7[[#This Row],[city]]),Table7[[#This Row],[city2]],Table7[[#This Row],[city]])</f>
        <v>Semarang regency</v>
      </c>
      <c r="P249" t="s">
        <v>974</v>
      </c>
      <c r="Q249" t="s">
        <v>60</v>
      </c>
    </row>
    <row r="250" spans="1:17" x14ac:dyDescent="0.25">
      <c r="A250">
        <v>249</v>
      </c>
      <c r="B250" t="s">
        <v>30</v>
      </c>
      <c r="C250">
        <v>19</v>
      </c>
      <c r="E250">
        <f>Table3[[#This Row],[Place_Id]]</f>
        <v>249</v>
      </c>
      <c r="F250">
        <f>Table3[[#This Row],[Lat]]</f>
        <v>-6.8963000000000001</v>
      </c>
      <c r="G250">
        <f>Table3[[#This Row],[Long]]</f>
        <v>107.617</v>
      </c>
      <c r="I250">
        <v>358</v>
      </c>
      <c r="J250">
        <v>-7.2255041000000002</v>
      </c>
      <c r="K250">
        <v>110.34631659999999</v>
      </c>
      <c r="L250" t="s">
        <v>766</v>
      </c>
      <c r="M250" t="s">
        <v>971</v>
      </c>
      <c r="N250" t="s">
        <v>719</v>
      </c>
      <c r="O250" t="str">
        <f>IF(ISBLANK(Table7[[#This Row],[city]]),Table7[[#This Row],[city2]],Table7[[#This Row],[city]])</f>
        <v>Semarang regency</v>
      </c>
      <c r="P250" t="s">
        <v>974</v>
      </c>
      <c r="Q250" t="s">
        <v>60</v>
      </c>
    </row>
    <row r="251" spans="1:17" x14ac:dyDescent="0.25">
      <c r="A251">
        <v>250</v>
      </c>
      <c r="B251" t="s">
        <v>19</v>
      </c>
      <c r="C251">
        <v>27</v>
      </c>
      <c r="E251">
        <f>Table3[[#This Row],[Place_Id]]</f>
        <v>250</v>
      </c>
      <c r="F251">
        <f>Table3[[#This Row],[Lat]]</f>
        <v>-7.0409154000000003</v>
      </c>
      <c r="G251">
        <f>Table3[[#This Row],[Long]]</f>
        <v>107.5269156</v>
      </c>
      <c r="I251">
        <v>359</v>
      </c>
      <c r="J251">
        <v>-7.3580962999999997</v>
      </c>
      <c r="K251">
        <v>110.4210681</v>
      </c>
      <c r="L251" t="s">
        <v>768</v>
      </c>
      <c r="M251" t="s">
        <v>971</v>
      </c>
      <c r="N251" t="s">
        <v>719</v>
      </c>
      <c r="O251" t="str">
        <f>IF(ISBLANK(Table7[[#This Row],[city]]),Table7[[#This Row],[city2]],Table7[[#This Row],[city]])</f>
        <v>Semarang regency</v>
      </c>
      <c r="P251" t="s">
        <v>974</v>
      </c>
      <c r="Q251" t="s">
        <v>60</v>
      </c>
    </row>
    <row r="252" spans="1:17" x14ac:dyDescent="0.25">
      <c r="A252">
        <v>251</v>
      </c>
      <c r="B252" t="s">
        <v>6</v>
      </c>
      <c r="C252">
        <v>29</v>
      </c>
      <c r="E252">
        <f>Table3[[#This Row],[Place_Id]]</f>
        <v>251</v>
      </c>
      <c r="F252">
        <f>Table3[[#This Row],[Lat]]</f>
        <v>-6.9021325999999998</v>
      </c>
      <c r="G252">
        <f>Table3[[#This Row],[Long]]</f>
        <v>107.6209387</v>
      </c>
      <c r="I252">
        <v>361</v>
      </c>
      <c r="J252">
        <v>-7.2854929000000004</v>
      </c>
      <c r="K252">
        <v>110.4321671</v>
      </c>
      <c r="L252" t="s">
        <v>772</v>
      </c>
      <c r="M252" t="s">
        <v>971</v>
      </c>
      <c r="N252" t="s">
        <v>719</v>
      </c>
      <c r="O252" t="str">
        <f>IF(ISBLANK(Table7[[#This Row],[city]]),Table7[[#This Row],[city2]],Table7[[#This Row],[city]])</f>
        <v>Semarang regency</v>
      </c>
      <c r="P252" t="s">
        <v>974</v>
      </c>
      <c r="Q252" t="s">
        <v>60</v>
      </c>
    </row>
    <row r="253" spans="1:17" x14ac:dyDescent="0.25">
      <c r="A253">
        <v>252</v>
      </c>
      <c r="B253" t="s">
        <v>7</v>
      </c>
      <c r="C253">
        <v>30</v>
      </c>
      <c r="E253">
        <f>Table3[[#This Row],[Place_Id]]</f>
        <v>252</v>
      </c>
      <c r="F253">
        <f>Table3[[#This Row],[Lat]]</f>
        <v>-6.9631619999999996</v>
      </c>
      <c r="G253">
        <f>Table3[[#This Row],[Long]]</f>
        <v>107.66195</v>
      </c>
      <c r="I253">
        <v>364</v>
      </c>
      <c r="J253">
        <v>-7.0370499000000004</v>
      </c>
      <c r="K253">
        <v>110.34775860000001</v>
      </c>
      <c r="L253" t="s">
        <v>778</v>
      </c>
      <c r="M253" t="s">
        <v>719</v>
      </c>
      <c r="N253" t="s">
        <v>719</v>
      </c>
      <c r="O253" t="str">
        <f>IF(ISBLANK(Table7[[#This Row],[city]]),Table7[[#This Row],[city2]],Table7[[#This Row],[city]])</f>
        <v>Semarang</v>
      </c>
      <c r="P253" t="s">
        <v>974</v>
      </c>
      <c r="Q253" t="s">
        <v>60</v>
      </c>
    </row>
    <row r="254" spans="1:17" x14ac:dyDescent="0.25">
      <c r="A254">
        <v>253</v>
      </c>
      <c r="B254" t="s">
        <v>8</v>
      </c>
      <c r="C254">
        <v>34</v>
      </c>
      <c r="E254">
        <f>Table3[[#This Row],[Place_Id]]</f>
        <v>253</v>
      </c>
      <c r="F254">
        <f>Table3[[#This Row],[Lat]]</f>
        <v>-6.8585406000000004</v>
      </c>
      <c r="G254">
        <f>Table3[[#This Row],[Long]]</f>
        <v>107.6365486</v>
      </c>
      <c r="I254">
        <v>366</v>
      </c>
      <c r="J254">
        <v>-7.3126613000000003</v>
      </c>
      <c r="K254">
        <v>110.3746785</v>
      </c>
      <c r="L254" t="s">
        <v>782</v>
      </c>
      <c r="M254" t="s">
        <v>971</v>
      </c>
      <c r="N254" t="s">
        <v>719</v>
      </c>
      <c r="O254" t="str">
        <f>IF(ISBLANK(Table7[[#This Row],[city]]),Table7[[#This Row],[city2]],Table7[[#This Row],[city]])</f>
        <v>Semarang regency</v>
      </c>
      <c r="P254" t="s">
        <v>974</v>
      </c>
      <c r="Q254" t="s">
        <v>60</v>
      </c>
    </row>
    <row r="255" spans="1:17" x14ac:dyDescent="0.25">
      <c r="A255">
        <v>254</v>
      </c>
      <c r="B255" t="s">
        <v>7</v>
      </c>
      <c r="C255">
        <v>34</v>
      </c>
      <c r="E255">
        <f>Table3[[#This Row],[Place_Id]]</f>
        <v>254</v>
      </c>
      <c r="F255">
        <f>Table3[[#This Row],[Lat]]</f>
        <v>-6.8844199000000001</v>
      </c>
      <c r="G255">
        <f>Table3[[#This Row],[Long]]</f>
        <v>107.6068344</v>
      </c>
      <c r="I255">
        <v>367</v>
      </c>
      <c r="J255">
        <v>-7.2675390000000002</v>
      </c>
      <c r="K255">
        <v>110.418076</v>
      </c>
      <c r="L255" t="s">
        <v>784</v>
      </c>
      <c r="M255" t="s">
        <v>971</v>
      </c>
      <c r="N255" t="s">
        <v>719</v>
      </c>
      <c r="O255" t="str">
        <f>IF(ISBLANK(Table7[[#This Row],[city]]),Table7[[#This Row],[city2]],Table7[[#This Row],[city]])</f>
        <v>Semarang regency</v>
      </c>
      <c r="P255" t="s">
        <v>974</v>
      </c>
      <c r="Q255" t="s">
        <v>60</v>
      </c>
    </row>
    <row r="256" spans="1:17" x14ac:dyDescent="0.25">
      <c r="A256">
        <v>255</v>
      </c>
      <c r="B256" t="s">
        <v>9</v>
      </c>
      <c r="C256">
        <v>30</v>
      </c>
      <c r="E256">
        <f>Table3[[#This Row],[Place_Id]]</f>
        <v>255</v>
      </c>
      <c r="F256">
        <f>Table3[[#This Row],[Lat]]</f>
        <v>-6.8782386999999998</v>
      </c>
      <c r="G256">
        <f>Table3[[#This Row],[Long]]</f>
        <v>107.58753489999999</v>
      </c>
      <c r="I256">
        <v>370</v>
      </c>
      <c r="J256">
        <v>-7.2531096000000002</v>
      </c>
      <c r="K256">
        <v>110.4264512</v>
      </c>
      <c r="L256" t="s">
        <v>790</v>
      </c>
      <c r="M256" t="s">
        <v>971</v>
      </c>
      <c r="N256" t="s">
        <v>719</v>
      </c>
      <c r="O256" t="str">
        <f>IF(ISBLANK(Table7[[#This Row],[city]]),Table7[[#This Row],[city2]],Table7[[#This Row],[city]])</f>
        <v>Semarang regency</v>
      </c>
      <c r="P256" t="s">
        <v>974</v>
      </c>
      <c r="Q256" t="s">
        <v>60</v>
      </c>
    </row>
    <row r="257" spans="1:17" x14ac:dyDescent="0.25">
      <c r="A257">
        <v>256</v>
      </c>
      <c r="B257" t="s">
        <v>10</v>
      </c>
      <c r="C257">
        <v>39</v>
      </c>
      <c r="E257">
        <f>Table3[[#This Row],[Place_Id]]</f>
        <v>256</v>
      </c>
      <c r="F257">
        <f>Table3[[#This Row],[Lat]]</f>
        <v>-6.8936105999999997</v>
      </c>
      <c r="G257">
        <f>Table3[[#This Row],[Long]]</f>
        <v>107.7447399</v>
      </c>
      <c r="I257">
        <v>371</v>
      </c>
      <c r="J257">
        <v>-7.2552364000000003</v>
      </c>
      <c r="K257">
        <v>110.39918969999999</v>
      </c>
      <c r="L257" t="s">
        <v>792</v>
      </c>
      <c r="M257" t="s">
        <v>971</v>
      </c>
      <c r="N257" t="s">
        <v>719</v>
      </c>
      <c r="O257" t="str">
        <f>IF(ISBLANK(Table7[[#This Row],[city]]),Table7[[#This Row],[city2]],Table7[[#This Row],[city]])</f>
        <v>Semarang regency</v>
      </c>
      <c r="P257" t="s">
        <v>974</v>
      </c>
      <c r="Q257" t="s">
        <v>60</v>
      </c>
    </row>
    <row r="258" spans="1:17" x14ac:dyDescent="0.25">
      <c r="A258">
        <v>257</v>
      </c>
      <c r="B258" t="s">
        <v>11</v>
      </c>
      <c r="C258">
        <v>25</v>
      </c>
      <c r="E258">
        <f>Table3[[#This Row],[Place_Id]]</f>
        <v>257</v>
      </c>
      <c r="F258">
        <f>Table3[[#This Row],[Lat]]</f>
        <v>-6.9338496999999997</v>
      </c>
      <c r="G258">
        <f>Table3[[#This Row],[Long]]</f>
        <v>107.60492499999999</v>
      </c>
      <c r="I258">
        <v>373</v>
      </c>
      <c r="J258">
        <v>-7.3956059999999999</v>
      </c>
      <c r="K258">
        <v>110.45177270000001</v>
      </c>
      <c r="L258" t="s">
        <v>796</v>
      </c>
      <c r="M258" t="s">
        <v>971</v>
      </c>
      <c r="N258" t="s">
        <v>719</v>
      </c>
      <c r="O258" t="str">
        <f>IF(ISBLANK(Table7[[#This Row],[city]]),Table7[[#This Row],[city2]],Table7[[#This Row],[city]])</f>
        <v>Semarang regency</v>
      </c>
      <c r="P258" t="s">
        <v>974</v>
      </c>
      <c r="Q258" t="s">
        <v>60</v>
      </c>
    </row>
    <row r="259" spans="1:17" x14ac:dyDescent="0.25">
      <c r="A259">
        <v>258</v>
      </c>
      <c r="B259" t="s">
        <v>12</v>
      </c>
      <c r="C259">
        <v>38</v>
      </c>
      <c r="E259">
        <f>Table3[[#This Row],[Place_Id]]</f>
        <v>258</v>
      </c>
      <c r="F259">
        <f>Table3[[#This Row],[Lat]]</f>
        <v>-6.9026379000000002</v>
      </c>
      <c r="G259">
        <f>Table3[[#This Row],[Long]]</f>
        <v>107.619169</v>
      </c>
      <c r="I259">
        <v>378</v>
      </c>
      <c r="J259">
        <v>-7.2721621000000001</v>
      </c>
      <c r="K259">
        <v>110.46984569999999</v>
      </c>
      <c r="L259" t="s">
        <v>806</v>
      </c>
      <c r="M259" t="s">
        <v>971</v>
      </c>
      <c r="N259" t="s">
        <v>719</v>
      </c>
      <c r="O259" t="str">
        <f>IF(ISBLANK(Table7[[#This Row],[city]]),Table7[[#This Row],[city2]],Table7[[#This Row],[city]])</f>
        <v>Semarang regency</v>
      </c>
      <c r="P259" t="s">
        <v>974</v>
      </c>
      <c r="Q259" t="s">
        <v>60</v>
      </c>
    </row>
    <row r="260" spans="1:17" x14ac:dyDescent="0.25">
      <c r="A260">
        <v>259</v>
      </c>
      <c r="B260" t="s">
        <v>13</v>
      </c>
      <c r="C260">
        <v>27</v>
      </c>
      <c r="E260">
        <f>Table3[[#This Row],[Place_Id]]</f>
        <v>259</v>
      </c>
      <c r="F260">
        <f>Table3[[#This Row],[Lat]]</f>
        <v>-6.8934327</v>
      </c>
      <c r="G260">
        <f>Table3[[#This Row],[Long]]</f>
        <v>107.61855129999999</v>
      </c>
      <c r="I260">
        <v>385</v>
      </c>
      <c r="J260">
        <v>-7.1662971000000004</v>
      </c>
      <c r="K260">
        <v>110.381068</v>
      </c>
      <c r="L260" t="s">
        <v>820</v>
      </c>
      <c r="M260" t="s">
        <v>971</v>
      </c>
      <c r="N260" t="s">
        <v>719</v>
      </c>
      <c r="O260" t="str">
        <f>IF(ISBLANK(Table7[[#This Row],[city]]),Table7[[#This Row],[city2]],Table7[[#This Row],[city]])</f>
        <v>Semarang regency</v>
      </c>
      <c r="P260" t="s">
        <v>974</v>
      </c>
      <c r="Q260" t="s">
        <v>60</v>
      </c>
    </row>
    <row r="261" spans="1:17" x14ac:dyDescent="0.25">
      <c r="A261">
        <v>260</v>
      </c>
      <c r="B261" t="s">
        <v>7</v>
      </c>
      <c r="C261">
        <v>33</v>
      </c>
      <c r="E261">
        <f>Table3[[#This Row],[Place_Id]]</f>
        <v>260</v>
      </c>
      <c r="F261">
        <f>Table3[[#This Row],[Lat]]</f>
        <v>-6.9020130000000002</v>
      </c>
      <c r="G261">
        <f>Table3[[#This Row],[Long]]</f>
        <v>107.6197787</v>
      </c>
      <c r="I261">
        <v>386</v>
      </c>
      <c r="J261">
        <v>-7.0372113000000001</v>
      </c>
      <c r="K261">
        <v>110.34761640000001</v>
      </c>
      <c r="L261" t="s">
        <v>822</v>
      </c>
      <c r="M261" t="s">
        <v>719</v>
      </c>
      <c r="N261" t="s">
        <v>719</v>
      </c>
      <c r="O261" t="str">
        <f>IF(ISBLANK(Table7[[#This Row],[city]]),Table7[[#This Row],[city2]],Table7[[#This Row],[city]])</f>
        <v>Semarang</v>
      </c>
      <c r="P261" t="s">
        <v>974</v>
      </c>
      <c r="Q261" t="s">
        <v>60</v>
      </c>
    </row>
    <row r="262" spans="1:17" x14ac:dyDescent="0.25">
      <c r="A262">
        <v>261</v>
      </c>
      <c r="B262" t="s">
        <v>14</v>
      </c>
      <c r="C262">
        <v>38</v>
      </c>
      <c r="E262">
        <f>Table3[[#This Row],[Place_Id]]</f>
        <v>261</v>
      </c>
      <c r="F262">
        <f>Table3[[#This Row],[Lat]]</f>
        <v>-6.7869390000000003</v>
      </c>
      <c r="G262">
        <f>Table3[[#This Row],[Long]]</f>
        <v>107.5837331</v>
      </c>
      <c r="I262">
        <v>387</v>
      </c>
      <c r="J262">
        <v>-7.1298066000000002</v>
      </c>
      <c r="K262">
        <v>110.38883199999999</v>
      </c>
      <c r="L262" t="s">
        <v>824</v>
      </c>
      <c r="M262" t="s">
        <v>971</v>
      </c>
      <c r="N262" t="s">
        <v>719</v>
      </c>
      <c r="O262" t="str">
        <f>IF(ISBLANK(Table7[[#This Row],[city]]),Table7[[#This Row],[city2]],Table7[[#This Row],[city]])</f>
        <v>Semarang regency</v>
      </c>
      <c r="P262" t="s">
        <v>974</v>
      </c>
      <c r="Q262" t="s">
        <v>60</v>
      </c>
    </row>
    <row r="263" spans="1:17" x14ac:dyDescent="0.25">
      <c r="A263">
        <v>262</v>
      </c>
      <c r="B263" t="s">
        <v>15</v>
      </c>
      <c r="C263">
        <v>38</v>
      </c>
      <c r="E263">
        <f>Table3[[#This Row],[Place_Id]]</f>
        <v>262</v>
      </c>
      <c r="F263">
        <f>Table3[[#This Row],[Lat]]</f>
        <v>-6.8597013000000002</v>
      </c>
      <c r="G263">
        <f>Table3[[#This Row],[Long]]</f>
        <v>107.6360983</v>
      </c>
      <c r="I263">
        <v>388</v>
      </c>
      <c r="J263">
        <v>-7.0565163999999996</v>
      </c>
      <c r="K263">
        <v>110.4862531</v>
      </c>
      <c r="L263" t="s">
        <v>826</v>
      </c>
      <c r="M263" t="s">
        <v>719</v>
      </c>
      <c r="N263" t="s">
        <v>719</v>
      </c>
      <c r="O263" t="str">
        <f>IF(ISBLANK(Table7[[#This Row],[city]]),Table7[[#This Row],[city2]],Table7[[#This Row],[city]])</f>
        <v>Semarang</v>
      </c>
      <c r="P263" t="s">
        <v>974</v>
      </c>
      <c r="Q263" t="s">
        <v>60</v>
      </c>
    </row>
    <row r="264" spans="1:17" x14ac:dyDescent="0.25">
      <c r="A264">
        <v>263</v>
      </c>
      <c r="B264" t="s">
        <v>16</v>
      </c>
      <c r="C264">
        <v>27</v>
      </c>
      <c r="E264">
        <f>Table3[[#This Row],[Place_Id]]</f>
        <v>263</v>
      </c>
      <c r="F264">
        <f>Table3[[#This Row],[Lat]]</f>
        <v>-6.8743632999999997</v>
      </c>
      <c r="G264">
        <f>Table3[[#This Row],[Long]]</f>
        <v>107.6844023</v>
      </c>
      <c r="I264">
        <v>389</v>
      </c>
      <c r="J264">
        <v>-7.0967079000000002</v>
      </c>
      <c r="K264">
        <v>110.3900517</v>
      </c>
      <c r="L264" t="s">
        <v>828</v>
      </c>
      <c r="M264" t="s">
        <v>719</v>
      </c>
      <c r="N264" t="s">
        <v>719</v>
      </c>
      <c r="O264" t="str">
        <f>IF(ISBLANK(Table7[[#This Row],[city]]),Table7[[#This Row],[city2]],Table7[[#This Row],[city]])</f>
        <v>Semarang</v>
      </c>
      <c r="P264" t="s">
        <v>974</v>
      </c>
      <c r="Q264" t="s">
        <v>60</v>
      </c>
    </row>
    <row r="265" spans="1:17" x14ac:dyDescent="0.25">
      <c r="A265">
        <v>264</v>
      </c>
      <c r="B265" t="s">
        <v>17</v>
      </c>
      <c r="C265">
        <v>37</v>
      </c>
      <c r="E265">
        <f>Table3[[#This Row],[Place_Id]]</f>
        <v>264</v>
      </c>
      <c r="F265">
        <f>Table3[[#This Row],[Lat]]</f>
        <v>-6.9148394</v>
      </c>
      <c r="G265">
        <f>Table3[[#This Row],[Long]]</f>
        <v>107.6105511</v>
      </c>
      <c r="I265">
        <v>390</v>
      </c>
      <c r="J265">
        <v>-7.2241812999999997</v>
      </c>
      <c r="K265">
        <v>110.3782661</v>
      </c>
      <c r="L265" t="s">
        <v>830</v>
      </c>
      <c r="M265" t="s">
        <v>971</v>
      </c>
      <c r="N265" t="s">
        <v>719</v>
      </c>
      <c r="O265" t="str">
        <f>IF(ISBLANK(Table7[[#This Row],[city]]),Table7[[#This Row],[city2]],Table7[[#This Row],[city]])</f>
        <v>Semarang regency</v>
      </c>
      <c r="P265" t="s">
        <v>974</v>
      </c>
      <c r="Q265" t="s">
        <v>60</v>
      </c>
    </row>
    <row r="266" spans="1:17" x14ac:dyDescent="0.25">
      <c r="A266">
        <v>265</v>
      </c>
      <c r="B266" t="s">
        <v>18</v>
      </c>
      <c r="C266">
        <v>30</v>
      </c>
      <c r="E266">
        <f>Table3[[#This Row],[Place_Id]]</f>
        <v>265</v>
      </c>
      <c r="F266">
        <f>Table3[[#This Row],[Lat]]</f>
        <v>-6.9173404999999999</v>
      </c>
      <c r="G266">
        <f>Table3[[#This Row],[Long]]</f>
        <v>107.6112627</v>
      </c>
      <c r="I266">
        <v>391</v>
      </c>
      <c r="J266">
        <v>-7.3086482000000004</v>
      </c>
      <c r="K266">
        <v>112.82166220000001</v>
      </c>
      <c r="L266" t="s">
        <v>832</v>
      </c>
      <c r="M266" t="s">
        <v>834</v>
      </c>
      <c r="N266" t="s">
        <v>834</v>
      </c>
      <c r="O266" t="str">
        <f>IF(ISBLANK(Table7[[#This Row],[city]]),Table7[[#This Row],[city2]],Table7[[#This Row],[city]])</f>
        <v>Surabaya</v>
      </c>
      <c r="P266" t="s">
        <v>974</v>
      </c>
      <c r="Q266" t="s">
        <v>60</v>
      </c>
    </row>
    <row r="267" spans="1:17" x14ac:dyDescent="0.25">
      <c r="A267">
        <v>266</v>
      </c>
      <c r="B267" t="s">
        <v>7</v>
      </c>
      <c r="C267">
        <v>32</v>
      </c>
      <c r="E267">
        <f>Table3[[#This Row],[Place_Id]]</f>
        <v>266</v>
      </c>
      <c r="F267">
        <f>Table3[[#This Row],[Lat]]</f>
        <v>-6.8580464000000001</v>
      </c>
      <c r="G267">
        <f>Table3[[#This Row],[Long]]</f>
        <v>107.66470839999999</v>
      </c>
      <c r="I267">
        <v>392</v>
      </c>
      <c r="J267">
        <v>-7.2952211</v>
      </c>
      <c r="K267">
        <v>112.8035603</v>
      </c>
      <c r="L267" t="s">
        <v>835</v>
      </c>
      <c r="M267" t="s">
        <v>834</v>
      </c>
      <c r="N267" t="s">
        <v>834</v>
      </c>
      <c r="O267" t="str">
        <f>IF(ISBLANK(Table7[[#This Row],[city]]),Table7[[#This Row],[city2]],Table7[[#This Row],[city]])</f>
        <v>Surabaya</v>
      </c>
      <c r="P267" t="s">
        <v>974</v>
      </c>
      <c r="Q267" t="s">
        <v>60</v>
      </c>
    </row>
    <row r="268" spans="1:17" x14ac:dyDescent="0.25">
      <c r="A268">
        <v>267</v>
      </c>
      <c r="B268" t="s">
        <v>6</v>
      </c>
      <c r="C268">
        <v>31</v>
      </c>
      <c r="E268">
        <f>Table3[[#This Row],[Place_Id]]</f>
        <v>267</v>
      </c>
      <c r="F268">
        <f>Table3[[#This Row],[Lat]]</f>
        <v>-6.9119767999999997</v>
      </c>
      <c r="G268">
        <f>Table3[[#This Row],[Long]]</f>
        <v>107.56967400000001</v>
      </c>
      <c r="I268">
        <v>399</v>
      </c>
      <c r="J268">
        <v>-7.2941909000000003</v>
      </c>
      <c r="K268">
        <v>112.8017238</v>
      </c>
      <c r="L268" t="s">
        <v>849</v>
      </c>
      <c r="M268" t="s">
        <v>834</v>
      </c>
      <c r="N268" t="s">
        <v>834</v>
      </c>
      <c r="O268" t="str">
        <f>IF(ISBLANK(Table7[[#This Row],[city]]),Table7[[#This Row],[city2]],Table7[[#This Row],[city]])</f>
        <v>Surabaya</v>
      </c>
      <c r="P268" t="s">
        <v>974</v>
      </c>
      <c r="Q268" t="s">
        <v>60</v>
      </c>
    </row>
    <row r="269" spans="1:17" x14ac:dyDescent="0.25">
      <c r="A269">
        <v>268</v>
      </c>
      <c r="B269" t="s">
        <v>14</v>
      </c>
      <c r="C269">
        <v>32</v>
      </c>
      <c r="E269">
        <f>Table3[[#This Row],[Place_Id]]</f>
        <v>268</v>
      </c>
      <c r="F269">
        <f>Table3[[#This Row],[Lat]]</f>
        <v>-6.8423638000000002</v>
      </c>
      <c r="G269">
        <f>Table3[[#This Row],[Long]]</f>
        <v>107.62324030000001</v>
      </c>
      <c r="I269">
        <v>405</v>
      </c>
      <c r="J269">
        <v>-7.3123655000000003</v>
      </c>
      <c r="K269">
        <v>112.7889021</v>
      </c>
      <c r="L269" t="s">
        <v>861</v>
      </c>
      <c r="M269" t="s">
        <v>834</v>
      </c>
      <c r="N269" t="s">
        <v>834</v>
      </c>
      <c r="O269" t="str">
        <f>IF(ISBLANK(Table7[[#This Row],[city]]),Table7[[#This Row],[city2]],Table7[[#This Row],[city]])</f>
        <v>Surabaya</v>
      </c>
      <c r="P269" t="s">
        <v>974</v>
      </c>
      <c r="Q269" t="s">
        <v>60</v>
      </c>
    </row>
    <row r="270" spans="1:17" x14ac:dyDescent="0.25">
      <c r="A270">
        <v>269</v>
      </c>
      <c r="B270" t="s">
        <v>8</v>
      </c>
      <c r="C270">
        <v>36</v>
      </c>
      <c r="E270">
        <f>Table3[[#This Row],[Place_Id]]</f>
        <v>269</v>
      </c>
      <c r="F270">
        <f>Table3[[#This Row],[Lat]]</f>
        <v>-6.8932172999999999</v>
      </c>
      <c r="G270">
        <f>Table3[[#This Row],[Long]]</f>
        <v>107.7448856</v>
      </c>
      <c r="I270">
        <v>407</v>
      </c>
      <c r="J270">
        <v>-7.2959546</v>
      </c>
      <c r="K270">
        <v>112.73660940000001</v>
      </c>
      <c r="L270" t="s">
        <v>865</v>
      </c>
      <c r="M270" t="s">
        <v>834</v>
      </c>
      <c r="N270" t="s">
        <v>834</v>
      </c>
      <c r="O270" t="str">
        <f>IF(ISBLANK(Table7[[#This Row],[city]]),Table7[[#This Row],[city2]],Table7[[#This Row],[city]])</f>
        <v>Surabaya</v>
      </c>
      <c r="P270" t="s">
        <v>974</v>
      </c>
      <c r="Q270" t="s">
        <v>60</v>
      </c>
    </row>
    <row r="271" spans="1:17" x14ac:dyDescent="0.25">
      <c r="A271">
        <v>270</v>
      </c>
      <c r="B271" t="s">
        <v>9</v>
      </c>
      <c r="C271">
        <v>25</v>
      </c>
      <c r="E271">
        <f>Table3[[#This Row],[Place_Id]]</f>
        <v>270</v>
      </c>
      <c r="F271">
        <f>Table3[[#This Row],[Lat]]</f>
        <v>-6.8417795000000003</v>
      </c>
      <c r="G271">
        <f>Table3[[#This Row],[Long]]</f>
        <v>107.67685849999999</v>
      </c>
      <c r="I271">
        <v>15</v>
      </c>
      <c r="J271">
        <v>-6.1766867999999997</v>
      </c>
      <c r="K271">
        <v>106.8417666</v>
      </c>
      <c r="L271" t="s">
        <v>76</v>
      </c>
      <c r="M271" t="s">
        <v>949</v>
      </c>
      <c r="N271" t="s">
        <v>46</v>
      </c>
      <c r="O271" t="str">
        <f>IF(ISBLANK(Table7[[#This Row],[city]]),Table7[[#This Row],[city2]],Table7[[#This Row],[city]])</f>
        <v>Central Jakarta</v>
      </c>
      <c r="P271" t="s">
        <v>928</v>
      </c>
      <c r="Q271" t="s">
        <v>78</v>
      </c>
    </row>
    <row r="272" spans="1:17" x14ac:dyDescent="0.25">
      <c r="A272">
        <v>271</v>
      </c>
      <c r="B272" t="s">
        <v>6</v>
      </c>
      <c r="C272">
        <v>37</v>
      </c>
      <c r="E272">
        <f>Table3[[#This Row],[Place_Id]]</f>
        <v>271</v>
      </c>
      <c r="F272">
        <f>Table3[[#This Row],[Lat]]</f>
        <v>-6.9140477999999996</v>
      </c>
      <c r="G272">
        <f>Table3[[#This Row],[Long]]</f>
        <v>107.61016840000001</v>
      </c>
      <c r="I272">
        <v>25</v>
      </c>
      <c r="J272">
        <v>-6.1890096000000003</v>
      </c>
      <c r="K272">
        <v>106.8119312</v>
      </c>
      <c r="L272" t="s">
        <v>98</v>
      </c>
      <c r="M272" t="s">
        <v>949</v>
      </c>
      <c r="N272" t="s">
        <v>46</v>
      </c>
      <c r="O272" t="str">
        <f>IF(ISBLANK(Table7[[#This Row],[city]]),Table7[[#This Row],[city2]],Table7[[#This Row],[city]])</f>
        <v>Central Jakarta</v>
      </c>
      <c r="P272" t="s">
        <v>928</v>
      </c>
      <c r="Q272" t="s">
        <v>78</v>
      </c>
    </row>
    <row r="273" spans="1:17" x14ac:dyDescent="0.25">
      <c r="A273">
        <v>272</v>
      </c>
      <c r="B273" t="s">
        <v>19</v>
      </c>
      <c r="C273">
        <v>30</v>
      </c>
      <c r="E273">
        <f>Table3[[#This Row],[Place_Id]]</f>
        <v>272</v>
      </c>
      <c r="F273">
        <f>Table3[[#This Row],[Lat]]</f>
        <v>-6.8700989999999997</v>
      </c>
      <c r="G273">
        <f>Table3[[#This Row],[Long]]</f>
        <v>107.6164386</v>
      </c>
      <c r="I273">
        <v>26</v>
      </c>
      <c r="J273">
        <v>-6.1427588000000002</v>
      </c>
      <c r="K273">
        <v>106.8140791</v>
      </c>
      <c r="L273" t="s">
        <v>100</v>
      </c>
      <c r="M273" t="s">
        <v>950</v>
      </c>
      <c r="N273" t="s">
        <v>46</v>
      </c>
      <c r="O273" t="str">
        <f>IF(ISBLANK(Table7[[#This Row],[city]]),Table7[[#This Row],[city2]],Table7[[#This Row],[city]])</f>
        <v>West Jakarta</v>
      </c>
      <c r="P273" t="s">
        <v>928</v>
      </c>
      <c r="Q273" t="s">
        <v>78</v>
      </c>
    </row>
    <row r="274" spans="1:17" x14ac:dyDescent="0.25">
      <c r="A274">
        <v>273</v>
      </c>
      <c r="B274" t="s">
        <v>20</v>
      </c>
      <c r="C274">
        <v>33</v>
      </c>
      <c r="E274">
        <f>Table3[[#This Row],[Place_Id]]</f>
        <v>273</v>
      </c>
      <c r="F274">
        <f>Table3[[#This Row],[Lat]]</f>
        <v>-6.7903890000000002</v>
      </c>
      <c r="G274">
        <f>Table3[[#This Row],[Long]]</f>
        <v>107.57776320000001</v>
      </c>
      <c r="I274">
        <v>29</v>
      </c>
      <c r="J274">
        <v>-6.1667886999999997</v>
      </c>
      <c r="K274">
        <v>106.8265261</v>
      </c>
      <c r="L274" t="s">
        <v>106</v>
      </c>
      <c r="M274" t="s">
        <v>949</v>
      </c>
      <c r="N274" t="s">
        <v>46</v>
      </c>
      <c r="O274" t="str">
        <f>IF(ISBLANK(Table7[[#This Row],[city]]),Table7[[#This Row],[city2]],Table7[[#This Row],[city]])</f>
        <v>Central Jakarta</v>
      </c>
      <c r="P274" t="s">
        <v>928</v>
      </c>
      <c r="Q274" t="s">
        <v>78</v>
      </c>
    </row>
    <row r="275" spans="1:17" x14ac:dyDescent="0.25">
      <c r="A275">
        <v>274</v>
      </c>
      <c r="B275" t="s">
        <v>7</v>
      </c>
      <c r="C275">
        <v>38</v>
      </c>
      <c r="E275">
        <f>Table3[[#This Row],[Place_Id]]</f>
        <v>274</v>
      </c>
      <c r="F275">
        <f>Table3[[#This Row],[Lat]]</f>
        <v>-6.8853745999999996</v>
      </c>
      <c r="G275">
        <f>Table3[[#This Row],[Long]]</f>
        <v>107.6111899</v>
      </c>
      <c r="I275">
        <v>34</v>
      </c>
      <c r="J275">
        <v>-6.2413689999999997</v>
      </c>
      <c r="K275">
        <v>106.7890587</v>
      </c>
      <c r="L275" t="s">
        <v>116</v>
      </c>
      <c r="M275" t="s">
        <v>953</v>
      </c>
      <c r="N275" t="s">
        <v>46</v>
      </c>
      <c r="O275" t="str">
        <f>IF(ISBLANK(Table7[[#This Row],[city]]),Table7[[#This Row],[city2]],Table7[[#This Row],[city]])</f>
        <v>South Jakarta</v>
      </c>
      <c r="P275" t="s">
        <v>928</v>
      </c>
      <c r="Q275" t="s">
        <v>78</v>
      </c>
    </row>
    <row r="276" spans="1:17" x14ac:dyDescent="0.25">
      <c r="A276">
        <v>275</v>
      </c>
      <c r="B276" t="s">
        <v>9</v>
      </c>
      <c r="C276">
        <v>34</v>
      </c>
      <c r="E276">
        <f>Table3[[#This Row],[Place_Id]]</f>
        <v>275</v>
      </c>
      <c r="F276">
        <f>Table3[[#This Row],[Lat]]</f>
        <v>-6.7991957999999997</v>
      </c>
      <c r="G276">
        <f>Table3[[#This Row],[Long]]</f>
        <v>107.59220879999999</v>
      </c>
      <c r="I276">
        <v>35</v>
      </c>
      <c r="J276">
        <v>-6.1951801</v>
      </c>
      <c r="K276">
        <v>106.8204412</v>
      </c>
      <c r="L276" t="s">
        <v>118</v>
      </c>
      <c r="M276" t="s">
        <v>949</v>
      </c>
      <c r="N276" t="s">
        <v>46</v>
      </c>
      <c r="O276" t="str">
        <f>IF(ISBLANK(Table7[[#This Row],[city]]),Table7[[#This Row],[city2]],Table7[[#This Row],[city]])</f>
        <v>Central Jakarta</v>
      </c>
      <c r="P276" t="s">
        <v>928</v>
      </c>
      <c r="Q276" t="s">
        <v>78</v>
      </c>
    </row>
    <row r="277" spans="1:17" x14ac:dyDescent="0.25">
      <c r="A277">
        <v>276</v>
      </c>
      <c r="B277" t="s">
        <v>9</v>
      </c>
      <c r="C277">
        <v>39</v>
      </c>
      <c r="E277">
        <f>Table3[[#This Row],[Place_Id]]</f>
        <v>276</v>
      </c>
      <c r="F277">
        <f>Table3[[#This Row],[Lat]]</f>
        <v>-6.8980549</v>
      </c>
      <c r="G277">
        <f>Table3[[#This Row],[Long]]</f>
        <v>107.60946730000001</v>
      </c>
      <c r="I277">
        <v>68</v>
      </c>
      <c r="J277">
        <v>-6.1436722000000001</v>
      </c>
      <c r="K277">
        <v>106.8129398</v>
      </c>
      <c r="L277" t="s">
        <v>184</v>
      </c>
      <c r="M277" t="s">
        <v>950</v>
      </c>
      <c r="N277" t="s">
        <v>46</v>
      </c>
      <c r="O277" t="str">
        <f>IF(ISBLANK(Table7[[#This Row],[city]]),Table7[[#This Row],[city2]],Table7[[#This Row],[city]])</f>
        <v>West Jakarta</v>
      </c>
      <c r="P277" t="s">
        <v>928</v>
      </c>
      <c r="Q277" t="s">
        <v>78</v>
      </c>
    </row>
    <row r="278" spans="1:17" x14ac:dyDescent="0.25">
      <c r="A278">
        <v>277</v>
      </c>
      <c r="B278" t="s">
        <v>10</v>
      </c>
      <c r="C278">
        <v>29</v>
      </c>
      <c r="E278">
        <f>Table3[[#This Row],[Place_Id]]</f>
        <v>277</v>
      </c>
      <c r="F278">
        <f>Table3[[#This Row],[Lat]]</f>
        <v>-6.9317951000000004</v>
      </c>
      <c r="G278">
        <f>Table3[[#This Row],[Long]]</f>
        <v>107.58830260000001</v>
      </c>
      <c r="I278">
        <v>80</v>
      </c>
      <c r="J278">
        <v>-6.1939259</v>
      </c>
      <c r="K278">
        <v>106.8222158</v>
      </c>
      <c r="L278" t="s">
        <v>208</v>
      </c>
      <c r="M278" t="s">
        <v>949</v>
      </c>
      <c r="N278" t="s">
        <v>46</v>
      </c>
      <c r="O278" t="str">
        <f>IF(ISBLANK(Table7[[#This Row],[city]]),Table7[[#This Row],[city2]],Table7[[#This Row],[city]])</f>
        <v>Central Jakarta</v>
      </c>
      <c r="P278" t="s">
        <v>928</v>
      </c>
      <c r="Q278" t="s">
        <v>78</v>
      </c>
    </row>
    <row r="279" spans="1:17" x14ac:dyDescent="0.25">
      <c r="A279">
        <v>278</v>
      </c>
      <c r="B279" t="s">
        <v>11</v>
      </c>
      <c r="C279">
        <v>40</v>
      </c>
      <c r="E279">
        <f>Table3[[#This Row],[Place_Id]]</f>
        <v>278</v>
      </c>
      <c r="F279">
        <f>Table3[[#This Row],[Lat]]</f>
        <v>-6.8635270000000004</v>
      </c>
      <c r="G279">
        <f>Table3[[#This Row],[Long]]</f>
        <v>107.5899194</v>
      </c>
      <c r="I279">
        <v>81</v>
      </c>
      <c r="J279">
        <v>-6.1946095999999997</v>
      </c>
      <c r="K279">
        <v>106.817905</v>
      </c>
      <c r="L279" t="s">
        <v>210</v>
      </c>
      <c r="M279" t="s">
        <v>949</v>
      </c>
      <c r="N279" t="s">
        <v>46</v>
      </c>
      <c r="O279" t="str">
        <f>IF(ISBLANK(Table7[[#This Row],[city]]),Table7[[#This Row],[city2]],Table7[[#This Row],[city]])</f>
        <v>Central Jakarta</v>
      </c>
      <c r="P279" t="s">
        <v>928</v>
      </c>
      <c r="Q279" t="s">
        <v>78</v>
      </c>
    </row>
    <row r="280" spans="1:17" x14ac:dyDescent="0.25">
      <c r="A280">
        <v>279</v>
      </c>
      <c r="B280" t="s">
        <v>12</v>
      </c>
      <c r="C280">
        <v>28</v>
      </c>
      <c r="E280">
        <f>Table3[[#This Row],[Place_Id]]</f>
        <v>279</v>
      </c>
      <c r="F280">
        <f>Table3[[#This Row],[Lat]]</f>
        <v>-6.9259634999999999</v>
      </c>
      <c r="G280">
        <f>Table3[[#This Row],[Long]]</f>
        <v>107.6354278</v>
      </c>
      <c r="I280">
        <v>84</v>
      </c>
      <c r="J280">
        <v>-6.1842588000000003</v>
      </c>
      <c r="K280">
        <v>106.824033</v>
      </c>
      <c r="L280" t="s">
        <v>216</v>
      </c>
      <c r="M280" t="s">
        <v>949</v>
      </c>
      <c r="N280" t="s">
        <v>46</v>
      </c>
      <c r="O280" t="str">
        <f>IF(ISBLANK(Table7[[#This Row],[city]]),Table7[[#This Row],[city2]],Table7[[#This Row],[city]])</f>
        <v>Central Jakarta</v>
      </c>
      <c r="P280" t="s">
        <v>928</v>
      </c>
      <c r="Q280" t="s">
        <v>78</v>
      </c>
    </row>
    <row r="281" spans="1:17" x14ac:dyDescent="0.25">
      <c r="A281">
        <v>280</v>
      </c>
      <c r="B281" t="s">
        <v>13</v>
      </c>
      <c r="C281">
        <v>40</v>
      </c>
      <c r="E281">
        <f>Table3[[#This Row],[Place_Id]]</f>
        <v>280</v>
      </c>
      <c r="F281">
        <f>Table3[[#This Row],[Lat]]</f>
        <v>-6.9347697999999998</v>
      </c>
      <c r="G281">
        <f>Table3[[#This Row],[Long]]</f>
        <v>107.62535130000001</v>
      </c>
      <c r="I281">
        <v>135</v>
      </c>
      <c r="J281">
        <v>-7.7916235</v>
      </c>
      <c r="K281">
        <v>110.36195600000001</v>
      </c>
      <c r="L281" t="s">
        <v>319</v>
      </c>
      <c r="M281" t="s">
        <v>220</v>
      </c>
      <c r="N281" t="s">
        <v>220</v>
      </c>
      <c r="O281" t="str">
        <f>IF(ISBLANK(Table7[[#This Row],[city]]),Table7[[#This Row],[city2]],Table7[[#This Row],[city]])</f>
        <v>Yogyakarta</v>
      </c>
      <c r="P281" t="s">
        <v>220</v>
      </c>
      <c r="Q281" t="s">
        <v>78</v>
      </c>
    </row>
    <row r="282" spans="1:17" x14ac:dyDescent="0.25">
      <c r="A282">
        <v>281</v>
      </c>
      <c r="B282" t="s">
        <v>7</v>
      </c>
      <c r="C282">
        <v>30</v>
      </c>
      <c r="E282">
        <f>Table3[[#This Row],[Place_Id]]</f>
        <v>281</v>
      </c>
      <c r="F282">
        <f>Table3[[#This Row],[Lat]]</f>
        <v>-7.0096021999999998</v>
      </c>
      <c r="G282">
        <f>Table3[[#This Row],[Long]]</f>
        <v>107.6062161</v>
      </c>
      <c r="I282">
        <v>160</v>
      </c>
      <c r="J282">
        <v>-7.8363205000000002</v>
      </c>
      <c r="K282">
        <v>110.4575806</v>
      </c>
      <c r="L282" t="s">
        <v>369</v>
      </c>
      <c r="M282" t="s">
        <v>964</v>
      </c>
      <c r="N282" t="s">
        <v>220</v>
      </c>
      <c r="O282" t="str">
        <f>IF(ISBLANK(Table7[[#This Row],[city]]),Table7[[#This Row],[city2]],Table7[[#This Row],[city]])</f>
        <v>Gunungkidul</v>
      </c>
      <c r="P282" t="s">
        <v>220</v>
      </c>
      <c r="Q282" t="s">
        <v>78</v>
      </c>
    </row>
    <row r="283" spans="1:17" x14ac:dyDescent="0.25">
      <c r="A283">
        <v>282</v>
      </c>
      <c r="B283" t="s">
        <v>14</v>
      </c>
      <c r="C283">
        <v>39</v>
      </c>
      <c r="E283">
        <f>Table3[[#This Row],[Place_Id]]</f>
        <v>282</v>
      </c>
      <c r="F283">
        <f>Table3[[#This Row],[Lat]]</f>
        <v>-6.8908877000000004</v>
      </c>
      <c r="G283">
        <f>Table3[[#This Row],[Long]]</f>
        <v>107.73070850000001</v>
      </c>
      <c r="I283">
        <v>174</v>
      </c>
      <c r="J283">
        <v>-7.7987943</v>
      </c>
      <c r="K283">
        <v>110.36744299999999</v>
      </c>
      <c r="L283" t="s">
        <v>397</v>
      </c>
      <c r="M283" t="s">
        <v>220</v>
      </c>
      <c r="N283" t="s">
        <v>220</v>
      </c>
      <c r="O283" t="str">
        <f>IF(ISBLANK(Table7[[#This Row],[city]]),Table7[[#This Row],[city2]],Table7[[#This Row],[city]])</f>
        <v>Yogyakarta</v>
      </c>
      <c r="P283" t="s">
        <v>220</v>
      </c>
      <c r="Q283" t="s">
        <v>78</v>
      </c>
    </row>
    <row r="284" spans="1:17" x14ac:dyDescent="0.25">
      <c r="A284">
        <v>283</v>
      </c>
      <c r="B284" t="s">
        <v>15</v>
      </c>
      <c r="C284">
        <v>37</v>
      </c>
      <c r="E284">
        <f>Table3[[#This Row],[Place_Id]]</f>
        <v>283</v>
      </c>
      <c r="F284">
        <f>Table3[[#This Row],[Lat]]</f>
        <v>-6.9000987</v>
      </c>
      <c r="G284">
        <f>Table3[[#This Row],[Long]]</f>
        <v>107.60467079999999</v>
      </c>
      <c r="I284">
        <v>284</v>
      </c>
      <c r="J284">
        <v>-6.9177043999999999</v>
      </c>
      <c r="K284">
        <v>107.6036014</v>
      </c>
      <c r="L284" t="s">
        <v>617</v>
      </c>
      <c r="M284" t="s">
        <v>472</v>
      </c>
      <c r="N284" t="s">
        <v>472</v>
      </c>
      <c r="O284" t="str">
        <f>IF(ISBLANK(Table7[[#This Row],[city]]),Table7[[#This Row],[city2]],Table7[[#This Row],[city]])</f>
        <v>Bandung</v>
      </c>
      <c r="P284" t="s">
        <v>972</v>
      </c>
      <c r="Q284" t="s">
        <v>78</v>
      </c>
    </row>
    <row r="285" spans="1:17" x14ac:dyDescent="0.25">
      <c r="A285">
        <v>284</v>
      </c>
      <c r="B285" t="s">
        <v>16</v>
      </c>
      <c r="C285">
        <v>29</v>
      </c>
      <c r="E285">
        <f>Table3[[#This Row],[Place_Id]]</f>
        <v>284</v>
      </c>
      <c r="F285">
        <f>Table3[[#This Row],[Lat]]</f>
        <v>-6.9177043999999999</v>
      </c>
      <c r="G285">
        <f>Table3[[#This Row],[Long]]</f>
        <v>107.6036014</v>
      </c>
      <c r="I285">
        <v>401</v>
      </c>
      <c r="J285">
        <v>-7.2510219999999999</v>
      </c>
      <c r="K285">
        <v>112.6620053</v>
      </c>
      <c r="L285" t="s">
        <v>853</v>
      </c>
      <c r="M285" t="s">
        <v>834</v>
      </c>
      <c r="N285" t="s">
        <v>834</v>
      </c>
      <c r="O285" t="str">
        <f>IF(ISBLANK(Table7[[#This Row],[city]]),Table7[[#This Row],[city2]],Table7[[#This Row],[city]])</f>
        <v>Surabaya</v>
      </c>
      <c r="P285" t="s">
        <v>974</v>
      </c>
      <c r="Q285" t="s">
        <v>78</v>
      </c>
    </row>
    <row r="286" spans="1:17" x14ac:dyDescent="0.25">
      <c r="A286">
        <v>285</v>
      </c>
      <c r="B286" t="s">
        <v>17</v>
      </c>
      <c r="C286">
        <v>29</v>
      </c>
      <c r="E286">
        <f>Table3[[#This Row],[Place_Id]]</f>
        <v>285</v>
      </c>
      <c r="F286">
        <f>Table3[[#This Row],[Lat]]</f>
        <v>-6.9103085999999996</v>
      </c>
      <c r="G286">
        <f>Table3[[#This Row],[Long]]</f>
        <v>107.6098619</v>
      </c>
      <c r="I286">
        <v>3</v>
      </c>
      <c r="J286">
        <v>-6.1253124000000003</v>
      </c>
      <c r="K286">
        <v>106.83353769999999</v>
      </c>
      <c r="L286" t="s">
        <v>49</v>
      </c>
      <c r="M286" t="s">
        <v>951</v>
      </c>
      <c r="N286" t="s">
        <v>46</v>
      </c>
      <c r="O286" t="str">
        <f>IF(ISBLANK(Table7[[#This Row],[city]]),Table7[[#This Row],[city2]],Table7[[#This Row],[city]])</f>
        <v>North Jakarta</v>
      </c>
      <c r="P286" t="s">
        <v>928</v>
      </c>
      <c r="Q286" t="s">
        <v>51</v>
      </c>
    </row>
    <row r="287" spans="1:17" x14ac:dyDescent="0.25">
      <c r="A287">
        <v>286</v>
      </c>
      <c r="B287" t="s">
        <v>18</v>
      </c>
      <c r="C287">
        <v>35</v>
      </c>
      <c r="E287">
        <f>Table3[[#This Row],[Place_Id]]</f>
        <v>286</v>
      </c>
      <c r="F287">
        <f>Table3[[#This Row],[Lat]]</f>
        <v>-6.9204173000000004</v>
      </c>
      <c r="G287">
        <f>Table3[[#This Row],[Long]]</f>
        <v>107.5996425</v>
      </c>
      <c r="I287">
        <v>4</v>
      </c>
      <c r="J287">
        <v>-6.3024459000000004</v>
      </c>
      <c r="K287">
        <v>106.89515590000001</v>
      </c>
      <c r="L287" t="s">
        <v>52</v>
      </c>
      <c r="M287" t="s">
        <v>952</v>
      </c>
      <c r="N287" t="s">
        <v>46</v>
      </c>
      <c r="O287" t="str">
        <f>IF(ISBLANK(Table7[[#This Row],[city]]),Table7[[#This Row],[city2]],Table7[[#This Row],[city]])</f>
        <v>East Jakarta</v>
      </c>
      <c r="P287" t="s">
        <v>928</v>
      </c>
      <c r="Q287" t="s">
        <v>51</v>
      </c>
    </row>
    <row r="288" spans="1:17" x14ac:dyDescent="0.25">
      <c r="A288">
        <v>287</v>
      </c>
      <c r="B288" t="s">
        <v>7</v>
      </c>
      <c r="C288">
        <v>27</v>
      </c>
      <c r="E288">
        <f>Table3[[#This Row],[Place_Id]]</f>
        <v>287</v>
      </c>
      <c r="F288">
        <f>Table3[[#This Row],[Lat]]</f>
        <v>-6.8522080000000001</v>
      </c>
      <c r="G288">
        <f>Table3[[#This Row],[Long]]</f>
        <v>107.493882</v>
      </c>
      <c r="I288">
        <v>5</v>
      </c>
      <c r="J288">
        <v>-6.1241899999999996</v>
      </c>
      <c r="K288">
        <v>106.839134</v>
      </c>
      <c r="L288" t="s">
        <v>54</v>
      </c>
      <c r="M288" t="s">
        <v>951</v>
      </c>
      <c r="N288" t="s">
        <v>46</v>
      </c>
      <c r="O288" t="str">
        <f>IF(ISBLANK(Table7[[#This Row],[city]]),Table7[[#This Row],[city2]],Table7[[#This Row],[city]])</f>
        <v>North Jakarta</v>
      </c>
      <c r="P288" t="s">
        <v>928</v>
      </c>
      <c r="Q288" t="s">
        <v>51</v>
      </c>
    </row>
    <row r="289" spans="1:17" x14ac:dyDescent="0.25">
      <c r="A289">
        <v>288</v>
      </c>
      <c r="B289" t="s">
        <v>6</v>
      </c>
      <c r="C289">
        <v>30</v>
      </c>
      <c r="E289">
        <f>Table3[[#This Row],[Place_Id]]</f>
        <v>288</v>
      </c>
      <c r="F289">
        <f>Table3[[#This Row],[Lat]]</f>
        <v>-6.8936643000000002</v>
      </c>
      <c r="G289">
        <f>Table3[[#This Row],[Long]]</f>
        <v>107.611271</v>
      </c>
      <c r="I289">
        <v>6</v>
      </c>
      <c r="J289">
        <v>-6.1173332</v>
      </c>
      <c r="K289">
        <v>106.8579951</v>
      </c>
      <c r="L289" t="s">
        <v>56</v>
      </c>
      <c r="M289" t="s">
        <v>951</v>
      </c>
      <c r="N289" t="s">
        <v>46</v>
      </c>
      <c r="O289" t="str">
        <f>IF(ISBLANK(Table7[[#This Row],[city]]),Table7[[#This Row],[city2]],Table7[[#This Row],[city]])</f>
        <v>North Jakarta</v>
      </c>
      <c r="P289" t="s">
        <v>928</v>
      </c>
      <c r="Q289" t="s">
        <v>51</v>
      </c>
    </row>
    <row r="290" spans="1:17" x14ac:dyDescent="0.25">
      <c r="A290">
        <v>289</v>
      </c>
      <c r="B290" t="s">
        <v>14</v>
      </c>
      <c r="C290">
        <v>35</v>
      </c>
      <c r="E290">
        <f>Table3[[#This Row],[Place_Id]]</f>
        <v>289</v>
      </c>
      <c r="F290">
        <f>Table3[[#This Row],[Lat]]</f>
        <v>-6.7875652000000004</v>
      </c>
      <c r="G290">
        <f>Table3[[#This Row],[Long]]</f>
        <v>107.58228440000001</v>
      </c>
      <c r="I290">
        <v>8</v>
      </c>
      <c r="J290">
        <v>-6.1258017000000002</v>
      </c>
      <c r="K290">
        <v>106.83632489999999</v>
      </c>
      <c r="L290" t="s">
        <v>61</v>
      </c>
      <c r="M290" t="s">
        <v>951</v>
      </c>
      <c r="N290" t="s">
        <v>46</v>
      </c>
      <c r="O290" t="str">
        <f>IF(ISBLANK(Table7[[#This Row],[city]]),Table7[[#This Row],[city2]],Table7[[#This Row],[city]])</f>
        <v>North Jakarta</v>
      </c>
      <c r="P290" t="s">
        <v>928</v>
      </c>
      <c r="Q290" t="s">
        <v>51</v>
      </c>
    </row>
    <row r="291" spans="1:17" x14ac:dyDescent="0.25">
      <c r="A291">
        <v>290</v>
      </c>
      <c r="B291" t="s">
        <v>8</v>
      </c>
      <c r="C291">
        <v>34</v>
      </c>
      <c r="E291">
        <f>Table3[[#This Row],[Place_Id]]</f>
        <v>290</v>
      </c>
      <c r="F291">
        <f>Table3[[#This Row],[Lat]]</f>
        <v>-6.8597473999999998</v>
      </c>
      <c r="G291">
        <f>Table3[[#This Row],[Long]]</f>
        <v>107.5941693</v>
      </c>
      <c r="I291">
        <v>19</v>
      </c>
      <c r="J291">
        <v>-6.2250734999999997</v>
      </c>
      <c r="K291">
        <v>106.8097144</v>
      </c>
      <c r="L291" t="s">
        <v>85</v>
      </c>
      <c r="M291" t="s">
        <v>953</v>
      </c>
      <c r="N291" t="s">
        <v>46</v>
      </c>
      <c r="O291" t="str">
        <f>IF(ISBLANK(Table7[[#This Row],[city]]),Table7[[#This Row],[city2]],Table7[[#This Row],[city]])</f>
        <v>South Jakarta</v>
      </c>
      <c r="P291" t="s">
        <v>928</v>
      </c>
      <c r="Q291" t="s">
        <v>51</v>
      </c>
    </row>
    <row r="292" spans="1:17" x14ac:dyDescent="0.25">
      <c r="A292">
        <v>291</v>
      </c>
      <c r="B292" t="s">
        <v>9</v>
      </c>
      <c r="C292">
        <v>25</v>
      </c>
      <c r="E292">
        <f>Table3[[#This Row],[Place_Id]]</f>
        <v>291</v>
      </c>
      <c r="F292">
        <f>Table3[[#This Row],[Lat]]</f>
        <v>-6.9805807</v>
      </c>
      <c r="G292">
        <f>Table3[[#This Row],[Long]]</f>
        <v>107.5856567</v>
      </c>
      <c r="I292">
        <v>27</v>
      </c>
      <c r="J292">
        <v>-6.1264775</v>
      </c>
      <c r="K292">
        <v>106.842963</v>
      </c>
      <c r="L292" t="s">
        <v>102</v>
      </c>
      <c r="M292" t="s">
        <v>951</v>
      </c>
      <c r="N292" t="s">
        <v>46</v>
      </c>
      <c r="O292" t="str">
        <f>IF(ISBLANK(Table7[[#This Row],[city]]),Table7[[#This Row],[city2]],Table7[[#This Row],[city]])</f>
        <v>North Jakarta</v>
      </c>
      <c r="P292" t="s">
        <v>928</v>
      </c>
      <c r="Q292" t="s">
        <v>51</v>
      </c>
    </row>
    <row r="293" spans="1:17" x14ac:dyDescent="0.25">
      <c r="A293">
        <v>292</v>
      </c>
      <c r="B293" t="s">
        <v>6</v>
      </c>
      <c r="C293">
        <v>29</v>
      </c>
      <c r="E293">
        <f>Table3[[#This Row],[Place_Id]]</f>
        <v>292</v>
      </c>
      <c r="F293">
        <f>Table3[[#This Row],[Lat]]</f>
        <v>-6.8116009000000002</v>
      </c>
      <c r="G293">
        <f>Table3[[#This Row],[Long]]</f>
        <v>107.56952130000001</v>
      </c>
      <c r="I293">
        <v>28</v>
      </c>
      <c r="J293">
        <v>-6.3568093000000001</v>
      </c>
      <c r="K293">
        <v>106.9062371</v>
      </c>
      <c r="L293" t="s">
        <v>104</v>
      </c>
      <c r="M293" t="s">
        <v>952</v>
      </c>
      <c r="N293" t="s">
        <v>46</v>
      </c>
      <c r="O293" t="str">
        <f>IF(ISBLANK(Table7[[#This Row],[city]]),Table7[[#This Row],[city2]],Table7[[#This Row],[city]])</f>
        <v>East Jakarta</v>
      </c>
      <c r="P293" t="s">
        <v>928</v>
      </c>
      <c r="Q293" t="s">
        <v>51</v>
      </c>
    </row>
    <row r="294" spans="1:17" x14ac:dyDescent="0.25">
      <c r="A294">
        <v>293</v>
      </c>
      <c r="B294" t="s">
        <v>19</v>
      </c>
      <c r="C294">
        <v>34</v>
      </c>
      <c r="E294">
        <f>Table3[[#This Row],[Place_Id]]</f>
        <v>293</v>
      </c>
      <c r="F294">
        <f>Table3[[#This Row],[Lat]]</f>
        <v>-6.9132752000000002</v>
      </c>
      <c r="G294">
        <f>Table3[[#This Row],[Long]]</f>
        <v>107.6094908</v>
      </c>
      <c r="I294">
        <v>30</v>
      </c>
      <c r="J294">
        <v>-6.1964087000000001</v>
      </c>
      <c r="K294">
        <v>106.8293106</v>
      </c>
      <c r="L294" t="s">
        <v>108</v>
      </c>
      <c r="M294" t="s">
        <v>949</v>
      </c>
      <c r="N294" t="s">
        <v>46</v>
      </c>
      <c r="O294" t="str">
        <f>IF(ISBLANK(Table7[[#This Row],[city]]),Table7[[#This Row],[city2]],Table7[[#This Row],[city]])</f>
        <v>Central Jakarta</v>
      </c>
      <c r="P294" t="s">
        <v>928</v>
      </c>
      <c r="Q294" t="s">
        <v>51</v>
      </c>
    </row>
    <row r="295" spans="1:17" x14ac:dyDescent="0.25">
      <c r="A295">
        <v>294</v>
      </c>
      <c r="B295" t="s">
        <v>20</v>
      </c>
      <c r="C295">
        <v>28</v>
      </c>
      <c r="E295">
        <f>Table3[[#This Row],[Place_Id]]</f>
        <v>294</v>
      </c>
      <c r="F295">
        <f>Table3[[#This Row],[Lat]]</f>
        <v>-6.8986869000000004</v>
      </c>
      <c r="G295">
        <f>Table3[[#This Row],[Long]]</f>
        <v>107.6077451</v>
      </c>
      <c r="I295">
        <v>33</v>
      </c>
      <c r="J295">
        <v>-6.1994033999999996</v>
      </c>
      <c r="K295">
        <v>106.8326228</v>
      </c>
      <c r="L295" t="s">
        <v>114</v>
      </c>
      <c r="M295" t="s">
        <v>949</v>
      </c>
      <c r="N295" t="s">
        <v>46</v>
      </c>
      <c r="O295" t="str">
        <f>IF(ISBLANK(Table7[[#This Row],[city]]),Table7[[#This Row],[city2]],Table7[[#This Row],[city]])</f>
        <v>Central Jakarta</v>
      </c>
      <c r="P295" t="s">
        <v>928</v>
      </c>
      <c r="Q295" t="s">
        <v>51</v>
      </c>
    </row>
    <row r="296" spans="1:17" x14ac:dyDescent="0.25">
      <c r="A296">
        <v>295</v>
      </c>
      <c r="B296" t="s">
        <v>7</v>
      </c>
      <c r="C296">
        <v>31</v>
      </c>
      <c r="E296">
        <f>Table3[[#This Row],[Place_Id]]</f>
        <v>295</v>
      </c>
      <c r="F296">
        <f>Table3[[#This Row],[Lat]]</f>
        <v>-6.9406014999999996</v>
      </c>
      <c r="G296">
        <f>Table3[[#This Row],[Long]]</f>
        <v>107.6725445</v>
      </c>
      <c r="I296">
        <v>36</v>
      </c>
      <c r="J296">
        <v>-6.1789959999999997</v>
      </c>
      <c r="K296">
        <v>106.79194099999999</v>
      </c>
      <c r="L296" t="s">
        <v>120</v>
      </c>
      <c r="M296" t="s">
        <v>950</v>
      </c>
      <c r="N296" t="s">
        <v>46</v>
      </c>
      <c r="O296" t="str">
        <f>IF(ISBLANK(Table7[[#This Row],[city]]),Table7[[#This Row],[city2]],Table7[[#This Row],[city]])</f>
        <v>West Jakarta</v>
      </c>
      <c r="P296" t="s">
        <v>928</v>
      </c>
      <c r="Q296" t="s">
        <v>51</v>
      </c>
    </row>
    <row r="297" spans="1:17" x14ac:dyDescent="0.25">
      <c r="A297">
        <v>296</v>
      </c>
      <c r="B297" t="s">
        <v>9</v>
      </c>
      <c r="C297">
        <v>31</v>
      </c>
      <c r="E297">
        <f>Table3[[#This Row],[Place_Id]]</f>
        <v>296</v>
      </c>
      <c r="F297">
        <f>Table3[[#This Row],[Lat]]</f>
        <v>-6.9632300000000003</v>
      </c>
      <c r="G297">
        <f>Table3[[#This Row],[Long]]</f>
        <v>107.62641600000001</v>
      </c>
      <c r="I297">
        <v>37</v>
      </c>
      <c r="J297">
        <v>-6.3602486999999996</v>
      </c>
      <c r="K297">
        <v>106.89384200000001</v>
      </c>
      <c r="L297" t="s">
        <v>122</v>
      </c>
      <c r="M297" t="s">
        <v>952</v>
      </c>
      <c r="N297" t="s">
        <v>46</v>
      </c>
      <c r="O297" t="str">
        <f>IF(ISBLANK(Table7[[#This Row],[city]]),Table7[[#This Row],[city2]],Table7[[#This Row],[city]])</f>
        <v>East Jakarta</v>
      </c>
      <c r="P297" t="s">
        <v>928</v>
      </c>
      <c r="Q297" t="s">
        <v>51</v>
      </c>
    </row>
    <row r="298" spans="1:17" x14ac:dyDescent="0.25">
      <c r="A298">
        <v>297</v>
      </c>
      <c r="B298" t="s">
        <v>21</v>
      </c>
      <c r="C298">
        <v>39</v>
      </c>
      <c r="E298">
        <f>Table3[[#This Row],[Place_Id]]</f>
        <v>297</v>
      </c>
      <c r="F298">
        <f>Table3[[#This Row],[Lat]]</f>
        <v>-6.8629384</v>
      </c>
      <c r="G298">
        <f>Table3[[#This Row],[Long]]</f>
        <v>107.64821910000001</v>
      </c>
      <c r="I298">
        <v>43</v>
      </c>
      <c r="J298">
        <v>-6.2555033</v>
      </c>
      <c r="K298">
        <v>106.81225910000001</v>
      </c>
      <c r="L298" t="s">
        <v>134</v>
      </c>
      <c r="M298" t="s">
        <v>953</v>
      </c>
      <c r="N298" t="s">
        <v>46</v>
      </c>
      <c r="O298" t="str">
        <f>IF(ISBLANK(Table7[[#This Row],[city]]),Table7[[#This Row],[city2]],Table7[[#This Row],[city]])</f>
        <v>South Jakarta</v>
      </c>
      <c r="P298" t="s">
        <v>928</v>
      </c>
      <c r="Q298" t="s">
        <v>51</v>
      </c>
    </row>
    <row r="299" spans="1:17" x14ac:dyDescent="0.25">
      <c r="A299">
        <v>298</v>
      </c>
      <c r="B299" t="s">
        <v>15</v>
      </c>
      <c r="C299">
        <v>38</v>
      </c>
      <c r="E299">
        <f>Table3[[#This Row],[Place_Id]]</f>
        <v>298</v>
      </c>
      <c r="F299">
        <f>Table3[[#This Row],[Lat]]</f>
        <v>-6.9580555999999998</v>
      </c>
      <c r="G299">
        <f>Table3[[#This Row],[Long]]</f>
        <v>107.52055559999999</v>
      </c>
      <c r="I299">
        <v>45</v>
      </c>
      <c r="J299">
        <v>-6.1752646999999996</v>
      </c>
      <c r="K299">
        <v>106.79046839999999</v>
      </c>
      <c r="L299" t="s">
        <v>138</v>
      </c>
      <c r="M299" t="s">
        <v>950</v>
      </c>
      <c r="N299" t="s">
        <v>46</v>
      </c>
      <c r="O299" t="str">
        <f>IF(ISBLANK(Table7[[#This Row],[city]]),Table7[[#This Row],[city2]],Table7[[#This Row],[city]])</f>
        <v>West Jakarta</v>
      </c>
      <c r="P299" t="s">
        <v>928</v>
      </c>
      <c r="Q299" t="s">
        <v>51</v>
      </c>
    </row>
    <row r="300" spans="1:17" x14ac:dyDescent="0.25">
      <c r="A300">
        <v>299</v>
      </c>
      <c r="B300" t="s">
        <v>22</v>
      </c>
      <c r="C300">
        <v>27</v>
      </c>
      <c r="E300">
        <f>Table3[[#This Row],[Place_Id]]</f>
        <v>299</v>
      </c>
      <c r="F300">
        <f>Table3[[#This Row],[Lat]]</f>
        <v>-6.7495267999999999</v>
      </c>
      <c r="G300">
        <f>Table3[[#This Row],[Long]]</f>
        <v>107.478658</v>
      </c>
      <c r="I300">
        <v>47</v>
      </c>
      <c r="J300">
        <v>-6.1978860999999998</v>
      </c>
      <c r="K300">
        <v>106.8346708</v>
      </c>
      <c r="L300" t="s">
        <v>142</v>
      </c>
      <c r="M300" t="s">
        <v>949</v>
      </c>
      <c r="N300" t="s">
        <v>46</v>
      </c>
      <c r="O300" t="str">
        <f>IF(ISBLANK(Table7[[#This Row],[city]]),Table7[[#This Row],[city2]],Table7[[#This Row],[city]])</f>
        <v>Central Jakarta</v>
      </c>
      <c r="P300" t="s">
        <v>928</v>
      </c>
      <c r="Q300" t="s">
        <v>51</v>
      </c>
    </row>
    <row r="301" spans="1:17" x14ac:dyDescent="0.25">
      <c r="A301">
        <v>300</v>
      </c>
      <c r="B301" t="s">
        <v>23</v>
      </c>
      <c r="C301">
        <v>26</v>
      </c>
      <c r="E301">
        <f>Table3[[#This Row],[Place_Id]]</f>
        <v>300</v>
      </c>
      <c r="F301">
        <f>Table3[[#This Row],[Lat]]</f>
        <v>-6.8765131000000004</v>
      </c>
      <c r="G301">
        <f>Table3[[#This Row],[Long]]</f>
        <v>107.3422183</v>
      </c>
      <c r="I301">
        <v>51</v>
      </c>
      <c r="J301">
        <v>-6.1900819</v>
      </c>
      <c r="K301">
        <v>106.8388532</v>
      </c>
      <c r="L301" t="s">
        <v>150</v>
      </c>
      <c r="M301" t="s">
        <v>949</v>
      </c>
      <c r="N301" t="s">
        <v>46</v>
      </c>
      <c r="O301" t="str">
        <f>IF(ISBLANK(Table7[[#This Row],[city]]),Table7[[#This Row],[city2]],Table7[[#This Row],[city]])</f>
        <v>Central Jakarta</v>
      </c>
      <c r="P301" t="s">
        <v>928</v>
      </c>
      <c r="Q301" t="s">
        <v>51</v>
      </c>
    </row>
    <row r="302" spans="1:17" x14ac:dyDescent="0.25">
      <c r="E302">
        <f>Table3[[#This Row],[Place_Id]]</f>
        <v>301</v>
      </c>
      <c r="F302">
        <f>Table3[[#This Row],[Lat]]</f>
        <v>-6.8425349999999998</v>
      </c>
      <c r="G302">
        <f>Table3[[#This Row],[Long]]</f>
        <v>107.622698</v>
      </c>
      <c r="I302">
        <v>54</v>
      </c>
      <c r="J302">
        <v>-6.3401513999999999</v>
      </c>
      <c r="K302">
        <v>106.9012561</v>
      </c>
      <c r="L302" t="s">
        <v>156</v>
      </c>
      <c r="M302" t="s">
        <v>952</v>
      </c>
      <c r="N302" t="s">
        <v>46</v>
      </c>
      <c r="O302" t="str">
        <f>IF(ISBLANK(Table7[[#This Row],[city]]),Table7[[#This Row],[city2]],Table7[[#This Row],[city]])</f>
        <v>East Jakarta</v>
      </c>
      <c r="P302" t="s">
        <v>928</v>
      </c>
      <c r="Q302" t="s">
        <v>51</v>
      </c>
    </row>
    <row r="303" spans="1:17" x14ac:dyDescent="0.25">
      <c r="E303">
        <f>Table3[[#This Row],[Place_Id]]</f>
        <v>302</v>
      </c>
      <c r="F303">
        <f>Table3[[#This Row],[Lat]]</f>
        <v>-6.9000671999999996</v>
      </c>
      <c r="G303">
        <f>Table3[[#This Row],[Long]]</f>
        <v>107.62587000000001</v>
      </c>
      <c r="I303">
        <v>57</v>
      </c>
      <c r="J303">
        <v>-6.1705550000000002</v>
      </c>
      <c r="K303">
        <v>106.83503779999999</v>
      </c>
      <c r="L303" t="s">
        <v>162</v>
      </c>
      <c r="M303" t="s">
        <v>949</v>
      </c>
      <c r="N303" t="s">
        <v>46</v>
      </c>
      <c r="O303" t="str">
        <f>IF(ISBLANK(Table7[[#This Row],[city]]),Table7[[#This Row],[city2]],Table7[[#This Row],[city]])</f>
        <v>Central Jakarta</v>
      </c>
      <c r="P303" t="s">
        <v>928</v>
      </c>
      <c r="Q303" t="s">
        <v>51</v>
      </c>
    </row>
    <row r="304" spans="1:17" x14ac:dyDescent="0.25">
      <c r="E304">
        <f>Table3[[#This Row],[Place_Id]]</f>
        <v>303</v>
      </c>
      <c r="F304">
        <f>Table3[[#This Row],[Lat]]</f>
        <v>-6.9194250000000004</v>
      </c>
      <c r="G304">
        <f>Table3[[#This Row],[Long]]</f>
        <v>107.6078639</v>
      </c>
      <c r="I304">
        <v>58</v>
      </c>
      <c r="J304">
        <v>-6.2452294000000004</v>
      </c>
      <c r="K304">
        <v>106.79466549999999</v>
      </c>
      <c r="L304" t="s">
        <v>164</v>
      </c>
      <c r="M304" t="s">
        <v>953</v>
      </c>
      <c r="N304" t="s">
        <v>46</v>
      </c>
      <c r="O304" t="str">
        <f>IF(ISBLANK(Table7[[#This Row],[city]]),Table7[[#This Row],[city2]],Table7[[#This Row],[city]])</f>
        <v>South Jakarta</v>
      </c>
      <c r="P304" t="s">
        <v>928</v>
      </c>
      <c r="Q304" t="s">
        <v>51</v>
      </c>
    </row>
    <row r="305" spans="5:17" x14ac:dyDescent="0.25">
      <c r="E305">
        <f>Table3[[#This Row],[Place_Id]]</f>
        <v>304</v>
      </c>
      <c r="F305">
        <f>Table3[[#This Row],[Lat]]</f>
        <v>-7.1923281000000001</v>
      </c>
      <c r="G305">
        <f>Table3[[#This Row],[Long]]</f>
        <v>107.5510012</v>
      </c>
      <c r="I305">
        <v>62</v>
      </c>
      <c r="J305">
        <v>-6.3039041999999998</v>
      </c>
      <c r="K305">
        <v>106.8936219</v>
      </c>
      <c r="L305" t="s">
        <v>172</v>
      </c>
      <c r="M305" t="s">
        <v>952</v>
      </c>
      <c r="N305" t="s">
        <v>46</v>
      </c>
      <c r="O305" t="str">
        <f>IF(ISBLANK(Table7[[#This Row],[city]]),Table7[[#This Row],[city2]],Table7[[#This Row],[city]])</f>
        <v>East Jakarta</v>
      </c>
      <c r="P305" t="s">
        <v>928</v>
      </c>
      <c r="Q305" t="s">
        <v>51</v>
      </c>
    </row>
    <row r="306" spans="5:17" x14ac:dyDescent="0.25">
      <c r="E306">
        <f>Table3[[#This Row],[Place_Id]]</f>
        <v>305</v>
      </c>
      <c r="F306">
        <f>Table3[[#This Row],[Lat]]</f>
        <v>-7.233689</v>
      </c>
      <c r="G306">
        <f>Table3[[#This Row],[Long]]</f>
        <v>107.5342933</v>
      </c>
      <c r="I306">
        <v>72</v>
      </c>
      <c r="J306">
        <v>-6.1136559000000004</v>
      </c>
      <c r="K306">
        <v>106.7478596</v>
      </c>
      <c r="L306" t="s">
        <v>192</v>
      </c>
      <c r="M306" t="s">
        <v>951</v>
      </c>
      <c r="N306" t="s">
        <v>46</v>
      </c>
      <c r="O306" t="str">
        <f>IF(ISBLANK(Table7[[#This Row],[city]]),Table7[[#This Row],[city2]],Table7[[#This Row],[city]])</f>
        <v>North Jakarta</v>
      </c>
      <c r="P306" t="s">
        <v>928</v>
      </c>
      <c r="Q306" t="s">
        <v>51</v>
      </c>
    </row>
    <row r="307" spans="5:17" x14ac:dyDescent="0.25">
      <c r="E307">
        <f>Table3[[#This Row],[Place_Id]]</f>
        <v>306</v>
      </c>
      <c r="F307">
        <f>Table3[[#This Row],[Lat]]</f>
        <v>-7.1965022999999997</v>
      </c>
      <c r="G307">
        <f>Table3[[#This Row],[Long]]</f>
        <v>107.5454594</v>
      </c>
      <c r="I307">
        <v>75</v>
      </c>
      <c r="J307">
        <v>-6.2992717999999996</v>
      </c>
      <c r="K307">
        <v>106.89151</v>
      </c>
      <c r="L307" t="s">
        <v>198</v>
      </c>
      <c r="M307" t="s">
        <v>952</v>
      </c>
      <c r="N307" t="s">
        <v>46</v>
      </c>
      <c r="O307" t="str">
        <f>IF(ISBLANK(Table7[[#This Row],[city]]),Table7[[#This Row],[city2]],Table7[[#This Row],[city]])</f>
        <v>East Jakarta</v>
      </c>
      <c r="P307" t="s">
        <v>928</v>
      </c>
      <c r="Q307" t="s">
        <v>51</v>
      </c>
    </row>
    <row r="308" spans="5:17" x14ac:dyDescent="0.25">
      <c r="E308">
        <f>Table3[[#This Row],[Place_Id]]</f>
        <v>307</v>
      </c>
      <c r="F308">
        <f>Table3[[#This Row],[Lat]]</f>
        <v>-7.2274463000000004</v>
      </c>
      <c r="G308">
        <f>Table3[[#This Row],[Long]]</f>
        <v>107.6050805</v>
      </c>
      <c r="I308">
        <v>76</v>
      </c>
      <c r="J308">
        <v>-6.1810843000000002</v>
      </c>
      <c r="K308">
        <v>106.7954476</v>
      </c>
      <c r="L308" t="s">
        <v>200</v>
      </c>
      <c r="M308" t="s">
        <v>950</v>
      </c>
      <c r="N308" t="s">
        <v>46</v>
      </c>
      <c r="O308" t="str">
        <f>IF(ISBLANK(Table7[[#This Row],[city]]),Table7[[#This Row],[city2]],Table7[[#This Row],[city]])</f>
        <v>West Jakarta</v>
      </c>
      <c r="P308" t="s">
        <v>928</v>
      </c>
      <c r="Q308" t="s">
        <v>51</v>
      </c>
    </row>
    <row r="309" spans="5:17" x14ac:dyDescent="0.25">
      <c r="E309">
        <f>Table3[[#This Row],[Place_Id]]</f>
        <v>308</v>
      </c>
      <c r="F309">
        <f>Table3[[#This Row],[Lat]]</f>
        <v>-6.7380852999999998</v>
      </c>
      <c r="G309">
        <f>Table3[[#This Row],[Long]]</f>
        <v>107.65660920000001</v>
      </c>
      <c r="I309">
        <v>77</v>
      </c>
      <c r="J309">
        <v>-6.2371409</v>
      </c>
      <c r="K309">
        <v>106.8526505</v>
      </c>
      <c r="L309" t="s">
        <v>202</v>
      </c>
      <c r="M309" t="s">
        <v>953</v>
      </c>
      <c r="N309" t="s">
        <v>46</v>
      </c>
      <c r="O309" t="str">
        <f>IF(ISBLANK(Table7[[#This Row],[city]]),Table7[[#This Row],[city2]],Table7[[#This Row],[city]])</f>
        <v>South Jakarta</v>
      </c>
      <c r="P309" t="s">
        <v>928</v>
      </c>
      <c r="Q309" t="s">
        <v>51</v>
      </c>
    </row>
    <row r="310" spans="5:17" x14ac:dyDescent="0.25">
      <c r="E310">
        <f>Table3[[#This Row],[Place_Id]]</f>
        <v>309</v>
      </c>
      <c r="F310">
        <f>Table3[[#This Row],[Lat]]</f>
        <v>-6.8246311000000004</v>
      </c>
      <c r="G310">
        <f>Table3[[#This Row],[Long]]</f>
        <v>107.6171106</v>
      </c>
      <c r="I310">
        <v>78</v>
      </c>
      <c r="J310">
        <v>-6.2106944999999998</v>
      </c>
      <c r="K310">
        <v>106.7643954</v>
      </c>
      <c r="L310" t="s">
        <v>204</v>
      </c>
      <c r="M310" t="s">
        <v>950</v>
      </c>
      <c r="N310" t="s">
        <v>46</v>
      </c>
      <c r="O310" t="str">
        <f>IF(ISBLANK(Table7[[#This Row],[city]]),Table7[[#This Row],[city2]],Table7[[#This Row],[city]])</f>
        <v>West Jakarta</v>
      </c>
      <c r="P310" t="s">
        <v>928</v>
      </c>
      <c r="Q310" t="s">
        <v>51</v>
      </c>
    </row>
    <row r="311" spans="5:17" x14ac:dyDescent="0.25">
      <c r="E311">
        <f>Table3[[#This Row],[Place_Id]]</f>
        <v>310</v>
      </c>
      <c r="F311">
        <f>Table3[[#This Row],[Lat]]</f>
        <v>-6.8038882999999997</v>
      </c>
      <c r="G311">
        <f>Table3[[#This Row],[Long]]</f>
        <v>107.58663129999999</v>
      </c>
      <c r="I311">
        <v>79</v>
      </c>
      <c r="J311">
        <v>-6.3226133000000004</v>
      </c>
      <c r="K311">
        <v>106.8241871</v>
      </c>
      <c r="L311" t="s">
        <v>206</v>
      </c>
      <c r="M311" t="s">
        <v>953</v>
      </c>
      <c r="N311" t="s">
        <v>46</v>
      </c>
      <c r="O311" t="str">
        <f>IF(ISBLANK(Table7[[#This Row],[city]]),Table7[[#This Row],[city2]],Table7[[#This Row],[city]])</f>
        <v>South Jakarta</v>
      </c>
      <c r="P311" t="s">
        <v>928</v>
      </c>
      <c r="Q311" t="s">
        <v>51</v>
      </c>
    </row>
    <row r="312" spans="5:17" x14ac:dyDescent="0.25">
      <c r="E312">
        <f>Table3[[#This Row],[Place_Id]]</f>
        <v>311</v>
      </c>
      <c r="F312">
        <f>Table3[[#This Row],[Lat]]</f>
        <v>-6.8294112</v>
      </c>
      <c r="G312">
        <f>Table3[[#This Row],[Long]]</f>
        <v>107.68746659999999</v>
      </c>
      <c r="I312">
        <v>83</v>
      </c>
      <c r="J312">
        <v>-6.1175344000000003</v>
      </c>
      <c r="K312">
        <v>106.857313</v>
      </c>
      <c r="L312" t="s">
        <v>214</v>
      </c>
      <c r="M312" t="s">
        <v>951</v>
      </c>
      <c r="N312" t="s">
        <v>46</v>
      </c>
      <c r="O312" t="str">
        <f>IF(ISBLANK(Table7[[#This Row],[city]]),Table7[[#This Row],[city2]],Table7[[#This Row],[city]])</f>
        <v>North Jakarta</v>
      </c>
      <c r="P312" t="s">
        <v>928</v>
      </c>
      <c r="Q312" t="s">
        <v>51</v>
      </c>
    </row>
    <row r="313" spans="5:17" x14ac:dyDescent="0.25">
      <c r="E313">
        <f>Table3[[#This Row],[Place_Id]]</f>
        <v>312</v>
      </c>
      <c r="F313">
        <f>Table3[[#This Row],[Lat]]</f>
        <v>-6.8260163</v>
      </c>
      <c r="G313">
        <f>Table3[[#This Row],[Long]]</f>
        <v>107.63835640000001</v>
      </c>
      <c r="I313">
        <v>85</v>
      </c>
      <c r="J313">
        <v>-7.8006715</v>
      </c>
      <c r="K313">
        <v>110.36765509999999</v>
      </c>
      <c r="L313" t="s">
        <v>218</v>
      </c>
      <c r="M313" t="s">
        <v>220</v>
      </c>
      <c r="N313" t="s">
        <v>220</v>
      </c>
      <c r="O313" t="str">
        <f>IF(ISBLANK(Table7[[#This Row],[city]]),Table7[[#This Row],[city2]],Table7[[#This Row],[city]])</f>
        <v>Yogyakarta</v>
      </c>
      <c r="P313" t="s">
        <v>220</v>
      </c>
      <c r="Q313" t="s">
        <v>51</v>
      </c>
    </row>
    <row r="314" spans="5:17" x14ac:dyDescent="0.25">
      <c r="E314">
        <f>Table3[[#This Row],[Place_Id]]</f>
        <v>313</v>
      </c>
      <c r="F314">
        <f>Table3[[#This Row],[Lat]]</f>
        <v>-6.8426445999999999</v>
      </c>
      <c r="G314">
        <f>Table3[[#This Row],[Long]]</f>
        <v>107.62284080000001</v>
      </c>
      <c r="I314">
        <v>87</v>
      </c>
      <c r="J314">
        <v>-7.7672973000000001</v>
      </c>
      <c r="K314">
        <v>110.35424860000001</v>
      </c>
      <c r="L314" t="s">
        <v>223</v>
      </c>
      <c r="M314" t="s">
        <v>956</v>
      </c>
      <c r="N314" t="s">
        <v>220</v>
      </c>
      <c r="O314" t="str">
        <f>IF(ISBLANK(Table7[[#This Row],[city]]),Table7[[#This Row],[city2]],Table7[[#This Row],[city]])</f>
        <v>Sleman</v>
      </c>
      <c r="P314" t="s">
        <v>220</v>
      </c>
      <c r="Q314" t="s">
        <v>51</v>
      </c>
    </row>
    <row r="315" spans="5:17" x14ac:dyDescent="0.25">
      <c r="E315">
        <f>Table3[[#This Row],[Place_Id]]</f>
        <v>314</v>
      </c>
      <c r="F315">
        <f>Table3[[#This Row],[Lat]]</f>
        <v>-6.8131766999999996</v>
      </c>
      <c r="G315">
        <f>Table3[[#This Row],[Long]]</f>
        <v>107.7136367</v>
      </c>
      <c r="I315">
        <v>90</v>
      </c>
      <c r="J315">
        <v>-7.8100673</v>
      </c>
      <c r="K315">
        <v>110.3594581</v>
      </c>
      <c r="L315" t="s">
        <v>229</v>
      </c>
      <c r="M315" t="s">
        <v>220</v>
      </c>
      <c r="N315" t="s">
        <v>220</v>
      </c>
      <c r="O315" t="str">
        <f>IF(ISBLANK(Table7[[#This Row],[city]]),Table7[[#This Row],[city2]],Table7[[#This Row],[city]])</f>
        <v>Yogyakarta</v>
      </c>
      <c r="P315" t="s">
        <v>220</v>
      </c>
      <c r="Q315" t="s">
        <v>51</v>
      </c>
    </row>
    <row r="316" spans="5:17" x14ac:dyDescent="0.25">
      <c r="E316">
        <f>Table3[[#This Row],[Place_Id]]</f>
        <v>315</v>
      </c>
      <c r="F316">
        <f>Table3[[#This Row],[Lat]]</f>
        <v>-7.0182386000000001</v>
      </c>
      <c r="G316">
        <f>Table3[[#This Row],[Long]]</f>
        <v>107.20721450000001</v>
      </c>
      <c r="I316">
        <v>91</v>
      </c>
      <c r="J316">
        <v>-7.8102685000000003</v>
      </c>
      <c r="K316">
        <v>110.3931513</v>
      </c>
      <c r="L316" t="s">
        <v>231</v>
      </c>
      <c r="M316" t="s">
        <v>220</v>
      </c>
      <c r="N316" t="s">
        <v>220</v>
      </c>
      <c r="O316" t="str">
        <f>IF(ISBLANK(Table7[[#This Row],[city]]),Table7[[#This Row],[city2]],Table7[[#This Row],[city]])</f>
        <v>Yogyakarta</v>
      </c>
      <c r="P316" t="s">
        <v>220</v>
      </c>
      <c r="Q316" t="s">
        <v>51</v>
      </c>
    </row>
    <row r="317" spans="5:17" x14ac:dyDescent="0.25">
      <c r="E317">
        <f>Table3[[#This Row],[Place_Id]]</f>
        <v>316</v>
      </c>
      <c r="F317">
        <f>Table3[[#This Row],[Lat]]</f>
        <v>-6.7977382999999998</v>
      </c>
      <c r="G317">
        <f>Table3[[#This Row],[Long]]</f>
        <v>107.5783691</v>
      </c>
      <c r="I317">
        <v>92</v>
      </c>
      <c r="J317">
        <v>-7.8013802999999999</v>
      </c>
      <c r="K317">
        <v>110.36476519999999</v>
      </c>
      <c r="L317" t="s">
        <v>233</v>
      </c>
      <c r="M317" t="s">
        <v>220</v>
      </c>
      <c r="N317" t="s">
        <v>220</v>
      </c>
      <c r="O317" t="str">
        <f>IF(ISBLANK(Table7[[#This Row],[city]]),Table7[[#This Row],[city2]],Table7[[#This Row],[city]])</f>
        <v>Yogyakarta</v>
      </c>
      <c r="P317" t="s">
        <v>220</v>
      </c>
      <c r="Q317" t="s">
        <v>51</v>
      </c>
    </row>
    <row r="318" spans="5:17" x14ac:dyDescent="0.25">
      <c r="E318">
        <f>Table3[[#This Row],[Place_Id]]</f>
        <v>317</v>
      </c>
      <c r="F318">
        <f>Table3[[#This Row],[Lat]]</f>
        <v>-7.1669649</v>
      </c>
      <c r="G318">
        <f>Table3[[#This Row],[Long]]</f>
        <v>107.35753440000001</v>
      </c>
      <c r="I318">
        <v>94</v>
      </c>
      <c r="J318">
        <v>-7.8087910999999997</v>
      </c>
      <c r="K318">
        <v>110.3591825</v>
      </c>
      <c r="L318" t="s">
        <v>237</v>
      </c>
      <c r="M318" t="s">
        <v>220</v>
      </c>
      <c r="N318" t="s">
        <v>220</v>
      </c>
      <c r="O318" t="str">
        <f>IF(ISBLANK(Table7[[#This Row],[city]]),Table7[[#This Row],[city2]],Table7[[#This Row],[city]])</f>
        <v>Yogyakarta</v>
      </c>
      <c r="P318" t="s">
        <v>220</v>
      </c>
      <c r="Q318" t="s">
        <v>51</v>
      </c>
    </row>
    <row r="319" spans="5:17" x14ac:dyDescent="0.25">
      <c r="E319">
        <f>Table3[[#This Row],[Place_Id]]</f>
        <v>318</v>
      </c>
      <c r="F319">
        <f>Table3[[#This Row],[Lat]]</f>
        <v>-7.1724126000000004</v>
      </c>
      <c r="G319">
        <f>Table3[[#This Row],[Long]]</f>
        <v>107.3766656</v>
      </c>
      <c r="I319">
        <v>95</v>
      </c>
      <c r="J319">
        <v>-7.8229088999999998</v>
      </c>
      <c r="K319">
        <v>110.3756894</v>
      </c>
      <c r="L319" t="s">
        <v>239</v>
      </c>
      <c r="M319" t="s">
        <v>220</v>
      </c>
      <c r="N319" t="s">
        <v>220</v>
      </c>
      <c r="O319" t="str">
        <f>IF(ISBLANK(Table7[[#This Row],[city]]),Table7[[#This Row],[city2]],Table7[[#This Row],[city]])</f>
        <v>Yogyakarta</v>
      </c>
      <c r="P319" t="s">
        <v>220</v>
      </c>
      <c r="Q319" t="s">
        <v>51</v>
      </c>
    </row>
    <row r="320" spans="5:17" x14ac:dyDescent="0.25">
      <c r="E320">
        <f>Table3[[#This Row],[Place_Id]]</f>
        <v>319</v>
      </c>
      <c r="F320">
        <f>Table3[[#This Row],[Lat]]</f>
        <v>-7.1471529</v>
      </c>
      <c r="G320">
        <f>Table3[[#This Row],[Long]]</f>
        <v>107.3901424</v>
      </c>
      <c r="I320">
        <v>96</v>
      </c>
      <c r="J320">
        <v>-7.8116719000000003</v>
      </c>
      <c r="K320">
        <v>110.363238</v>
      </c>
      <c r="L320" t="s">
        <v>241</v>
      </c>
      <c r="M320" t="s">
        <v>220</v>
      </c>
      <c r="N320" t="s">
        <v>220</v>
      </c>
      <c r="O320" t="str">
        <f>IF(ISBLANK(Table7[[#This Row],[city]]),Table7[[#This Row],[city2]],Table7[[#This Row],[city]])</f>
        <v>Yogyakarta</v>
      </c>
      <c r="P320" t="s">
        <v>220</v>
      </c>
      <c r="Q320" t="s">
        <v>51</v>
      </c>
    </row>
    <row r="321" spans="5:17" x14ac:dyDescent="0.25">
      <c r="E321">
        <f>Table3[[#This Row],[Place_Id]]</f>
        <v>320</v>
      </c>
      <c r="F321">
        <f>Table3[[#This Row],[Lat]]</f>
        <v>-7.1675908000000002</v>
      </c>
      <c r="G321">
        <f>Table3[[#This Row],[Long]]</f>
        <v>107.3532419</v>
      </c>
      <c r="I321">
        <v>98</v>
      </c>
      <c r="J321">
        <v>-7.7505259000000004</v>
      </c>
      <c r="K321">
        <v>110.3687049</v>
      </c>
      <c r="L321" t="s">
        <v>245</v>
      </c>
      <c r="M321" t="s">
        <v>956</v>
      </c>
      <c r="N321" t="s">
        <v>220</v>
      </c>
      <c r="O321" t="str">
        <f>IF(ISBLANK(Table7[[#This Row],[city]]),Table7[[#This Row],[city2]],Table7[[#This Row],[city]])</f>
        <v>Sleman</v>
      </c>
      <c r="P321" t="s">
        <v>220</v>
      </c>
      <c r="Q321" t="s">
        <v>51</v>
      </c>
    </row>
    <row r="322" spans="5:17" x14ac:dyDescent="0.25">
      <c r="E322">
        <f>Table3[[#This Row],[Place_Id]]</f>
        <v>321</v>
      </c>
      <c r="F322">
        <f>Table3[[#This Row],[Lat]]</f>
        <v>-7.1951102000000002</v>
      </c>
      <c r="G322">
        <f>Table3[[#This Row],[Long]]</f>
        <v>107.43128110000001</v>
      </c>
      <c r="I322">
        <v>103</v>
      </c>
      <c r="J322">
        <v>-7.7829436999999997</v>
      </c>
      <c r="K322">
        <v>110.36705480000001</v>
      </c>
      <c r="L322" t="s">
        <v>255</v>
      </c>
      <c r="M322" t="s">
        <v>220</v>
      </c>
      <c r="N322" t="s">
        <v>220</v>
      </c>
      <c r="O322" t="str">
        <f>IF(ISBLANK(Table7[[#This Row],[city]]),Table7[[#This Row],[city2]],Table7[[#This Row],[city]])</f>
        <v>Yogyakarta</v>
      </c>
      <c r="P322" t="s">
        <v>220</v>
      </c>
      <c r="Q322" t="s">
        <v>51</v>
      </c>
    </row>
    <row r="323" spans="5:17" x14ac:dyDescent="0.25">
      <c r="E323">
        <f>Table3[[#This Row],[Place_Id]]</f>
        <v>322</v>
      </c>
      <c r="F323">
        <f>Table3[[#This Row],[Lat]]</f>
        <v>-6.6013210000000004</v>
      </c>
      <c r="G323">
        <f>Table3[[#This Row],[Long]]</f>
        <v>106.632734</v>
      </c>
      <c r="I323">
        <v>106</v>
      </c>
      <c r="J323">
        <v>-7.7931670000000004</v>
      </c>
      <c r="K323">
        <v>110.36552380000001</v>
      </c>
      <c r="L323" t="s">
        <v>261</v>
      </c>
      <c r="M323" t="s">
        <v>220</v>
      </c>
      <c r="N323" t="s">
        <v>220</v>
      </c>
      <c r="O323" t="str">
        <f>IF(ISBLANK(Table7[[#This Row],[city]]),Table7[[#This Row],[city2]],Table7[[#This Row],[city]])</f>
        <v>Yogyakarta</v>
      </c>
      <c r="P323" t="s">
        <v>220</v>
      </c>
      <c r="Q323" t="s">
        <v>51</v>
      </c>
    </row>
    <row r="324" spans="5:17" x14ac:dyDescent="0.25">
      <c r="E324">
        <f>Table3[[#This Row],[Place_Id]]</f>
        <v>323</v>
      </c>
      <c r="F324">
        <f>Table3[[#This Row],[Lat]]</f>
        <v>-7.1147876999999999</v>
      </c>
      <c r="G324">
        <f>Table3[[#This Row],[Long]]</f>
        <v>107.4380865</v>
      </c>
      <c r="I324">
        <v>108</v>
      </c>
      <c r="J324">
        <v>-7.756227</v>
      </c>
      <c r="K324">
        <v>110.4150131</v>
      </c>
      <c r="L324" t="s">
        <v>265</v>
      </c>
      <c r="M324" t="s">
        <v>956</v>
      </c>
      <c r="N324" t="s">
        <v>220</v>
      </c>
      <c r="O324" t="str">
        <f>IF(ISBLANK(Table7[[#This Row],[city]]),Table7[[#This Row],[city2]],Table7[[#This Row],[city]])</f>
        <v>Sleman</v>
      </c>
      <c r="P324" t="s">
        <v>220</v>
      </c>
      <c r="Q324" t="s">
        <v>51</v>
      </c>
    </row>
    <row r="325" spans="5:17" x14ac:dyDescent="0.25">
      <c r="E325">
        <f>Table3[[#This Row],[Place_Id]]</f>
        <v>324</v>
      </c>
      <c r="F325">
        <f>Table3[[#This Row],[Lat]]</f>
        <v>-6.8971362000000003</v>
      </c>
      <c r="G325">
        <f>Table3[[#This Row],[Long]]</f>
        <v>107.6558466</v>
      </c>
      <c r="I325">
        <v>109</v>
      </c>
      <c r="J325">
        <v>-7.8704831999999998</v>
      </c>
      <c r="K325">
        <v>110.4599108</v>
      </c>
      <c r="L325" t="s">
        <v>267</v>
      </c>
      <c r="M325" t="s">
        <v>960</v>
      </c>
      <c r="N325" t="s">
        <v>220</v>
      </c>
      <c r="O325" t="str">
        <f>IF(ISBLANK(Table7[[#This Row],[city]]),Table7[[#This Row],[city2]],Table7[[#This Row],[city]])</f>
        <v>Bantul</v>
      </c>
      <c r="P325" t="s">
        <v>220</v>
      </c>
      <c r="Q325" t="s">
        <v>51</v>
      </c>
    </row>
    <row r="326" spans="5:17" x14ac:dyDescent="0.25">
      <c r="E326">
        <f>Table3[[#This Row],[Place_Id]]</f>
        <v>325</v>
      </c>
      <c r="F326">
        <f>Table3[[#This Row],[Lat]]</f>
        <v>-6.8590046999999998</v>
      </c>
      <c r="G326">
        <f>Table3[[#This Row],[Long]]</f>
        <v>107.56877900000001</v>
      </c>
      <c r="I326">
        <v>110</v>
      </c>
      <c r="J326">
        <v>-7.8010124000000003</v>
      </c>
      <c r="K326">
        <v>110.3653376</v>
      </c>
      <c r="L326" t="s">
        <v>269</v>
      </c>
      <c r="M326" t="s">
        <v>220</v>
      </c>
      <c r="N326" t="s">
        <v>220</v>
      </c>
      <c r="O326" t="str">
        <f>IF(ISBLANK(Table7[[#This Row],[city]]),Table7[[#This Row],[city2]],Table7[[#This Row],[city]])</f>
        <v>Yogyakarta</v>
      </c>
      <c r="P326" t="s">
        <v>220</v>
      </c>
      <c r="Q326" t="s">
        <v>51</v>
      </c>
    </row>
    <row r="327" spans="5:17" x14ac:dyDescent="0.25">
      <c r="E327">
        <f>Table3[[#This Row],[Place_Id]]</f>
        <v>326</v>
      </c>
      <c r="F327">
        <f>Table3[[#This Row],[Lat]]</f>
        <v>-6.8173269999999997</v>
      </c>
      <c r="G327">
        <f>Table3[[#This Row],[Long]]</f>
        <v>107.61794</v>
      </c>
      <c r="I327">
        <v>111</v>
      </c>
      <c r="J327">
        <v>-7.9020355000000002</v>
      </c>
      <c r="K327">
        <v>110.4374627</v>
      </c>
      <c r="L327" t="s">
        <v>271</v>
      </c>
      <c r="M327" t="s">
        <v>960</v>
      </c>
      <c r="N327" t="s">
        <v>220</v>
      </c>
      <c r="O327" t="str">
        <f>IF(ISBLANK(Table7[[#This Row],[city]]),Table7[[#This Row],[city2]],Table7[[#This Row],[city]])</f>
        <v>Bantul</v>
      </c>
      <c r="P327" t="s">
        <v>220</v>
      </c>
      <c r="Q327" t="s">
        <v>51</v>
      </c>
    </row>
    <row r="328" spans="5:17" x14ac:dyDescent="0.25">
      <c r="E328">
        <f>Table3[[#This Row],[Place_Id]]</f>
        <v>327</v>
      </c>
      <c r="F328">
        <f>Table3[[#This Row],[Lat]]</f>
        <v>-6.8231833000000002</v>
      </c>
      <c r="G328">
        <f>Table3[[#This Row],[Long]]</f>
        <v>107.43716550000001</v>
      </c>
      <c r="I328">
        <v>112</v>
      </c>
      <c r="J328">
        <v>-7.8458407000000001</v>
      </c>
      <c r="K328">
        <v>110.4798457</v>
      </c>
      <c r="L328" t="s">
        <v>273</v>
      </c>
      <c r="M328" t="s">
        <v>964</v>
      </c>
      <c r="N328" t="s">
        <v>220</v>
      </c>
      <c r="O328" t="str">
        <f>IF(ISBLANK(Table7[[#This Row],[city]]),Table7[[#This Row],[city2]],Table7[[#This Row],[city]])</f>
        <v>Gunungkidul</v>
      </c>
      <c r="P328" t="s">
        <v>220</v>
      </c>
      <c r="Q328" t="s">
        <v>51</v>
      </c>
    </row>
    <row r="329" spans="5:17" x14ac:dyDescent="0.25">
      <c r="E329">
        <f>Table3[[#This Row],[Place_Id]]</f>
        <v>328</v>
      </c>
      <c r="F329">
        <f>Table3[[#This Row],[Lat]]</f>
        <v>-6.9588812000000004</v>
      </c>
      <c r="G329">
        <f>Table3[[#This Row],[Long]]</f>
        <v>107.47131469999999</v>
      </c>
      <c r="I329">
        <v>114</v>
      </c>
      <c r="J329">
        <v>-7.6041648000000004</v>
      </c>
      <c r="K329">
        <v>110.4510042</v>
      </c>
      <c r="L329" t="s">
        <v>277</v>
      </c>
      <c r="M329" t="s">
        <v>956</v>
      </c>
      <c r="N329" t="s">
        <v>220</v>
      </c>
      <c r="O329" t="str">
        <f>IF(ISBLANK(Table7[[#This Row],[city]]),Table7[[#This Row],[city2]],Table7[[#This Row],[city]])</f>
        <v>Sleman</v>
      </c>
      <c r="P329" t="s">
        <v>220</v>
      </c>
      <c r="Q329" t="s">
        <v>51</v>
      </c>
    </row>
    <row r="330" spans="5:17" x14ac:dyDescent="0.25">
      <c r="E330">
        <f>Table3[[#This Row],[Place_Id]]</f>
        <v>329</v>
      </c>
      <c r="F330">
        <f>Table3[[#This Row],[Lat]]</f>
        <v>-6.9220816000000003</v>
      </c>
      <c r="G330">
        <f>Table3[[#This Row],[Long]]</f>
        <v>107.60731819999999</v>
      </c>
      <c r="I330">
        <v>116</v>
      </c>
      <c r="J330">
        <v>-7.9401064999999997</v>
      </c>
      <c r="K330">
        <v>110.43000619999999</v>
      </c>
      <c r="L330" t="s">
        <v>281</v>
      </c>
      <c r="M330" t="s">
        <v>960</v>
      </c>
      <c r="N330" t="s">
        <v>220</v>
      </c>
      <c r="O330" t="str">
        <f>IF(ISBLANK(Table7[[#This Row],[city]]),Table7[[#This Row],[city2]],Table7[[#This Row],[city]])</f>
        <v>Bantul</v>
      </c>
      <c r="P330" t="s">
        <v>220</v>
      </c>
      <c r="Q330" t="s">
        <v>51</v>
      </c>
    </row>
    <row r="331" spans="5:17" x14ac:dyDescent="0.25">
      <c r="E331">
        <f>Table3[[#This Row],[Place_Id]]</f>
        <v>330</v>
      </c>
      <c r="F331">
        <f>Table3[[#This Row],[Lat]]</f>
        <v>-6.8198749999999997</v>
      </c>
      <c r="G331">
        <f>Table3[[#This Row],[Long]]</f>
        <v>107.618707</v>
      </c>
      <c r="I331">
        <v>117</v>
      </c>
      <c r="J331">
        <v>-7.6209046000000003</v>
      </c>
      <c r="K331">
        <v>110.4216275</v>
      </c>
      <c r="L331" t="s">
        <v>283</v>
      </c>
      <c r="M331" t="s">
        <v>956</v>
      </c>
      <c r="N331" t="s">
        <v>220</v>
      </c>
      <c r="O331" t="str">
        <f>IF(ISBLANK(Table7[[#This Row],[city]]),Table7[[#This Row],[city2]],Table7[[#This Row],[city]])</f>
        <v>Sleman</v>
      </c>
      <c r="P331" t="s">
        <v>220</v>
      </c>
      <c r="Q331" t="s">
        <v>51</v>
      </c>
    </row>
    <row r="332" spans="5:17" x14ac:dyDescent="0.25">
      <c r="E332">
        <f>Table3[[#This Row],[Place_Id]]</f>
        <v>331</v>
      </c>
      <c r="F332">
        <f>Table3[[#This Row],[Lat]]</f>
        <v>-6.8179514000000001</v>
      </c>
      <c r="G332">
        <f>Table3[[#This Row],[Long]]</f>
        <v>107.618914</v>
      </c>
      <c r="I332">
        <v>127</v>
      </c>
      <c r="J332">
        <v>-7.7044357999999997</v>
      </c>
      <c r="K332">
        <v>110.45026</v>
      </c>
      <c r="L332" t="s">
        <v>303</v>
      </c>
      <c r="M332" t="s">
        <v>956</v>
      </c>
      <c r="N332" t="s">
        <v>220</v>
      </c>
      <c r="O332" t="str">
        <f>IF(ISBLANK(Table7[[#This Row],[city]]),Table7[[#This Row],[city2]],Table7[[#This Row],[city]])</f>
        <v>Sleman</v>
      </c>
      <c r="P332" t="s">
        <v>220</v>
      </c>
      <c r="Q332" t="s">
        <v>51</v>
      </c>
    </row>
    <row r="333" spans="5:17" x14ac:dyDescent="0.25">
      <c r="E333">
        <f>Table3[[#This Row],[Place_Id]]</f>
        <v>332</v>
      </c>
      <c r="F333">
        <f>Table3[[#This Row],[Lat]]</f>
        <v>-6.8186888000000003</v>
      </c>
      <c r="G333">
        <f>Table3[[#This Row],[Long]]</f>
        <v>107.6169403</v>
      </c>
      <c r="I333">
        <v>128</v>
      </c>
      <c r="J333">
        <v>-8.0173266000000005</v>
      </c>
      <c r="K333">
        <v>110.31807910000001</v>
      </c>
      <c r="L333" t="s">
        <v>305</v>
      </c>
      <c r="M333" t="s">
        <v>960</v>
      </c>
      <c r="N333" t="s">
        <v>220</v>
      </c>
      <c r="O333" t="str">
        <f>IF(ISBLANK(Table7[[#This Row],[city]]),Table7[[#This Row],[city2]],Table7[[#This Row],[city]])</f>
        <v>Bantul</v>
      </c>
      <c r="P333" t="s">
        <v>220</v>
      </c>
      <c r="Q333" t="s">
        <v>51</v>
      </c>
    </row>
    <row r="334" spans="5:17" x14ac:dyDescent="0.25">
      <c r="E334">
        <f>Table3[[#This Row],[Place_Id]]</f>
        <v>333</v>
      </c>
      <c r="F334">
        <f>Table3[[#This Row],[Lat]]</f>
        <v>-6.9012241000000003</v>
      </c>
      <c r="G334">
        <f>Table3[[#This Row],[Long]]</f>
        <v>107.60998530000001</v>
      </c>
      <c r="I334">
        <v>129</v>
      </c>
      <c r="J334">
        <v>-7.9157997</v>
      </c>
      <c r="K334">
        <v>110.4366436</v>
      </c>
      <c r="L334" t="s">
        <v>307</v>
      </c>
      <c r="M334" t="s">
        <v>960</v>
      </c>
      <c r="N334" t="s">
        <v>220</v>
      </c>
      <c r="O334" t="str">
        <f>IF(ISBLANK(Table7[[#This Row],[city]]),Table7[[#This Row],[city2]],Table7[[#This Row],[city]])</f>
        <v>Bantul</v>
      </c>
      <c r="P334" t="s">
        <v>220</v>
      </c>
      <c r="Q334" t="s">
        <v>51</v>
      </c>
    </row>
    <row r="335" spans="5:17" x14ac:dyDescent="0.25">
      <c r="E335">
        <f>Table3[[#This Row],[Place_Id]]</f>
        <v>334</v>
      </c>
      <c r="F335">
        <f>Table3[[#This Row],[Lat]]</f>
        <v>-7.2098867000000002</v>
      </c>
      <c r="G335">
        <f>Table3[[#This Row],[Long]]</f>
        <v>110.34211190000001</v>
      </c>
      <c r="I335">
        <v>130</v>
      </c>
      <c r="J335">
        <v>-7.8057936000000003</v>
      </c>
      <c r="K335">
        <v>110.2367304</v>
      </c>
      <c r="L335" t="s">
        <v>309</v>
      </c>
      <c r="M335" t="s">
        <v>956</v>
      </c>
      <c r="N335" t="s">
        <v>220</v>
      </c>
      <c r="O335" t="str">
        <f>IF(ISBLANK(Table7[[#This Row],[city]]),Table7[[#This Row],[city2]],Table7[[#This Row],[city]])</f>
        <v>Sleman</v>
      </c>
      <c r="P335" t="s">
        <v>220</v>
      </c>
      <c r="Q335" t="s">
        <v>51</v>
      </c>
    </row>
    <row r="336" spans="5:17" x14ac:dyDescent="0.25">
      <c r="E336">
        <f>Table3[[#This Row],[Place_Id]]</f>
        <v>335</v>
      </c>
      <c r="F336">
        <f>Table3[[#This Row],[Lat]]</f>
        <v>-6.9605224999999997</v>
      </c>
      <c r="G336">
        <f>Table3[[#This Row],[Long]]</f>
        <v>110.3863941</v>
      </c>
      <c r="I336">
        <v>133</v>
      </c>
      <c r="J336">
        <v>-7.9413717999999998</v>
      </c>
      <c r="K336">
        <v>110.4247345</v>
      </c>
      <c r="L336" t="s">
        <v>315</v>
      </c>
      <c r="M336" t="s">
        <v>960</v>
      </c>
      <c r="N336" t="s">
        <v>220</v>
      </c>
      <c r="O336" t="str">
        <f>IF(ISBLANK(Table7[[#This Row],[city]]),Table7[[#This Row],[city2]],Table7[[#This Row],[city]])</f>
        <v>Bantul</v>
      </c>
      <c r="P336" t="s">
        <v>220</v>
      </c>
      <c r="Q336" t="s">
        <v>51</v>
      </c>
    </row>
    <row r="337" spans="5:17" x14ac:dyDescent="0.25">
      <c r="E337">
        <f>Table3[[#This Row],[Place_Id]]</f>
        <v>336</v>
      </c>
      <c r="F337">
        <f>Table3[[#This Row],[Lat]]</f>
        <v>-6.9888811999999998</v>
      </c>
      <c r="G337">
        <f>Table3[[#This Row],[Long]]</f>
        <v>110.40837809999999</v>
      </c>
      <c r="I337">
        <v>134</v>
      </c>
      <c r="J337">
        <v>-7.8055231999999997</v>
      </c>
      <c r="K337">
        <v>110.2374676</v>
      </c>
      <c r="L337" t="s">
        <v>317</v>
      </c>
      <c r="M337" t="s">
        <v>956</v>
      </c>
      <c r="N337" t="s">
        <v>220</v>
      </c>
      <c r="O337" t="str">
        <f>IF(ISBLANK(Table7[[#This Row],[city]]),Table7[[#This Row],[city2]],Table7[[#This Row],[city]])</f>
        <v>Sleman</v>
      </c>
      <c r="P337" t="s">
        <v>220</v>
      </c>
      <c r="Q337" t="s">
        <v>51</v>
      </c>
    </row>
    <row r="338" spans="5:17" x14ac:dyDescent="0.25">
      <c r="E338">
        <f>Table3[[#This Row],[Place_Id]]</f>
        <v>337</v>
      </c>
      <c r="F338">
        <f>Table3[[#This Row],[Lat]]</f>
        <v>-6.9839098999999996</v>
      </c>
      <c r="G338">
        <f>Table3[[#This Row],[Long]]</f>
        <v>110.4104342</v>
      </c>
      <c r="I338">
        <v>136</v>
      </c>
      <c r="J338">
        <v>-7.6340171999999997</v>
      </c>
      <c r="K338">
        <v>110.33837</v>
      </c>
      <c r="L338" t="s">
        <v>321</v>
      </c>
      <c r="M338" t="s">
        <v>956</v>
      </c>
      <c r="N338" t="s">
        <v>220</v>
      </c>
      <c r="O338" t="str">
        <f>IF(ISBLANK(Table7[[#This Row],[city]]),Table7[[#This Row],[city2]],Table7[[#This Row],[city]])</f>
        <v>Sleman</v>
      </c>
      <c r="P338" t="s">
        <v>220</v>
      </c>
      <c r="Q338" t="s">
        <v>51</v>
      </c>
    </row>
    <row r="339" spans="5:17" x14ac:dyDescent="0.25">
      <c r="E339">
        <f>Table3[[#This Row],[Place_Id]]</f>
        <v>338</v>
      </c>
      <c r="F339">
        <f>Table3[[#This Row],[Lat]]</f>
        <v>-6.9962365999999996</v>
      </c>
      <c r="G339">
        <f>Table3[[#This Row],[Long]]</f>
        <v>110.398122</v>
      </c>
      <c r="I339">
        <v>138</v>
      </c>
      <c r="J339">
        <v>-7.7280356000000001</v>
      </c>
      <c r="K339">
        <v>110.35917120000001</v>
      </c>
      <c r="L339" t="s">
        <v>325</v>
      </c>
      <c r="M339" t="s">
        <v>956</v>
      </c>
      <c r="N339" t="s">
        <v>220</v>
      </c>
      <c r="O339" t="str">
        <f>IF(ISBLANK(Table7[[#This Row],[city]]),Table7[[#This Row],[city2]],Table7[[#This Row],[city]])</f>
        <v>Sleman</v>
      </c>
      <c r="P339" t="s">
        <v>220</v>
      </c>
      <c r="Q339" t="s">
        <v>51</v>
      </c>
    </row>
    <row r="340" spans="5:17" x14ac:dyDescent="0.25">
      <c r="E340">
        <f>Table3[[#This Row],[Place_Id]]</f>
        <v>339</v>
      </c>
      <c r="F340">
        <f>Table3[[#This Row],[Lat]]</f>
        <v>-7.0205244999999996</v>
      </c>
      <c r="G340">
        <f>Table3[[#This Row],[Long]]</f>
        <v>110.3754605</v>
      </c>
      <c r="I340">
        <v>140</v>
      </c>
      <c r="J340">
        <v>-7.8316667999999998</v>
      </c>
      <c r="K340">
        <v>110.3945119</v>
      </c>
      <c r="L340" t="s">
        <v>329</v>
      </c>
      <c r="M340" t="s">
        <v>220</v>
      </c>
      <c r="N340" t="s">
        <v>220</v>
      </c>
      <c r="O340" t="str">
        <f>IF(ISBLANK(Table7[[#This Row],[city]]),Table7[[#This Row],[city2]],Table7[[#This Row],[city]])</f>
        <v>Yogyakarta</v>
      </c>
      <c r="P340" t="s">
        <v>220</v>
      </c>
      <c r="Q340" t="s">
        <v>51</v>
      </c>
    </row>
    <row r="341" spans="5:17" x14ac:dyDescent="0.25">
      <c r="E341">
        <f>Table3[[#This Row],[Place_Id]]</f>
        <v>340</v>
      </c>
      <c r="F341">
        <f>Table3[[#This Row],[Lat]]</f>
        <v>-7.0296836999999996</v>
      </c>
      <c r="G341">
        <f>Table3[[#This Row],[Long]]</f>
        <v>110.3999611</v>
      </c>
      <c r="I341">
        <v>145</v>
      </c>
      <c r="J341">
        <v>-7.8136085</v>
      </c>
      <c r="K341">
        <v>110.5033442</v>
      </c>
      <c r="L341" t="s">
        <v>339</v>
      </c>
      <c r="M341" t="s">
        <v>956</v>
      </c>
      <c r="N341" t="s">
        <v>220</v>
      </c>
      <c r="O341" t="str">
        <f>IF(ISBLANK(Table7[[#This Row],[city]]),Table7[[#This Row],[city2]],Table7[[#This Row],[city]])</f>
        <v>Sleman</v>
      </c>
      <c r="P341" t="s">
        <v>220</v>
      </c>
      <c r="Q341" t="s">
        <v>51</v>
      </c>
    </row>
    <row r="342" spans="5:17" x14ac:dyDescent="0.25">
      <c r="E342">
        <f>Table3[[#This Row],[Place_Id]]</f>
        <v>341</v>
      </c>
      <c r="F342">
        <f>Table3[[#This Row],[Lat]]</f>
        <v>-6.9909404000000004</v>
      </c>
      <c r="G342">
        <f>Table3[[#This Row],[Long]]</f>
        <v>110.4065932</v>
      </c>
      <c r="I342">
        <v>151</v>
      </c>
      <c r="J342">
        <v>-7.6410258000000004</v>
      </c>
      <c r="K342">
        <v>110.36227940000001</v>
      </c>
      <c r="L342" t="s">
        <v>351</v>
      </c>
      <c r="M342" t="s">
        <v>956</v>
      </c>
      <c r="N342" t="s">
        <v>220</v>
      </c>
      <c r="O342" t="str">
        <f>IF(ISBLANK(Table7[[#This Row],[city]]),Table7[[#This Row],[city2]],Table7[[#This Row],[city]])</f>
        <v>Sleman</v>
      </c>
      <c r="P342" t="s">
        <v>220</v>
      </c>
      <c r="Q342" t="s">
        <v>51</v>
      </c>
    </row>
    <row r="343" spans="5:17" x14ac:dyDescent="0.25">
      <c r="E343">
        <f>Table3[[#This Row],[Place_Id]]</f>
        <v>342</v>
      </c>
      <c r="F343">
        <f>Table3[[#This Row],[Lat]]</f>
        <v>-6.9451052000000004</v>
      </c>
      <c r="G343">
        <f>Table3[[#This Row],[Long]]</f>
        <v>110.3982398</v>
      </c>
      <c r="I343">
        <v>165</v>
      </c>
      <c r="J343">
        <v>-7.8130940000000004</v>
      </c>
      <c r="K343">
        <v>110.615571</v>
      </c>
      <c r="L343" t="s">
        <v>379</v>
      </c>
      <c r="M343" t="s">
        <v>964</v>
      </c>
      <c r="N343" t="s">
        <v>220</v>
      </c>
      <c r="O343" t="str">
        <f>IF(ISBLANK(Table7[[#This Row],[city]]),Table7[[#This Row],[city2]],Table7[[#This Row],[city]])</f>
        <v>Gunungkidul</v>
      </c>
      <c r="P343" t="s">
        <v>220</v>
      </c>
      <c r="Q343" t="s">
        <v>51</v>
      </c>
    </row>
    <row r="344" spans="5:17" x14ac:dyDescent="0.25">
      <c r="E344">
        <f>Table3[[#This Row],[Place_Id]]</f>
        <v>343</v>
      </c>
      <c r="F344">
        <f>Table3[[#This Row],[Lat]]</f>
        <v>-6.9488770000000004</v>
      </c>
      <c r="G344">
        <f>Table3[[#This Row],[Long]]</f>
        <v>110.3893285</v>
      </c>
      <c r="I344">
        <v>183</v>
      </c>
      <c r="J344">
        <v>-7.7478461000000003</v>
      </c>
      <c r="K344">
        <v>110.4188754</v>
      </c>
      <c r="L344" t="s">
        <v>415</v>
      </c>
      <c r="M344" t="s">
        <v>956</v>
      </c>
      <c r="N344" t="s">
        <v>220</v>
      </c>
      <c r="O344" t="str">
        <f>IF(ISBLANK(Table7[[#This Row],[city]]),Table7[[#This Row],[city2]],Table7[[#This Row],[city]])</f>
        <v>Sleman</v>
      </c>
      <c r="P344" t="s">
        <v>220</v>
      </c>
      <c r="Q344" t="s">
        <v>51</v>
      </c>
    </row>
    <row r="345" spans="5:17" x14ac:dyDescent="0.25">
      <c r="E345">
        <f>Table3[[#This Row],[Place_Id]]</f>
        <v>344</v>
      </c>
      <c r="F345">
        <f>Table3[[#This Row],[Lat]]</f>
        <v>-6.9687730999999999</v>
      </c>
      <c r="G345">
        <f>Table3[[#This Row],[Long]]</f>
        <v>110.4319505</v>
      </c>
      <c r="I345">
        <v>203</v>
      </c>
      <c r="J345">
        <v>-7.8159632999999999</v>
      </c>
      <c r="K345">
        <v>110.4136917</v>
      </c>
      <c r="L345" t="s">
        <v>455</v>
      </c>
      <c r="M345" t="s">
        <v>960</v>
      </c>
      <c r="N345" t="s">
        <v>220</v>
      </c>
      <c r="O345" t="str">
        <f>IF(ISBLANK(Table7[[#This Row],[city]]),Table7[[#This Row],[city2]],Table7[[#This Row],[city]])</f>
        <v>Bantul</v>
      </c>
      <c r="P345" t="s">
        <v>220</v>
      </c>
      <c r="Q345" t="s">
        <v>51</v>
      </c>
    </row>
    <row r="346" spans="5:17" x14ac:dyDescent="0.25">
      <c r="E346">
        <f>Table3[[#This Row],[Place_Id]]</f>
        <v>345</v>
      </c>
      <c r="F346">
        <f>Table3[[#This Row],[Lat]]</f>
        <v>-6.9923507000000003</v>
      </c>
      <c r="G346">
        <f>Table3[[#This Row],[Long]]</f>
        <v>110.4201162</v>
      </c>
      <c r="I346">
        <v>204</v>
      </c>
      <c r="J346">
        <v>-7.6258806000000003</v>
      </c>
      <c r="K346">
        <v>110.37169799999999</v>
      </c>
      <c r="L346" t="s">
        <v>457</v>
      </c>
      <c r="M346" t="s">
        <v>956</v>
      </c>
      <c r="N346" t="s">
        <v>220</v>
      </c>
      <c r="O346" t="str">
        <f>IF(ISBLANK(Table7[[#This Row],[city]]),Table7[[#This Row],[city2]],Table7[[#This Row],[city]])</f>
        <v>Sleman</v>
      </c>
      <c r="P346" t="s">
        <v>220</v>
      </c>
      <c r="Q346" t="s">
        <v>51</v>
      </c>
    </row>
    <row r="347" spans="5:17" x14ac:dyDescent="0.25">
      <c r="E347">
        <f>Table3[[#This Row],[Place_Id]]</f>
        <v>346</v>
      </c>
      <c r="F347">
        <f>Table3[[#This Row],[Lat]]</f>
        <v>-6.9877935999999998</v>
      </c>
      <c r="G347">
        <f>Table3[[#This Row],[Long]]</f>
        <v>110.4172262</v>
      </c>
      <c r="I347">
        <v>205</v>
      </c>
      <c r="J347">
        <v>-7.8725673</v>
      </c>
      <c r="K347">
        <v>110.3546963</v>
      </c>
      <c r="L347" t="s">
        <v>459</v>
      </c>
      <c r="M347" t="s">
        <v>960</v>
      </c>
      <c r="N347" t="s">
        <v>220</v>
      </c>
      <c r="O347" t="str">
        <f>IF(ISBLANK(Table7[[#This Row],[city]]),Table7[[#This Row],[city2]],Table7[[#This Row],[city]])</f>
        <v>Bantul</v>
      </c>
      <c r="P347" t="s">
        <v>220</v>
      </c>
      <c r="Q347" t="s">
        <v>51</v>
      </c>
    </row>
    <row r="348" spans="5:17" x14ac:dyDescent="0.25">
      <c r="E348">
        <f>Table3[[#This Row],[Place_Id]]</f>
        <v>347</v>
      </c>
      <c r="F348">
        <f>Table3[[#This Row],[Lat]]</f>
        <v>-6.9984758999999999</v>
      </c>
      <c r="G348">
        <f>Table3[[#This Row],[Long]]</f>
        <v>110.41064679999999</v>
      </c>
      <c r="I348">
        <v>207</v>
      </c>
      <c r="J348">
        <v>-7.8496144000000001</v>
      </c>
      <c r="K348">
        <v>110.478324</v>
      </c>
      <c r="L348" t="s">
        <v>463</v>
      </c>
      <c r="M348" t="s">
        <v>964</v>
      </c>
      <c r="N348" t="s">
        <v>220</v>
      </c>
      <c r="O348" t="str">
        <f>IF(ISBLANK(Table7[[#This Row],[city]]),Table7[[#This Row],[city2]],Table7[[#This Row],[city]])</f>
        <v>Gunungkidul</v>
      </c>
      <c r="P348" t="s">
        <v>220</v>
      </c>
      <c r="Q348" t="s">
        <v>51</v>
      </c>
    </row>
    <row r="349" spans="5:17" x14ac:dyDescent="0.25">
      <c r="E349">
        <f>Table3[[#This Row],[Place_Id]]</f>
        <v>348</v>
      </c>
      <c r="F349">
        <f>Table3[[#This Row],[Lat]]</f>
        <v>-6.9685617999999998</v>
      </c>
      <c r="G349">
        <f>Table3[[#This Row],[Long]]</f>
        <v>110.3459696</v>
      </c>
      <c r="I349">
        <v>214</v>
      </c>
      <c r="J349">
        <v>-6.9250942999999996</v>
      </c>
      <c r="K349">
        <v>107.6364944</v>
      </c>
      <c r="L349" t="s">
        <v>477</v>
      </c>
      <c r="M349" t="s">
        <v>472</v>
      </c>
      <c r="N349" t="s">
        <v>472</v>
      </c>
      <c r="O349" t="str">
        <f>IF(ISBLANK(Table7[[#This Row],[city]]),Table7[[#This Row],[city2]],Table7[[#This Row],[city]])</f>
        <v>Bandung</v>
      </c>
      <c r="P349" t="s">
        <v>972</v>
      </c>
      <c r="Q349" t="s">
        <v>51</v>
      </c>
    </row>
    <row r="350" spans="5:17" x14ac:dyDescent="0.25">
      <c r="E350">
        <f>Table3[[#This Row],[Place_Id]]</f>
        <v>349</v>
      </c>
      <c r="F350">
        <f>Table3[[#This Row],[Lat]]</f>
        <v>-6.9486401999999998</v>
      </c>
      <c r="G350">
        <f>Table3[[#This Row],[Long]]</f>
        <v>110.41029229999999</v>
      </c>
      <c r="I350">
        <v>216</v>
      </c>
      <c r="J350">
        <v>-6.8329690000000003</v>
      </c>
      <c r="K350">
        <v>107.6056183</v>
      </c>
      <c r="L350" t="s">
        <v>481</v>
      </c>
      <c r="M350" t="s">
        <v>969</v>
      </c>
      <c r="N350" t="s">
        <v>472</v>
      </c>
      <c r="O350" t="str">
        <f>IF(ISBLANK(Table7[[#This Row],[city]]),Table7[[#This Row],[city2]],Table7[[#This Row],[city]])</f>
        <v>West Bandung regency</v>
      </c>
      <c r="P350" t="s">
        <v>972</v>
      </c>
      <c r="Q350" t="s">
        <v>51</v>
      </c>
    </row>
    <row r="351" spans="5:17" x14ac:dyDescent="0.25">
      <c r="E351">
        <f>Table3[[#This Row],[Place_Id]]</f>
        <v>350</v>
      </c>
      <c r="F351">
        <f>Table3[[#This Row],[Lat]]</f>
        <v>-6.9684064000000001</v>
      </c>
      <c r="G351">
        <f>Table3[[#This Row],[Long]]</f>
        <v>110.4261995</v>
      </c>
      <c r="I351">
        <v>220</v>
      </c>
      <c r="J351">
        <v>-6.7897147000000002</v>
      </c>
      <c r="K351">
        <v>107.5791627</v>
      </c>
      <c r="L351" t="s">
        <v>489</v>
      </c>
      <c r="M351" t="s">
        <v>969</v>
      </c>
      <c r="N351" t="s">
        <v>472</v>
      </c>
      <c r="O351" t="str">
        <f>IF(ISBLANK(Table7[[#This Row],[city]]),Table7[[#This Row],[city2]],Table7[[#This Row],[city]])</f>
        <v>West Bandung regency</v>
      </c>
      <c r="P351" t="s">
        <v>972</v>
      </c>
      <c r="Q351" t="s">
        <v>51</v>
      </c>
    </row>
    <row r="352" spans="5:17" x14ac:dyDescent="0.25">
      <c r="E352">
        <f>Table3[[#This Row],[Place_Id]]</f>
        <v>351</v>
      </c>
      <c r="F352">
        <f>Table3[[#This Row],[Lat]]</f>
        <v>-6.9683488000000002</v>
      </c>
      <c r="G352">
        <f>Table3[[#This Row],[Long]]</f>
        <v>110.4274767</v>
      </c>
      <c r="I352">
        <v>224</v>
      </c>
      <c r="J352">
        <v>-6.8486422999999998</v>
      </c>
      <c r="K352">
        <v>107.625939</v>
      </c>
      <c r="L352" t="s">
        <v>497</v>
      </c>
      <c r="M352" t="s">
        <v>969</v>
      </c>
      <c r="N352" t="s">
        <v>472</v>
      </c>
      <c r="O352" t="str">
        <f>IF(ISBLANK(Table7[[#This Row],[city]]),Table7[[#This Row],[city2]],Table7[[#This Row],[city]])</f>
        <v>West Bandung regency</v>
      </c>
      <c r="P352" t="s">
        <v>972</v>
      </c>
      <c r="Q352" t="s">
        <v>51</v>
      </c>
    </row>
    <row r="353" spans="5:17" x14ac:dyDescent="0.25">
      <c r="E353">
        <f>Table3[[#This Row],[Place_Id]]</f>
        <v>352</v>
      </c>
      <c r="F353">
        <f>Table3[[#This Row],[Lat]]</f>
        <v>-6.9681727999999996</v>
      </c>
      <c r="G353">
        <f>Table3[[#This Row],[Long]]</f>
        <v>110.4278262</v>
      </c>
      <c r="I353">
        <v>225</v>
      </c>
      <c r="J353">
        <v>-6.7804929999999999</v>
      </c>
      <c r="K353">
        <v>107.63747499999999</v>
      </c>
      <c r="L353" t="s">
        <v>499</v>
      </c>
      <c r="M353" t="s">
        <v>969</v>
      </c>
      <c r="N353" t="s">
        <v>472</v>
      </c>
      <c r="O353" t="str">
        <f>IF(ISBLANK(Table7[[#This Row],[city]]),Table7[[#This Row],[city2]],Table7[[#This Row],[city]])</f>
        <v>West Bandung regency</v>
      </c>
      <c r="P353" t="s">
        <v>972</v>
      </c>
      <c r="Q353" t="s">
        <v>51</v>
      </c>
    </row>
    <row r="354" spans="5:17" x14ac:dyDescent="0.25">
      <c r="E354">
        <f>Table3[[#This Row],[Place_Id]]</f>
        <v>353</v>
      </c>
      <c r="F354">
        <f>Table3[[#This Row],[Lat]]</f>
        <v>-6.9675000000000002</v>
      </c>
      <c r="G354">
        <f>Table3[[#This Row],[Long]]</f>
        <v>110.4282</v>
      </c>
      <c r="I354">
        <v>226</v>
      </c>
      <c r="J354">
        <v>-6.8419755999999996</v>
      </c>
      <c r="K354">
        <v>107.62282399999999</v>
      </c>
      <c r="L354" t="s">
        <v>501</v>
      </c>
      <c r="M354" t="s">
        <v>969</v>
      </c>
      <c r="N354" t="s">
        <v>472</v>
      </c>
      <c r="O354" t="str">
        <f>IF(ISBLANK(Table7[[#This Row],[city]]),Table7[[#This Row],[city2]],Table7[[#This Row],[city]])</f>
        <v>West Bandung regency</v>
      </c>
      <c r="P354" t="s">
        <v>972</v>
      </c>
      <c r="Q354" t="s">
        <v>51</v>
      </c>
    </row>
    <row r="355" spans="5:17" x14ac:dyDescent="0.25">
      <c r="E355">
        <f>Table3[[#This Row],[Place_Id]]</f>
        <v>354</v>
      </c>
      <c r="F355">
        <f>Table3[[#This Row],[Lat]]</f>
        <v>-7.1945902999999998</v>
      </c>
      <c r="G355">
        <f>Table3[[#This Row],[Long]]</f>
        <v>110.37335830000001</v>
      </c>
      <c r="I355">
        <v>227</v>
      </c>
      <c r="J355">
        <v>-6.9218571000000004</v>
      </c>
      <c r="K355">
        <v>107.6070141</v>
      </c>
      <c r="L355" t="s">
        <v>503</v>
      </c>
      <c r="M355" t="s">
        <v>472</v>
      </c>
      <c r="N355" t="s">
        <v>472</v>
      </c>
      <c r="O355" t="str">
        <f>IF(ISBLANK(Table7[[#This Row],[city]]),Table7[[#This Row],[city2]],Table7[[#This Row],[city]])</f>
        <v>Bandung</v>
      </c>
      <c r="P355" t="s">
        <v>972</v>
      </c>
      <c r="Q355" t="s">
        <v>51</v>
      </c>
    </row>
    <row r="356" spans="5:17" x14ac:dyDescent="0.25">
      <c r="E356">
        <f>Table3[[#This Row],[Place_Id]]</f>
        <v>355</v>
      </c>
      <c r="F356">
        <f>Table3[[#This Row],[Lat]]</f>
        <v>-7.2807262000000001</v>
      </c>
      <c r="G356">
        <f>Table3[[#This Row],[Long]]</f>
        <v>110.4595539</v>
      </c>
      <c r="I356">
        <v>229</v>
      </c>
      <c r="J356">
        <v>-6.8669517999999998</v>
      </c>
      <c r="K356">
        <v>107.6100859</v>
      </c>
      <c r="L356" t="s">
        <v>507</v>
      </c>
      <c r="M356" t="s">
        <v>472</v>
      </c>
      <c r="N356" t="s">
        <v>472</v>
      </c>
      <c r="O356" t="str">
        <f>IF(ISBLANK(Table7[[#This Row],[city]]),Table7[[#This Row],[city2]],Table7[[#This Row],[city]])</f>
        <v>Bandung</v>
      </c>
      <c r="P356" t="s">
        <v>972</v>
      </c>
      <c r="Q356" t="s">
        <v>51</v>
      </c>
    </row>
    <row r="357" spans="5:17" x14ac:dyDescent="0.25">
      <c r="E357">
        <f>Table3[[#This Row],[Place_Id]]</f>
        <v>356</v>
      </c>
      <c r="F357">
        <f>Table3[[#This Row],[Lat]]</f>
        <v>-7.1157969000000003</v>
      </c>
      <c r="G357">
        <f>Table3[[#This Row],[Long]]</f>
        <v>110.42179659999999</v>
      </c>
      <c r="I357">
        <v>230</v>
      </c>
      <c r="J357">
        <v>-6.8281527999999998</v>
      </c>
      <c r="K357">
        <v>107.43501790000001</v>
      </c>
      <c r="L357" t="s">
        <v>509</v>
      </c>
      <c r="M357" t="s">
        <v>969</v>
      </c>
      <c r="N357" t="s">
        <v>472</v>
      </c>
      <c r="O357" t="str">
        <f>IF(ISBLANK(Table7[[#This Row],[city]]),Table7[[#This Row],[city2]],Table7[[#This Row],[city]])</f>
        <v>West Bandung regency</v>
      </c>
      <c r="P357" t="s">
        <v>972</v>
      </c>
      <c r="Q357" t="s">
        <v>51</v>
      </c>
    </row>
    <row r="358" spans="5:17" x14ac:dyDescent="0.25">
      <c r="E358">
        <f>Table3[[#This Row],[Place_Id]]</f>
        <v>357</v>
      </c>
      <c r="F358">
        <f>Table3[[#This Row],[Lat]]</f>
        <v>-7.0187781999999999</v>
      </c>
      <c r="G358">
        <f>Table3[[#This Row],[Long]]</f>
        <v>110.2937134</v>
      </c>
      <c r="I358">
        <v>231</v>
      </c>
      <c r="J358">
        <v>-6.8331229999999996</v>
      </c>
      <c r="K358">
        <v>107.60415949999999</v>
      </c>
      <c r="L358" t="s">
        <v>511</v>
      </c>
      <c r="M358" t="s">
        <v>969</v>
      </c>
      <c r="N358" t="s">
        <v>472</v>
      </c>
      <c r="O358" t="str">
        <f>IF(ISBLANK(Table7[[#This Row],[city]]),Table7[[#This Row],[city2]],Table7[[#This Row],[city]])</f>
        <v>West Bandung regency</v>
      </c>
      <c r="P358" t="s">
        <v>972</v>
      </c>
      <c r="Q358" t="s">
        <v>51</v>
      </c>
    </row>
    <row r="359" spans="5:17" x14ac:dyDescent="0.25">
      <c r="E359">
        <f>Table3[[#This Row],[Place_Id]]</f>
        <v>358</v>
      </c>
      <c r="F359">
        <f>Table3[[#This Row],[Lat]]</f>
        <v>-7.2255041000000002</v>
      </c>
      <c r="G359">
        <f>Table3[[#This Row],[Long]]</f>
        <v>110.34631659999999</v>
      </c>
      <c r="I359">
        <v>236</v>
      </c>
      <c r="J359">
        <v>-6.9129659999999999</v>
      </c>
      <c r="K359">
        <v>107.6096031</v>
      </c>
      <c r="L359" t="s">
        <v>521</v>
      </c>
      <c r="M359" t="s">
        <v>472</v>
      </c>
      <c r="N359" t="s">
        <v>472</v>
      </c>
      <c r="O359" t="str">
        <f>IF(ISBLANK(Table7[[#This Row],[city]]),Table7[[#This Row],[city2]],Table7[[#This Row],[city]])</f>
        <v>Bandung</v>
      </c>
      <c r="P359" t="s">
        <v>972</v>
      </c>
      <c r="Q359" t="s">
        <v>51</v>
      </c>
    </row>
    <row r="360" spans="5:17" x14ac:dyDescent="0.25">
      <c r="E360">
        <f>Table3[[#This Row],[Place_Id]]</f>
        <v>359</v>
      </c>
      <c r="F360">
        <f>Table3[[#This Row],[Lat]]</f>
        <v>-7.3580962999999997</v>
      </c>
      <c r="G360">
        <f>Table3[[#This Row],[Long]]</f>
        <v>110.4210681</v>
      </c>
      <c r="I360">
        <v>237</v>
      </c>
      <c r="J360">
        <v>-6.9614032000000003</v>
      </c>
      <c r="K360">
        <v>107.62273209999999</v>
      </c>
      <c r="L360" t="s">
        <v>523</v>
      </c>
      <c r="M360" t="s">
        <v>472</v>
      </c>
      <c r="N360" t="s">
        <v>472</v>
      </c>
      <c r="O360" t="str">
        <f>IF(ISBLANK(Table7[[#This Row],[city]]),Table7[[#This Row],[city2]],Table7[[#This Row],[city]])</f>
        <v>Bandung</v>
      </c>
      <c r="P360" t="s">
        <v>972</v>
      </c>
      <c r="Q360" t="s">
        <v>51</v>
      </c>
    </row>
    <row r="361" spans="5:17" x14ac:dyDescent="0.25">
      <c r="E361">
        <f>Table3[[#This Row],[Place_Id]]</f>
        <v>360</v>
      </c>
      <c r="F361">
        <f>Table3[[#This Row],[Lat]]</f>
        <v>-7.2141582</v>
      </c>
      <c r="G361">
        <f>Table3[[#This Row],[Long]]</f>
        <v>110.37695410000001</v>
      </c>
      <c r="I361">
        <v>240</v>
      </c>
      <c r="J361">
        <v>-6.9112109999999998</v>
      </c>
      <c r="K361">
        <v>107.6133389</v>
      </c>
      <c r="L361" t="s">
        <v>529</v>
      </c>
      <c r="M361" t="s">
        <v>472</v>
      </c>
      <c r="N361" t="s">
        <v>472</v>
      </c>
      <c r="O361" t="str">
        <f>IF(ISBLANK(Table7[[#This Row],[city]]),Table7[[#This Row],[city2]],Table7[[#This Row],[city]])</f>
        <v>Bandung</v>
      </c>
      <c r="P361" t="s">
        <v>972</v>
      </c>
      <c r="Q361" t="s">
        <v>51</v>
      </c>
    </row>
    <row r="362" spans="5:17" x14ac:dyDescent="0.25">
      <c r="E362">
        <f>Table3[[#This Row],[Place_Id]]</f>
        <v>361</v>
      </c>
      <c r="F362">
        <f>Table3[[#This Row],[Lat]]</f>
        <v>-7.2854929000000004</v>
      </c>
      <c r="G362">
        <f>Table3[[#This Row],[Long]]</f>
        <v>110.4321671</v>
      </c>
      <c r="I362">
        <v>241</v>
      </c>
      <c r="J362">
        <v>-6.8478979999999998</v>
      </c>
      <c r="K362">
        <v>107.6276146</v>
      </c>
      <c r="L362" t="s">
        <v>531</v>
      </c>
      <c r="M362" t="s">
        <v>969</v>
      </c>
      <c r="N362" t="s">
        <v>472</v>
      </c>
      <c r="O362" t="str">
        <f>IF(ISBLANK(Table7[[#This Row],[city]]),Table7[[#This Row],[city2]],Table7[[#This Row],[city]])</f>
        <v>West Bandung regency</v>
      </c>
      <c r="P362" t="s">
        <v>972</v>
      </c>
      <c r="Q362" t="s">
        <v>51</v>
      </c>
    </row>
    <row r="363" spans="5:17" x14ac:dyDescent="0.25">
      <c r="E363">
        <f>Table3[[#This Row],[Place_Id]]</f>
        <v>362</v>
      </c>
      <c r="F363">
        <f>Table3[[#This Row],[Lat]]</f>
        <v>-6.9545687000000003</v>
      </c>
      <c r="G363">
        <f>Table3[[#This Row],[Long]]</f>
        <v>110.3600951</v>
      </c>
      <c r="I363">
        <v>244</v>
      </c>
      <c r="J363">
        <v>-7.0093633000000004</v>
      </c>
      <c r="K363">
        <v>107.6069444</v>
      </c>
      <c r="L363" t="s">
        <v>537</v>
      </c>
      <c r="M363" t="s">
        <v>963</v>
      </c>
      <c r="N363" t="s">
        <v>472</v>
      </c>
      <c r="O363" t="str">
        <f>IF(ISBLANK(Table7[[#This Row],[city]]),Table7[[#This Row],[city2]],Table7[[#This Row],[city]])</f>
        <v>Bandung regency</v>
      </c>
      <c r="P363" t="s">
        <v>972</v>
      </c>
      <c r="Q363" t="s">
        <v>51</v>
      </c>
    </row>
    <row r="364" spans="5:17" x14ac:dyDescent="0.25">
      <c r="E364">
        <f>Table3[[#This Row],[Place_Id]]</f>
        <v>363</v>
      </c>
      <c r="F364">
        <f>Table3[[#This Row],[Lat]]</f>
        <v>-7.0218894000000001</v>
      </c>
      <c r="G364">
        <f>Table3[[#This Row],[Long]]</f>
        <v>110.4383345</v>
      </c>
      <c r="I364">
        <v>245</v>
      </c>
      <c r="J364">
        <v>-6.819604</v>
      </c>
      <c r="K364">
        <v>107.59645190000001</v>
      </c>
      <c r="L364" t="s">
        <v>539</v>
      </c>
      <c r="M364" t="s">
        <v>969</v>
      </c>
      <c r="N364" t="s">
        <v>472</v>
      </c>
      <c r="O364" t="str">
        <f>IF(ISBLANK(Table7[[#This Row],[city]]),Table7[[#This Row],[city2]],Table7[[#This Row],[city]])</f>
        <v>West Bandung regency</v>
      </c>
      <c r="P364" t="s">
        <v>972</v>
      </c>
      <c r="Q364" t="s">
        <v>51</v>
      </c>
    </row>
    <row r="365" spans="5:17" x14ac:dyDescent="0.25">
      <c r="E365">
        <f>Table3[[#This Row],[Place_Id]]</f>
        <v>364</v>
      </c>
      <c r="F365">
        <f>Table3[[#This Row],[Lat]]</f>
        <v>-7.0370499000000004</v>
      </c>
      <c r="G365">
        <f>Table3[[#This Row],[Long]]</f>
        <v>110.34775860000001</v>
      </c>
      <c r="I365">
        <v>247</v>
      </c>
      <c r="J365">
        <v>-6.9159458999999996</v>
      </c>
      <c r="K365">
        <v>107.6421462</v>
      </c>
      <c r="L365" t="s">
        <v>543</v>
      </c>
      <c r="M365" t="s">
        <v>472</v>
      </c>
      <c r="N365" t="s">
        <v>472</v>
      </c>
      <c r="O365" t="str">
        <f>IF(ISBLANK(Table7[[#This Row],[city]]),Table7[[#This Row],[city2]],Table7[[#This Row],[city]])</f>
        <v>Bandung</v>
      </c>
      <c r="P365" t="s">
        <v>972</v>
      </c>
      <c r="Q365" t="s">
        <v>51</v>
      </c>
    </row>
    <row r="366" spans="5:17" x14ac:dyDescent="0.25">
      <c r="E366">
        <f>Table3[[#This Row],[Place_Id]]</f>
        <v>365</v>
      </c>
      <c r="F366">
        <f>Table3[[#This Row],[Lat]]</f>
        <v>-7.1321060000000003</v>
      </c>
      <c r="G366">
        <f>Table3[[#This Row],[Long]]</f>
        <v>110.39452300000001</v>
      </c>
      <c r="I366">
        <v>248</v>
      </c>
      <c r="J366">
        <v>-6.8778588999999997</v>
      </c>
      <c r="K366">
        <v>107.5720263</v>
      </c>
      <c r="L366" t="s">
        <v>545</v>
      </c>
      <c r="M366" t="s">
        <v>472</v>
      </c>
      <c r="N366" t="s">
        <v>472</v>
      </c>
      <c r="O366" t="str">
        <f>IF(ISBLANK(Table7[[#This Row],[city]]),Table7[[#This Row],[city2]],Table7[[#This Row],[city]])</f>
        <v>Bandung</v>
      </c>
      <c r="P366" t="s">
        <v>972</v>
      </c>
      <c r="Q366" t="s">
        <v>51</v>
      </c>
    </row>
    <row r="367" spans="5:17" x14ac:dyDescent="0.25">
      <c r="E367">
        <f>Table3[[#This Row],[Place_Id]]</f>
        <v>366</v>
      </c>
      <c r="F367">
        <f>Table3[[#This Row],[Lat]]</f>
        <v>-7.3126613000000003</v>
      </c>
      <c r="G367">
        <f>Table3[[#This Row],[Long]]</f>
        <v>110.3746785</v>
      </c>
      <c r="I367">
        <v>249</v>
      </c>
      <c r="J367">
        <v>-6.8963000000000001</v>
      </c>
      <c r="K367">
        <v>107.617</v>
      </c>
      <c r="L367" t="s">
        <v>547</v>
      </c>
      <c r="M367" t="s">
        <v>472</v>
      </c>
      <c r="N367" t="s">
        <v>472</v>
      </c>
      <c r="O367" t="str">
        <f>IF(ISBLANK(Table7[[#This Row],[city]]),Table7[[#This Row],[city2]],Table7[[#This Row],[city]])</f>
        <v>Bandung</v>
      </c>
      <c r="P367" t="s">
        <v>972</v>
      </c>
      <c r="Q367" t="s">
        <v>51</v>
      </c>
    </row>
    <row r="368" spans="5:17" x14ac:dyDescent="0.25">
      <c r="E368">
        <f>Table3[[#This Row],[Place_Id]]</f>
        <v>367</v>
      </c>
      <c r="F368">
        <f>Table3[[#This Row],[Lat]]</f>
        <v>-7.2675390000000002</v>
      </c>
      <c r="G368">
        <f>Table3[[#This Row],[Long]]</f>
        <v>110.418076</v>
      </c>
      <c r="I368">
        <v>250</v>
      </c>
      <c r="J368">
        <v>-7.0409154000000003</v>
      </c>
      <c r="K368">
        <v>107.5269156</v>
      </c>
      <c r="L368" t="s">
        <v>549</v>
      </c>
      <c r="M368" t="s">
        <v>963</v>
      </c>
      <c r="N368" t="s">
        <v>472</v>
      </c>
      <c r="O368" t="str">
        <f>IF(ISBLANK(Table7[[#This Row],[city]]),Table7[[#This Row],[city2]],Table7[[#This Row],[city]])</f>
        <v>Bandung regency</v>
      </c>
      <c r="P368" t="s">
        <v>972</v>
      </c>
      <c r="Q368" t="s">
        <v>51</v>
      </c>
    </row>
    <row r="369" spans="5:17" x14ac:dyDescent="0.25">
      <c r="E369">
        <f>Table3[[#This Row],[Place_Id]]</f>
        <v>368</v>
      </c>
      <c r="F369">
        <f>Table3[[#This Row],[Lat]]</f>
        <v>-7.2598861000000001</v>
      </c>
      <c r="G369">
        <f>Table3[[#This Row],[Long]]</f>
        <v>110.4025602</v>
      </c>
      <c r="I369">
        <v>251</v>
      </c>
      <c r="J369">
        <v>-6.9021325999999998</v>
      </c>
      <c r="K369">
        <v>107.6209387</v>
      </c>
      <c r="L369" t="s">
        <v>551</v>
      </c>
      <c r="M369" t="s">
        <v>472</v>
      </c>
      <c r="N369" t="s">
        <v>472</v>
      </c>
      <c r="O369" t="str">
        <f>IF(ISBLANK(Table7[[#This Row],[city]]),Table7[[#This Row],[city2]],Table7[[#This Row],[city]])</f>
        <v>Bandung</v>
      </c>
      <c r="P369" t="s">
        <v>972</v>
      </c>
      <c r="Q369" t="s">
        <v>51</v>
      </c>
    </row>
    <row r="370" spans="5:17" x14ac:dyDescent="0.25">
      <c r="E370">
        <f>Table3[[#This Row],[Place_Id]]</f>
        <v>369</v>
      </c>
      <c r="F370">
        <f>Table3[[#This Row],[Lat]]</f>
        <v>-7.2706461999999998</v>
      </c>
      <c r="G370">
        <f>Table3[[#This Row],[Long]]</f>
        <v>110.4103291</v>
      </c>
      <c r="I370">
        <v>252</v>
      </c>
      <c r="J370">
        <v>-6.9631619999999996</v>
      </c>
      <c r="K370">
        <v>107.66195</v>
      </c>
      <c r="L370" t="s">
        <v>553</v>
      </c>
      <c r="M370" t="s">
        <v>472</v>
      </c>
      <c r="N370" t="s">
        <v>472</v>
      </c>
      <c r="O370" t="str">
        <f>IF(ISBLANK(Table7[[#This Row],[city]]),Table7[[#This Row],[city2]],Table7[[#This Row],[city]])</f>
        <v>Bandung</v>
      </c>
      <c r="P370" t="s">
        <v>972</v>
      </c>
      <c r="Q370" t="s">
        <v>51</v>
      </c>
    </row>
    <row r="371" spans="5:17" x14ac:dyDescent="0.25">
      <c r="E371">
        <f>Table3[[#This Row],[Place_Id]]</f>
        <v>370</v>
      </c>
      <c r="F371">
        <f>Table3[[#This Row],[Lat]]</f>
        <v>-7.2531096000000002</v>
      </c>
      <c r="G371">
        <f>Table3[[#This Row],[Long]]</f>
        <v>110.4264512</v>
      </c>
      <c r="I371">
        <v>253</v>
      </c>
      <c r="J371">
        <v>-6.8585406000000004</v>
      </c>
      <c r="K371">
        <v>107.6365486</v>
      </c>
      <c r="L371" t="s">
        <v>555</v>
      </c>
      <c r="M371" t="s">
        <v>963</v>
      </c>
      <c r="N371" t="s">
        <v>472</v>
      </c>
      <c r="O371" t="str">
        <f>IF(ISBLANK(Table7[[#This Row],[city]]),Table7[[#This Row],[city2]],Table7[[#This Row],[city]])</f>
        <v>Bandung regency</v>
      </c>
      <c r="P371" t="s">
        <v>972</v>
      </c>
      <c r="Q371" t="s">
        <v>51</v>
      </c>
    </row>
    <row r="372" spans="5:17" x14ac:dyDescent="0.25">
      <c r="E372">
        <f>Table3[[#This Row],[Place_Id]]</f>
        <v>371</v>
      </c>
      <c r="F372">
        <f>Table3[[#This Row],[Lat]]</f>
        <v>-7.2552364000000003</v>
      </c>
      <c r="G372">
        <f>Table3[[#This Row],[Long]]</f>
        <v>110.39918969999999</v>
      </c>
      <c r="I372">
        <v>254</v>
      </c>
      <c r="J372">
        <v>-6.8844199000000001</v>
      </c>
      <c r="K372">
        <v>107.6068344</v>
      </c>
      <c r="L372" t="s">
        <v>557</v>
      </c>
      <c r="M372" t="s">
        <v>472</v>
      </c>
      <c r="N372" t="s">
        <v>472</v>
      </c>
      <c r="O372" t="str">
        <f>IF(ISBLANK(Table7[[#This Row],[city]]),Table7[[#This Row],[city2]],Table7[[#This Row],[city]])</f>
        <v>Bandung</v>
      </c>
      <c r="P372" t="s">
        <v>972</v>
      </c>
      <c r="Q372" t="s">
        <v>51</v>
      </c>
    </row>
    <row r="373" spans="5:17" x14ac:dyDescent="0.25">
      <c r="E373">
        <f>Table3[[#This Row],[Place_Id]]</f>
        <v>372</v>
      </c>
      <c r="F373">
        <f>Table3[[#This Row],[Lat]]</f>
        <v>-7.2645989000000002</v>
      </c>
      <c r="G373">
        <f>Table3[[#This Row],[Long]]</f>
        <v>110.4046017</v>
      </c>
      <c r="I373">
        <v>267</v>
      </c>
      <c r="J373">
        <v>-6.9119767999999997</v>
      </c>
      <c r="K373">
        <v>107.56967400000001</v>
      </c>
      <c r="L373" t="s">
        <v>583</v>
      </c>
      <c r="M373" t="s">
        <v>472</v>
      </c>
      <c r="N373" t="s">
        <v>472</v>
      </c>
      <c r="O373" t="str">
        <f>IF(ISBLANK(Table7[[#This Row],[city]]),Table7[[#This Row],[city2]],Table7[[#This Row],[city]])</f>
        <v>Bandung</v>
      </c>
      <c r="P373" t="s">
        <v>972</v>
      </c>
      <c r="Q373" t="s">
        <v>51</v>
      </c>
    </row>
    <row r="374" spans="5:17" x14ac:dyDescent="0.25">
      <c r="E374">
        <f>Table3[[#This Row],[Place_Id]]</f>
        <v>373</v>
      </c>
      <c r="F374">
        <f>Table3[[#This Row],[Lat]]</f>
        <v>-7.3956059999999999</v>
      </c>
      <c r="G374">
        <f>Table3[[#This Row],[Long]]</f>
        <v>110.45177270000001</v>
      </c>
      <c r="I374">
        <v>268</v>
      </c>
      <c r="J374">
        <v>-6.8423638000000002</v>
      </c>
      <c r="K374">
        <v>107.62324030000001</v>
      </c>
      <c r="L374" t="s">
        <v>585</v>
      </c>
      <c r="M374" t="s">
        <v>969</v>
      </c>
      <c r="N374" t="s">
        <v>472</v>
      </c>
      <c r="O374" t="str">
        <f>IF(ISBLANK(Table7[[#This Row],[city]]),Table7[[#This Row],[city2]],Table7[[#This Row],[city]])</f>
        <v>West Bandung regency</v>
      </c>
      <c r="P374" t="s">
        <v>972</v>
      </c>
      <c r="Q374" t="s">
        <v>51</v>
      </c>
    </row>
    <row r="375" spans="5:17" x14ac:dyDescent="0.25">
      <c r="E375">
        <f>Table3[[#This Row],[Place_Id]]</f>
        <v>374</v>
      </c>
      <c r="F375">
        <f>Table3[[#This Row],[Lat]]</f>
        <v>-6.9681398999999997</v>
      </c>
      <c r="G375">
        <f>Table3[[#This Row],[Long]]</f>
        <v>110.4278611</v>
      </c>
      <c r="I375">
        <v>271</v>
      </c>
      <c r="J375">
        <v>-6.9140477999999996</v>
      </c>
      <c r="K375">
        <v>107.61016840000001</v>
      </c>
      <c r="L375" t="s">
        <v>591</v>
      </c>
      <c r="M375" t="s">
        <v>472</v>
      </c>
      <c r="N375" t="s">
        <v>472</v>
      </c>
      <c r="O375" t="str">
        <f>IF(ISBLANK(Table7[[#This Row],[city]]),Table7[[#This Row],[city2]],Table7[[#This Row],[city]])</f>
        <v>Bandung</v>
      </c>
      <c r="P375" t="s">
        <v>972</v>
      </c>
      <c r="Q375" t="s">
        <v>51</v>
      </c>
    </row>
    <row r="376" spans="5:17" x14ac:dyDescent="0.25">
      <c r="E376">
        <f>Table3[[#This Row],[Place_Id]]</f>
        <v>375</v>
      </c>
      <c r="F376">
        <f>Table3[[#This Row],[Lat]]</f>
        <v>-6.9749923000000003</v>
      </c>
      <c r="G376">
        <f>Table3[[#This Row],[Long]]</f>
        <v>110.424954</v>
      </c>
      <c r="I376">
        <v>276</v>
      </c>
      <c r="J376">
        <v>-6.8980549</v>
      </c>
      <c r="K376">
        <v>107.60946730000001</v>
      </c>
      <c r="L376" t="s">
        <v>601</v>
      </c>
      <c r="M376" t="s">
        <v>472</v>
      </c>
      <c r="N376" t="s">
        <v>472</v>
      </c>
      <c r="O376" t="str">
        <f>IF(ISBLANK(Table7[[#This Row],[city]]),Table7[[#This Row],[city2]],Table7[[#This Row],[city]])</f>
        <v>Bandung</v>
      </c>
      <c r="P376" t="s">
        <v>972</v>
      </c>
      <c r="Q376" t="s">
        <v>51</v>
      </c>
    </row>
    <row r="377" spans="5:17" x14ac:dyDescent="0.25">
      <c r="E377">
        <f>Table3[[#This Row],[Place_Id]]</f>
        <v>376</v>
      </c>
      <c r="F377">
        <f>Table3[[#This Row],[Lat]]</f>
        <v>-7.2156922999999997</v>
      </c>
      <c r="G377">
        <f>Table3[[#This Row],[Long]]</f>
        <v>110.36493919999999</v>
      </c>
      <c r="I377">
        <v>277</v>
      </c>
      <c r="J377">
        <v>-6.9317951000000004</v>
      </c>
      <c r="K377">
        <v>107.58830260000001</v>
      </c>
      <c r="L377" t="s">
        <v>603</v>
      </c>
      <c r="M377" t="s">
        <v>472</v>
      </c>
      <c r="N377" t="s">
        <v>472</v>
      </c>
      <c r="O377" t="str">
        <f>IF(ISBLANK(Table7[[#This Row],[city]]),Table7[[#This Row],[city2]],Table7[[#This Row],[city]])</f>
        <v>Bandung</v>
      </c>
      <c r="P377" t="s">
        <v>972</v>
      </c>
      <c r="Q377" t="s">
        <v>51</v>
      </c>
    </row>
    <row r="378" spans="5:17" x14ac:dyDescent="0.25">
      <c r="E378">
        <f>Table3[[#This Row],[Place_Id]]</f>
        <v>377</v>
      </c>
      <c r="F378">
        <f>Table3[[#This Row],[Lat]]</f>
        <v>-7.2678200999999998</v>
      </c>
      <c r="G378">
        <f>Table3[[#This Row],[Long]]</f>
        <v>110.44832169999999</v>
      </c>
      <c r="I378">
        <v>281</v>
      </c>
      <c r="J378">
        <v>-7.0096021999999998</v>
      </c>
      <c r="K378">
        <v>107.6062161</v>
      </c>
      <c r="L378" t="s">
        <v>611</v>
      </c>
      <c r="M378" t="s">
        <v>963</v>
      </c>
      <c r="N378" t="s">
        <v>472</v>
      </c>
      <c r="O378" t="str">
        <f>IF(ISBLANK(Table7[[#This Row],[city]]),Table7[[#This Row],[city2]],Table7[[#This Row],[city]])</f>
        <v>Bandung regency</v>
      </c>
      <c r="P378" t="s">
        <v>972</v>
      </c>
      <c r="Q378" t="s">
        <v>51</v>
      </c>
    </row>
    <row r="379" spans="5:17" x14ac:dyDescent="0.25">
      <c r="E379">
        <f>Table3[[#This Row],[Place_Id]]</f>
        <v>378</v>
      </c>
      <c r="F379">
        <f>Table3[[#This Row],[Lat]]</f>
        <v>-7.2721621000000001</v>
      </c>
      <c r="G379">
        <f>Table3[[#This Row],[Long]]</f>
        <v>110.46984569999999</v>
      </c>
      <c r="I379">
        <v>283</v>
      </c>
      <c r="J379">
        <v>-6.9000987</v>
      </c>
      <c r="K379">
        <v>107.60467079999999</v>
      </c>
      <c r="L379" t="s">
        <v>615</v>
      </c>
      <c r="M379" t="s">
        <v>472</v>
      </c>
      <c r="N379" t="s">
        <v>472</v>
      </c>
      <c r="O379" t="str">
        <f>IF(ISBLANK(Table7[[#This Row],[city]]),Table7[[#This Row],[city2]],Table7[[#This Row],[city]])</f>
        <v>Bandung</v>
      </c>
      <c r="P379" t="s">
        <v>972</v>
      </c>
      <c r="Q379" t="s">
        <v>51</v>
      </c>
    </row>
    <row r="380" spans="5:17" x14ac:dyDescent="0.25">
      <c r="E380">
        <f>Table3[[#This Row],[Place_Id]]</f>
        <v>379</v>
      </c>
      <c r="F380">
        <f>Table3[[#This Row],[Lat]]</f>
        <v>-7.1350705000000003</v>
      </c>
      <c r="G380">
        <f>Table3[[#This Row],[Long]]</f>
        <v>110.4088131</v>
      </c>
      <c r="I380">
        <v>287</v>
      </c>
      <c r="J380">
        <v>-6.8522080000000001</v>
      </c>
      <c r="K380">
        <v>107.493882</v>
      </c>
      <c r="L380" t="s">
        <v>623</v>
      </c>
      <c r="M380" t="s">
        <v>969</v>
      </c>
      <c r="N380" t="s">
        <v>472</v>
      </c>
      <c r="O380" t="str">
        <f>IF(ISBLANK(Table7[[#This Row],[city]]),Table7[[#This Row],[city2]],Table7[[#This Row],[city]])</f>
        <v>West Bandung regency</v>
      </c>
      <c r="P380" t="s">
        <v>972</v>
      </c>
      <c r="Q380" t="s">
        <v>51</v>
      </c>
    </row>
    <row r="381" spans="5:17" x14ac:dyDescent="0.25">
      <c r="E381">
        <f>Table3[[#This Row],[Place_Id]]</f>
        <v>380</v>
      </c>
      <c r="F381">
        <f>Table3[[#This Row],[Lat]]</f>
        <v>-6.9843485000000003</v>
      </c>
      <c r="G381">
        <f>Table3[[#This Row],[Long]]</f>
        <v>110.40932069999999</v>
      </c>
      <c r="I381">
        <v>291</v>
      </c>
      <c r="J381">
        <v>-6.9805807</v>
      </c>
      <c r="K381">
        <v>107.5856567</v>
      </c>
      <c r="L381" t="s">
        <v>631</v>
      </c>
      <c r="M381" t="s">
        <v>963</v>
      </c>
      <c r="N381" t="s">
        <v>472</v>
      </c>
      <c r="O381" t="str">
        <f>IF(ISBLANK(Table7[[#This Row],[city]]),Table7[[#This Row],[city2]],Table7[[#This Row],[city]])</f>
        <v>Bandung regency</v>
      </c>
      <c r="P381" t="s">
        <v>972</v>
      </c>
      <c r="Q381" t="s">
        <v>51</v>
      </c>
    </row>
    <row r="382" spans="5:17" x14ac:dyDescent="0.25">
      <c r="E382">
        <f>Table3[[#This Row],[Place_Id]]</f>
        <v>381</v>
      </c>
      <c r="F382">
        <f>Table3[[#This Row],[Lat]]</f>
        <v>-7.2539005000000003</v>
      </c>
      <c r="G382">
        <f>Table3[[#This Row],[Long]]</f>
        <v>110.4414953</v>
      </c>
      <c r="I382">
        <v>293</v>
      </c>
      <c r="J382">
        <v>-6.9132752000000002</v>
      </c>
      <c r="K382">
        <v>107.6094908</v>
      </c>
      <c r="L382" t="s">
        <v>635</v>
      </c>
      <c r="M382" t="s">
        <v>472</v>
      </c>
      <c r="N382" t="s">
        <v>472</v>
      </c>
      <c r="O382" t="str">
        <f>IF(ISBLANK(Table7[[#This Row],[city]]),Table7[[#This Row],[city2]],Table7[[#This Row],[city]])</f>
        <v>Bandung</v>
      </c>
      <c r="P382" t="s">
        <v>972</v>
      </c>
      <c r="Q382" t="s">
        <v>51</v>
      </c>
    </row>
    <row r="383" spans="5:17" x14ac:dyDescent="0.25">
      <c r="E383">
        <f>Table3[[#This Row],[Place_Id]]</f>
        <v>382</v>
      </c>
      <c r="F383">
        <f>Table3[[#This Row],[Lat]]</f>
        <v>-7.0388032000000003</v>
      </c>
      <c r="G383">
        <f>Table3[[#This Row],[Long]]</f>
        <v>110.4215576</v>
      </c>
      <c r="I383">
        <v>296</v>
      </c>
      <c r="J383">
        <v>-6.9632300000000003</v>
      </c>
      <c r="K383">
        <v>107.62641600000001</v>
      </c>
      <c r="L383" t="s">
        <v>641</v>
      </c>
      <c r="M383" t="s">
        <v>472</v>
      </c>
      <c r="N383" t="s">
        <v>472</v>
      </c>
      <c r="O383" t="str">
        <f>IF(ISBLANK(Table7[[#This Row],[city]]),Table7[[#This Row],[city2]],Table7[[#This Row],[city]])</f>
        <v>Bandung</v>
      </c>
      <c r="P383" t="s">
        <v>972</v>
      </c>
      <c r="Q383" t="s">
        <v>51</v>
      </c>
    </row>
    <row r="384" spans="5:17" x14ac:dyDescent="0.25">
      <c r="E384">
        <f>Table3[[#This Row],[Place_Id]]</f>
        <v>383</v>
      </c>
      <c r="F384">
        <f>Table3[[#This Row],[Lat]]</f>
        <v>-7.0290974000000004</v>
      </c>
      <c r="G384">
        <f>Table3[[#This Row],[Long]]</f>
        <v>110.3775382</v>
      </c>
      <c r="I384">
        <v>320</v>
      </c>
      <c r="J384">
        <v>-7.1675908000000002</v>
      </c>
      <c r="K384">
        <v>107.3532419</v>
      </c>
      <c r="L384" t="s">
        <v>689</v>
      </c>
      <c r="M384" t="s">
        <v>963</v>
      </c>
      <c r="N384" t="s">
        <v>472</v>
      </c>
      <c r="O384" t="str">
        <f>IF(ISBLANK(Table7[[#This Row],[city]]),Table7[[#This Row],[city2]],Table7[[#This Row],[city]])</f>
        <v>Bandung regency</v>
      </c>
      <c r="P384" t="s">
        <v>972</v>
      </c>
      <c r="Q384" t="s">
        <v>51</v>
      </c>
    </row>
    <row r="385" spans="5:17" x14ac:dyDescent="0.25">
      <c r="E385">
        <f>Table3[[#This Row],[Place_Id]]</f>
        <v>384</v>
      </c>
      <c r="F385">
        <f>Table3[[#This Row],[Lat]]</f>
        <v>-6.9688821000000001</v>
      </c>
      <c r="G385">
        <f>Table3[[#This Row],[Long]]</f>
        <v>110.43186919999999</v>
      </c>
      <c r="I385">
        <v>326</v>
      </c>
      <c r="J385">
        <v>-6.8173269999999997</v>
      </c>
      <c r="K385">
        <v>107.61794</v>
      </c>
      <c r="L385" t="s">
        <v>701</v>
      </c>
      <c r="M385" t="s">
        <v>969</v>
      </c>
      <c r="N385" t="s">
        <v>472</v>
      </c>
      <c r="O385" t="str">
        <f>IF(ISBLANK(Table7[[#This Row],[city]]),Table7[[#This Row],[city2]],Table7[[#This Row],[city]])</f>
        <v>West Bandung regency</v>
      </c>
      <c r="P385" t="s">
        <v>972</v>
      </c>
      <c r="Q385" t="s">
        <v>51</v>
      </c>
    </row>
    <row r="386" spans="5:17" x14ac:dyDescent="0.25">
      <c r="E386">
        <f>Table3[[#This Row],[Place_Id]]</f>
        <v>385</v>
      </c>
      <c r="F386">
        <f>Table3[[#This Row],[Lat]]</f>
        <v>-7.1662971000000004</v>
      </c>
      <c r="G386">
        <f>Table3[[#This Row],[Long]]</f>
        <v>110.381068</v>
      </c>
      <c r="I386">
        <v>332</v>
      </c>
      <c r="J386">
        <v>-6.8186888000000003</v>
      </c>
      <c r="K386">
        <v>107.6169403</v>
      </c>
      <c r="L386" t="s">
        <v>713</v>
      </c>
      <c r="M386" t="s">
        <v>969</v>
      </c>
      <c r="N386" t="s">
        <v>472</v>
      </c>
      <c r="O386" t="str">
        <f>IF(ISBLANK(Table7[[#This Row],[city]]),Table7[[#This Row],[city2]],Table7[[#This Row],[city]])</f>
        <v>West Bandung regency</v>
      </c>
      <c r="P386" t="s">
        <v>972</v>
      </c>
      <c r="Q386" t="s">
        <v>51</v>
      </c>
    </row>
    <row r="387" spans="5:17" x14ac:dyDescent="0.25">
      <c r="E387">
        <f>Table3[[#This Row],[Place_Id]]</f>
        <v>386</v>
      </c>
      <c r="F387">
        <f>Table3[[#This Row],[Lat]]</f>
        <v>-7.0372113000000001</v>
      </c>
      <c r="G387">
        <f>Table3[[#This Row],[Long]]</f>
        <v>110.34761640000001</v>
      </c>
      <c r="I387">
        <v>333</v>
      </c>
      <c r="J387">
        <v>-6.9012241000000003</v>
      </c>
      <c r="K387">
        <v>107.60998530000001</v>
      </c>
      <c r="L387" t="s">
        <v>715</v>
      </c>
      <c r="M387" t="s">
        <v>472</v>
      </c>
      <c r="N387" t="s">
        <v>472</v>
      </c>
      <c r="O387" t="str">
        <f>IF(ISBLANK(Table7[[#This Row],[city]]),Table7[[#This Row],[city2]],Table7[[#This Row],[city]])</f>
        <v>Bandung</v>
      </c>
      <c r="P387" t="s">
        <v>972</v>
      </c>
      <c r="Q387" t="s">
        <v>51</v>
      </c>
    </row>
    <row r="388" spans="5:17" x14ac:dyDescent="0.25">
      <c r="E388">
        <f>Table3[[#This Row],[Place_Id]]</f>
        <v>387</v>
      </c>
      <c r="F388">
        <f>Table3[[#This Row],[Lat]]</f>
        <v>-7.1298066000000002</v>
      </c>
      <c r="G388">
        <f>Table3[[#This Row],[Long]]</f>
        <v>110.38883199999999</v>
      </c>
      <c r="I388">
        <v>335</v>
      </c>
      <c r="J388">
        <v>-6.9605224999999997</v>
      </c>
      <c r="K388">
        <v>110.3863941</v>
      </c>
      <c r="L388" t="s">
        <v>720</v>
      </c>
      <c r="M388" t="s">
        <v>719</v>
      </c>
      <c r="N388" t="s">
        <v>719</v>
      </c>
      <c r="O388" t="str">
        <f>IF(ISBLANK(Table7[[#This Row],[city]]),Table7[[#This Row],[city2]],Table7[[#This Row],[city]])</f>
        <v>Semarang</v>
      </c>
      <c r="P388" t="s">
        <v>974</v>
      </c>
      <c r="Q388" t="s">
        <v>51</v>
      </c>
    </row>
    <row r="389" spans="5:17" x14ac:dyDescent="0.25">
      <c r="E389">
        <f>Table3[[#This Row],[Place_Id]]</f>
        <v>388</v>
      </c>
      <c r="F389">
        <f>Table3[[#This Row],[Lat]]</f>
        <v>-7.0565163999999996</v>
      </c>
      <c r="G389">
        <f>Table3[[#This Row],[Long]]</f>
        <v>110.4862531</v>
      </c>
      <c r="I389">
        <v>336</v>
      </c>
      <c r="J389">
        <v>-6.9888811999999998</v>
      </c>
      <c r="K389">
        <v>110.40837809999999</v>
      </c>
      <c r="L389" t="s">
        <v>722</v>
      </c>
      <c r="M389" t="s">
        <v>719</v>
      </c>
      <c r="N389" t="s">
        <v>719</v>
      </c>
      <c r="O389" t="str">
        <f>IF(ISBLANK(Table7[[#This Row],[city]]),Table7[[#This Row],[city2]],Table7[[#This Row],[city]])</f>
        <v>Semarang</v>
      </c>
      <c r="P389" t="s">
        <v>974</v>
      </c>
      <c r="Q389" t="s">
        <v>51</v>
      </c>
    </row>
    <row r="390" spans="5:17" x14ac:dyDescent="0.25">
      <c r="E390">
        <f>Table3[[#This Row],[Place_Id]]</f>
        <v>389</v>
      </c>
      <c r="F390">
        <f>Table3[[#This Row],[Lat]]</f>
        <v>-7.0967079000000002</v>
      </c>
      <c r="G390">
        <f>Table3[[#This Row],[Long]]</f>
        <v>110.3900517</v>
      </c>
      <c r="I390">
        <v>339</v>
      </c>
      <c r="J390">
        <v>-7.0205244999999996</v>
      </c>
      <c r="K390">
        <v>110.3754605</v>
      </c>
      <c r="L390" t="s">
        <v>728</v>
      </c>
      <c r="M390" t="s">
        <v>719</v>
      </c>
      <c r="N390" t="s">
        <v>719</v>
      </c>
      <c r="O390" t="str">
        <f>IF(ISBLANK(Table7[[#This Row],[city]]),Table7[[#This Row],[city2]],Table7[[#This Row],[city]])</f>
        <v>Semarang</v>
      </c>
      <c r="P390" t="s">
        <v>974</v>
      </c>
      <c r="Q390" t="s">
        <v>51</v>
      </c>
    </row>
    <row r="391" spans="5:17" x14ac:dyDescent="0.25">
      <c r="E391">
        <f>Table3[[#This Row],[Place_Id]]</f>
        <v>390</v>
      </c>
      <c r="F391">
        <f>Table3[[#This Row],[Lat]]</f>
        <v>-7.2241812999999997</v>
      </c>
      <c r="G391">
        <f>Table3[[#This Row],[Long]]</f>
        <v>110.3782661</v>
      </c>
      <c r="I391">
        <v>341</v>
      </c>
      <c r="J391">
        <v>-6.9909404000000004</v>
      </c>
      <c r="K391">
        <v>110.4065932</v>
      </c>
      <c r="L391" t="s">
        <v>732</v>
      </c>
      <c r="M391" t="s">
        <v>719</v>
      </c>
      <c r="N391" t="s">
        <v>719</v>
      </c>
      <c r="O391" t="str">
        <f>IF(ISBLANK(Table7[[#This Row],[city]]),Table7[[#This Row],[city2]],Table7[[#This Row],[city]])</f>
        <v>Semarang</v>
      </c>
      <c r="P391" t="s">
        <v>974</v>
      </c>
      <c r="Q391" t="s">
        <v>51</v>
      </c>
    </row>
    <row r="392" spans="5:17" x14ac:dyDescent="0.25">
      <c r="E392">
        <f>Table3[[#This Row],[Place_Id]]</f>
        <v>391</v>
      </c>
      <c r="F392">
        <f>Table3[[#This Row],[Lat]]</f>
        <v>-7.3086482000000004</v>
      </c>
      <c r="G392">
        <f>Table3[[#This Row],[Long]]</f>
        <v>112.82166220000001</v>
      </c>
      <c r="I392">
        <v>345</v>
      </c>
      <c r="J392">
        <v>-6.9923507000000003</v>
      </c>
      <c r="K392">
        <v>110.4201162</v>
      </c>
      <c r="L392" t="s">
        <v>740</v>
      </c>
      <c r="M392" t="s">
        <v>719</v>
      </c>
      <c r="N392" t="s">
        <v>719</v>
      </c>
      <c r="O392" t="str">
        <f>IF(ISBLANK(Table7[[#This Row],[city]]),Table7[[#This Row],[city2]],Table7[[#This Row],[city]])</f>
        <v>Semarang</v>
      </c>
      <c r="P392" t="s">
        <v>974</v>
      </c>
      <c r="Q392" t="s">
        <v>51</v>
      </c>
    </row>
    <row r="393" spans="5:17" x14ac:dyDescent="0.25">
      <c r="E393">
        <f>Table3[[#This Row],[Place_Id]]</f>
        <v>392</v>
      </c>
      <c r="F393">
        <f>Table3[[#This Row],[Lat]]</f>
        <v>-7.2952211</v>
      </c>
      <c r="G393">
        <f>Table3[[#This Row],[Long]]</f>
        <v>112.8035603</v>
      </c>
      <c r="I393">
        <v>346</v>
      </c>
      <c r="J393">
        <v>-6.9877935999999998</v>
      </c>
      <c r="K393">
        <v>110.4172262</v>
      </c>
      <c r="L393" t="s">
        <v>742</v>
      </c>
      <c r="M393" t="s">
        <v>719</v>
      </c>
      <c r="N393" t="s">
        <v>719</v>
      </c>
      <c r="O393" t="str">
        <f>IF(ISBLANK(Table7[[#This Row],[city]]),Table7[[#This Row],[city2]],Table7[[#This Row],[city]])</f>
        <v>Semarang</v>
      </c>
      <c r="P393" t="s">
        <v>974</v>
      </c>
      <c r="Q393" t="s">
        <v>51</v>
      </c>
    </row>
    <row r="394" spans="5:17" x14ac:dyDescent="0.25">
      <c r="E394">
        <f>Table3[[#This Row],[Place_Id]]</f>
        <v>393</v>
      </c>
      <c r="F394">
        <f>Table3[[#This Row],[Lat]]</f>
        <v>-7.2356933000000003</v>
      </c>
      <c r="G394">
        <f>Table3[[#This Row],[Long]]</f>
        <v>112.79552339999999</v>
      </c>
      <c r="I394">
        <v>352</v>
      </c>
      <c r="J394">
        <v>-6.9681727999999996</v>
      </c>
      <c r="K394">
        <v>110.4278262</v>
      </c>
      <c r="L394" t="s">
        <v>754</v>
      </c>
      <c r="M394" t="s">
        <v>719</v>
      </c>
      <c r="N394" t="s">
        <v>719</v>
      </c>
      <c r="O394" t="str">
        <f>IF(ISBLANK(Table7[[#This Row],[city]]),Table7[[#This Row],[city2]],Table7[[#This Row],[city]])</f>
        <v>Semarang</v>
      </c>
      <c r="P394" t="s">
        <v>974</v>
      </c>
      <c r="Q394" t="s">
        <v>51</v>
      </c>
    </row>
    <row r="395" spans="5:17" x14ac:dyDescent="0.25">
      <c r="E395">
        <f>Table3[[#This Row],[Place_Id]]</f>
        <v>394</v>
      </c>
      <c r="F395">
        <f>Table3[[#This Row],[Lat]]</f>
        <v>-7.2614722</v>
      </c>
      <c r="G395">
        <f>Table3[[#This Row],[Long]]</f>
        <v>112.74282839999999</v>
      </c>
      <c r="I395">
        <v>355</v>
      </c>
      <c r="J395">
        <v>-7.2807262000000001</v>
      </c>
      <c r="K395">
        <v>110.4595539</v>
      </c>
      <c r="L395" t="s">
        <v>760</v>
      </c>
      <c r="M395" t="s">
        <v>971</v>
      </c>
      <c r="N395" t="s">
        <v>719</v>
      </c>
      <c r="O395" t="str">
        <f>IF(ISBLANK(Table7[[#This Row],[city]]),Table7[[#This Row],[city2]],Table7[[#This Row],[city]])</f>
        <v>Semarang regency</v>
      </c>
      <c r="P395" t="s">
        <v>974</v>
      </c>
      <c r="Q395" t="s">
        <v>51</v>
      </c>
    </row>
    <row r="396" spans="5:17" x14ac:dyDescent="0.25">
      <c r="E396">
        <f>Table3[[#This Row],[Place_Id]]</f>
        <v>395</v>
      </c>
      <c r="F396">
        <f>Table3[[#This Row],[Lat]]</f>
        <v>-7.2654303999999996</v>
      </c>
      <c r="G396">
        <f>Table3[[#This Row],[Long]]</f>
        <v>112.7503052</v>
      </c>
      <c r="I396">
        <v>360</v>
      </c>
      <c r="J396">
        <v>-7.2141582</v>
      </c>
      <c r="K396">
        <v>110.37695410000001</v>
      </c>
      <c r="L396" t="s">
        <v>770</v>
      </c>
      <c r="M396" t="s">
        <v>971</v>
      </c>
      <c r="N396" t="s">
        <v>719</v>
      </c>
      <c r="O396" t="str">
        <f>IF(ISBLANK(Table7[[#This Row],[city]]),Table7[[#This Row],[city2]],Table7[[#This Row],[city]])</f>
        <v>Semarang regency</v>
      </c>
      <c r="P396" t="s">
        <v>974</v>
      </c>
      <c r="Q396" t="s">
        <v>51</v>
      </c>
    </row>
    <row r="397" spans="5:17" x14ac:dyDescent="0.25">
      <c r="E397">
        <f>Table3[[#This Row],[Place_Id]]</f>
        <v>396</v>
      </c>
      <c r="F397">
        <f>Table3[[#This Row],[Lat]]</f>
        <v>-7.3182201999999998</v>
      </c>
      <c r="G397">
        <f>Table3[[#This Row],[Long]]</f>
        <v>112.7842405</v>
      </c>
      <c r="I397">
        <v>363</v>
      </c>
      <c r="J397">
        <v>-7.0218894000000001</v>
      </c>
      <c r="K397">
        <v>110.4383345</v>
      </c>
      <c r="L397" t="s">
        <v>776</v>
      </c>
      <c r="M397" t="s">
        <v>719</v>
      </c>
      <c r="N397" t="s">
        <v>719</v>
      </c>
      <c r="O397" t="str">
        <f>IF(ISBLANK(Table7[[#This Row],[city]]),Table7[[#This Row],[city2]],Table7[[#This Row],[city]])</f>
        <v>Semarang</v>
      </c>
      <c r="P397" t="s">
        <v>974</v>
      </c>
      <c r="Q397" t="s">
        <v>51</v>
      </c>
    </row>
    <row r="398" spans="5:17" x14ac:dyDescent="0.25">
      <c r="E398">
        <f>Table3[[#This Row],[Place_Id]]</f>
        <v>397</v>
      </c>
      <c r="F398">
        <f>Table3[[#This Row],[Lat]]</f>
        <v>-7.2662139000000003</v>
      </c>
      <c r="G398">
        <f>Table3[[#This Row],[Long]]</f>
        <v>112.795281</v>
      </c>
      <c r="I398">
        <v>365</v>
      </c>
      <c r="J398">
        <v>-7.1321060000000003</v>
      </c>
      <c r="K398">
        <v>110.39452300000001</v>
      </c>
      <c r="L398" t="s">
        <v>780</v>
      </c>
      <c r="M398" t="s">
        <v>971</v>
      </c>
      <c r="N398" t="s">
        <v>719</v>
      </c>
      <c r="O398" t="str">
        <f>IF(ISBLANK(Table7[[#This Row],[city]]),Table7[[#This Row],[city2]],Table7[[#This Row],[city]])</f>
        <v>Semarang regency</v>
      </c>
      <c r="P398" t="s">
        <v>974</v>
      </c>
      <c r="Q398" t="s">
        <v>51</v>
      </c>
    </row>
    <row r="399" spans="5:17" x14ac:dyDescent="0.25">
      <c r="E399">
        <f>Table3[[#This Row],[Place_Id]]</f>
        <v>398</v>
      </c>
      <c r="F399">
        <f>Table3[[#This Row],[Lat]]</f>
        <v>-7.3275604000000003</v>
      </c>
      <c r="G399">
        <f>Table3[[#This Row],[Long]]</f>
        <v>112.7312242</v>
      </c>
      <c r="I399">
        <v>376</v>
      </c>
      <c r="J399">
        <v>-7.2156922999999997</v>
      </c>
      <c r="K399">
        <v>110.36493919999999</v>
      </c>
      <c r="L399" t="s">
        <v>802</v>
      </c>
      <c r="M399" t="s">
        <v>971</v>
      </c>
      <c r="N399" t="s">
        <v>719</v>
      </c>
      <c r="O399" t="str">
        <f>IF(ISBLANK(Table7[[#This Row],[city]]),Table7[[#This Row],[city2]],Table7[[#This Row],[city]])</f>
        <v>Semarang regency</v>
      </c>
      <c r="P399" t="s">
        <v>974</v>
      </c>
      <c r="Q399" t="s">
        <v>51</v>
      </c>
    </row>
    <row r="400" spans="5:17" x14ac:dyDescent="0.25">
      <c r="E400">
        <f>Table3[[#This Row],[Place_Id]]</f>
        <v>399</v>
      </c>
      <c r="F400">
        <f>Table3[[#This Row],[Lat]]</f>
        <v>-7.2941909000000003</v>
      </c>
      <c r="G400">
        <f>Table3[[#This Row],[Long]]</f>
        <v>112.8017238</v>
      </c>
      <c r="I400">
        <v>377</v>
      </c>
      <c r="J400">
        <v>-7.2678200999999998</v>
      </c>
      <c r="K400">
        <v>110.44832169999999</v>
      </c>
      <c r="L400" t="s">
        <v>804</v>
      </c>
      <c r="M400" t="s">
        <v>971</v>
      </c>
      <c r="N400" t="s">
        <v>719</v>
      </c>
      <c r="O400" t="str">
        <f>IF(ISBLANK(Table7[[#This Row],[city]]),Table7[[#This Row],[city2]],Table7[[#This Row],[city]])</f>
        <v>Semarang regency</v>
      </c>
      <c r="P400" t="s">
        <v>974</v>
      </c>
      <c r="Q400" t="s">
        <v>51</v>
      </c>
    </row>
    <row r="401" spans="5:17" x14ac:dyDescent="0.25">
      <c r="E401">
        <f>Table3[[#This Row],[Place_Id]]</f>
        <v>400</v>
      </c>
      <c r="F401">
        <f>Table3[[#This Row],[Lat]]</f>
        <v>-7.2732153000000004</v>
      </c>
      <c r="G401">
        <f>Table3[[#This Row],[Long]]</f>
        <v>112.744102</v>
      </c>
      <c r="I401">
        <v>381</v>
      </c>
      <c r="J401">
        <v>-7.2539005000000003</v>
      </c>
      <c r="K401">
        <v>110.4414953</v>
      </c>
      <c r="L401" t="s">
        <v>812</v>
      </c>
      <c r="M401" t="s">
        <v>971</v>
      </c>
      <c r="N401" t="s">
        <v>719</v>
      </c>
      <c r="O401" t="str">
        <f>IF(ISBLANK(Table7[[#This Row],[city]]),Table7[[#This Row],[city2]],Table7[[#This Row],[city]])</f>
        <v>Semarang regency</v>
      </c>
      <c r="P401" t="s">
        <v>974</v>
      </c>
      <c r="Q401" t="s">
        <v>51</v>
      </c>
    </row>
    <row r="402" spans="5:17" x14ac:dyDescent="0.25">
      <c r="E402">
        <f>Table3[[#This Row],[Place_Id]]</f>
        <v>401</v>
      </c>
      <c r="F402">
        <f>Table3[[#This Row],[Lat]]</f>
        <v>-7.2510219999999999</v>
      </c>
      <c r="G402">
        <f>Table3[[#This Row],[Long]]</f>
        <v>112.6620053</v>
      </c>
      <c r="I402">
        <v>382</v>
      </c>
      <c r="J402">
        <v>-7.0388032000000003</v>
      </c>
      <c r="K402">
        <v>110.4215576</v>
      </c>
      <c r="L402" t="s">
        <v>814</v>
      </c>
      <c r="M402" t="s">
        <v>719</v>
      </c>
      <c r="N402" t="s">
        <v>719</v>
      </c>
      <c r="O402" t="str">
        <f>IF(ISBLANK(Table7[[#This Row],[city]]),Table7[[#This Row],[city2]],Table7[[#This Row],[city]])</f>
        <v>Semarang</v>
      </c>
      <c r="P402" t="s">
        <v>974</v>
      </c>
      <c r="Q402" t="s">
        <v>51</v>
      </c>
    </row>
    <row r="403" spans="5:17" x14ac:dyDescent="0.25">
      <c r="E403">
        <f>Table3[[#This Row],[Place_Id]]</f>
        <v>402</v>
      </c>
      <c r="F403">
        <f>Table3[[#This Row],[Lat]]</f>
        <v>-7.2220559</v>
      </c>
      <c r="G403">
        <f>Table3[[#This Row],[Long]]</f>
        <v>112.7319967</v>
      </c>
      <c r="I403">
        <v>393</v>
      </c>
      <c r="J403">
        <v>-7.2356933000000003</v>
      </c>
      <c r="K403">
        <v>112.79552339999999</v>
      </c>
      <c r="L403" t="s">
        <v>837</v>
      </c>
      <c r="M403" t="s">
        <v>834</v>
      </c>
      <c r="N403" t="s">
        <v>834</v>
      </c>
      <c r="O403" t="str">
        <f>IF(ISBLANK(Table7[[#This Row],[city]]),Table7[[#This Row],[city2]],Table7[[#This Row],[city]])</f>
        <v>Surabaya</v>
      </c>
      <c r="P403" t="s">
        <v>974</v>
      </c>
      <c r="Q403" t="s">
        <v>51</v>
      </c>
    </row>
    <row r="404" spans="5:17" x14ac:dyDescent="0.25">
      <c r="E404">
        <f>Table3[[#This Row],[Place_Id]]</f>
        <v>403</v>
      </c>
      <c r="F404">
        <f>Table3[[#This Row],[Lat]]</f>
        <v>-7.2522963999999996</v>
      </c>
      <c r="G404">
        <f>Table3[[#This Row],[Long]]</f>
        <v>112.7966952</v>
      </c>
      <c r="I404">
        <v>394</v>
      </c>
      <c r="J404">
        <v>-7.2614722</v>
      </c>
      <c r="K404">
        <v>112.74282839999999</v>
      </c>
      <c r="L404" t="s">
        <v>839</v>
      </c>
      <c r="M404" t="s">
        <v>834</v>
      </c>
      <c r="N404" t="s">
        <v>834</v>
      </c>
      <c r="O404" t="str">
        <f>IF(ISBLANK(Table7[[#This Row],[city]]),Table7[[#This Row],[city2]],Table7[[#This Row],[city]])</f>
        <v>Surabaya</v>
      </c>
      <c r="P404" t="s">
        <v>974</v>
      </c>
      <c r="Q404" t="s">
        <v>51</v>
      </c>
    </row>
    <row r="405" spans="5:17" x14ac:dyDescent="0.25">
      <c r="E405">
        <f>Table3[[#This Row],[Place_Id]]</f>
        <v>404</v>
      </c>
      <c r="F405">
        <f>Table3[[#This Row],[Lat]]</f>
        <v>-7.1968192999999996</v>
      </c>
      <c r="G405">
        <f>Table3[[#This Row],[Long]]</f>
        <v>112.73245780000001</v>
      </c>
      <c r="I405">
        <v>396</v>
      </c>
      <c r="J405">
        <v>-7.3182201999999998</v>
      </c>
      <c r="K405">
        <v>112.7842405</v>
      </c>
      <c r="L405" t="s">
        <v>843</v>
      </c>
      <c r="M405" t="s">
        <v>834</v>
      </c>
      <c r="N405" t="s">
        <v>834</v>
      </c>
      <c r="O405" t="str">
        <f>IF(ISBLANK(Table7[[#This Row],[city]]),Table7[[#This Row],[city2]],Table7[[#This Row],[city]])</f>
        <v>Surabaya</v>
      </c>
      <c r="P405" t="s">
        <v>974</v>
      </c>
      <c r="Q405" t="s">
        <v>51</v>
      </c>
    </row>
    <row r="406" spans="5:17" x14ac:dyDescent="0.25">
      <c r="E406">
        <f>Table3[[#This Row],[Place_Id]]</f>
        <v>405</v>
      </c>
      <c r="F406">
        <f>Table3[[#This Row],[Lat]]</f>
        <v>-7.3123655000000003</v>
      </c>
      <c r="G406">
        <f>Table3[[#This Row],[Long]]</f>
        <v>112.7889021</v>
      </c>
      <c r="I406">
        <v>397</v>
      </c>
      <c r="J406">
        <v>-7.2662139000000003</v>
      </c>
      <c r="K406">
        <v>112.795281</v>
      </c>
      <c r="L406" t="s">
        <v>845</v>
      </c>
      <c r="M406" t="s">
        <v>834</v>
      </c>
      <c r="N406" t="s">
        <v>834</v>
      </c>
      <c r="O406" t="str">
        <f>IF(ISBLANK(Table7[[#This Row],[city]]),Table7[[#This Row],[city2]],Table7[[#This Row],[city]])</f>
        <v>Surabaya</v>
      </c>
      <c r="P406" t="s">
        <v>974</v>
      </c>
      <c r="Q406" t="s">
        <v>51</v>
      </c>
    </row>
    <row r="407" spans="5:17" x14ac:dyDescent="0.25">
      <c r="E407">
        <f>Table3[[#This Row],[Place_Id]]</f>
        <v>406</v>
      </c>
      <c r="F407">
        <f>Table3[[#This Row],[Lat]]</f>
        <v>-7.2573071999999996</v>
      </c>
      <c r="G407">
        <f>Table3[[#This Row],[Long]]</f>
        <v>112.7437199</v>
      </c>
      <c r="I407">
        <v>398</v>
      </c>
      <c r="J407">
        <v>-7.3275604000000003</v>
      </c>
      <c r="K407">
        <v>112.7312242</v>
      </c>
      <c r="L407" t="s">
        <v>847</v>
      </c>
      <c r="M407" t="s">
        <v>834</v>
      </c>
      <c r="N407" t="s">
        <v>834</v>
      </c>
      <c r="O407" t="str">
        <f>IF(ISBLANK(Table7[[#This Row],[city]]),Table7[[#This Row],[city2]],Table7[[#This Row],[city]])</f>
        <v>Surabaya</v>
      </c>
      <c r="P407" t="s">
        <v>974</v>
      </c>
      <c r="Q407" t="s">
        <v>51</v>
      </c>
    </row>
    <row r="408" spans="5:17" x14ac:dyDescent="0.25">
      <c r="E408">
        <f>Table3[[#This Row],[Place_Id]]</f>
        <v>407</v>
      </c>
      <c r="F408">
        <f>Table3[[#This Row],[Lat]]</f>
        <v>-7.2959546</v>
      </c>
      <c r="G408">
        <f>Table3[[#This Row],[Long]]</f>
        <v>112.73660940000001</v>
      </c>
      <c r="I408">
        <v>400</v>
      </c>
      <c r="J408">
        <v>-7.2732153000000004</v>
      </c>
      <c r="K408">
        <v>112.744102</v>
      </c>
      <c r="L408" t="s">
        <v>851</v>
      </c>
      <c r="M408" t="s">
        <v>834</v>
      </c>
      <c r="N408" t="s">
        <v>834</v>
      </c>
      <c r="O408" t="str">
        <f>IF(ISBLANK(Table7[[#This Row],[city]]),Table7[[#This Row],[city2]],Table7[[#This Row],[city]])</f>
        <v>Surabaya</v>
      </c>
      <c r="P408" t="s">
        <v>974</v>
      </c>
      <c r="Q408" t="s">
        <v>51</v>
      </c>
    </row>
    <row r="409" spans="5:17" x14ac:dyDescent="0.25">
      <c r="E409">
        <f>Table3[[#This Row],[Place_Id]]</f>
        <v>408</v>
      </c>
      <c r="F409">
        <f>Table3[[#This Row],[Lat]]</f>
        <v>-7.2787360000000003</v>
      </c>
      <c r="G409">
        <f>Table3[[#This Row],[Long]]</f>
        <v>112.718453</v>
      </c>
      <c r="I409">
        <v>402</v>
      </c>
      <c r="J409">
        <v>-7.2220559</v>
      </c>
      <c r="K409">
        <v>112.7319967</v>
      </c>
      <c r="L409" t="s">
        <v>855</v>
      </c>
      <c r="M409" t="s">
        <v>834</v>
      </c>
      <c r="N409" t="s">
        <v>834</v>
      </c>
      <c r="O409" t="str">
        <f>IF(ISBLANK(Table7[[#This Row],[city]]),Table7[[#This Row],[city2]],Table7[[#This Row],[city]])</f>
        <v>Surabaya</v>
      </c>
      <c r="P409" t="s">
        <v>974</v>
      </c>
      <c r="Q409" t="s">
        <v>51</v>
      </c>
    </row>
    <row r="410" spans="5:17" x14ac:dyDescent="0.25">
      <c r="E410">
        <f>Table3[[#This Row],[Place_Id]]</f>
        <v>409</v>
      </c>
      <c r="F410">
        <f>Table3[[#This Row],[Lat]]</f>
        <v>-7.2861706999999996</v>
      </c>
      <c r="G410">
        <f>Table3[[#This Row],[Long]]</f>
        <v>112.6333338</v>
      </c>
      <c r="I410">
        <v>403</v>
      </c>
      <c r="J410">
        <v>-7.2522963999999996</v>
      </c>
      <c r="K410">
        <v>112.7966952</v>
      </c>
      <c r="L410" t="s">
        <v>857</v>
      </c>
      <c r="M410" t="s">
        <v>834</v>
      </c>
      <c r="N410" t="s">
        <v>834</v>
      </c>
      <c r="O410" t="str">
        <f>IF(ISBLANK(Table7[[#This Row],[city]]),Table7[[#This Row],[city2]],Table7[[#This Row],[city]])</f>
        <v>Surabaya</v>
      </c>
      <c r="P410" t="s">
        <v>974</v>
      </c>
      <c r="Q410" t="s">
        <v>51</v>
      </c>
    </row>
    <row r="411" spans="5:17" x14ac:dyDescent="0.25">
      <c r="E411">
        <f>Table3[[#This Row],[Place_Id]]</f>
        <v>410</v>
      </c>
      <c r="F411">
        <f>Table3[[#This Row],[Lat]]</f>
        <v>-7.2522754000000003</v>
      </c>
      <c r="G411">
        <f>Table3[[#This Row],[Long]]</f>
        <v>112.7468796</v>
      </c>
      <c r="I411">
        <v>404</v>
      </c>
      <c r="J411">
        <v>-7.1968192999999996</v>
      </c>
      <c r="K411">
        <v>112.73245780000001</v>
      </c>
      <c r="L411" t="s">
        <v>859</v>
      </c>
      <c r="M411" t="s">
        <v>834</v>
      </c>
      <c r="N411" t="s">
        <v>834</v>
      </c>
      <c r="O411" t="str">
        <f>IF(ISBLANK(Table7[[#This Row],[city]]),Table7[[#This Row],[city2]],Table7[[#This Row],[city]])</f>
        <v>Surabaya</v>
      </c>
      <c r="P411" t="s">
        <v>974</v>
      </c>
      <c r="Q411" t="s">
        <v>51</v>
      </c>
    </row>
    <row r="412" spans="5:17" x14ac:dyDescent="0.25">
      <c r="E412">
        <f>Table3[[#This Row],[Place_Id]]</f>
        <v>411</v>
      </c>
      <c r="F412">
        <f>Table3[[#This Row],[Lat]]</f>
        <v>-7.3366141000000002</v>
      </c>
      <c r="G412">
        <f>Table3[[#This Row],[Long]]</f>
        <v>112.7151806</v>
      </c>
      <c r="I412">
        <v>406</v>
      </c>
      <c r="J412">
        <v>-7.2573071999999996</v>
      </c>
      <c r="K412">
        <v>112.7437199</v>
      </c>
      <c r="L412" t="s">
        <v>863</v>
      </c>
      <c r="M412" t="s">
        <v>834</v>
      </c>
      <c r="N412" t="s">
        <v>834</v>
      </c>
      <c r="O412" t="str">
        <f>IF(ISBLANK(Table7[[#This Row],[city]]),Table7[[#This Row],[city2]],Table7[[#This Row],[city]])</f>
        <v>Surabaya</v>
      </c>
      <c r="P412" t="s">
        <v>974</v>
      </c>
      <c r="Q412" t="s">
        <v>51</v>
      </c>
    </row>
    <row r="413" spans="5:17" x14ac:dyDescent="0.25">
      <c r="E413">
        <f>Table3[[#This Row],[Place_Id]]</f>
        <v>412</v>
      </c>
      <c r="F413">
        <f>Table3[[#This Row],[Lat]]</f>
        <v>-7.2271850000000004</v>
      </c>
      <c r="G413">
        <f>Table3[[#This Row],[Long]]</f>
        <v>112.718997</v>
      </c>
      <c r="I413">
        <v>409</v>
      </c>
      <c r="J413">
        <v>-7.2861706999999996</v>
      </c>
      <c r="K413">
        <v>112.6333338</v>
      </c>
      <c r="L413" t="s">
        <v>869</v>
      </c>
      <c r="M413" t="s">
        <v>834</v>
      </c>
      <c r="N413" t="s">
        <v>834</v>
      </c>
      <c r="O413" t="str">
        <f>IF(ISBLANK(Table7[[#This Row],[city]]),Table7[[#This Row],[city2]],Table7[[#This Row],[city]])</f>
        <v>Surabaya</v>
      </c>
      <c r="P413" t="s">
        <v>974</v>
      </c>
      <c r="Q413" t="s">
        <v>51</v>
      </c>
    </row>
    <row r="414" spans="5:17" x14ac:dyDescent="0.25">
      <c r="E414">
        <f>Table3[[#This Row],[Place_Id]]</f>
        <v>413</v>
      </c>
      <c r="F414">
        <f>Table3[[#This Row],[Lat]]</f>
        <v>-7.2367447</v>
      </c>
      <c r="G414">
        <f>Table3[[#This Row],[Long]]</f>
        <v>112.7383009</v>
      </c>
      <c r="I414">
        <v>424</v>
      </c>
      <c r="J414">
        <v>-7.2477963000000001</v>
      </c>
      <c r="K414">
        <v>112.7998235</v>
      </c>
      <c r="L414" t="s">
        <v>899</v>
      </c>
      <c r="M414" t="s">
        <v>834</v>
      </c>
      <c r="N414" t="s">
        <v>834</v>
      </c>
      <c r="O414" t="str">
        <f>IF(ISBLANK(Table7[[#This Row],[city]]),Table7[[#This Row],[city2]],Table7[[#This Row],[city]])</f>
        <v>Surabaya</v>
      </c>
      <c r="P414" t="s">
        <v>974</v>
      </c>
      <c r="Q414" t="s">
        <v>51</v>
      </c>
    </row>
    <row r="415" spans="5:17" x14ac:dyDescent="0.25">
      <c r="E415">
        <f>Table3[[#This Row],[Place_Id]]</f>
        <v>414</v>
      </c>
      <c r="F415">
        <f>Table3[[#This Row],[Lat]]</f>
        <v>-7.2353939</v>
      </c>
      <c r="G415">
        <f>Table3[[#This Row],[Long]]</f>
        <v>112.7367646</v>
      </c>
      <c r="I415">
        <v>429</v>
      </c>
      <c r="J415">
        <v>-7.2516189000000004</v>
      </c>
      <c r="K415">
        <v>112.8009694</v>
      </c>
      <c r="L415" t="s">
        <v>909</v>
      </c>
      <c r="M415" t="s">
        <v>834</v>
      </c>
      <c r="N415" t="s">
        <v>834</v>
      </c>
      <c r="O415" t="str">
        <f>IF(ISBLANK(Table7[[#This Row],[city]]),Table7[[#This Row],[city2]],Table7[[#This Row],[city]])</f>
        <v>Surabaya</v>
      </c>
      <c r="P415" t="s">
        <v>974</v>
      </c>
      <c r="Q415" t="s">
        <v>51</v>
      </c>
    </row>
    <row r="416" spans="5:17" x14ac:dyDescent="0.25">
      <c r="E416">
        <f>Table3[[#This Row],[Place_Id]]</f>
        <v>415</v>
      </c>
      <c r="F416">
        <f>Table3[[#This Row],[Lat]]</f>
        <v>-7.2567553</v>
      </c>
      <c r="G416">
        <f>Table3[[#This Row],[Long]]</f>
        <v>112.79422030000001</v>
      </c>
      <c r="I416">
        <v>430</v>
      </c>
      <c r="J416">
        <v>-7.2522909999999996</v>
      </c>
      <c r="K416">
        <v>112.7520012</v>
      </c>
      <c r="L416" t="s">
        <v>911</v>
      </c>
      <c r="M416" t="s">
        <v>834</v>
      </c>
      <c r="N416" t="s">
        <v>834</v>
      </c>
      <c r="O416" t="str">
        <f>IF(ISBLANK(Table7[[#This Row],[city]]),Table7[[#This Row],[city2]],Table7[[#This Row],[city]])</f>
        <v>Surabaya</v>
      </c>
      <c r="P416" t="s">
        <v>974</v>
      </c>
      <c r="Q416" t="s">
        <v>51</v>
      </c>
    </row>
    <row r="417" spans="5:17" x14ac:dyDescent="0.25">
      <c r="E417">
        <f>Table3[[#This Row],[Place_Id]]</f>
        <v>416</v>
      </c>
      <c r="F417">
        <f>Table3[[#This Row],[Lat]]</f>
        <v>-7.2469440000000001</v>
      </c>
      <c r="G417">
        <f>Table3[[#This Row],[Long]]</f>
        <v>112.802222</v>
      </c>
      <c r="I417">
        <v>431</v>
      </c>
      <c r="J417">
        <v>-7.2516046000000003</v>
      </c>
      <c r="K417">
        <v>112.7545983</v>
      </c>
      <c r="L417" t="s">
        <v>913</v>
      </c>
      <c r="M417" t="s">
        <v>834</v>
      </c>
      <c r="N417" t="s">
        <v>834</v>
      </c>
      <c r="O417" t="str">
        <f>IF(ISBLANK(Table7[[#This Row],[city]]),Table7[[#This Row],[city2]],Table7[[#This Row],[city]])</f>
        <v>Surabaya</v>
      </c>
      <c r="P417" t="s">
        <v>974</v>
      </c>
      <c r="Q417" t="s">
        <v>51</v>
      </c>
    </row>
    <row r="418" spans="5:17" x14ac:dyDescent="0.25">
      <c r="E418">
        <f>Table3[[#This Row],[Place_Id]]</f>
        <v>417</v>
      </c>
      <c r="F418">
        <f>Table3[[#This Row],[Lat]]</f>
        <v>-7.2454368999999996</v>
      </c>
      <c r="G418">
        <f>Table3[[#This Row],[Long]]</f>
        <v>112.7378985</v>
      </c>
      <c r="I418">
        <v>433</v>
      </c>
      <c r="J418">
        <v>-7.2913468000000003</v>
      </c>
      <c r="K418">
        <v>112.7398218</v>
      </c>
      <c r="L418" t="s">
        <v>917</v>
      </c>
      <c r="M418" t="s">
        <v>834</v>
      </c>
      <c r="N418" t="s">
        <v>834</v>
      </c>
      <c r="O418" t="str">
        <f>IF(ISBLANK(Table7[[#This Row],[city]]),Table7[[#This Row],[city2]],Table7[[#This Row],[city]])</f>
        <v>Surabaya</v>
      </c>
      <c r="P418" t="s">
        <v>974</v>
      </c>
      <c r="Q418" t="s">
        <v>51</v>
      </c>
    </row>
    <row r="419" spans="5:17" x14ac:dyDescent="0.25">
      <c r="E419">
        <f>Table3[[#This Row],[Place_Id]]</f>
        <v>418</v>
      </c>
      <c r="F419">
        <f>Table3[[#This Row],[Lat]]</f>
        <v>-7.2469260000000002</v>
      </c>
      <c r="G419">
        <f>Table3[[#This Row],[Long]]</f>
        <v>112.73781</v>
      </c>
      <c r="I419">
        <v>434</v>
      </c>
      <c r="J419">
        <v>-7.2752955000000004</v>
      </c>
      <c r="K419">
        <v>112.7549381</v>
      </c>
      <c r="L419" t="s">
        <v>919</v>
      </c>
      <c r="M419" t="s">
        <v>834</v>
      </c>
      <c r="N419" t="s">
        <v>834</v>
      </c>
      <c r="O419" t="str">
        <f>IF(ISBLANK(Table7[[#This Row],[city]]),Table7[[#This Row],[city2]],Table7[[#This Row],[city]])</f>
        <v>Surabaya</v>
      </c>
      <c r="P419" t="s">
        <v>974</v>
      </c>
      <c r="Q419" t="s">
        <v>51</v>
      </c>
    </row>
    <row r="420" spans="5:17" x14ac:dyDescent="0.25">
      <c r="E420">
        <f>Table3[[#This Row],[Place_Id]]</f>
        <v>419</v>
      </c>
      <c r="F420">
        <f>Table3[[#This Row],[Lat]]</f>
        <v>-7.2562971999999997</v>
      </c>
      <c r="G420">
        <f>Table3[[#This Row],[Long]]</f>
        <v>112.7379955</v>
      </c>
      <c r="I420">
        <v>435</v>
      </c>
      <c r="J420">
        <v>-7.2943303000000004</v>
      </c>
      <c r="K420">
        <v>112.7617534</v>
      </c>
      <c r="L420" t="s">
        <v>921</v>
      </c>
      <c r="M420" t="s">
        <v>834</v>
      </c>
      <c r="N420" t="s">
        <v>834</v>
      </c>
      <c r="O420" t="str">
        <f>IF(ISBLANK(Table7[[#This Row],[city]]),Table7[[#This Row],[city2]],Table7[[#This Row],[city]])</f>
        <v>Surabaya</v>
      </c>
      <c r="P420" t="s">
        <v>974</v>
      </c>
      <c r="Q420" t="s">
        <v>51</v>
      </c>
    </row>
    <row r="421" spans="5:17" x14ac:dyDescent="0.25">
      <c r="E421">
        <f>Table3[[#This Row],[Place_Id]]</f>
        <v>420</v>
      </c>
      <c r="F421">
        <f>Table3[[#This Row],[Lat]]</f>
        <v>-7.2403279999999999</v>
      </c>
      <c r="G421">
        <f>Table3[[#This Row],[Long]]</f>
        <v>112.731431</v>
      </c>
      <c r="I421">
        <v>22</v>
      </c>
      <c r="J421">
        <v>-6.1701699999999997</v>
      </c>
      <c r="K421">
        <v>106.83139</v>
      </c>
      <c r="L421" t="s">
        <v>91</v>
      </c>
      <c r="M421" t="s">
        <v>949</v>
      </c>
      <c r="N421" t="s">
        <v>46</v>
      </c>
      <c r="O421" t="str">
        <f>IF(ISBLANK(Table7[[#This Row],[city]]),Table7[[#This Row],[city2]],Table7[[#This Row],[city]])</f>
        <v>Central Jakarta</v>
      </c>
      <c r="P421" t="s">
        <v>928</v>
      </c>
      <c r="Q421" t="s">
        <v>93</v>
      </c>
    </row>
    <row r="422" spans="5:17" x14ac:dyDescent="0.25">
      <c r="E422">
        <f>Table3[[#This Row],[Place_Id]]</f>
        <v>421</v>
      </c>
      <c r="F422">
        <f>Table3[[#This Row],[Lat]]</f>
        <v>-7.1954748000000004</v>
      </c>
      <c r="G422">
        <f>Table3[[#This Row],[Long]]</f>
        <v>112.73952060000001</v>
      </c>
      <c r="I422">
        <v>23</v>
      </c>
      <c r="J422">
        <v>-6.169225</v>
      </c>
      <c r="K422">
        <v>106.833063</v>
      </c>
      <c r="L422" t="s">
        <v>94</v>
      </c>
      <c r="M422" t="s">
        <v>949</v>
      </c>
      <c r="N422" t="s">
        <v>46</v>
      </c>
      <c r="O422" t="str">
        <f>IF(ISBLANK(Table7[[#This Row],[city]]),Table7[[#This Row],[city2]],Table7[[#This Row],[city]])</f>
        <v>Central Jakarta</v>
      </c>
      <c r="P422" t="s">
        <v>928</v>
      </c>
      <c r="Q422" t="s">
        <v>93</v>
      </c>
    </row>
    <row r="423" spans="5:17" x14ac:dyDescent="0.25">
      <c r="E423">
        <f>Table3[[#This Row],[Place_Id]]</f>
        <v>422</v>
      </c>
      <c r="F423">
        <f>Table3[[#This Row],[Lat]]</f>
        <v>-7.2960491999999997</v>
      </c>
      <c r="G423">
        <f>Table3[[#This Row],[Long]]</f>
        <v>112.73870119999999</v>
      </c>
      <c r="I423">
        <v>55</v>
      </c>
      <c r="J423">
        <v>-6.1444736999999998</v>
      </c>
      <c r="K423">
        <v>106.8126018</v>
      </c>
      <c r="L423" t="s">
        <v>158</v>
      </c>
      <c r="M423" t="s">
        <v>950</v>
      </c>
      <c r="N423" t="s">
        <v>46</v>
      </c>
      <c r="O423" t="str">
        <f>IF(ISBLANK(Table7[[#This Row],[city]]),Table7[[#This Row],[city2]],Table7[[#This Row],[city]])</f>
        <v>West Jakarta</v>
      </c>
      <c r="P423" t="s">
        <v>928</v>
      </c>
      <c r="Q423" t="s">
        <v>93</v>
      </c>
    </row>
    <row r="424" spans="5:17" x14ac:dyDescent="0.25">
      <c r="E424">
        <f>Table3[[#This Row],[Place_Id]]</f>
        <v>423</v>
      </c>
      <c r="F424">
        <f>Table3[[#This Row],[Lat]]</f>
        <v>-7.2509164000000004</v>
      </c>
      <c r="G424">
        <f>Table3[[#This Row],[Long]]</f>
        <v>112.8009332</v>
      </c>
      <c r="I424">
        <v>223</v>
      </c>
      <c r="J424">
        <v>-6.9216896999999999</v>
      </c>
      <c r="K424">
        <v>107.6061399</v>
      </c>
      <c r="L424" t="s">
        <v>495</v>
      </c>
      <c r="M424" t="s">
        <v>472</v>
      </c>
      <c r="N424" t="s">
        <v>472</v>
      </c>
      <c r="O424" t="str">
        <f>IF(ISBLANK(Table7[[#This Row],[city]]),Table7[[#This Row],[city2]],Table7[[#This Row],[city]])</f>
        <v>Bandung</v>
      </c>
      <c r="P424" t="s">
        <v>972</v>
      </c>
      <c r="Q424" t="s">
        <v>93</v>
      </c>
    </row>
    <row r="425" spans="5:17" x14ac:dyDescent="0.25">
      <c r="E425">
        <f>Table3[[#This Row],[Place_Id]]</f>
        <v>424</v>
      </c>
      <c r="F425">
        <f>Table3[[#This Row],[Lat]]</f>
        <v>-7.2477963000000001</v>
      </c>
      <c r="G425">
        <f>Table3[[#This Row],[Long]]</f>
        <v>112.7998235</v>
      </c>
      <c r="I425">
        <v>264</v>
      </c>
      <c r="J425">
        <v>-6.9148394</v>
      </c>
      <c r="K425">
        <v>107.6105511</v>
      </c>
      <c r="L425" t="s">
        <v>577</v>
      </c>
      <c r="M425" t="s">
        <v>472</v>
      </c>
      <c r="N425" t="s">
        <v>472</v>
      </c>
      <c r="O425" t="str">
        <f>IF(ISBLANK(Table7[[#This Row],[city]]),Table7[[#This Row],[city2]],Table7[[#This Row],[city]])</f>
        <v>Bandung</v>
      </c>
      <c r="P425" t="s">
        <v>972</v>
      </c>
      <c r="Q425" t="s">
        <v>93</v>
      </c>
    </row>
    <row r="426" spans="5:17" x14ac:dyDescent="0.25">
      <c r="E426">
        <f>Table3[[#This Row],[Place_Id]]</f>
        <v>425</v>
      </c>
      <c r="F426">
        <f>Table3[[#This Row],[Lat]]</f>
        <v>-7.2592948000000002</v>
      </c>
      <c r="G426">
        <f>Table3[[#This Row],[Long]]</f>
        <v>112.7470512</v>
      </c>
      <c r="I426">
        <v>278</v>
      </c>
      <c r="J426">
        <v>-6.8635270000000004</v>
      </c>
      <c r="K426">
        <v>107.5899194</v>
      </c>
      <c r="L426" t="s">
        <v>605</v>
      </c>
      <c r="M426" t="s">
        <v>472</v>
      </c>
      <c r="N426" t="s">
        <v>472</v>
      </c>
      <c r="O426" t="str">
        <f>IF(ISBLANK(Table7[[#This Row],[city]]),Table7[[#This Row],[city2]],Table7[[#This Row],[city]])</f>
        <v>Bandung</v>
      </c>
      <c r="P426" t="s">
        <v>972</v>
      </c>
      <c r="Q426" t="s">
        <v>93</v>
      </c>
    </row>
    <row r="427" spans="5:17" x14ac:dyDescent="0.25">
      <c r="E427">
        <f>Table3[[#This Row],[Place_Id]]</f>
        <v>426</v>
      </c>
      <c r="F427">
        <f>Table3[[#This Row],[Lat]]</f>
        <v>-7.2472840999999999</v>
      </c>
      <c r="G427">
        <f>Table3[[#This Row],[Long]]</f>
        <v>112.8010814</v>
      </c>
      <c r="I427">
        <v>279</v>
      </c>
      <c r="J427">
        <v>-6.9259634999999999</v>
      </c>
      <c r="K427">
        <v>107.6354278</v>
      </c>
      <c r="L427" t="s">
        <v>607</v>
      </c>
      <c r="M427" t="s">
        <v>472</v>
      </c>
      <c r="N427" t="s">
        <v>472</v>
      </c>
      <c r="O427" t="str">
        <f>IF(ISBLANK(Table7[[#This Row],[city]]),Table7[[#This Row],[city2]],Table7[[#This Row],[city]])</f>
        <v>Bandung</v>
      </c>
      <c r="P427" t="s">
        <v>972</v>
      </c>
      <c r="Q427" t="s">
        <v>93</v>
      </c>
    </row>
    <row r="428" spans="5:17" x14ac:dyDescent="0.25">
      <c r="E428">
        <f>Table3[[#This Row],[Place_Id]]</f>
        <v>427</v>
      </c>
      <c r="F428">
        <f>Table3[[#This Row],[Lat]]</f>
        <v>-7.2677754999999999</v>
      </c>
      <c r="G428">
        <f>Table3[[#This Row],[Long]]</f>
        <v>112.74438979999999</v>
      </c>
      <c r="I428">
        <v>280</v>
      </c>
      <c r="J428">
        <v>-6.9347697999999998</v>
      </c>
      <c r="K428">
        <v>107.62535130000001</v>
      </c>
      <c r="L428" t="s">
        <v>609</v>
      </c>
      <c r="M428" t="s">
        <v>472</v>
      </c>
      <c r="N428" t="s">
        <v>472</v>
      </c>
      <c r="O428" t="str">
        <f>IF(ISBLANK(Table7[[#This Row],[city]]),Table7[[#This Row],[city2]],Table7[[#This Row],[city]])</f>
        <v>Bandung</v>
      </c>
      <c r="P428" t="s">
        <v>972</v>
      </c>
      <c r="Q428" t="s">
        <v>93</v>
      </c>
    </row>
    <row r="429" spans="5:17" x14ac:dyDescent="0.25">
      <c r="E429">
        <f>Table3[[#This Row],[Place_Id]]</f>
        <v>428</v>
      </c>
      <c r="F429">
        <f>Table3[[#This Row],[Lat]]</f>
        <v>-7.2308173</v>
      </c>
      <c r="G429">
        <f>Table3[[#This Row],[Long]]</f>
        <v>112.73423440000001</v>
      </c>
      <c r="I429">
        <v>288</v>
      </c>
      <c r="J429">
        <v>-6.8936643000000002</v>
      </c>
      <c r="K429">
        <v>107.611271</v>
      </c>
      <c r="L429" t="s">
        <v>625</v>
      </c>
      <c r="M429" t="s">
        <v>472</v>
      </c>
      <c r="N429" t="s">
        <v>472</v>
      </c>
      <c r="O429" t="str">
        <f>IF(ISBLANK(Table7[[#This Row],[city]]),Table7[[#This Row],[city2]],Table7[[#This Row],[city]])</f>
        <v>Bandung</v>
      </c>
      <c r="P429" t="s">
        <v>972</v>
      </c>
      <c r="Q429" t="s">
        <v>93</v>
      </c>
    </row>
    <row r="430" spans="5:17" x14ac:dyDescent="0.25">
      <c r="E430">
        <f>Table3[[#This Row],[Place_Id]]</f>
        <v>429</v>
      </c>
      <c r="F430">
        <f>Table3[[#This Row],[Lat]]</f>
        <v>-7.2516189000000004</v>
      </c>
      <c r="G430">
        <f>Table3[[#This Row],[Long]]</f>
        <v>112.8009694</v>
      </c>
      <c r="I430">
        <v>302</v>
      </c>
      <c r="J430">
        <v>-6.9000671999999996</v>
      </c>
      <c r="K430">
        <v>107.62587000000001</v>
      </c>
      <c r="L430" t="s">
        <v>653</v>
      </c>
      <c r="M430" t="s">
        <v>472</v>
      </c>
      <c r="N430" t="s">
        <v>472</v>
      </c>
      <c r="O430" t="str">
        <f>IF(ISBLANK(Table7[[#This Row],[city]]),Table7[[#This Row],[city2]],Table7[[#This Row],[city]])</f>
        <v>Bandung</v>
      </c>
      <c r="P430" t="s">
        <v>972</v>
      </c>
      <c r="Q430" t="s">
        <v>93</v>
      </c>
    </row>
    <row r="431" spans="5:17" x14ac:dyDescent="0.25">
      <c r="E431">
        <f>Table3[[#This Row],[Place_Id]]</f>
        <v>430</v>
      </c>
      <c r="F431">
        <f>Table3[[#This Row],[Lat]]</f>
        <v>-7.2522909999999996</v>
      </c>
      <c r="G431">
        <f>Table3[[#This Row],[Long]]</f>
        <v>112.7520012</v>
      </c>
      <c r="I431">
        <v>303</v>
      </c>
      <c r="J431">
        <v>-6.9194250000000004</v>
      </c>
      <c r="K431">
        <v>107.6078639</v>
      </c>
      <c r="L431" t="s">
        <v>655</v>
      </c>
      <c r="M431" t="s">
        <v>472</v>
      </c>
      <c r="N431" t="s">
        <v>472</v>
      </c>
      <c r="O431" t="str">
        <f>IF(ISBLANK(Table7[[#This Row],[city]]),Table7[[#This Row],[city2]],Table7[[#This Row],[city]])</f>
        <v>Bandung</v>
      </c>
      <c r="P431" t="s">
        <v>972</v>
      </c>
      <c r="Q431" t="s">
        <v>93</v>
      </c>
    </row>
    <row r="432" spans="5:17" x14ac:dyDescent="0.25">
      <c r="E432">
        <f>Table3[[#This Row],[Place_Id]]</f>
        <v>431</v>
      </c>
      <c r="F432">
        <f>Table3[[#This Row],[Lat]]</f>
        <v>-7.2516046000000003</v>
      </c>
      <c r="G432">
        <f>Table3[[#This Row],[Long]]</f>
        <v>112.7545983</v>
      </c>
      <c r="I432">
        <v>351</v>
      </c>
      <c r="J432">
        <v>-6.9683488000000002</v>
      </c>
      <c r="K432">
        <v>110.4274767</v>
      </c>
      <c r="L432" t="s">
        <v>752</v>
      </c>
      <c r="M432" t="s">
        <v>719</v>
      </c>
      <c r="N432" t="s">
        <v>719</v>
      </c>
      <c r="O432" t="str">
        <f>IF(ISBLANK(Table7[[#This Row],[city]]),Table7[[#This Row],[city2]],Table7[[#This Row],[city]])</f>
        <v>Semarang</v>
      </c>
      <c r="P432" t="s">
        <v>974</v>
      </c>
      <c r="Q432" t="s">
        <v>93</v>
      </c>
    </row>
    <row r="433" spans="5:17" x14ac:dyDescent="0.25">
      <c r="E433">
        <f>Table3[[#This Row],[Place_Id]]</f>
        <v>432</v>
      </c>
      <c r="F433">
        <f>Table3[[#This Row],[Lat]]</f>
        <v>-7.4338592999999999</v>
      </c>
      <c r="G433">
        <f>Table3[[#This Row],[Long]]</f>
        <v>112.71990580000001</v>
      </c>
      <c r="I433">
        <v>357</v>
      </c>
      <c r="J433">
        <v>-7.0187781999999999</v>
      </c>
      <c r="K433">
        <v>110.2937134</v>
      </c>
      <c r="L433" t="s">
        <v>764</v>
      </c>
      <c r="M433" t="s">
        <v>719</v>
      </c>
      <c r="N433" t="s">
        <v>719</v>
      </c>
      <c r="O433" t="str">
        <f>IF(ISBLANK(Table7[[#This Row],[city]]),Table7[[#This Row],[city2]],Table7[[#This Row],[city]])</f>
        <v>Semarang</v>
      </c>
      <c r="P433" t="s">
        <v>974</v>
      </c>
      <c r="Q433" t="s">
        <v>93</v>
      </c>
    </row>
    <row r="434" spans="5:17" x14ac:dyDescent="0.25">
      <c r="E434">
        <f>Table3[[#This Row],[Place_Id]]</f>
        <v>433</v>
      </c>
      <c r="F434">
        <f>Table3[[#This Row],[Lat]]</f>
        <v>-7.2913468000000003</v>
      </c>
      <c r="G434">
        <f>Table3[[#This Row],[Long]]</f>
        <v>112.7398218</v>
      </c>
      <c r="I434">
        <v>379</v>
      </c>
      <c r="J434">
        <v>-7.1350705000000003</v>
      </c>
      <c r="K434">
        <v>110.4088131</v>
      </c>
      <c r="L434" t="s">
        <v>808</v>
      </c>
      <c r="M434" t="s">
        <v>971</v>
      </c>
      <c r="N434" t="s">
        <v>719</v>
      </c>
      <c r="O434" t="str">
        <f>IF(ISBLANK(Table7[[#This Row],[city]]),Table7[[#This Row],[city2]],Table7[[#This Row],[city]])</f>
        <v>Semarang regency</v>
      </c>
      <c r="P434" t="s">
        <v>974</v>
      </c>
      <c r="Q434" t="s">
        <v>93</v>
      </c>
    </row>
    <row r="435" spans="5:17" x14ac:dyDescent="0.25">
      <c r="E435">
        <f>Table3[[#This Row],[Place_Id]]</f>
        <v>434</v>
      </c>
      <c r="F435">
        <f>Table3[[#This Row],[Lat]]</f>
        <v>-7.2752955000000004</v>
      </c>
      <c r="G435">
        <f>Table3[[#This Row],[Long]]</f>
        <v>112.7549381</v>
      </c>
      <c r="I435">
        <v>410</v>
      </c>
      <c r="J435">
        <v>-7.2522754000000003</v>
      </c>
      <c r="K435">
        <v>112.7468796</v>
      </c>
      <c r="L435" t="s">
        <v>871</v>
      </c>
      <c r="M435" t="s">
        <v>834</v>
      </c>
      <c r="N435" t="s">
        <v>834</v>
      </c>
      <c r="O435" t="str">
        <f>IF(ISBLANK(Table7[[#This Row],[city]]),Table7[[#This Row],[city2]],Table7[[#This Row],[city]])</f>
        <v>Surabaya</v>
      </c>
      <c r="P435" t="s">
        <v>974</v>
      </c>
      <c r="Q435" t="s">
        <v>93</v>
      </c>
    </row>
    <row r="436" spans="5:17" x14ac:dyDescent="0.25">
      <c r="E436">
        <f>Table3[[#This Row],[Place_Id]]</f>
        <v>435</v>
      </c>
      <c r="F436">
        <f>Table3[[#This Row],[Lat]]</f>
        <v>-7.2943303000000004</v>
      </c>
      <c r="G436">
        <f>Table3[[#This Row],[Long]]</f>
        <v>112.7617534</v>
      </c>
      <c r="I436">
        <v>411</v>
      </c>
      <c r="J436">
        <v>-7.3366141000000002</v>
      </c>
      <c r="K436">
        <v>112.7151806</v>
      </c>
      <c r="L436" t="s">
        <v>873</v>
      </c>
      <c r="M436" t="s">
        <v>834</v>
      </c>
      <c r="N436" t="s">
        <v>834</v>
      </c>
      <c r="O436" t="str">
        <f>IF(ISBLANK(Table7[[#This Row],[city]]),Table7[[#This Row],[city2]],Table7[[#This Row],[city]])</f>
        <v>Surabaya</v>
      </c>
      <c r="P436" t="s">
        <v>974</v>
      </c>
      <c r="Q436" t="s">
        <v>93</v>
      </c>
    </row>
    <row r="437" spans="5:17" x14ac:dyDescent="0.25">
      <c r="E437">
        <f>Table3[[#This Row],[Place_Id]]</f>
        <v>436</v>
      </c>
      <c r="F437">
        <f>Table3[[#This Row],[Lat]]</f>
        <v>-7.2420758000000003</v>
      </c>
      <c r="G437">
        <f>Table3[[#This Row],[Long]]</f>
        <v>112.7368158</v>
      </c>
      <c r="I437">
        <v>436</v>
      </c>
      <c r="J437">
        <v>-7.2420758000000003</v>
      </c>
      <c r="K437">
        <v>112.7368158</v>
      </c>
      <c r="L437" t="s">
        <v>923</v>
      </c>
      <c r="M437" t="s">
        <v>834</v>
      </c>
      <c r="N437" t="s">
        <v>834</v>
      </c>
      <c r="O437" t="str">
        <f>IF(ISBLANK(Table7[[#This Row],[city]]),Table7[[#This Row],[city2]],Table7[[#This Row],[city]])</f>
        <v>Surabaya</v>
      </c>
      <c r="P437" t="s">
        <v>974</v>
      </c>
      <c r="Q437" t="s">
        <v>93</v>
      </c>
    </row>
    <row r="438" spans="5:17" x14ac:dyDescent="0.25">
      <c r="E438" t="e">
        <f>Table3[[#This Row],[Place_Id]]</f>
        <v>#VALUE!</v>
      </c>
      <c r="F438" t="e">
        <f>Table3[[#This Row],[Lat]]</f>
        <v>#VALUE!</v>
      </c>
      <c r="G438" t="e">
        <f>Table3[[#This Row],[Long]]</f>
        <v>#VALUE!</v>
      </c>
    </row>
    <row r="439" spans="5:17" x14ac:dyDescent="0.25">
      <c r="E439" t="e">
        <f>Table3[[#This Row],[Place_Id]]</f>
        <v>#VALUE!</v>
      </c>
      <c r="F439" t="e">
        <f>Table3[[#This Row],[Lat]]</f>
        <v>#VALUE!</v>
      </c>
      <c r="G439" t="e">
        <f>Table3[[#This Row],[Long]]</f>
        <v>#VALUE!</v>
      </c>
    </row>
    <row r="440" spans="5:17" x14ac:dyDescent="0.25">
      <c r="E440" t="e">
        <f>Table3[[#This Row],[Place_Id]]</f>
        <v>#VALUE!</v>
      </c>
      <c r="F440" t="e">
        <f>Table3[[#This Row],[Lat]]</f>
        <v>#VALUE!</v>
      </c>
      <c r="G440" t="e">
        <f>Table3[[#This Row],[Long]]</f>
        <v>#VALUE!</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38267-6072-4145-A30D-EFF8696E5328}">
  <dimension ref="A1:L437"/>
  <sheetViews>
    <sheetView topLeftCell="D372" workbookViewId="0">
      <selection activeCell="D401" sqref="D401"/>
    </sheetView>
  </sheetViews>
  <sheetFormatPr defaultColWidth="77.5703125" defaultRowHeight="15" x14ac:dyDescent="0.25"/>
  <cols>
    <col min="1" max="1" width="10.7109375" bestFit="1" customWidth="1"/>
    <col min="2" max="2" width="56.7109375" bestFit="1" customWidth="1"/>
    <col min="3" max="3" width="255.7109375" bestFit="1" customWidth="1"/>
    <col min="4" max="4" width="255.7109375" customWidth="1"/>
    <col min="5" max="5" width="18.5703125" bestFit="1" customWidth="1"/>
    <col min="6" max="6" width="18.5703125" customWidth="1"/>
    <col min="7" max="7" width="10.7109375" bestFit="1" customWidth="1"/>
    <col min="8" max="8" width="10.7109375" customWidth="1"/>
    <col min="9" max="9" width="7.85546875" bestFit="1" customWidth="1"/>
    <col min="10" max="10" width="16" bestFit="1" customWidth="1"/>
    <col min="11" max="11" width="10.7109375" bestFit="1" customWidth="1"/>
    <col min="12" max="12" width="12" bestFit="1" customWidth="1"/>
  </cols>
  <sheetData>
    <row r="1" spans="1:12" x14ac:dyDescent="0.25">
      <c r="A1" t="s">
        <v>34</v>
      </c>
      <c r="B1" t="s">
        <v>35</v>
      </c>
      <c r="C1" t="s">
        <v>36</v>
      </c>
      <c r="D1" t="s">
        <v>1007</v>
      </c>
      <c r="E1" t="s">
        <v>37</v>
      </c>
      <c r="F1" t="s">
        <v>981</v>
      </c>
      <c r="G1" t="s">
        <v>38</v>
      </c>
      <c r="H1" t="s">
        <v>0</v>
      </c>
      <c r="I1" t="s">
        <v>39</v>
      </c>
      <c r="J1" t="s">
        <v>40</v>
      </c>
      <c r="K1" t="s">
        <v>41</v>
      </c>
      <c r="L1" t="s">
        <v>42</v>
      </c>
    </row>
    <row r="2" spans="1:12" x14ac:dyDescent="0.25">
      <c r="A2">
        <v>1</v>
      </c>
      <c r="B2" t="s">
        <v>43</v>
      </c>
      <c r="C2" t="s">
        <v>44</v>
      </c>
      <c r="D2" t="e" cm="1">
        <f t="array" aca="1" ref="D2" ca="1">TRANSLATE(Table3[[#This Row],[Description]],"id","en")</f>
        <v>#NAME?</v>
      </c>
      <c r="E2" t="s">
        <v>45</v>
      </c>
      <c r="F2">
        <f>_xlfn.XLOOKUP(Table3[[#This Row],[Category]],Table10[category],Table10[category_id],"Not found")</f>
        <v>2</v>
      </c>
      <c r="G2" t="str">
        <f>_xlfn.XLOOKUP(Table3[[#This Row],[Place_Id]],Table7[place_id],Table7[city3],"Not found")</f>
        <v>Central Jakarta</v>
      </c>
      <c r="H2">
        <f>_xlfn.XLOOKUP(Table3[[#This Row],[City]],Table5[city_name],Table5[city_id],"Not found")</f>
        <v>9</v>
      </c>
      <c r="I2">
        <v>20000</v>
      </c>
      <c r="J2">
        <v>15</v>
      </c>
      <c r="K2">
        <v>-6.1753923999999998</v>
      </c>
      <c r="L2">
        <v>106.82715279999999</v>
      </c>
    </row>
    <row r="3" spans="1:12" x14ac:dyDescent="0.25">
      <c r="A3">
        <v>2</v>
      </c>
      <c r="B3" t="s">
        <v>47</v>
      </c>
      <c r="C3" t="s">
        <v>48</v>
      </c>
      <c r="D3" t="e" cm="1">
        <f t="array" aca="1" ref="D3" ca="1">TRANSLATE(Table3[[#This Row],[Description]],"id","en")</f>
        <v>#NAME?</v>
      </c>
      <c r="E3" t="s">
        <v>45</v>
      </c>
      <c r="F3">
        <f>_xlfn.XLOOKUP(Table3[[#This Row],[Category]],Table10[category],Table10[category_id],"Not found")</f>
        <v>2</v>
      </c>
      <c r="G3" t="str">
        <f>_xlfn.XLOOKUP(Table3[[#This Row],[Place_Id]],Table7[place_id],Table7[city3],"Not found")</f>
        <v>West Jakarta</v>
      </c>
      <c r="H3">
        <f>_xlfn.XLOOKUP(Table3[[#This Row],[City]],Table5[city_name],Table5[city_id],"Not found")</f>
        <v>14</v>
      </c>
      <c r="I3">
        <v>0</v>
      </c>
      <c r="J3">
        <v>90</v>
      </c>
      <c r="K3">
        <v>-6.1376448000000003</v>
      </c>
      <c r="L3">
        <v>106.81712450000001</v>
      </c>
    </row>
    <row r="4" spans="1:12" x14ac:dyDescent="0.25">
      <c r="A4">
        <v>3</v>
      </c>
      <c r="B4" t="s">
        <v>49</v>
      </c>
      <c r="C4" t="s">
        <v>50</v>
      </c>
      <c r="D4" t="e" cm="1">
        <f t="array" aca="1" ref="D4" ca="1">TRANSLATE(Table3[[#This Row],[Description]],"id","en")</f>
        <v>#NAME?</v>
      </c>
      <c r="E4" t="s">
        <v>51</v>
      </c>
      <c r="F4">
        <f>_xlfn.XLOOKUP(Table3[[#This Row],[Category]],Table10[category],Table10[category_id],"Not found")</f>
        <v>5</v>
      </c>
      <c r="G4" t="str">
        <f>_xlfn.XLOOKUP(Table3[[#This Row],[Place_Id]],Table7[place_id],Table7[city3],"Not found")</f>
        <v>North Jakarta</v>
      </c>
      <c r="H4">
        <f>_xlfn.XLOOKUP(Table3[[#This Row],[City]],Table5[city_name],Table5[city_id],"Not found")</f>
        <v>11</v>
      </c>
      <c r="I4">
        <v>270000</v>
      </c>
      <c r="J4">
        <v>360</v>
      </c>
      <c r="K4">
        <v>-6.1253124000000003</v>
      </c>
      <c r="L4">
        <v>106.83353769999999</v>
      </c>
    </row>
    <row r="5" spans="1:12" x14ac:dyDescent="0.25">
      <c r="A5">
        <v>4</v>
      </c>
      <c r="B5" t="s">
        <v>52</v>
      </c>
      <c r="C5" t="s">
        <v>53</v>
      </c>
      <c r="D5" t="e" cm="1">
        <f t="array" aca="1" ref="D5" ca="1">TRANSLATE(Table3[[#This Row],[Description]],"id","en")</f>
        <v>#NAME?</v>
      </c>
      <c r="E5" t="s">
        <v>51</v>
      </c>
      <c r="F5">
        <f>_xlfn.XLOOKUP(Table3[[#This Row],[Category]],Table10[category],Table10[category_id],"Not found")</f>
        <v>5</v>
      </c>
      <c r="G5" t="str">
        <f>_xlfn.XLOOKUP(Table3[[#This Row],[Place_Id]],Table7[place_id],Table7[city3],"Not found")</f>
        <v>East Jakarta</v>
      </c>
      <c r="H5">
        <f>_xlfn.XLOOKUP(Table3[[#This Row],[City]],Table5[city_name],Table5[city_id],"Not found")</f>
        <v>10</v>
      </c>
      <c r="I5">
        <v>10000</v>
      </c>
      <c r="K5">
        <v>-6.3024459000000004</v>
      </c>
      <c r="L5">
        <v>106.89515590000001</v>
      </c>
    </row>
    <row r="6" spans="1:12" x14ac:dyDescent="0.25">
      <c r="A6">
        <v>5</v>
      </c>
      <c r="B6" t="s">
        <v>54</v>
      </c>
      <c r="C6" t="s">
        <v>55</v>
      </c>
      <c r="D6" t="e" cm="1">
        <f t="array" aca="1" ref="D6" ca="1">TRANSLATE(Table3[[#This Row],[Description]],"id","en")</f>
        <v>#NAME?</v>
      </c>
      <c r="E6" t="s">
        <v>51</v>
      </c>
      <c r="F6">
        <f>_xlfn.XLOOKUP(Table3[[#This Row],[Category]],Table10[category],Table10[category_id],"Not found")</f>
        <v>5</v>
      </c>
      <c r="G6" t="str">
        <f>_xlfn.XLOOKUP(Table3[[#This Row],[Place_Id]],Table7[place_id],Table7[city3],"Not found")</f>
        <v>North Jakarta</v>
      </c>
      <c r="H6">
        <f>_xlfn.XLOOKUP(Table3[[#This Row],[City]],Table5[city_name],Table5[city_id],"Not found")</f>
        <v>11</v>
      </c>
      <c r="I6">
        <v>94000</v>
      </c>
      <c r="J6">
        <v>60</v>
      </c>
      <c r="K6">
        <v>-6.1241899999999996</v>
      </c>
      <c r="L6">
        <v>106.839134</v>
      </c>
    </row>
    <row r="7" spans="1:12" x14ac:dyDescent="0.25">
      <c r="A7">
        <v>6</v>
      </c>
      <c r="B7" t="s">
        <v>56</v>
      </c>
      <c r="C7" t="s">
        <v>57</v>
      </c>
      <c r="D7" t="e" cm="1">
        <f t="array" aca="1" ref="D7" ca="1">TRANSLATE(Table3[[#This Row],[Description]],"id","en")</f>
        <v>#NAME?</v>
      </c>
      <c r="E7" t="s">
        <v>51</v>
      </c>
      <c r="F7">
        <f>_xlfn.XLOOKUP(Table3[[#This Row],[Category]],Table10[category],Table10[category_id],"Not found")</f>
        <v>5</v>
      </c>
      <c r="G7" t="str">
        <f>_xlfn.XLOOKUP(Table3[[#This Row],[Place_Id]],Table7[place_id],Table7[city3],"Not found")</f>
        <v>North Jakarta</v>
      </c>
      <c r="H7">
        <f>_xlfn.XLOOKUP(Table3[[#This Row],[City]],Table5[city_name],Table5[city_id],"Not found")</f>
        <v>11</v>
      </c>
      <c r="I7">
        <v>25000</v>
      </c>
      <c r="J7">
        <v>10</v>
      </c>
      <c r="K7">
        <v>-6.1173332</v>
      </c>
      <c r="L7">
        <v>106.8579951</v>
      </c>
    </row>
    <row r="8" spans="1:12" x14ac:dyDescent="0.25">
      <c r="A8">
        <v>7</v>
      </c>
      <c r="B8" t="s">
        <v>58</v>
      </c>
      <c r="C8" t="s">
        <v>59</v>
      </c>
      <c r="D8" t="e" cm="1">
        <f t="array" aca="1" ref="D8" ca="1">TRANSLATE(Table3[[#This Row],[Description]],"id","en")</f>
        <v>#NAME?</v>
      </c>
      <c r="E8" t="s">
        <v>60</v>
      </c>
      <c r="F8">
        <f>_xlfn.XLOOKUP(Table3[[#This Row],[Category]],Table10[category],Table10[category_id],"Not found")</f>
        <v>3</v>
      </c>
      <c r="G8" t="str">
        <f>_xlfn.XLOOKUP(Table3[[#This Row],[Place_Id]],Table7[place_id],Table7[city3],"Not found")</f>
        <v>South Jakarta</v>
      </c>
      <c r="H8">
        <f>_xlfn.XLOOKUP(Table3[[#This Row],[City]],Table5[city_name],Table5[city_id],"Not found")</f>
        <v>12</v>
      </c>
      <c r="I8">
        <v>4000</v>
      </c>
      <c r="K8">
        <v>-6.3124593000000004</v>
      </c>
      <c r="L8">
        <v>106.82018650000001</v>
      </c>
    </row>
    <row r="9" spans="1:12" ht="60" x14ac:dyDescent="0.25">
      <c r="A9">
        <v>8</v>
      </c>
      <c r="B9" t="s">
        <v>61</v>
      </c>
      <c r="C9" s="3" t="s">
        <v>62</v>
      </c>
      <c r="D9" s="3" t="e" cm="1">
        <f t="array" aca="1" ref="D9" ca="1">TRANSLATE(Table3[[#This Row],[Description]],"id","en")</f>
        <v>#NAME?</v>
      </c>
      <c r="E9" t="s">
        <v>51</v>
      </c>
      <c r="F9">
        <f>_xlfn.XLOOKUP(Table3[[#This Row],[Category]],Table10[category],Table10[category_id],"Not found")</f>
        <v>5</v>
      </c>
      <c r="G9" t="str">
        <f>_xlfn.XLOOKUP(Table3[[#This Row],[Place_Id]],Table7[place_id],Table7[city3],"Not found")</f>
        <v>North Jakarta</v>
      </c>
      <c r="H9">
        <f>_xlfn.XLOOKUP(Table3[[#This Row],[City]],Table5[city_name],Table5[city_id],"Not found")</f>
        <v>11</v>
      </c>
      <c r="I9">
        <v>180000</v>
      </c>
      <c r="K9">
        <v>-6.1258017000000002</v>
      </c>
      <c r="L9">
        <v>106.83632489999999</v>
      </c>
    </row>
    <row r="10" spans="1:12" x14ac:dyDescent="0.25">
      <c r="A10">
        <v>9</v>
      </c>
      <c r="B10" t="s">
        <v>63</v>
      </c>
      <c r="C10" t="s">
        <v>64</v>
      </c>
      <c r="D10" t="e" cm="1">
        <f t="array" aca="1" ref="D10" ca="1">TRANSLATE(Table3[[#This Row],[Description]],"id","en")</f>
        <v>#NAME?</v>
      </c>
      <c r="E10" t="s">
        <v>65</v>
      </c>
      <c r="F10">
        <f>_xlfn.XLOOKUP(Table3[[#This Row],[Category]],Table10[category],Table10[category_id],"Not found")</f>
        <v>1</v>
      </c>
      <c r="G10" t="str">
        <f>_xlfn.XLOOKUP(Table3[[#This Row],[Place_Id]],Table7[place_id],Table7[city3],"Not found")</f>
        <v>North Jakarta</v>
      </c>
      <c r="H10">
        <f>_xlfn.XLOOKUP(Table3[[#This Row],[City]],Table5[city_name],Table5[city_id],"Not found")</f>
        <v>11</v>
      </c>
      <c r="I10">
        <v>175000</v>
      </c>
      <c r="K10">
        <v>1.0788800000000001</v>
      </c>
      <c r="L10">
        <v>103.931398</v>
      </c>
    </row>
    <row r="11" spans="1:12" x14ac:dyDescent="0.25">
      <c r="A11">
        <v>10</v>
      </c>
      <c r="B11" t="s">
        <v>66</v>
      </c>
      <c r="C11" t="s">
        <v>67</v>
      </c>
      <c r="D11" t="e" cm="1">
        <f t="array" aca="1" ref="D11" ca="1">TRANSLATE(Table3[[#This Row],[Description]],"id","en")</f>
        <v>#NAME?</v>
      </c>
      <c r="E11" t="s">
        <v>65</v>
      </c>
      <c r="F11">
        <f>_xlfn.XLOOKUP(Table3[[#This Row],[Category]],Table10[category],Table10[category_id],"Not found")</f>
        <v>1</v>
      </c>
      <c r="G11" t="str">
        <f>_xlfn.XLOOKUP(Table3[[#This Row],[Place_Id]],Table7[place_id],Table7[city3],"Not found")</f>
        <v>Thousand Islands</v>
      </c>
      <c r="H11">
        <f>_xlfn.XLOOKUP(Table3[[#This Row],[City]],Table5[city_name],Table5[city_id],"Not found")</f>
        <v>13</v>
      </c>
      <c r="I11">
        <v>150000</v>
      </c>
      <c r="K11">
        <v>-5.8032053000000001</v>
      </c>
      <c r="L11">
        <v>106.52379070000001</v>
      </c>
    </row>
    <row r="12" spans="1:12" x14ac:dyDescent="0.25">
      <c r="A12">
        <v>11</v>
      </c>
      <c r="B12" t="s">
        <v>68</v>
      </c>
      <c r="C12" t="s">
        <v>69</v>
      </c>
      <c r="D12" t="e" cm="1">
        <f t="array" aca="1" ref="D12" ca="1">TRANSLATE(Table3[[#This Row],[Description]],"id","en")</f>
        <v>#NAME?</v>
      </c>
      <c r="E12" t="s">
        <v>65</v>
      </c>
      <c r="F12">
        <f>_xlfn.XLOOKUP(Table3[[#This Row],[Category]],Table10[category],Table10[category_id],"Not found")</f>
        <v>1</v>
      </c>
      <c r="G12" t="str">
        <f>_xlfn.XLOOKUP(Table3[[#This Row],[Place_Id]],Table7[place_id],Table7[city3],"Not found")</f>
        <v>Thousand Islands</v>
      </c>
      <c r="H12">
        <f>_xlfn.XLOOKUP(Table3[[#This Row],[City]],Table5[city_name],Table5[city_id],"Not found")</f>
        <v>13</v>
      </c>
      <c r="I12">
        <v>5000</v>
      </c>
      <c r="K12">
        <v>-6.0358330000000002</v>
      </c>
      <c r="L12">
        <v>106.746944</v>
      </c>
    </row>
    <row r="13" spans="1:12" ht="30" x14ac:dyDescent="0.25">
      <c r="A13">
        <v>12</v>
      </c>
      <c r="B13" t="s">
        <v>70</v>
      </c>
      <c r="C13" s="3" t="s">
        <v>71</v>
      </c>
      <c r="D13" s="3" t="e" cm="1">
        <f t="array" aca="1" ref="D13" ca="1">TRANSLATE(Table3[[#This Row],[Description]],"id","en")</f>
        <v>#NAME?</v>
      </c>
      <c r="E13" t="s">
        <v>65</v>
      </c>
      <c r="F13">
        <f>_xlfn.XLOOKUP(Table3[[#This Row],[Category]],Table10[category],Table10[category_id],"Not found")</f>
        <v>1</v>
      </c>
      <c r="G13" t="str">
        <f>_xlfn.XLOOKUP(Table3[[#This Row],[Place_Id]],Table7[place_id],Table7[city3],"Not found")</f>
        <v>Thousand Islands</v>
      </c>
      <c r="H13">
        <f>_xlfn.XLOOKUP(Table3[[#This Row],[City]],Table5[city_name],Table5[city_id],"Not found")</f>
        <v>13</v>
      </c>
      <c r="I13">
        <v>150000</v>
      </c>
      <c r="K13">
        <v>-5.9074327999999996</v>
      </c>
      <c r="L13">
        <v>106.58639890000001</v>
      </c>
    </row>
    <row r="14" spans="1:12" x14ac:dyDescent="0.25">
      <c r="A14">
        <v>13</v>
      </c>
      <c r="B14" t="s">
        <v>72</v>
      </c>
      <c r="C14" t="s">
        <v>73</v>
      </c>
      <c r="D14" t="e" cm="1">
        <f t="array" aca="1" ref="D14" ca="1">TRANSLATE(Table3[[#This Row],[Description]],"id","en")</f>
        <v>#NAME?</v>
      </c>
      <c r="E14" t="s">
        <v>65</v>
      </c>
      <c r="F14">
        <f>_xlfn.XLOOKUP(Table3[[#This Row],[Category]],Table10[category],Table10[category_id],"Not found")</f>
        <v>1</v>
      </c>
      <c r="G14" t="str">
        <f>_xlfn.XLOOKUP(Table3[[#This Row],[Place_Id]],Table7[place_id],Table7[city3],"Not found")</f>
        <v>Thousand Islands</v>
      </c>
      <c r="H14">
        <f>_xlfn.XLOOKUP(Table3[[#This Row],[City]],Table5[city_name],Table5[city_id],"Not found")</f>
        <v>13</v>
      </c>
      <c r="I14">
        <v>5000</v>
      </c>
      <c r="K14">
        <v>-5.7459619999999996</v>
      </c>
      <c r="L14">
        <v>106.6136577</v>
      </c>
    </row>
    <row r="15" spans="1:12" ht="105" x14ac:dyDescent="0.25">
      <c r="A15">
        <v>14</v>
      </c>
      <c r="B15" t="s">
        <v>74</v>
      </c>
      <c r="C15" s="3" t="s">
        <v>75</v>
      </c>
      <c r="D15" s="3" t="e" cm="1">
        <f t="array" aca="1" ref="D15" ca="1">TRANSLATE(Table3[[#This Row],[Description]],"id","en")</f>
        <v>#NAME?</v>
      </c>
      <c r="E15" t="s">
        <v>65</v>
      </c>
      <c r="F15">
        <f>_xlfn.XLOOKUP(Table3[[#This Row],[Category]],Table10[category],Table10[category_id],"Not found")</f>
        <v>1</v>
      </c>
      <c r="G15" t="str">
        <f>_xlfn.XLOOKUP(Table3[[#This Row],[Place_Id]],Table7[place_id],Table7[city3],"Not found")</f>
        <v>Thousand Islands</v>
      </c>
      <c r="H15">
        <f>_xlfn.XLOOKUP(Table3[[#This Row],[City]],Table5[city_name],Table5[city_id],"Not found")</f>
        <v>13</v>
      </c>
      <c r="I15">
        <v>900000</v>
      </c>
      <c r="K15">
        <v>-5.5870550000000003</v>
      </c>
      <c r="L15">
        <v>106.5885</v>
      </c>
    </row>
    <row r="16" spans="1:12" x14ac:dyDescent="0.25">
      <c r="A16">
        <v>15</v>
      </c>
      <c r="B16" t="s">
        <v>76</v>
      </c>
      <c r="C16" t="s">
        <v>77</v>
      </c>
      <c r="D16" t="e" cm="1">
        <f t="array" aca="1" ref="D16" ca="1">TRANSLATE(Table3[[#This Row],[Description]],"id","en")</f>
        <v>#NAME?</v>
      </c>
      <c r="E16" t="s">
        <v>78</v>
      </c>
      <c r="F16">
        <f>_xlfn.XLOOKUP(Table3[[#This Row],[Category]],Table10[category],Table10[category_id],"Not found")</f>
        <v>4</v>
      </c>
      <c r="G16" t="str">
        <f>_xlfn.XLOOKUP(Table3[[#This Row],[Place_Id]],Table7[place_id],Table7[city3],"Not found")</f>
        <v>Central Jakarta</v>
      </c>
      <c r="H16">
        <f>_xlfn.XLOOKUP(Table3[[#This Row],[City]],Table5[city_name],Table5[city_id],"Not found")</f>
        <v>9</v>
      </c>
      <c r="I16">
        <v>0</v>
      </c>
      <c r="J16">
        <v>90</v>
      </c>
      <c r="K16">
        <v>-6.1766867999999997</v>
      </c>
      <c r="L16">
        <v>106.8417666</v>
      </c>
    </row>
    <row r="17" spans="1:12" x14ac:dyDescent="0.25">
      <c r="A17">
        <v>16</v>
      </c>
      <c r="B17" t="s">
        <v>79</v>
      </c>
      <c r="C17" t="s">
        <v>80</v>
      </c>
      <c r="D17" t="e" cm="1">
        <f t="array" aca="1" ref="D17" ca="1">TRANSLATE(Table3[[#This Row],[Description]],"id","en")</f>
        <v>#NAME?</v>
      </c>
      <c r="E17" t="s">
        <v>45</v>
      </c>
      <c r="F17">
        <f>_xlfn.XLOOKUP(Table3[[#This Row],[Category]],Table10[category],Table10[category_id],"Not found")</f>
        <v>2</v>
      </c>
      <c r="G17" t="str">
        <f>_xlfn.XLOOKUP(Table3[[#This Row],[Place_Id]],Table7[place_id],Table7[city3],"Not found")</f>
        <v>West Jakarta</v>
      </c>
      <c r="H17">
        <f>_xlfn.XLOOKUP(Table3[[#This Row],[City]],Table5[city_name],Table5[city_id],"Not found")</f>
        <v>14</v>
      </c>
      <c r="I17">
        <v>0</v>
      </c>
      <c r="K17">
        <v>-6.1314571999999998</v>
      </c>
      <c r="L17">
        <v>106.8106169</v>
      </c>
    </row>
    <row r="18" spans="1:12" x14ac:dyDescent="0.25">
      <c r="A18">
        <v>17</v>
      </c>
      <c r="B18" t="s">
        <v>81</v>
      </c>
      <c r="C18" t="s">
        <v>82</v>
      </c>
      <c r="D18" t="e" cm="1">
        <f t="array" aca="1" ref="D18" ca="1">TRANSLATE(Table3[[#This Row],[Description]],"id","en")</f>
        <v>#NAME?</v>
      </c>
      <c r="E18" t="s">
        <v>45</v>
      </c>
      <c r="F18">
        <f>_xlfn.XLOOKUP(Table3[[#This Row],[Category]],Table10[category],Table10[category_id],"Not found")</f>
        <v>2</v>
      </c>
      <c r="G18" t="str">
        <f>_xlfn.XLOOKUP(Table3[[#This Row],[Place_Id]],Table7[place_id],Table7[city3],"Not found")</f>
        <v>West Jakarta</v>
      </c>
      <c r="H18">
        <f>_xlfn.XLOOKUP(Table3[[#This Row],[City]],Table5[city_name],Table5[city_id],"Not found")</f>
        <v>14</v>
      </c>
      <c r="I18">
        <v>5000</v>
      </c>
      <c r="K18">
        <v>-6.1364489000000004</v>
      </c>
      <c r="L18">
        <v>106.8130661</v>
      </c>
    </row>
    <row r="19" spans="1:12" x14ac:dyDescent="0.25">
      <c r="A19">
        <v>18</v>
      </c>
      <c r="B19" t="s">
        <v>83</v>
      </c>
      <c r="C19" t="s">
        <v>84</v>
      </c>
      <c r="D19" t="e" cm="1">
        <f t="array" aca="1" ref="D19" ca="1">TRANSLATE(Table3[[#This Row],[Description]],"id","en")</f>
        <v>#NAME?</v>
      </c>
      <c r="E19" t="s">
        <v>45</v>
      </c>
      <c r="F19">
        <f>_xlfn.XLOOKUP(Table3[[#This Row],[Category]],Table10[category],Table10[category_id],"Not found")</f>
        <v>2</v>
      </c>
      <c r="G19" t="str">
        <f>_xlfn.XLOOKUP(Table3[[#This Row],[Place_Id]],Table7[place_id],Table7[city3],"Not found")</f>
        <v>West Jakarta</v>
      </c>
      <c r="H19">
        <f>_xlfn.XLOOKUP(Table3[[#This Row],[City]],Table5[city_name],Table5[city_id],"Not found")</f>
        <v>14</v>
      </c>
      <c r="I19">
        <v>2000</v>
      </c>
      <c r="K19">
        <v>-6.1371270000000004</v>
      </c>
      <c r="L19">
        <v>106.813005</v>
      </c>
    </row>
    <row r="20" spans="1:12" x14ac:dyDescent="0.25">
      <c r="A20">
        <v>19</v>
      </c>
      <c r="B20" t="s">
        <v>85</v>
      </c>
      <c r="C20" t="s">
        <v>86</v>
      </c>
      <c r="D20" t="e" cm="1">
        <f t="array" aca="1" ref="D20" ca="1">TRANSLATE(Table3[[#This Row],[Description]],"id","en")</f>
        <v>#NAME?</v>
      </c>
      <c r="E20" t="s">
        <v>51</v>
      </c>
      <c r="F20">
        <f>_xlfn.XLOOKUP(Table3[[#This Row],[Category]],Table10[category],Table10[category_id],"Not found")</f>
        <v>5</v>
      </c>
      <c r="G20" t="str">
        <f>_xlfn.XLOOKUP(Table3[[#This Row],[Place_Id]],Table7[place_id],Table7[city3],"Not found")</f>
        <v>South Jakarta</v>
      </c>
      <c r="H20">
        <f>_xlfn.XLOOKUP(Table3[[#This Row],[City]],Table5[city_name],Table5[city_id],"Not found")</f>
        <v>12</v>
      </c>
      <c r="I20">
        <v>185000</v>
      </c>
      <c r="J20">
        <v>300</v>
      </c>
      <c r="K20">
        <v>-6.2250734999999997</v>
      </c>
      <c r="L20">
        <v>106.8097144</v>
      </c>
    </row>
    <row r="21" spans="1:12" ht="45" x14ac:dyDescent="0.25">
      <c r="A21">
        <v>20</v>
      </c>
      <c r="B21" t="s">
        <v>87</v>
      </c>
      <c r="C21" s="3" t="s">
        <v>88</v>
      </c>
      <c r="D21" s="3" t="e" cm="1">
        <f t="array" aca="1" ref="D21" ca="1">TRANSLATE(Table3[[#This Row],[Description]],"id","en")</f>
        <v>#NAME?</v>
      </c>
      <c r="E21" t="s">
        <v>45</v>
      </c>
      <c r="F21">
        <f>_xlfn.XLOOKUP(Table3[[#This Row],[Category]],Table10[category],Table10[category_id],"Not found")</f>
        <v>2</v>
      </c>
      <c r="G21" t="str">
        <f>_xlfn.XLOOKUP(Table3[[#This Row],[Place_Id]],Table7[place_id],Table7[city3],"Not found")</f>
        <v>Central Jakarta</v>
      </c>
      <c r="H21">
        <f>_xlfn.XLOOKUP(Table3[[#This Row],[City]],Table5[city_name],Table5[city_id],"Not found")</f>
        <v>9</v>
      </c>
      <c r="I21">
        <v>2000</v>
      </c>
      <c r="J21">
        <v>90</v>
      </c>
      <c r="K21">
        <v>-6.1722241000000002</v>
      </c>
      <c r="L21">
        <v>106.81896949999999</v>
      </c>
    </row>
    <row r="22" spans="1:12" x14ac:dyDescent="0.25">
      <c r="A22">
        <v>21</v>
      </c>
      <c r="B22" t="s">
        <v>89</v>
      </c>
      <c r="C22" t="s">
        <v>90</v>
      </c>
      <c r="D22" t="e" cm="1">
        <f t="array" aca="1" ref="D22" ca="1">TRANSLATE(Table3[[#This Row],[Description]],"id","en")</f>
        <v>#NAME?</v>
      </c>
      <c r="E22" t="s">
        <v>45</v>
      </c>
      <c r="F22">
        <f>_xlfn.XLOOKUP(Table3[[#This Row],[Category]],Table10[category],Table10[category_id],"Not found")</f>
        <v>2</v>
      </c>
      <c r="G22" t="str">
        <f>_xlfn.XLOOKUP(Table3[[#This Row],[Place_Id]],Table7[place_id],Table7[city3],"Not found")</f>
        <v>West Jakarta</v>
      </c>
      <c r="H22">
        <f>_xlfn.XLOOKUP(Table3[[#This Row],[City]],Table5[city_name],Table5[city_id],"Not found")</f>
        <v>14</v>
      </c>
      <c r="I22">
        <v>5000</v>
      </c>
      <c r="J22">
        <v>150</v>
      </c>
      <c r="K22">
        <v>-6.1349071999999998</v>
      </c>
      <c r="L22">
        <v>106.8124452</v>
      </c>
    </row>
    <row r="23" spans="1:12" x14ac:dyDescent="0.25">
      <c r="A23">
        <v>22</v>
      </c>
      <c r="B23" t="s">
        <v>91</v>
      </c>
      <c r="C23" t="s">
        <v>92</v>
      </c>
      <c r="D23" t="e" cm="1">
        <f t="array" aca="1" ref="D23" ca="1">TRANSLATE(Table3[[#This Row],[Description]],"id","en")</f>
        <v>#NAME?</v>
      </c>
      <c r="E23" t="s">
        <v>93</v>
      </c>
      <c r="F23">
        <f>_xlfn.XLOOKUP(Table3[[#This Row],[Category]],Table10[category],Table10[category_id],"Not found")</f>
        <v>6</v>
      </c>
      <c r="G23" t="str">
        <f>_xlfn.XLOOKUP(Table3[[#This Row],[Place_Id]],Table7[place_id],Table7[city3],"Not found")</f>
        <v>Central Jakarta</v>
      </c>
      <c r="H23">
        <f>_xlfn.XLOOKUP(Table3[[#This Row],[City]],Table5[city_name],Table5[city_id],"Not found")</f>
        <v>9</v>
      </c>
      <c r="I23">
        <v>0</v>
      </c>
      <c r="K23">
        <v>-6.1701699999999997</v>
      </c>
      <c r="L23">
        <v>106.83139</v>
      </c>
    </row>
    <row r="24" spans="1:12" x14ac:dyDescent="0.25">
      <c r="A24">
        <v>23</v>
      </c>
      <c r="B24" t="s">
        <v>94</v>
      </c>
      <c r="C24" t="s">
        <v>95</v>
      </c>
      <c r="D24" t="e" cm="1">
        <f t="array" aca="1" ref="D24" ca="1">TRANSLATE(Table3[[#This Row],[Description]],"id","en")</f>
        <v>#NAME?</v>
      </c>
      <c r="E24" t="s">
        <v>93</v>
      </c>
      <c r="F24">
        <f>_xlfn.XLOOKUP(Table3[[#This Row],[Category]],Table10[category],Table10[category_id],"Not found")</f>
        <v>6</v>
      </c>
      <c r="G24" t="str">
        <f>_xlfn.XLOOKUP(Table3[[#This Row],[Place_Id]],Table7[place_id],Table7[city3],"Not found")</f>
        <v>Central Jakarta</v>
      </c>
      <c r="H24">
        <f>_xlfn.XLOOKUP(Table3[[#This Row],[City]],Table5[city_name],Table5[city_id],"Not found")</f>
        <v>9</v>
      </c>
      <c r="I24">
        <v>0</v>
      </c>
      <c r="K24">
        <v>-6.169225</v>
      </c>
      <c r="L24">
        <v>106.833063</v>
      </c>
    </row>
    <row r="25" spans="1:12" x14ac:dyDescent="0.25">
      <c r="A25">
        <v>24</v>
      </c>
      <c r="B25" t="s">
        <v>96</v>
      </c>
      <c r="C25" t="s">
        <v>97</v>
      </c>
      <c r="D25" t="e" cm="1">
        <f t="array" aca="1" ref="D25" ca="1">TRANSLATE(Table3[[#This Row],[Description]],"id","en")</f>
        <v>#NAME?</v>
      </c>
      <c r="E25" t="s">
        <v>45</v>
      </c>
      <c r="F25">
        <f>_xlfn.XLOOKUP(Table3[[#This Row],[Category]],Table10[category],Table10[category_id],"Not found")</f>
        <v>2</v>
      </c>
      <c r="G25" t="str">
        <f>_xlfn.XLOOKUP(Table3[[#This Row],[Place_Id]],Table7[place_id],Table7[city3],"Not found")</f>
        <v>Central Jakarta</v>
      </c>
      <c r="H25">
        <f>_xlfn.XLOOKUP(Table3[[#This Row],[City]],Table5[city_name],Table5[city_id],"Not found")</f>
        <v>9</v>
      </c>
      <c r="I25">
        <v>5000</v>
      </c>
      <c r="K25">
        <v>-6.1764020999999998</v>
      </c>
      <c r="L25">
        <v>106.82159009999999</v>
      </c>
    </row>
    <row r="26" spans="1:12" x14ac:dyDescent="0.25">
      <c r="A26">
        <v>25</v>
      </c>
      <c r="B26" t="s">
        <v>98</v>
      </c>
      <c r="C26" t="s">
        <v>99</v>
      </c>
      <c r="D26" t="e" cm="1">
        <f t="array" aca="1" ref="D26" ca="1">TRANSLATE(Table3[[#This Row],[Description]],"id","en")</f>
        <v>#NAME?</v>
      </c>
      <c r="E26" t="s">
        <v>78</v>
      </c>
      <c r="F26">
        <f>_xlfn.XLOOKUP(Table3[[#This Row],[Category]],Table10[category],Table10[category_id],"Not found")</f>
        <v>4</v>
      </c>
      <c r="G26" t="str">
        <f>_xlfn.XLOOKUP(Table3[[#This Row],[Place_Id]],Table7[place_id],Table7[city3],"Not found")</f>
        <v>Central Jakarta</v>
      </c>
      <c r="H26">
        <f>_xlfn.XLOOKUP(Table3[[#This Row],[City]],Table5[city_name],Table5[city_id],"Not found")</f>
        <v>9</v>
      </c>
      <c r="I26">
        <v>0</v>
      </c>
      <c r="J26">
        <v>45</v>
      </c>
      <c r="K26">
        <v>-6.1890096000000003</v>
      </c>
      <c r="L26">
        <v>106.8119312</v>
      </c>
    </row>
    <row r="27" spans="1:12" x14ac:dyDescent="0.25">
      <c r="A27">
        <v>26</v>
      </c>
      <c r="B27" t="s">
        <v>100</v>
      </c>
      <c r="C27" t="s">
        <v>101</v>
      </c>
      <c r="D27" t="e" cm="1">
        <f t="array" aca="1" ref="D27" ca="1">TRANSLATE(Table3[[#This Row],[Description]],"id","en")</f>
        <v>#NAME?</v>
      </c>
      <c r="E27" t="s">
        <v>78</v>
      </c>
      <c r="F27">
        <f>_xlfn.XLOOKUP(Table3[[#This Row],[Category]],Table10[category],Table10[category_id],"Not found")</f>
        <v>4</v>
      </c>
      <c r="G27" t="str">
        <f>_xlfn.XLOOKUP(Table3[[#This Row],[Place_Id]],Table7[place_id],Table7[city3],"Not found")</f>
        <v>West Jakarta</v>
      </c>
      <c r="H27">
        <f>_xlfn.XLOOKUP(Table3[[#This Row],[City]],Table5[city_name],Table5[city_id],"Not found")</f>
        <v>14</v>
      </c>
      <c r="I27">
        <v>0</v>
      </c>
      <c r="J27">
        <v>20</v>
      </c>
      <c r="K27">
        <v>-6.1427588000000002</v>
      </c>
      <c r="L27">
        <v>106.8140791</v>
      </c>
    </row>
    <row r="28" spans="1:12" x14ac:dyDescent="0.25">
      <c r="A28">
        <v>27</v>
      </c>
      <c r="B28" t="s">
        <v>102</v>
      </c>
      <c r="C28" t="s">
        <v>103</v>
      </c>
      <c r="D28" t="e" cm="1">
        <f t="array" aca="1" ref="D28" ca="1">TRANSLATE(Table3[[#This Row],[Description]],"id","en")</f>
        <v>#NAME?</v>
      </c>
      <c r="E28" t="s">
        <v>51</v>
      </c>
      <c r="F28">
        <f>_xlfn.XLOOKUP(Table3[[#This Row],[Category]],Table10[category],Table10[category_id],"Not found")</f>
        <v>5</v>
      </c>
      <c r="G28" t="str">
        <f>_xlfn.XLOOKUP(Table3[[#This Row],[Place_Id]],Table7[place_id],Table7[city3],"Not found")</f>
        <v>North Jakarta</v>
      </c>
      <c r="H28">
        <f>_xlfn.XLOOKUP(Table3[[#This Row],[City]],Table5[city_name],Table5[city_id],"Not found")</f>
        <v>11</v>
      </c>
      <c r="I28">
        <v>115000</v>
      </c>
      <c r="J28">
        <v>180</v>
      </c>
      <c r="K28">
        <v>-6.1264775</v>
      </c>
      <c r="L28">
        <v>106.842963</v>
      </c>
    </row>
    <row r="29" spans="1:12" x14ac:dyDescent="0.25">
      <c r="A29">
        <v>28</v>
      </c>
      <c r="B29" t="s">
        <v>104</v>
      </c>
      <c r="C29" t="s">
        <v>105</v>
      </c>
      <c r="D29" t="e" cm="1">
        <f t="array" aca="1" ref="D29" ca="1">TRANSLATE(Table3[[#This Row],[Description]],"id","en")</f>
        <v>#NAME?</v>
      </c>
      <c r="E29" t="s">
        <v>51</v>
      </c>
      <c r="F29">
        <f>_xlfn.XLOOKUP(Table3[[#This Row],[Category]],Table10[category],Table10[category_id],"Not found")</f>
        <v>5</v>
      </c>
      <c r="G29" t="str">
        <f>_xlfn.XLOOKUP(Table3[[#This Row],[Place_Id]],Table7[place_id],Table7[city3],"Not found")</f>
        <v>East Jakarta</v>
      </c>
      <c r="H29">
        <f>_xlfn.XLOOKUP(Table3[[#This Row],[City]],Table5[city_name],Table5[city_id],"Not found")</f>
        <v>10</v>
      </c>
      <c r="I29">
        <v>35000</v>
      </c>
      <c r="K29">
        <v>-6.3568093000000001</v>
      </c>
      <c r="L29">
        <v>106.9062371</v>
      </c>
    </row>
    <row r="30" spans="1:12" ht="60" x14ac:dyDescent="0.25">
      <c r="A30">
        <v>29</v>
      </c>
      <c r="B30" t="s">
        <v>106</v>
      </c>
      <c r="C30" s="3" t="s">
        <v>107</v>
      </c>
      <c r="D30" s="3" t="e" cm="1">
        <f t="array" aca="1" ref="D30" ca="1">TRANSLATE(Table3[[#This Row],[Description]],"id","en")</f>
        <v>#NAME?</v>
      </c>
      <c r="E30" t="s">
        <v>78</v>
      </c>
      <c r="F30">
        <f>_xlfn.XLOOKUP(Table3[[#This Row],[Category]],Table10[category],Table10[category_id],"Not found")</f>
        <v>4</v>
      </c>
      <c r="G30" t="str">
        <f>_xlfn.XLOOKUP(Table3[[#This Row],[Place_Id]],Table7[place_id],Table7[city3],"Not found")</f>
        <v>Central Jakarta</v>
      </c>
      <c r="H30">
        <f>_xlfn.XLOOKUP(Table3[[#This Row],[City]],Table5[city_name],Table5[city_id],"Not found")</f>
        <v>9</v>
      </c>
      <c r="I30">
        <v>0</v>
      </c>
      <c r="K30">
        <v>-6.1667886999999997</v>
      </c>
      <c r="L30">
        <v>106.8265261</v>
      </c>
    </row>
    <row r="31" spans="1:12" ht="45" x14ac:dyDescent="0.25">
      <c r="A31">
        <v>30</v>
      </c>
      <c r="B31" t="s">
        <v>108</v>
      </c>
      <c r="C31" s="3" t="s">
        <v>109</v>
      </c>
      <c r="D31" s="3" t="e" cm="1">
        <f t="array" aca="1" ref="D31" ca="1">TRANSLATE(Table3[[#This Row],[Description]],"id","en")</f>
        <v>#NAME?</v>
      </c>
      <c r="E31" t="s">
        <v>51</v>
      </c>
      <c r="F31">
        <f>_xlfn.XLOOKUP(Table3[[#This Row],[Category]],Table10[category],Table10[category_id],"Not found")</f>
        <v>5</v>
      </c>
      <c r="G31" t="str">
        <f>_xlfn.XLOOKUP(Table3[[#This Row],[Place_Id]],Table7[place_id],Table7[city3],"Not found")</f>
        <v>Central Jakarta</v>
      </c>
      <c r="H31">
        <f>_xlfn.XLOOKUP(Table3[[#This Row],[City]],Table5[city_name],Table5[city_id],"Not found")</f>
        <v>9</v>
      </c>
      <c r="I31">
        <v>0</v>
      </c>
      <c r="K31">
        <v>-6.1964087000000001</v>
      </c>
      <c r="L31">
        <v>106.8293106</v>
      </c>
    </row>
    <row r="32" spans="1:12" ht="60" x14ac:dyDescent="0.25">
      <c r="A32">
        <v>31</v>
      </c>
      <c r="B32" t="s">
        <v>110</v>
      </c>
      <c r="C32" s="3" t="s">
        <v>111</v>
      </c>
      <c r="D32" s="3" t="e" cm="1">
        <f t="array" aca="1" ref="D32" ca="1">TRANSLATE(Table3[[#This Row],[Description]],"id","en")</f>
        <v>#NAME?</v>
      </c>
      <c r="E32" t="s">
        <v>60</v>
      </c>
      <c r="F32">
        <f>_xlfn.XLOOKUP(Table3[[#This Row],[Category]],Table10[category],Table10[category_id],"Not found")</f>
        <v>3</v>
      </c>
      <c r="G32" t="str">
        <f>_xlfn.XLOOKUP(Table3[[#This Row],[Place_Id]],Table7[place_id],Table7[city3],"Not found")</f>
        <v>North Jakarta</v>
      </c>
      <c r="H32">
        <f>_xlfn.XLOOKUP(Table3[[#This Row],[City]],Table5[city_name],Table5[city_id],"Not found")</f>
        <v>11</v>
      </c>
      <c r="I32">
        <v>25000</v>
      </c>
      <c r="K32">
        <v>-6.105334</v>
      </c>
      <c r="L32">
        <v>106.735584</v>
      </c>
    </row>
    <row r="33" spans="1:12" x14ac:dyDescent="0.25">
      <c r="A33">
        <v>32</v>
      </c>
      <c r="B33" t="s">
        <v>112</v>
      </c>
      <c r="C33" t="s">
        <v>113</v>
      </c>
      <c r="D33" t="e" cm="1">
        <f t="array" aca="1" ref="D33" ca="1">TRANSLATE(Table3[[#This Row],[Description]],"id","en")</f>
        <v>#NAME?</v>
      </c>
      <c r="E33" t="s">
        <v>45</v>
      </c>
      <c r="F33">
        <f>_xlfn.XLOOKUP(Table3[[#This Row],[Category]],Table10[category],Table10[category_id],"Not found")</f>
        <v>2</v>
      </c>
      <c r="G33" t="str">
        <f>_xlfn.XLOOKUP(Table3[[#This Row],[Place_Id]],Table7[place_id],Table7[city3],"Not found")</f>
        <v>South Jakarta</v>
      </c>
      <c r="H33">
        <f>_xlfn.XLOOKUP(Table3[[#This Row],[City]],Table5[city_name],Table5[city_id],"Not found")</f>
        <v>12</v>
      </c>
      <c r="I33">
        <v>0</v>
      </c>
      <c r="K33">
        <v>-6.3416667000000002</v>
      </c>
      <c r="L33">
        <v>106.8238889</v>
      </c>
    </row>
    <row r="34" spans="1:12" x14ac:dyDescent="0.25">
      <c r="A34">
        <v>33</v>
      </c>
      <c r="B34" t="s">
        <v>114</v>
      </c>
      <c r="C34" t="s">
        <v>115</v>
      </c>
      <c r="D34" t="e" cm="1">
        <f t="array" aca="1" ref="D34" ca="1">TRANSLATE(Table3[[#This Row],[Description]],"id","en")</f>
        <v>#NAME?</v>
      </c>
      <c r="E34" t="s">
        <v>51</v>
      </c>
      <c r="F34">
        <f>_xlfn.XLOOKUP(Table3[[#This Row],[Category]],Table10[category],Table10[category_id],"Not found")</f>
        <v>5</v>
      </c>
      <c r="G34" t="str">
        <f>_xlfn.XLOOKUP(Table3[[#This Row],[Place_Id]],Table7[place_id],Table7[city3],"Not found")</f>
        <v>Central Jakarta</v>
      </c>
      <c r="H34">
        <f>_xlfn.XLOOKUP(Table3[[#This Row],[City]],Table5[city_name],Table5[city_id],"Not found")</f>
        <v>9</v>
      </c>
      <c r="I34">
        <v>0</v>
      </c>
      <c r="K34">
        <v>-6.1994033999999996</v>
      </c>
      <c r="L34">
        <v>106.8326228</v>
      </c>
    </row>
    <row r="35" spans="1:12" x14ac:dyDescent="0.25">
      <c r="A35">
        <v>34</v>
      </c>
      <c r="B35" t="s">
        <v>116</v>
      </c>
      <c r="C35" t="s">
        <v>117</v>
      </c>
      <c r="D35" t="e" cm="1">
        <f t="array" aca="1" ref="D35" ca="1">TRANSLATE(Table3[[#This Row],[Description]],"id","en")</f>
        <v>#NAME?</v>
      </c>
      <c r="E35" t="s">
        <v>78</v>
      </c>
      <c r="F35">
        <f>_xlfn.XLOOKUP(Table3[[#This Row],[Category]],Table10[category],Table10[category_id],"Not found")</f>
        <v>4</v>
      </c>
      <c r="G35" t="str">
        <f>_xlfn.XLOOKUP(Table3[[#This Row],[Place_Id]],Table7[place_id],Table7[city3],"Not found")</f>
        <v>South Jakarta</v>
      </c>
      <c r="H35">
        <f>_xlfn.XLOOKUP(Table3[[#This Row],[City]],Table5[city_name],Table5[city_id],"Not found")</f>
        <v>12</v>
      </c>
      <c r="I35">
        <v>0</v>
      </c>
      <c r="J35">
        <v>60</v>
      </c>
      <c r="K35">
        <v>-6.2413689999999997</v>
      </c>
      <c r="L35">
        <v>106.7890587</v>
      </c>
    </row>
    <row r="36" spans="1:12" x14ac:dyDescent="0.25">
      <c r="A36">
        <v>35</v>
      </c>
      <c r="B36" t="s">
        <v>118</v>
      </c>
      <c r="C36" t="s">
        <v>119</v>
      </c>
      <c r="D36" t="e" cm="1">
        <f t="array" aca="1" ref="D36" ca="1">TRANSLATE(Table3[[#This Row],[Description]],"id","en")</f>
        <v>#NAME?</v>
      </c>
      <c r="E36" t="s">
        <v>78</v>
      </c>
      <c r="F36">
        <f>_xlfn.XLOOKUP(Table3[[#This Row],[Category]],Table10[category],Table10[category_id],"Not found")</f>
        <v>4</v>
      </c>
      <c r="G36" t="str">
        <f>_xlfn.XLOOKUP(Table3[[#This Row],[Place_Id]],Table7[place_id],Table7[city3],"Not found")</f>
        <v>Central Jakarta</v>
      </c>
      <c r="H36">
        <f>_xlfn.XLOOKUP(Table3[[#This Row],[City]],Table5[city_name],Table5[city_id],"Not found")</f>
        <v>9</v>
      </c>
      <c r="I36">
        <v>0</v>
      </c>
      <c r="J36">
        <v>120</v>
      </c>
      <c r="K36">
        <v>-6.1951801</v>
      </c>
      <c r="L36">
        <v>106.8204412</v>
      </c>
    </row>
    <row r="37" spans="1:12" x14ac:dyDescent="0.25">
      <c r="A37">
        <v>36</v>
      </c>
      <c r="B37" t="s">
        <v>120</v>
      </c>
      <c r="C37" t="s">
        <v>121</v>
      </c>
      <c r="D37" t="e" cm="1">
        <f t="array" aca="1" ref="D37" ca="1">TRANSLATE(Table3[[#This Row],[Description]],"id","en")</f>
        <v>#NAME?</v>
      </c>
      <c r="E37" t="s">
        <v>51</v>
      </c>
      <c r="F37">
        <f>_xlfn.XLOOKUP(Table3[[#This Row],[Category]],Table10[category],Table10[category_id],"Not found")</f>
        <v>5</v>
      </c>
      <c r="G37" t="str">
        <f>_xlfn.XLOOKUP(Table3[[#This Row],[Place_Id]],Table7[place_id],Table7[city3],"Not found")</f>
        <v>West Jakarta</v>
      </c>
      <c r="H37">
        <f>_xlfn.XLOOKUP(Table3[[#This Row],[City]],Table5[city_name],Table5[city_id],"Not found")</f>
        <v>14</v>
      </c>
      <c r="I37">
        <v>110000</v>
      </c>
      <c r="J37">
        <v>180</v>
      </c>
      <c r="K37">
        <v>-6.1789959999999997</v>
      </c>
      <c r="L37">
        <v>106.79194099999999</v>
      </c>
    </row>
    <row r="38" spans="1:12" ht="60" x14ac:dyDescent="0.25">
      <c r="A38">
        <v>37</v>
      </c>
      <c r="B38" t="s">
        <v>122</v>
      </c>
      <c r="C38" s="3" t="s">
        <v>123</v>
      </c>
      <c r="D38" s="3" t="e" cm="1">
        <f t="array" aca="1" ref="D38" ca="1">TRANSLATE(Table3[[#This Row],[Description]],"id","en")</f>
        <v>#NAME?</v>
      </c>
      <c r="E38" t="s">
        <v>51</v>
      </c>
      <c r="F38">
        <f>_xlfn.XLOOKUP(Table3[[#This Row],[Category]],Table10[category],Table10[category_id],"Not found")</f>
        <v>5</v>
      </c>
      <c r="G38" t="str">
        <f>_xlfn.XLOOKUP(Table3[[#This Row],[Place_Id]],Table7[place_id],Table7[city3],"Not found")</f>
        <v>East Jakarta</v>
      </c>
      <c r="H38">
        <f>_xlfn.XLOOKUP(Table3[[#This Row],[City]],Table5[city_name],Table5[city_id],"Not found")</f>
        <v>10</v>
      </c>
      <c r="I38">
        <v>10000</v>
      </c>
      <c r="K38">
        <v>-6.3602486999999996</v>
      </c>
      <c r="L38">
        <v>106.89384200000001</v>
      </c>
    </row>
    <row r="39" spans="1:12" x14ac:dyDescent="0.25">
      <c r="A39">
        <v>38</v>
      </c>
      <c r="B39" t="s">
        <v>124</v>
      </c>
      <c r="C39" t="s">
        <v>125</v>
      </c>
      <c r="D39" t="e" cm="1">
        <f t="array" aca="1" ref="D39" ca="1">TRANSLATE(Table3[[#This Row],[Description]],"id","en")</f>
        <v>#NAME?</v>
      </c>
      <c r="E39" t="s">
        <v>45</v>
      </c>
      <c r="F39">
        <f>_xlfn.XLOOKUP(Table3[[#This Row],[Category]],Table10[category],Table10[category_id],"Not found")</f>
        <v>2</v>
      </c>
      <c r="G39" t="str">
        <f>_xlfn.XLOOKUP(Table3[[#This Row],[Place_Id]],Table7[place_id],Table7[city3],"Not found")</f>
        <v>Central Jakarta</v>
      </c>
      <c r="H39">
        <f>_xlfn.XLOOKUP(Table3[[#This Row],[City]],Table5[city_name],Table5[city_id],"Not found")</f>
        <v>9</v>
      </c>
      <c r="I39">
        <v>0</v>
      </c>
      <c r="K39">
        <v>-6.168069</v>
      </c>
      <c r="L39">
        <v>106.8239727</v>
      </c>
    </row>
    <row r="40" spans="1:12" x14ac:dyDescent="0.25">
      <c r="A40">
        <v>39</v>
      </c>
      <c r="B40" t="s">
        <v>126</v>
      </c>
      <c r="C40" t="s">
        <v>127</v>
      </c>
      <c r="D40" t="e" cm="1">
        <f t="array" aca="1" ref="D40" ca="1">TRANSLATE(Table3[[#This Row],[Description]],"id","en")</f>
        <v>#NAME?</v>
      </c>
      <c r="E40" t="s">
        <v>45</v>
      </c>
      <c r="F40">
        <f>_xlfn.XLOOKUP(Table3[[#This Row],[Category]],Table10[category],Table10[category_id],"Not found")</f>
        <v>2</v>
      </c>
      <c r="G40" t="str">
        <f>_xlfn.XLOOKUP(Table3[[#This Row],[Place_Id]],Table7[place_id],Table7[city3],"Not found")</f>
        <v>West Jakarta</v>
      </c>
      <c r="H40">
        <f>_xlfn.XLOOKUP(Table3[[#This Row],[City]],Table5[city_name],Table5[city_id],"Not found")</f>
        <v>14</v>
      </c>
      <c r="I40">
        <v>100000</v>
      </c>
      <c r="J40">
        <v>120</v>
      </c>
      <c r="K40">
        <v>-6.1909419999999997</v>
      </c>
      <c r="L40">
        <v>106.767622</v>
      </c>
    </row>
    <row r="41" spans="1:12" ht="60" x14ac:dyDescent="0.25">
      <c r="A41">
        <v>40</v>
      </c>
      <c r="B41" t="s">
        <v>128</v>
      </c>
      <c r="C41" s="3" t="s">
        <v>129</v>
      </c>
      <c r="D41" s="3" t="e" cm="1">
        <f t="array" aca="1" ref="D41" ca="1">TRANSLATE(Table3[[#This Row],[Description]],"id","en")</f>
        <v>#NAME?</v>
      </c>
      <c r="E41" t="s">
        <v>45</v>
      </c>
      <c r="F41">
        <f>_xlfn.XLOOKUP(Table3[[#This Row],[Category]],Table10[category],Table10[category_id],"Not found")</f>
        <v>2</v>
      </c>
      <c r="G41" t="str">
        <f>_xlfn.XLOOKUP(Table3[[#This Row],[Place_Id]],Table7[place_id],Table7[city3],"Not found")</f>
        <v>Central Jakarta</v>
      </c>
      <c r="H41">
        <f>_xlfn.XLOOKUP(Table3[[#This Row],[City]],Table5[city_name],Table5[city_id],"Not found")</f>
        <v>9</v>
      </c>
      <c r="I41">
        <v>0</v>
      </c>
      <c r="K41">
        <v>-6.1785481999999998</v>
      </c>
      <c r="L41">
        <v>106.8327716</v>
      </c>
    </row>
    <row r="42" spans="1:12" x14ac:dyDescent="0.25">
      <c r="A42">
        <v>41</v>
      </c>
      <c r="B42" t="s">
        <v>130</v>
      </c>
      <c r="C42" t="s">
        <v>131</v>
      </c>
      <c r="D42" t="e" cm="1">
        <f t="array" aca="1" ref="D42" ca="1">TRANSLATE(Table3[[#This Row],[Description]],"id","en")</f>
        <v>#NAME?</v>
      </c>
      <c r="E42" t="s">
        <v>45</v>
      </c>
      <c r="F42">
        <f>_xlfn.XLOOKUP(Table3[[#This Row],[Category]],Table10[category],Table10[category_id],"Not found")</f>
        <v>2</v>
      </c>
      <c r="G42" t="str">
        <f>_xlfn.XLOOKUP(Table3[[#This Row],[Place_Id]],Table7[place_id],Table7[city3],"Not found")</f>
        <v>North Jakarta</v>
      </c>
      <c r="H42">
        <f>_xlfn.XLOOKUP(Table3[[#This Row],[City]],Table5[city_name],Table5[city_id],"Not found")</f>
        <v>11</v>
      </c>
      <c r="I42">
        <v>2000</v>
      </c>
      <c r="J42">
        <v>120</v>
      </c>
      <c r="K42">
        <v>-6.1269552999999997</v>
      </c>
      <c r="L42">
        <v>106.8085899</v>
      </c>
    </row>
    <row r="43" spans="1:12" x14ac:dyDescent="0.25">
      <c r="A43">
        <v>42</v>
      </c>
      <c r="B43" t="s">
        <v>132</v>
      </c>
      <c r="C43" t="s">
        <v>133</v>
      </c>
      <c r="D43" t="e" cm="1">
        <f t="array" aca="1" ref="D43" ca="1">TRANSLATE(Table3[[#This Row],[Description]],"id","en")</f>
        <v>#NAME?</v>
      </c>
      <c r="E43" t="s">
        <v>45</v>
      </c>
      <c r="F43">
        <f>_xlfn.XLOOKUP(Table3[[#This Row],[Category]],Table10[category],Table10[category_id],"Not found")</f>
        <v>2</v>
      </c>
      <c r="G43" t="str">
        <f>_xlfn.XLOOKUP(Table3[[#This Row],[Place_Id]],Table7[place_id],Table7[city3],"Not found")</f>
        <v>West Jakarta</v>
      </c>
      <c r="H43">
        <f>_xlfn.XLOOKUP(Table3[[#This Row],[City]],Table5[city_name],Table5[city_id],"Not found")</f>
        <v>14</v>
      </c>
      <c r="I43">
        <v>5000</v>
      </c>
      <c r="K43">
        <v>-6.1342597999999997</v>
      </c>
      <c r="L43">
        <v>106.81455200000001</v>
      </c>
    </row>
    <row r="44" spans="1:12" x14ac:dyDescent="0.25">
      <c r="A44">
        <v>43</v>
      </c>
      <c r="B44" t="s">
        <v>134</v>
      </c>
      <c r="C44" t="s">
        <v>135</v>
      </c>
      <c r="D44" t="e" cm="1">
        <f t="array" aca="1" ref="D44" ca="1">TRANSLATE(Table3[[#This Row],[Description]],"id","en")</f>
        <v>#NAME?</v>
      </c>
      <c r="E44" t="s">
        <v>51</v>
      </c>
      <c r="F44">
        <f>_xlfn.XLOOKUP(Table3[[#This Row],[Category]],Table10[category],Table10[category_id],"Not found")</f>
        <v>5</v>
      </c>
      <c r="G44" t="str">
        <f>_xlfn.XLOOKUP(Table3[[#This Row],[Place_Id]],Table7[place_id],Table7[city3],"Not found")</f>
        <v>South Jakarta</v>
      </c>
      <c r="H44">
        <f>_xlfn.XLOOKUP(Table3[[#This Row],[City]],Table5[city_name],Table5[city_id],"Not found")</f>
        <v>12</v>
      </c>
      <c r="I44">
        <v>70000</v>
      </c>
      <c r="J44">
        <v>120</v>
      </c>
      <c r="K44">
        <v>-6.2555033</v>
      </c>
      <c r="L44">
        <v>106.81225910000001</v>
      </c>
    </row>
    <row r="45" spans="1:12" ht="45" x14ac:dyDescent="0.25">
      <c r="A45">
        <v>44</v>
      </c>
      <c r="B45" t="s">
        <v>136</v>
      </c>
      <c r="C45" s="3" t="s">
        <v>137</v>
      </c>
      <c r="D45" s="3" t="e" cm="1">
        <f t="array" aca="1" ref="D45" ca="1">TRANSLATE(Table3[[#This Row],[Description]],"id","en")</f>
        <v>#NAME?</v>
      </c>
      <c r="E45" t="s">
        <v>45</v>
      </c>
      <c r="F45">
        <f>_xlfn.XLOOKUP(Table3[[#This Row],[Category]],Table10[category],Table10[category_id],"Not found")</f>
        <v>2</v>
      </c>
      <c r="G45" t="str">
        <f>_xlfn.XLOOKUP(Table3[[#This Row],[Place_Id]],Table7[place_id],Table7[city3],"Not found")</f>
        <v>Central Jakarta</v>
      </c>
      <c r="H45">
        <f>_xlfn.XLOOKUP(Table3[[#This Row],[City]],Table5[city_name],Table5[city_id],"Not found")</f>
        <v>9</v>
      </c>
      <c r="I45">
        <v>0</v>
      </c>
      <c r="J45">
        <v>15</v>
      </c>
      <c r="K45">
        <v>-6.1949978000000003</v>
      </c>
      <c r="L45">
        <v>106.8230496</v>
      </c>
    </row>
    <row r="46" spans="1:12" x14ac:dyDescent="0.25">
      <c r="A46">
        <v>45</v>
      </c>
      <c r="B46" t="s">
        <v>138</v>
      </c>
      <c r="C46" t="s">
        <v>139</v>
      </c>
      <c r="D46" t="e" cm="1">
        <f t="array" aca="1" ref="D46" ca="1">TRANSLATE(Table3[[#This Row],[Description]],"id","en")</f>
        <v>#NAME?</v>
      </c>
      <c r="E46" t="s">
        <v>51</v>
      </c>
      <c r="F46">
        <f>_xlfn.XLOOKUP(Table3[[#This Row],[Category]],Table10[category],Table10[category_id],"Not found")</f>
        <v>5</v>
      </c>
      <c r="G46" t="str">
        <f>_xlfn.XLOOKUP(Table3[[#This Row],[Place_Id]],Table7[place_id],Table7[city3],"Not found")</f>
        <v>West Jakarta</v>
      </c>
      <c r="H46">
        <f>_xlfn.XLOOKUP(Table3[[#This Row],[City]],Table5[city_name],Table5[city_id],"Not found")</f>
        <v>14</v>
      </c>
      <c r="I46">
        <v>185000</v>
      </c>
      <c r="K46">
        <v>-6.1752646999999996</v>
      </c>
      <c r="L46">
        <v>106.79046839999999</v>
      </c>
    </row>
    <row r="47" spans="1:12" x14ac:dyDescent="0.25">
      <c r="A47">
        <v>46</v>
      </c>
      <c r="B47" t="s">
        <v>140</v>
      </c>
      <c r="C47" t="s">
        <v>141</v>
      </c>
      <c r="D47" t="e" cm="1">
        <f t="array" aca="1" ref="D47" ca="1">TRANSLATE(Table3[[#This Row],[Description]],"id","en")</f>
        <v>#NAME?</v>
      </c>
      <c r="E47" t="s">
        <v>65</v>
      </c>
      <c r="F47">
        <f>_xlfn.XLOOKUP(Table3[[#This Row],[Category]],Table10[category],Table10[category_id],"Not found")</f>
        <v>1</v>
      </c>
      <c r="G47" t="str">
        <f>_xlfn.XLOOKUP(Table3[[#This Row],[Place_Id]],Table7[place_id],Table7[city3],"Not found")</f>
        <v>Thousand Islands</v>
      </c>
      <c r="H47">
        <f>_xlfn.XLOOKUP(Table3[[#This Row],[City]],Table5[city_name],Table5[city_id],"Not found")</f>
        <v>13</v>
      </c>
      <c r="I47">
        <v>40000</v>
      </c>
      <c r="K47">
        <v>-5.7296715999999996</v>
      </c>
      <c r="L47">
        <v>106.5714158</v>
      </c>
    </row>
    <row r="48" spans="1:12" x14ac:dyDescent="0.25">
      <c r="A48">
        <v>47</v>
      </c>
      <c r="B48" t="s">
        <v>142</v>
      </c>
      <c r="C48" t="s">
        <v>143</v>
      </c>
      <c r="D48" t="e" cm="1">
        <f t="array" aca="1" ref="D48" ca="1">TRANSLATE(Table3[[#This Row],[Description]],"id","en")</f>
        <v>#NAME?</v>
      </c>
      <c r="E48" t="s">
        <v>51</v>
      </c>
      <c r="F48">
        <f>_xlfn.XLOOKUP(Table3[[#This Row],[Category]],Table10[category],Table10[category_id],"Not found")</f>
        <v>5</v>
      </c>
      <c r="G48" t="str">
        <f>_xlfn.XLOOKUP(Table3[[#This Row],[Place_Id]],Table7[place_id],Table7[city3],"Not found")</f>
        <v>Central Jakarta</v>
      </c>
      <c r="H48">
        <f>_xlfn.XLOOKUP(Table3[[#This Row],[City]],Table5[city_name],Table5[city_id],"Not found")</f>
        <v>9</v>
      </c>
      <c r="I48">
        <v>0</v>
      </c>
      <c r="K48">
        <v>-6.1978860999999998</v>
      </c>
      <c r="L48">
        <v>106.8346708</v>
      </c>
    </row>
    <row r="49" spans="1:12" x14ac:dyDescent="0.25">
      <c r="A49">
        <v>48</v>
      </c>
      <c r="B49" t="s">
        <v>144</v>
      </c>
      <c r="C49" t="s">
        <v>145</v>
      </c>
      <c r="D49" t="e" cm="1">
        <f t="array" aca="1" ref="D49" ca="1">TRANSLATE(Table3[[#This Row],[Description]],"id","en")</f>
        <v>#NAME?</v>
      </c>
      <c r="E49" t="s">
        <v>45</v>
      </c>
      <c r="F49">
        <f>_xlfn.XLOOKUP(Table3[[#This Row],[Category]],Table10[category],Table10[category_id],"Not found")</f>
        <v>2</v>
      </c>
      <c r="G49" t="str">
        <f>_xlfn.XLOOKUP(Table3[[#This Row],[Place_Id]],Table7[place_id],Table7[city3],"Not found")</f>
        <v>Central Jakarta</v>
      </c>
      <c r="H49">
        <f>_xlfn.XLOOKUP(Table3[[#This Row],[City]],Table5[city_name],Table5[city_id],"Not found")</f>
        <v>9</v>
      </c>
      <c r="I49">
        <v>5000</v>
      </c>
      <c r="K49">
        <v>-6.1891585999999998</v>
      </c>
      <c r="L49">
        <v>106.8397738</v>
      </c>
    </row>
    <row r="50" spans="1:12" x14ac:dyDescent="0.25">
      <c r="A50">
        <v>49</v>
      </c>
      <c r="B50" t="s">
        <v>146</v>
      </c>
      <c r="C50" t="s">
        <v>147</v>
      </c>
      <c r="D50" t="e" cm="1">
        <f t="array" aca="1" ref="D50" ca="1">TRANSLATE(Table3[[#This Row],[Description]],"id","en")</f>
        <v>#NAME?</v>
      </c>
      <c r="E50" t="s">
        <v>45</v>
      </c>
      <c r="F50">
        <f>_xlfn.XLOOKUP(Table3[[#This Row],[Category]],Table10[category],Table10[category_id],"Not found")</f>
        <v>2</v>
      </c>
      <c r="G50" t="str">
        <f>_xlfn.XLOOKUP(Table3[[#This Row],[Place_Id]],Table7[place_id],Table7[city3],"Not found")</f>
        <v>Central Jakarta</v>
      </c>
      <c r="H50">
        <f>_xlfn.XLOOKUP(Table3[[#This Row],[City]],Table5[city_name],Table5[city_id],"Not found")</f>
        <v>9</v>
      </c>
      <c r="I50">
        <v>0</v>
      </c>
      <c r="J50">
        <v>90</v>
      </c>
      <c r="K50">
        <v>-6.1948499000000004</v>
      </c>
      <c r="L50">
        <v>106.8200607</v>
      </c>
    </row>
    <row r="51" spans="1:12" x14ac:dyDescent="0.25">
      <c r="A51">
        <v>50</v>
      </c>
      <c r="B51" t="s">
        <v>148</v>
      </c>
      <c r="C51" t="s">
        <v>149</v>
      </c>
      <c r="D51" t="e" cm="1">
        <f t="array" aca="1" ref="D51" ca="1">TRANSLATE(Table3[[#This Row],[Description]],"id","en")</f>
        <v>#NAME?</v>
      </c>
      <c r="E51" t="s">
        <v>45</v>
      </c>
      <c r="F51">
        <f>_xlfn.XLOOKUP(Table3[[#This Row],[Category]],Table10[category],Table10[category_id],"Not found")</f>
        <v>2</v>
      </c>
      <c r="G51" t="str">
        <f>_xlfn.XLOOKUP(Table3[[#This Row],[Place_Id]],Table7[place_id],Table7[city3],"Not found")</f>
        <v>Central Jakarta</v>
      </c>
      <c r="H51">
        <f>_xlfn.XLOOKUP(Table3[[#This Row],[City]],Table5[city_name],Table5[city_id],"Not found")</f>
        <v>9</v>
      </c>
      <c r="I51">
        <v>2000</v>
      </c>
      <c r="K51">
        <v>-6.1861838000000002</v>
      </c>
      <c r="L51">
        <v>106.8364761</v>
      </c>
    </row>
    <row r="52" spans="1:12" x14ac:dyDescent="0.25">
      <c r="A52">
        <v>51</v>
      </c>
      <c r="B52" t="s">
        <v>150</v>
      </c>
      <c r="C52" t="s">
        <v>151</v>
      </c>
      <c r="D52" t="e" cm="1">
        <f t="array" aca="1" ref="D52" ca="1">TRANSLATE(Table3[[#This Row],[Description]],"id","en")</f>
        <v>#NAME?</v>
      </c>
      <c r="E52" t="s">
        <v>51</v>
      </c>
      <c r="F52">
        <f>_xlfn.XLOOKUP(Table3[[#This Row],[Category]],Table10[category],Table10[category_id],"Not found")</f>
        <v>5</v>
      </c>
      <c r="G52" t="str">
        <f>_xlfn.XLOOKUP(Table3[[#This Row],[Place_Id]],Table7[place_id],Table7[city3],"Not found")</f>
        <v>Central Jakarta</v>
      </c>
      <c r="H52">
        <f>_xlfn.XLOOKUP(Table3[[#This Row],[City]],Table5[city_name],Table5[city_id],"Not found")</f>
        <v>9</v>
      </c>
      <c r="I52">
        <v>12000</v>
      </c>
      <c r="J52">
        <v>120</v>
      </c>
      <c r="K52">
        <v>-6.1900819</v>
      </c>
      <c r="L52">
        <v>106.8388532</v>
      </c>
    </row>
    <row r="53" spans="1:12" ht="60" x14ac:dyDescent="0.25">
      <c r="A53">
        <v>52</v>
      </c>
      <c r="B53" t="s">
        <v>152</v>
      </c>
      <c r="C53" s="3" t="s">
        <v>153</v>
      </c>
      <c r="D53" s="3" t="e" cm="1">
        <f t="array" aca="1" ref="D53" ca="1">TRANSLATE(Table3[[#This Row],[Description]],"id","en")</f>
        <v>#NAME?</v>
      </c>
      <c r="E53" t="s">
        <v>45</v>
      </c>
      <c r="F53">
        <f>_xlfn.XLOOKUP(Table3[[#This Row],[Category]],Table10[category],Table10[category_id],"Not found")</f>
        <v>2</v>
      </c>
      <c r="G53" t="str">
        <f>_xlfn.XLOOKUP(Table3[[#This Row],[Place_Id]],Table7[place_id],Table7[city3],"Not found")</f>
        <v>East Jakarta</v>
      </c>
      <c r="H53">
        <f>_xlfn.XLOOKUP(Table3[[#This Row],[City]],Table5[city_name],Table5[city_id],"Not found")</f>
        <v>10</v>
      </c>
      <c r="I53">
        <v>15000</v>
      </c>
      <c r="K53">
        <v>-6.3651356999999997</v>
      </c>
      <c r="L53">
        <v>106.7617984</v>
      </c>
    </row>
    <row r="54" spans="1:12" x14ac:dyDescent="0.25">
      <c r="A54">
        <v>53</v>
      </c>
      <c r="B54" t="s">
        <v>154</v>
      </c>
      <c r="C54" t="s">
        <v>155</v>
      </c>
      <c r="D54" t="e" cm="1">
        <f t="array" aca="1" ref="D54" ca="1">TRANSLATE(Table3[[#This Row],[Description]],"id","en")</f>
        <v>#NAME?</v>
      </c>
      <c r="E54" t="s">
        <v>45</v>
      </c>
      <c r="F54">
        <f>_xlfn.XLOOKUP(Table3[[#This Row],[Category]],Table10[category],Table10[category_id],"Not found")</f>
        <v>2</v>
      </c>
      <c r="G54" t="str">
        <f>_xlfn.XLOOKUP(Table3[[#This Row],[Place_Id]],Table7[place_id],Table7[city3],"Not found")</f>
        <v>North Jakarta</v>
      </c>
      <c r="H54">
        <f>_xlfn.XLOOKUP(Table3[[#This Row],[City]],Table5[city_name],Table5[city_id],"Not found")</f>
        <v>11</v>
      </c>
      <c r="I54">
        <v>5000</v>
      </c>
      <c r="J54">
        <v>90</v>
      </c>
      <c r="K54">
        <v>-6.1001599999999998</v>
      </c>
      <c r="L54">
        <v>106.96057</v>
      </c>
    </row>
    <row r="55" spans="1:12" x14ac:dyDescent="0.25">
      <c r="A55">
        <v>54</v>
      </c>
      <c r="B55" t="s">
        <v>156</v>
      </c>
      <c r="C55" t="s">
        <v>157</v>
      </c>
      <c r="D55" t="e" cm="1">
        <f t="array" aca="1" ref="D55" ca="1">TRANSLATE(Table3[[#This Row],[Description]],"id","en")</f>
        <v>#NAME?</v>
      </c>
      <c r="E55" t="s">
        <v>51</v>
      </c>
      <c r="F55">
        <f>_xlfn.XLOOKUP(Table3[[#This Row],[Category]],Table10[category],Table10[category_id],"Not found")</f>
        <v>5</v>
      </c>
      <c r="G55" t="str">
        <f>_xlfn.XLOOKUP(Table3[[#This Row],[Place_Id]],Table7[place_id],Table7[city3],"Not found")</f>
        <v>East Jakarta</v>
      </c>
      <c r="H55">
        <f>_xlfn.XLOOKUP(Table3[[#This Row],[City]],Table5[city_name],Table5[city_id],"Not found")</f>
        <v>10</v>
      </c>
      <c r="I55">
        <v>0</v>
      </c>
      <c r="K55">
        <v>-6.3401513999999999</v>
      </c>
      <c r="L55">
        <v>106.9012561</v>
      </c>
    </row>
    <row r="56" spans="1:12" x14ac:dyDescent="0.25">
      <c r="A56">
        <v>55</v>
      </c>
      <c r="B56" t="s">
        <v>158</v>
      </c>
      <c r="C56" t="s">
        <v>159</v>
      </c>
      <c r="D56" t="e" cm="1">
        <f t="array" aca="1" ref="D56" ca="1">TRANSLATE(Table3[[#This Row],[Description]],"id","en")</f>
        <v>#NAME?</v>
      </c>
      <c r="E56" t="s">
        <v>93</v>
      </c>
      <c r="F56">
        <f>_xlfn.XLOOKUP(Table3[[#This Row],[Category]],Table10[category],Table10[category_id],"Not found")</f>
        <v>6</v>
      </c>
      <c r="G56" t="str">
        <f>_xlfn.XLOOKUP(Table3[[#This Row],[Place_Id]],Table7[place_id],Table7[city3],"Not found")</f>
        <v>West Jakarta</v>
      </c>
      <c r="H56">
        <f>_xlfn.XLOOKUP(Table3[[#This Row],[City]],Table5[city_name],Table5[city_id],"Not found")</f>
        <v>14</v>
      </c>
      <c r="I56">
        <v>0</v>
      </c>
      <c r="K56">
        <v>-6.1444736999999998</v>
      </c>
      <c r="L56">
        <v>106.8126018</v>
      </c>
    </row>
    <row r="57" spans="1:12" x14ac:dyDescent="0.25">
      <c r="A57">
        <v>56</v>
      </c>
      <c r="B57" t="s">
        <v>160</v>
      </c>
      <c r="C57" t="s">
        <v>161</v>
      </c>
      <c r="D57" t="e" cm="1">
        <f t="array" aca="1" ref="D57" ca="1">TRANSLATE(Table3[[#This Row],[Description]],"id","en")</f>
        <v>#NAME?</v>
      </c>
      <c r="E57" t="s">
        <v>65</v>
      </c>
      <c r="F57">
        <f>_xlfn.XLOOKUP(Table3[[#This Row],[Category]],Table10[category],Table10[category_id],"Not found")</f>
        <v>1</v>
      </c>
      <c r="G57" t="str">
        <f>_xlfn.XLOOKUP(Table3[[#This Row],[Place_Id]],Table7[place_id],Table7[city3],"Not found")</f>
        <v>North Jakarta</v>
      </c>
      <c r="H57">
        <f>_xlfn.XLOOKUP(Table3[[#This Row],[City]],Table5[city_name],Table5[city_id],"Not found")</f>
        <v>11</v>
      </c>
      <c r="I57">
        <v>25000</v>
      </c>
      <c r="K57">
        <v>-6.1194214999999996</v>
      </c>
      <c r="L57">
        <v>106.8502435</v>
      </c>
    </row>
    <row r="58" spans="1:12" x14ac:dyDescent="0.25">
      <c r="A58">
        <v>57</v>
      </c>
      <c r="B58" t="s">
        <v>162</v>
      </c>
      <c r="C58" t="s">
        <v>163</v>
      </c>
      <c r="D58" t="e" cm="1">
        <f t="array" aca="1" ref="D58" ca="1">TRANSLATE(Table3[[#This Row],[Description]],"id","en")</f>
        <v>#NAME?</v>
      </c>
      <c r="E58" t="s">
        <v>51</v>
      </c>
      <c r="F58">
        <f>_xlfn.XLOOKUP(Table3[[#This Row],[Category]],Table10[category],Table10[category_id],"Not found")</f>
        <v>5</v>
      </c>
      <c r="G58" t="str">
        <f>_xlfn.XLOOKUP(Table3[[#This Row],[Place_Id]],Table7[place_id],Table7[city3],"Not found")</f>
        <v>Central Jakarta</v>
      </c>
      <c r="H58">
        <f>_xlfn.XLOOKUP(Table3[[#This Row],[City]],Table5[city_name],Table5[city_id],"Not found")</f>
        <v>9</v>
      </c>
      <c r="I58">
        <v>0</v>
      </c>
      <c r="K58">
        <v>-6.1705550000000002</v>
      </c>
      <c r="L58">
        <v>106.83503779999999</v>
      </c>
    </row>
    <row r="59" spans="1:12" x14ac:dyDescent="0.25">
      <c r="A59">
        <v>58</v>
      </c>
      <c r="B59" t="s">
        <v>164</v>
      </c>
      <c r="C59" t="s">
        <v>165</v>
      </c>
      <c r="D59" t="e" cm="1">
        <f t="array" aca="1" ref="D59" ca="1">TRANSLATE(Table3[[#This Row],[Description]],"id","en")</f>
        <v>#NAME?</v>
      </c>
      <c r="E59" t="s">
        <v>51</v>
      </c>
      <c r="F59">
        <f>_xlfn.XLOOKUP(Table3[[#This Row],[Category]],Table10[category],Table10[category_id],"Not found")</f>
        <v>5</v>
      </c>
      <c r="G59" t="str">
        <f>_xlfn.XLOOKUP(Table3[[#This Row],[Place_Id]],Table7[place_id],Table7[city3],"Not found")</f>
        <v>South Jakarta</v>
      </c>
      <c r="H59">
        <f>_xlfn.XLOOKUP(Table3[[#This Row],[City]],Table5[city_name],Table5[city_id],"Not found")</f>
        <v>12</v>
      </c>
      <c r="I59">
        <v>0</v>
      </c>
      <c r="J59">
        <v>45</v>
      </c>
      <c r="K59">
        <v>-6.2452294000000004</v>
      </c>
      <c r="L59">
        <v>106.79466549999999</v>
      </c>
    </row>
    <row r="60" spans="1:12" ht="60" x14ac:dyDescent="0.25">
      <c r="A60">
        <v>59</v>
      </c>
      <c r="B60" t="s">
        <v>166</v>
      </c>
      <c r="C60" s="3" t="s">
        <v>167</v>
      </c>
      <c r="D60" s="3" t="e" cm="1">
        <f t="array" aca="1" ref="D60" ca="1">TRANSLATE(Table3[[#This Row],[Description]],"id","en")</f>
        <v>#NAME?</v>
      </c>
      <c r="E60" t="s">
        <v>45</v>
      </c>
      <c r="F60">
        <f>_xlfn.XLOOKUP(Table3[[#This Row],[Category]],Table10[category],Table10[category_id],"Not found")</f>
        <v>2</v>
      </c>
      <c r="G60" t="str">
        <f>_xlfn.XLOOKUP(Table3[[#This Row],[Place_Id]],Table7[place_id],Table7[city3],"Not found")</f>
        <v>Central Jakarta</v>
      </c>
      <c r="H60">
        <f>_xlfn.XLOOKUP(Table3[[#This Row],[City]],Table5[city_name],Table5[city_id],"Not found")</f>
        <v>9</v>
      </c>
      <c r="I60">
        <v>2000</v>
      </c>
      <c r="K60">
        <v>-6.1838388000000002</v>
      </c>
      <c r="L60">
        <v>106.84305070000001</v>
      </c>
    </row>
    <row r="61" spans="1:12" x14ac:dyDescent="0.25">
      <c r="A61">
        <v>60</v>
      </c>
      <c r="B61" t="s">
        <v>168</v>
      </c>
      <c r="C61" t="s">
        <v>169</v>
      </c>
      <c r="D61" t="e" cm="1">
        <f t="array" aca="1" ref="D61" ca="1">TRANSLATE(Table3[[#This Row],[Description]],"id","en")</f>
        <v>#NAME?</v>
      </c>
      <c r="E61" t="s">
        <v>45</v>
      </c>
      <c r="F61">
        <f>_xlfn.XLOOKUP(Table3[[#This Row],[Category]],Table10[category],Table10[category_id],"Not found")</f>
        <v>2</v>
      </c>
      <c r="G61" t="str">
        <f>_xlfn.XLOOKUP(Table3[[#This Row],[Place_Id]],Table7[place_id],Table7[city3],"Not found")</f>
        <v>West Jakarta</v>
      </c>
      <c r="H61">
        <f>_xlfn.XLOOKUP(Table3[[#This Row],[City]],Table5[city_name],Table5[city_id],"Not found")</f>
        <v>14</v>
      </c>
      <c r="I61">
        <v>5000</v>
      </c>
      <c r="J61">
        <v>45</v>
      </c>
      <c r="K61">
        <v>-6.1879634000000001</v>
      </c>
      <c r="L61">
        <v>106.80960810000001</v>
      </c>
    </row>
    <row r="62" spans="1:12" x14ac:dyDescent="0.25">
      <c r="A62">
        <v>61</v>
      </c>
      <c r="B62" t="s">
        <v>170</v>
      </c>
      <c r="C62" t="s">
        <v>171</v>
      </c>
      <c r="D62" t="e" cm="1">
        <f t="array" aca="1" ref="D62" ca="1">TRANSLATE(Table3[[#This Row],[Description]],"id","en")</f>
        <v>#NAME?</v>
      </c>
      <c r="E62" t="s">
        <v>45</v>
      </c>
      <c r="F62">
        <f>_xlfn.XLOOKUP(Table3[[#This Row],[Category]],Table10[category],Table10[category_id],"Not found")</f>
        <v>2</v>
      </c>
      <c r="G62" t="str">
        <f>_xlfn.XLOOKUP(Table3[[#This Row],[Place_Id]],Table7[place_id],Table7[city3],"Not found")</f>
        <v>Central Jakarta</v>
      </c>
      <c r="H62">
        <f>_xlfn.XLOOKUP(Table3[[#This Row],[City]],Table5[city_name],Table5[city_id],"Not found")</f>
        <v>9</v>
      </c>
      <c r="I62">
        <v>0</v>
      </c>
      <c r="K62">
        <v>-6.2030468000000001</v>
      </c>
      <c r="L62">
        <v>106.84666230000001</v>
      </c>
    </row>
    <row r="63" spans="1:12" x14ac:dyDescent="0.25">
      <c r="A63">
        <v>62</v>
      </c>
      <c r="B63" t="s">
        <v>172</v>
      </c>
      <c r="C63" t="s">
        <v>173</v>
      </c>
      <c r="D63" t="e" cm="1">
        <f t="array" aca="1" ref="D63" ca="1">TRANSLATE(Table3[[#This Row],[Description]],"id","en")</f>
        <v>#NAME?</v>
      </c>
      <c r="E63" t="s">
        <v>51</v>
      </c>
      <c r="F63">
        <f>_xlfn.XLOOKUP(Table3[[#This Row],[Category]],Table10[category],Table10[category_id],"Not found")</f>
        <v>5</v>
      </c>
      <c r="G63" t="str">
        <f>_xlfn.XLOOKUP(Table3[[#This Row],[Place_Id]],Table7[place_id],Table7[city3],"Not found")</f>
        <v>East Jakarta</v>
      </c>
      <c r="H63">
        <f>_xlfn.XLOOKUP(Table3[[#This Row],[City]],Table5[city_name],Table5[city_id],"Not found")</f>
        <v>10</v>
      </c>
      <c r="I63">
        <v>30000</v>
      </c>
      <c r="K63">
        <v>-6.3039041999999998</v>
      </c>
      <c r="L63">
        <v>106.8936219</v>
      </c>
    </row>
    <row r="64" spans="1:12" x14ac:dyDescent="0.25">
      <c r="A64">
        <v>63</v>
      </c>
      <c r="B64" t="s">
        <v>174</v>
      </c>
      <c r="C64" t="s">
        <v>175</v>
      </c>
      <c r="D64" t="e" cm="1">
        <f t="array" aca="1" ref="D64" ca="1">TRANSLATE(Table3[[#This Row],[Description]],"id","en")</f>
        <v>#NAME?</v>
      </c>
      <c r="E64" t="s">
        <v>45</v>
      </c>
      <c r="F64">
        <f>_xlfn.XLOOKUP(Table3[[#This Row],[Category]],Table10[category],Table10[category_id],"Not found")</f>
        <v>2</v>
      </c>
      <c r="G64" t="str">
        <f>_xlfn.XLOOKUP(Table3[[#This Row],[Place_Id]],Table7[place_id],Table7[city3],"Not found")</f>
        <v>Central Jakarta</v>
      </c>
      <c r="H64">
        <f>_xlfn.XLOOKUP(Table3[[#This Row],[City]],Table5[city_name],Table5[city_id],"Not found")</f>
        <v>9</v>
      </c>
      <c r="I64">
        <v>2000</v>
      </c>
      <c r="J64">
        <v>45</v>
      </c>
      <c r="K64">
        <v>-6.1783520000000003</v>
      </c>
      <c r="L64">
        <v>106.838094</v>
      </c>
    </row>
    <row r="65" spans="1:12" x14ac:dyDescent="0.25">
      <c r="A65">
        <v>64</v>
      </c>
      <c r="B65" t="s">
        <v>176</v>
      </c>
      <c r="C65" t="s">
        <v>177</v>
      </c>
      <c r="D65" t="e" cm="1">
        <f t="array" aca="1" ref="D65" ca="1">TRANSLATE(Table3[[#This Row],[Description]],"id","en")</f>
        <v>#NAME?</v>
      </c>
      <c r="E65" t="s">
        <v>45</v>
      </c>
      <c r="F65">
        <f>_xlfn.XLOOKUP(Table3[[#This Row],[Category]],Table10[category],Table10[category_id],"Not found")</f>
        <v>2</v>
      </c>
      <c r="G65" t="str">
        <f>_xlfn.XLOOKUP(Table3[[#This Row],[Place_Id]],Table7[place_id],Table7[city3],"Not found")</f>
        <v>Central Jakarta</v>
      </c>
      <c r="H65">
        <f>_xlfn.XLOOKUP(Table3[[#This Row],[City]],Table5[city_name],Table5[city_id],"Not found")</f>
        <v>9</v>
      </c>
      <c r="I65">
        <v>2000</v>
      </c>
      <c r="J65">
        <v>45</v>
      </c>
      <c r="K65">
        <v>-6.2046302999999998</v>
      </c>
      <c r="L65">
        <v>106.8365324</v>
      </c>
    </row>
    <row r="66" spans="1:12" ht="45" x14ac:dyDescent="0.25">
      <c r="A66">
        <v>65</v>
      </c>
      <c r="B66" t="s">
        <v>178</v>
      </c>
      <c r="C66" s="3" t="s">
        <v>179</v>
      </c>
      <c r="D66" s="3" t="e" cm="1">
        <f t="array" aca="1" ref="D66" ca="1">TRANSLATE(Table3[[#This Row],[Description]],"id","en")</f>
        <v>#NAME?</v>
      </c>
      <c r="E66" t="s">
        <v>45</v>
      </c>
      <c r="F66">
        <f>_xlfn.XLOOKUP(Table3[[#This Row],[Category]],Table10[category],Table10[category_id],"Not found")</f>
        <v>2</v>
      </c>
      <c r="G66" t="str">
        <f>_xlfn.XLOOKUP(Table3[[#This Row],[Place_Id]],Table7[place_id],Table7[city3],"Not found")</f>
        <v>South Jakarta</v>
      </c>
      <c r="H66">
        <f>_xlfn.XLOOKUP(Table3[[#This Row],[City]],Table5[city_name],Table5[city_id],"Not found")</f>
        <v>12</v>
      </c>
      <c r="I66">
        <v>1000</v>
      </c>
      <c r="J66">
        <v>90</v>
      </c>
      <c r="K66">
        <v>-6.2897885000000002</v>
      </c>
      <c r="L66">
        <v>106.79326810000001</v>
      </c>
    </row>
    <row r="67" spans="1:12" x14ac:dyDescent="0.25">
      <c r="A67">
        <v>66</v>
      </c>
      <c r="B67" t="s">
        <v>180</v>
      </c>
      <c r="C67" t="s">
        <v>181</v>
      </c>
      <c r="D67" t="e" cm="1">
        <f t="array" aca="1" ref="D67" ca="1">TRANSLATE(Table3[[#This Row],[Description]],"id","en")</f>
        <v>#NAME?</v>
      </c>
      <c r="E67" t="s">
        <v>45</v>
      </c>
      <c r="F67">
        <f>_xlfn.XLOOKUP(Table3[[#This Row],[Category]],Table10[category],Table10[category_id],"Not found")</f>
        <v>2</v>
      </c>
      <c r="G67" t="str">
        <f>_xlfn.XLOOKUP(Table3[[#This Row],[Place_Id]],Table7[place_id],Table7[city3],"Not found")</f>
        <v>South Jakarta</v>
      </c>
      <c r="H67">
        <f>_xlfn.XLOOKUP(Table3[[#This Row],[City]],Table5[city_name],Table5[city_id],"Not found")</f>
        <v>12</v>
      </c>
      <c r="I67">
        <v>10000</v>
      </c>
      <c r="J67">
        <v>90</v>
      </c>
      <c r="K67">
        <v>-6.3080281999999999</v>
      </c>
      <c r="L67">
        <v>106.790548</v>
      </c>
    </row>
    <row r="68" spans="1:12" x14ac:dyDescent="0.25">
      <c r="A68">
        <v>67</v>
      </c>
      <c r="B68" t="s">
        <v>182</v>
      </c>
      <c r="C68" t="s">
        <v>183</v>
      </c>
      <c r="D68" t="e" cm="1">
        <f t="array" aca="1" ref="D68" ca="1">TRANSLATE(Table3[[#This Row],[Description]],"id","en")</f>
        <v>#NAME?</v>
      </c>
      <c r="E68" t="s">
        <v>60</v>
      </c>
      <c r="F68">
        <f>_xlfn.XLOOKUP(Table3[[#This Row],[Category]],Table10[category],Table10[category_id],"Not found")</f>
        <v>3</v>
      </c>
      <c r="G68" t="str">
        <f>_xlfn.XLOOKUP(Table3[[#This Row],[Place_Id]],Table7[place_id],Table7[city3],"Not found")</f>
        <v>North Jakarta</v>
      </c>
      <c r="H68">
        <f>_xlfn.XLOOKUP(Table3[[#This Row],[City]],Table5[city_name],Table5[city_id],"Not found")</f>
        <v>11</v>
      </c>
      <c r="I68">
        <v>25000</v>
      </c>
      <c r="J68">
        <v>15</v>
      </c>
      <c r="K68">
        <v>-6.1160075000000003</v>
      </c>
      <c r="L68">
        <v>106.7692016</v>
      </c>
    </row>
    <row r="69" spans="1:12" x14ac:dyDescent="0.25">
      <c r="A69">
        <v>68</v>
      </c>
      <c r="B69" t="s">
        <v>184</v>
      </c>
      <c r="C69" t="s">
        <v>185</v>
      </c>
      <c r="D69" t="e" cm="1">
        <f t="array" aca="1" ref="D69" ca="1">TRANSLATE(Table3[[#This Row],[Description]],"id","en")</f>
        <v>#NAME?</v>
      </c>
      <c r="E69" t="s">
        <v>78</v>
      </c>
      <c r="F69">
        <f>_xlfn.XLOOKUP(Table3[[#This Row],[Category]],Table10[category],Table10[category_id],"Not found")</f>
        <v>4</v>
      </c>
      <c r="G69" t="str">
        <f>_xlfn.XLOOKUP(Table3[[#This Row],[Place_Id]],Table7[place_id],Table7[city3],"Not found")</f>
        <v>West Jakarta</v>
      </c>
      <c r="H69">
        <f>_xlfn.XLOOKUP(Table3[[#This Row],[City]],Table5[city_name],Table5[city_id],"Not found")</f>
        <v>14</v>
      </c>
      <c r="I69">
        <v>0</v>
      </c>
      <c r="J69">
        <v>45</v>
      </c>
      <c r="K69">
        <v>-6.1436722000000001</v>
      </c>
      <c r="L69">
        <v>106.8129398</v>
      </c>
    </row>
    <row r="70" spans="1:12" ht="45" x14ac:dyDescent="0.25">
      <c r="A70">
        <v>69</v>
      </c>
      <c r="B70" t="s">
        <v>186</v>
      </c>
      <c r="C70" s="3" t="s">
        <v>187</v>
      </c>
      <c r="D70" s="3" t="e" cm="1">
        <f t="array" aca="1" ref="D70" ca="1">TRANSLATE(Table3[[#This Row],[Description]],"id","en")</f>
        <v>#NAME?</v>
      </c>
      <c r="E70" t="s">
        <v>45</v>
      </c>
      <c r="F70">
        <f>_xlfn.XLOOKUP(Table3[[#This Row],[Category]],Table10[category],Table10[category_id],"Not found")</f>
        <v>2</v>
      </c>
      <c r="G70" t="str">
        <f>_xlfn.XLOOKUP(Table3[[#This Row],[Place_Id]],Table7[place_id],Table7[city3],"Not found")</f>
        <v>Central Jakarta</v>
      </c>
      <c r="H70">
        <f>_xlfn.XLOOKUP(Table3[[#This Row],[City]],Table5[city_name],Table5[city_id],"Not found")</f>
        <v>9</v>
      </c>
      <c r="I70">
        <v>0</v>
      </c>
      <c r="K70">
        <v>-6.2022481999999997</v>
      </c>
      <c r="L70">
        <v>106.8451968</v>
      </c>
    </row>
    <row r="71" spans="1:12" x14ac:dyDescent="0.25">
      <c r="A71">
        <v>70</v>
      </c>
      <c r="B71" t="s">
        <v>188</v>
      </c>
      <c r="C71" t="s">
        <v>189</v>
      </c>
      <c r="D71" t="e" cm="1">
        <f t="array" aca="1" ref="D71" ca="1">TRANSLATE(Table3[[#This Row],[Description]],"id","en")</f>
        <v>#NAME?</v>
      </c>
      <c r="E71" t="s">
        <v>45</v>
      </c>
      <c r="F71">
        <f>_xlfn.XLOOKUP(Table3[[#This Row],[Category]],Table10[category],Table10[category_id],"Not found")</f>
        <v>2</v>
      </c>
      <c r="G71" t="str">
        <f>_xlfn.XLOOKUP(Table3[[#This Row],[Place_Id]],Table7[place_id],Table7[city3],"Not found")</f>
        <v>Central Jakarta</v>
      </c>
      <c r="H71">
        <f>_xlfn.XLOOKUP(Table3[[#This Row],[City]],Table5[city_name],Table5[city_id],"Not found")</f>
        <v>9</v>
      </c>
      <c r="I71">
        <v>0</v>
      </c>
      <c r="J71">
        <v>240</v>
      </c>
      <c r="K71">
        <v>-6.1812918000000003</v>
      </c>
      <c r="L71">
        <v>106.8268717</v>
      </c>
    </row>
    <row r="72" spans="1:12" x14ac:dyDescent="0.25">
      <c r="A72">
        <v>71</v>
      </c>
      <c r="B72" t="s">
        <v>190</v>
      </c>
      <c r="C72" t="s">
        <v>191</v>
      </c>
      <c r="D72" t="e" cm="1">
        <f t="array" aca="1" ref="D72" ca="1">TRANSLATE(Table3[[#This Row],[Description]],"id","en")</f>
        <v>#NAME?</v>
      </c>
      <c r="E72" t="s">
        <v>60</v>
      </c>
      <c r="F72">
        <f>_xlfn.XLOOKUP(Table3[[#This Row],[Category]],Table10[category],Table10[category_id],"Not found")</f>
        <v>3</v>
      </c>
      <c r="G72" t="str">
        <f>_xlfn.XLOOKUP(Table3[[#This Row],[Place_Id]],Table7[place_id],Table7[city3],"Not found")</f>
        <v>East Jakarta</v>
      </c>
      <c r="H72">
        <f>_xlfn.XLOOKUP(Table3[[#This Row],[City]],Table5[city_name],Table5[city_id],"Not found")</f>
        <v>10</v>
      </c>
      <c r="I72">
        <v>50000</v>
      </c>
      <c r="K72">
        <v>-6.3799969000000001</v>
      </c>
      <c r="L72">
        <v>106.8949793</v>
      </c>
    </row>
    <row r="73" spans="1:12" x14ac:dyDescent="0.25">
      <c r="A73">
        <v>72</v>
      </c>
      <c r="B73" t="s">
        <v>192</v>
      </c>
      <c r="C73" t="s">
        <v>193</v>
      </c>
      <c r="D73" t="e" cm="1">
        <f t="array" aca="1" ref="D73" ca="1">TRANSLATE(Table3[[#This Row],[Description]],"id","en")</f>
        <v>#NAME?</v>
      </c>
      <c r="E73" t="s">
        <v>51</v>
      </c>
      <c r="F73">
        <f>_xlfn.XLOOKUP(Table3[[#This Row],[Category]],Table10[category],Table10[category_id],"Not found")</f>
        <v>5</v>
      </c>
      <c r="G73" t="str">
        <f>_xlfn.XLOOKUP(Table3[[#This Row],[Place_Id]],Table7[place_id],Table7[city3],"Not found")</f>
        <v>North Jakarta</v>
      </c>
      <c r="H73">
        <f>_xlfn.XLOOKUP(Table3[[#This Row],[City]],Table5[city_name],Table5[city_id],"Not found")</f>
        <v>11</v>
      </c>
      <c r="I73">
        <v>300000</v>
      </c>
      <c r="K73">
        <v>-6.1136559000000004</v>
      </c>
      <c r="L73">
        <v>106.7478596</v>
      </c>
    </row>
    <row r="74" spans="1:12" x14ac:dyDescent="0.25">
      <c r="A74">
        <v>73</v>
      </c>
      <c r="B74" t="s">
        <v>194</v>
      </c>
      <c r="C74" t="s">
        <v>195</v>
      </c>
      <c r="D74" t="e" cm="1">
        <f t="array" aca="1" ref="D74" ca="1">TRANSLATE(Table3[[#This Row],[Description]],"id","en")</f>
        <v>#NAME?</v>
      </c>
      <c r="E74" t="s">
        <v>45</v>
      </c>
      <c r="F74">
        <f>_xlfn.XLOOKUP(Table3[[#This Row],[Category]],Table10[category],Table10[category_id],"Not found")</f>
        <v>2</v>
      </c>
      <c r="G74" t="str">
        <f>_xlfn.XLOOKUP(Table3[[#This Row],[Place_Id]],Table7[place_id],Table7[city3],"Not found")</f>
        <v>East Jakarta</v>
      </c>
      <c r="H74">
        <f>_xlfn.XLOOKUP(Table3[[#This Row],[City]],Table5[city_name],Table5[city_id],"Not found")</f>
        <v>10</v>
      </c>
      <c r="I74">
        <v>5000</v>
      </c>
      <c r="K74">
        <v>-6.3041840999999996</v>
      </c>
      <c r="L74">
        <v>106.90177250000001</v>
      </c>
    </row>
    <row r="75" spans="1:12" x14ac:dyDescent="0.25">
      <c r="A75">
        <v>74</v>
      </c>
      <c r="B75" t="s">
        <v>196</v>
      </c>
      <c r="C75" t="s">
        <v>197</v>
      </c>
      <c r="D75" t="e" cm="1">
        <f t="array" aca="1" ref="D75" ca="1">TRANSLATE(Table3[[#This Row],[Description]],"id","en")</f>
        <v>#NAME?</v>
      </c>
      <c r="E75" t="s">
        <v>45</v>
      </c>
      <c r="F75">
        <f>_xlfn.XLOOKUP(Table3[[#This Row],[Category]],Table10[category],Table10[category_id],"Not found")</f>
        <v>2</v>
      </c>
      <c r="G75" t="str">
        <f>_xlfn.XLOOKUP(Table3[[#This Row],[Place_Id]],Table7[place_id],Table7[city3],"Not found")</f>
        <v>South Jakarta</v>
      </c>
      <c r="H75">
        <f>_xlfn.XLOOKUP(Table3[[#This Row],[City]],Table5[city_name],Table5[city_id],"Not found")</f>
        <v>12</v>
      </c>
      <c r="I75">
        <v>0</v>
      </c>
      <c r="J75">
        <v>120</v>
      </c>
      <c r="K75">
        <v>-6.2675130000000001</v>
      </c>
      <c r="L75">
        <v>106.824107</v>
      </c>
    </row>
    <row r="76" spans="1:12" x14ac:dyDescent="0.25">
      <c r="A76">
        <v>75</v>
      </c>
      <c r="B76" t="s">
        <v>198</v>
      </c>
      <c r="C76" t="s">
        <v>199</v>
      </c>
      <c r="D76" t="e" cm="1">
        <f t="array" aca="1" ref="D76" ca="1">TRANSLATE(Table3[[#This Row],[Description]],"id","en")</f>
        <v>#NAME?</v>
      </c>
      <c r="E76" t="s">
        <v>51</v>
      </c>
      <c r="F76">
        <f>_xlfn.XLOOKUP(Table3[[#This Row],[Category]],Table10[category],Table10[category_id],"Not found")</f>
        <v>5</v>
      </c>
      <c r="G76" t="str">
        <f>_xlfn.XLOOKUP(Table3[[#This Row],[Place_Id]],Table7[place_id],Table7[city3],"Not found")</f>
        <v>East Jakarta</v>
      </c>
      <c r="H76">
        <f>_xlfn.XLOOKUP(Table3[[#This Row],[City]],Table5[city_name],Table5[city_id],"Not found")</f>
        <v>10</v>
      </c>
      <c r="I76">
        <v>180000</v>
      </c>
      <c r="K76">
        <v>-6.2992717999999996</v>
      </c>
      <c r="L76">
        <v>106.89151</v>
      </c>
    </row>
    <row r="77" spans="1:12" x14ac:dyDescent="0.25">
      <c r="A77">
        <v>76</v>
      </c>
      <c r="B77" t="s">
        <v>200</v>
      </c>
      <c r="C77" t="s">
        <v>201</v>
      </c>
      <c r="D77" t="e" cm="1">
        <f t="array" aca="1" ref="D77" ca="1">TRANSLATE(Table3[[#This Row],[Description]],"id","en")</f>
        <v>#NAME?</v>
      </c>
      <c r="E77" t="s">
        <v>51</v>
      </c>
      <c r="F77">
        <f>_xlfn.XLOOKUP(Table3[[#This Row],[Category]],Table10[category],Table10[category_id],"Not found")</f>
        <v>5</v>
      </c>
      <c r="G77" t="str">
        <f>_xlfn.XLOOKUP(Table3[[#This Row],[Place_Id]],Table7[place_id],Table7[city3],"Not found")</f>
        <v>West Jakarta</v>
      </c>
      <c r="H77">
        <f>_xlfn.XLOOKUP(Table3[[#This Row],[City]],Table5[city_name],Table5[city_id],"Not found")</f>
        <v>14</v>
      </c>
      <c r="I77">
        <v>20000</v>
      </c>
      <c r="K77">
        <v>-6.1810843000000002</v>
      </c>
      <c r="L77">
        <v>106.7954476</v>
      </c>
    </row>
    <row r="78" spans="1:12" x14ac:dyDescent="0.25">
      <c r="A78">
        <v>77</v>
      </c>
      <c r="B78" t="s">
        <v>202</v>
      </c>
      <c r="C78" t="s">
        <v>203</v>
      </c>
      <c r="D78" t="e" cm="1">
        <f t="array" aca="1" ref="D78" ca="1">TRANSLATE(Table3[[#This Row],[Description]],"id","en")</f>
        <v>#NAME?</v>
      </c>
      <c r="E78" t="s">
        <v>51</v>
      </c>
      <c r="F78">
        <f>_xlfn.XLOOKUP(Table3[[#This Row],[Category]],Table10[category],Table10[category_id],"Not found")</f>
        <v>5</v>
      </c>
      <c r="G78" t="str">
        <f>_xlfn.XLOOKUP(Table3[[#This Row],[Place_Id]],Table7[place_id],Table7[city3],"Not found")</f>
        <v>South Jakarta</v>
      </c>
      <c r="H78">
        <f>_xlfn.XLOOKUP(Table3[[#This Row],[City]],Table5[city_name],Table5[city_id],"Not found")</f>
        <v>12</v>
      </c>
      <c r="I78">
        <v>0</v>
      </c>
      <c r="J78">
        <v>60</v>
      </c>
      <c r="K78">
        <v>-6.2371409</v>
      </c>
      <c r="L78">
        <v>106.8526505</v>
      </c>
    </row>
    <row r="79" spans="1:12" x14ac:dyDescent="0.25">
      <c r="A79">
        <v>78</v>
      </c>
      <c r="B79" t="s">
        <v>204</v>
      </c>
      <c r="C79" t="s">
        <v>205</v>
      </c>
      <c r="D79" t="e" cm="1">
        <f t="array" aca="1" ref="D79" ca="1">TRANSLATE(Table3[[#This Row],[Description]],"id","en")</f>
        <v>#NAME?</v>
      </c>
      <c r="E79" t="s">
        <v>51</v>
      </c>
      <c r="F79">
        <f>_xlfn.XLOOKUP(Table3[[#This Row],[Category]],Table10[category],Table10[category_id],"Not found")</f>
        <v>5</v>
      </c>
      <c r="G79" t="str">
        <f>_xlfn.XLOOKUP(Table3[[#This Row],[Place_Id]],Table7[place_id],Table7[city3],"Not found")</f>
        <v>West Jakarta</v>
      </c>
      <c r="H79">
        <f>_xlfn.XLOOKUP(Table3[[#This Row],[City]],Table5[city_name],Table5[city_id],"Not found")</f>
        <v>14</v>
      </c>
      <c r="I79">
        <v>1000</v>
      </c>
      <c r="K79">
        <v>-6.2106944999999998</v>
      </c>
      <c r="L79">
        <v>106.7643954</v>
      </c>
    </row>
    <row r="80" spans="1:12" x14ac:dyDescent="0.25">
      <c r="A80">
        <v>79</v>
      </c>
      <c r="B80" t="s">
        <v>206</v>
      </c>
      <c r="C80" t="s">
        <v>207</v>
      </c>
      <c r="D80" t="e" cm="1">
        <f t="array" aca="1" ref="D80" ca="1">TRANSLATE(Table3[[#This Row],[Description]],"id","en")</f>
        <v>#NAME?</v>
      </c>
      <c r="E80" t="s">
        <v>51</v>
      </c>
      <c r="F80">
        <f>_xlfn.XLOOKUP(Table3[[#This Row],[Category]],Table10[category],Table10[category_id],"Not found")</f>
        <v>5</v>
      </c>
      <c r="G80" t="str">
        <f>_xlfn.XLOOKUP(Table3[[#This Row],[Place_Id]],Table7[place_id],Table7[city3],"Not found")</f>
        <v>South Jakarta</v>
      </c>
      <c r="H80">
        <f>_xlfn.XLOOKUP(Table3[[#This Row],[City]],Table5[city_name],Table5[city_id],"Not found")</f>
        <v>12</v>
      </c>
      <c r="I80">
        <v>0</v>
      </c>
      <c r="J80">
        <v>30</v>
      </c>
      <c r="K80">
        <v>-6.3226133000000004</v>
      </c>
      <c r="L80">
        <v>106.8241871</v>
      </c>
    </row>
    <row r="81" spans="1:12" x14ac:dyDescent="0.25">
      <c r="A81">
        <v>80</v>
      </c>
      <c r="B81" t="s">
        <v>208</v>
      </c>
      <c r="C81" t="s">
        <v>209</v>
      </c>
      <c r="D81" t="e" cm="1">
        <f t="array" aca="1" ref="D81" ca="1">TRANSLATE(Table3[[#This Row],[Description]],"id","en")</f>
        <v>#NAME?</v>
      </c>
      <c r="E81" t="s">
        <v>78</v>
      </c>
      <c r="F81">
        <f>_xlfn.XLOOKUP(Table3[[#This Row],[Category]],Table10[category],Table10[category_id],"Not found")</f>
        <v>4</v>
      </c>
      <c r="G81" t="str">
        <f>_xlfn.XLOOKUP(Table3[[#This Row],[Place_Id]],Table7[place_id],Table7[city3],"Not found")</f>
        <v>Central Jakarta</v>
      </c>
      <c r="H81">
        <f>_xlfn.XLOOKUP(Table3[[#This Row],[City]],Table5[city_name],Table5[city_id],"Not found")</f>
        <v>9</v>
      </c>
      <c r="I81">
        <v>0</v>
      </c>
      <c r="J81">
        <v>120</v>
      </c>
      <c r="K81">
        <v>-6.1939259</v>
      </c>
      <c r="L81">
        <v>106.8222158</v>
      </c>
    </row>
    <row r="82" spans="1:12" x14ac:dyDescent="0.25">
      <c r="A82">
        <v>81</v>
      </c>
      <c r="B82" t="s">
        <v>210</v>
      </c>
      <c r="C82" t="s">
        <v>211</v>
      </c>
      <c r="D82" t="e" cm="1">
        <f t="array" aca="1" ref="D82" ca="1">TRANSLATE(Table3[[#This Row],[Description]],"id","en")</f>
        <v>#NAME?</v>
      </c>
      <c r="E82" t="s">
        <v>78</v>
      </c>
      <c r="F82">
        <f>_xlfn.XLOOKUP(Table3[[#This Row],[Category]],Table10[category],Table10[category_id],"Not found")</f>
        <v>4</v>
      </c>
      <c r="G82" t="str">
        <f>_xlfn.XLOOKUP(Table3[[#This Row],[Place_Id]],Table7[place_id],Table7[city3],"Not found")</f>
        <v>Central Jakarta</v>
      </c>
      <c r="H82">
        <f>_xlfn.XLOOKUP(Table3[[#This Row],[City]],Table5[city_name],Table5[city_id],"Not found")</f>
        <v>9</v>
      </c>
      <c r="I82">
        <v>0</v>
      </c>
      <c r="J82">
        <v>60</v>
      </c>
      <c r="K82">
        <v>-6.1946095999999997</v>
      </c>
      <c r="L82">
        <v>106.817905</v>
      </c>
    </row>
    <row r="83" spans="1:12" x14ac:dyDescent="0.25">
      <c r="A83">
        <v>82</v>
      </c>
      <c r="B83" t="s">
        <v>212</v>
      </c>
      <c r="C83" t="s">
        <v>213</v>
      </c>
      <c r="D83" t="e" cm="1">
        <f t="array" aca="1" ref="D83" ca="1">TRANSLATE(Table3[[#This Row],[Description]],"id","en")</f>
        <v>#NAME?</v>
      </c>
      <c r="E83" t="s">
        <v>45</v>
      </c>
      <c r="F83">
        <f>_xlfn.XLOOKUP(Table3[[#This Row],[Category]],Table10[category],Table10[category_id],"Not found")</f>
        <v>2</v>
      </c>
      <c r="G83" t="str">
        <f>_xlfn.XLOOKUP(Table3[[#This Row],[Place_Id]],Table7[place_id],Table7[city3],"Not found")</f>
        <v>South Jakarta</v>
      </c>
      <c r="H83">
        <f>_xlfn.XLOOKUP(Table3[[#This Row],[City]],Table5[city_name],Table5[city_id],"Not found")</f>
        <v>12</v>
      </c>
      <c r="I83">
        <v>5000</v>
      </c>
      <c r="J83">
        <v>150</v>
      </c>
      <c r="K83">
        <v>-6.2316985000000003</v>
      </c>
      <c r="L83">
        <v>106.81854250000001</v>
      </c>
    </row>
    <row r="84" spans="1:12" x14ac:dyDescent="0.25">
      <c r="A84">
        <v>83</v>
      </c>
      <c r="B84" t="s">
        <v>214</v>
      </c>
      <c r="C84" t="s">
        <v>215</v>
      </c>
      <c r="D84" t="e" cm="1">
        <f t="array" aca="1" ref="D84" ca="1">TRANSLATE(Table3[[#This Row],[Description]],"id","en")</f>
        <v>#NAME?</v>
      </c>
      <c r="E84" t="s">
        <v>51</v>
      </c>
      <c r="F84">
        <f>_xlfn.XLOOKUP(Table3[[#This Row],[Category]],Table10[category],Table10[category_id],"Not found")</f>
        <v>5</v>
      </c>
      <c r="G84" t="str">
        <f>_xlfn.XLOOKUP(Table3[[#This Row],[Place_Id]],Table7[place_id],Table7[city3],"Not found")</f>
        <v>North Jakarta</v>
      </c>
      <c r="H84">
        <f>_xlfn.XLOOKUP(Table3[[#This Row],[City]],Table5[city_name],Table5[city_id],"Not found")</f>
        <v>11</v>
      </c>
      <c r="I84">
        <v>200000</v>
      </c>
      <c r="K84">
        <v>-6.1175344000000003</v>
      </c>
      <c r="L84">
        <v>106.857313</v>
      </c>
    </row>
    <row r="85" spans="1:12" x14ac:dyDescent="0.25">
      <c r="A85">
        <v>84</v>
      </c>
      <c r="B85" t="s">
        <v>216</v>
      </c>
      <c r="C85" t="s">
        <v>217</v>
      </c>
      <c r="D85" t="e" cm="1">
        <f t="array" aca="1" ref="D85" ca="1">TRANSLATE(Table3[[#This Row],[Description]],"id","en")</f>
        <v>#NAME?</v>
      </c>
      <c r="E85" t="s">
        <v>78</v>
      </c>
      <c r="F85">
        <f>_xlfn.XLOOKUP(Table3[[#This Row],[Category]],Table10[category],Table10[category_id],"Not found")</f>
        <v>4</v>
      </c>
      <c r="G85" t="str">
        <f>_xlfn.XLOOKUP(Table3[[#This Row],[Place_Id]],Table7[place_id],Table7[city3],"Not found")</f>
        <v>Central Jakarta</v>
      </c>
      <c r="H85">
        <f>_xlfn.XLOOKUP(Table3[[#This Row],[City]],Table5[city_name],Table5[city_id],"Not found")</f>
        <v>9</v>
      </c>
      <c r="I85">
        <v>0</v>
      </c>
      <c r="K85">
        <v>-6.1842588000000003</v>
      </c>
      <c r="L85">
        <v>106.824033</v>
      </c>
    </row>
    <row r="86" spans="1:12" x14ac:dyDescent="0.25">
      <c r="A86">
        <v>85</v>
      </c>
      <c r="B86" t="s">
        <v>218</v>
      </c>
      <c r="C86" t="s">
        <v>219</v>
      </c>
      <c r="D86" t="e" cm="1">
        <f t="array" aca="1" ref="D86" ca="1">TRANSLATE(Table3[[#This Row],[Description]],"id","en")</f>
        <v>#NAME?</v>
      </c>
      <c r="E86" t="s">
        <v>51</v>
      </c>
      <c r="F86">
        <f>_xlfn.XLOOKUP(Table3[[#This Row],[Category]],Table10[category],Table10[category_id],"Not found")</f>
        <v>5</v>
      </c>
      <c r="G86" t="str">
        <f>_xlfn.XLOOKUP(Table3[[#This Row],[Place_Id]],Table7[place_id],Table7[city3],"Not found")</f>
        <v>Yogyakarta</v>
      </c>
      <c r="H86">
        <f>_xlfn.XLOOKUP(Table3[[#This Row],[City]],Table5[city_name],Table5[city_id],"Not found")</f>
        <v>39</v>
      </c>
      <c r="I86">
        <v>6000</v>
      </c>
      <c r="J86">
        <v>120</v>
      </c>
      <c r="K86">
        <v>-7.8006715</v>
      </c>
      <c r="L86">
        <v>110.36765509999999</v>
      </c>
    </row>
    <row r="87" spans="1:12" x14ac:dyDescent="0.25">
      <c r="A87">
        <v>86</v>
      </c>
      <c r="B87" t="s">
        <v>221</v>
      </c>
      <c r="C87" t="s">
        <v>222</v>
      </c>
      <c r="D87" t="e" cm="1">
        <f t="array" aca="1" ref="D87" ca="1">TRANSLATE(Table3[[#This Row],[Description]],"id","en")</f>
        <v>#NAME?</v>
      </c>
      <c r="E87" t="s">
        <v>45</v>
      </c>
      <c r="F87">
        <f>_xlfn.XLOOKUP(Table3[[#This Row],[Category]],Table10[category],Table10[category_id],"Not found")</f>
        <v>2</v>
      </c>
      <c r="G87" t="str">
        <f>_xlfn.XLOOKUP(Table3[[#This Row],[Place_Id]],Table7[place_id],Table7[city3],"Not found")</f>
        <v>Yogyakarta</v>
      </c>
      <c r="H87">
        <f>_xlfn.XLOOKUP(Table3[[#This Row],[City]],Table5[city_name],Table5[city_id],"Not found")</f>
        <v>39</v>
      </c>
      <c r="I87">
        <v>15000</v>
      </c>
      <c r="K87">
        <v>-7.8052845</v>
      </c>
      <c r="L87">
        <v>110.3642031</v>
      </c>
    </row>
    <row r="88" spans="1:12" x14ac:dyDescent="0.25">
      <c r="A88">
        <v>87</v>
      </c>
      <c r="B88" t="s">
        <v>223</v>
      </c>
      <c r="C88" t="s">
        <v>224</v>
      </c>
      <c r="D88" t="e" cm="1">
        <f t="array" aca="1" ref="D88" ca="1">TRANSLATE(Table3[[#This Row],[Description]],"id","en")</f>
        <v>#NAME?</v>
      </c>
      <c r="E88" t="s">
        <v>51</v>
      </c>
      <c r="F88">
        <f>_xlfn.XLOOKUP(Table3[[#This Row],[Category]],Table10[category],Table10[category_id],"Not found")</f>
        <v>5</v>
      </c>
      <c r="G88" t="str">
        <f>_xlfn.XLOOKUP(Table3[[#This Row],[Place_Id]],Table7[place_id],Table7[city3],"Not found")</f>
        <v>Sleman</v>
      </c>
      <c r="H88">
        <f>_xlfn.XLOOKUP(Table3[[#This Row],[City]],Table5[city_name],Table5[city_id],"Not found")</f>
        <v>38</v>
      </c>
      <c r="I88">
        <v>20000</v>
      </c>
      <c r="J88">
        <v>120</v>
      </c>
      <c r="K88">
        <v>-7.7672973000000001</v>
      </c>
      <c r="L88">
        <v>110.35424860000001</v>
      </c>
    </row>
    <row r="89" spans="1:12" x14ac:dyDescent="0.25">
      <c r="A89">
        <v>88</v>
      </c>
      <c r="B89" t="s">
        <v>225</v>
      </c>
      <c r="C89" t="s">
        <v>226</v>
      </c>
      <c r="D89" t="e" cm="1">
        <f t="array" aca="1" ref="D89" ca="1">TRANSLATE(Table3[[#This Row],[Description]],"id","en")</f>
        <v>#NAME?</v>
      </c>
      <c r="E89" t="s">
        <v>45</v>
      </c>
      <c r="F89">
        <f>_xlfn.XLOOKUP(Table3[[#This Row],[Category]],Table10[category],Table10[category_id],"Not found")</f>
        <v>2</v>
      </c>
      <c r="G89" t="str">
        <f>_xlfn.XLOOKUP(Table3[[#This Row],[Place_Id]],Table7[place_id],Table7[city3],"Not found")</f>
        <v>Yogyakarta</v>
      </c>
      <c r="H89">
        <f>_xlfn.XLOOKUP(Table3[[#This Row],[City]],Table5[city_name],Table5[city_id],"Not found")</f>
        <v>39</v>
      </c>
      <c r="I89">
        <v>3000</v>
      </c>
      <c r="J89">
        <v>120</v>
      </c>
      <c r="K89">
        <v>-7.8002016000000003</v>
      </c>
      <c r="L89">
        <v>110.3663044</v>
      </c>
    </row>
    <row r="90" spans="1:12" x14ac:dyDescent="0.25">
      <c r="A90">
        <v>89</v>
      </c>
      <c r="B90" t="s">
        <v>227</v>
      </c>
      <c r="C90" t="s">
        <v>228</v>
      </c>
      <c r="D90" t="e" cm="1">
        <f t="array" aca="1" ref="D90" ca="1">TRANSLATE(Table3[[#This Row],[Description]],"id","en")</f>
        <v>#NAME?</v>
      </c>
      <c r="E90" t="s">
        <v>45</v>
      </c>
      <c r="F90">
        <f>_xlfn.XLOOKUP(Table3[[#This Row],[Category]],Table10[category],Table10[category_id],"Not found")</f>
        <v>2</v>
      </c>
      <c r="G90" t="str">
        <f>_xlfn.XLOOKUP(Table3[[#This Row],[Place_Id]],Table7[place_id],Table7[city3],"Not found")</f>
        <v>Yogyakarta</v>
      </c>
      <c r="H90">
        <f>_xlfn.XLOOKUP(Table3[[#This Row],[City]],Table5[city_name],Table5[city_id],"Not found")</f>
        <v>39</v>
      </c>
      <c r="I90">
        <v>50000</v>
      </c>
      <c r="K90">
        <v>-7.8163156000000003</v>
      </c>
      <c r="L90">
        <v>110.38714419999999</v>
      </c>
    </row>
    <row r="91" spans="1:12" x14ac:dyDescent="0.25">
      <c r="A91">
        <v>90</v>
      </c>
      <c r="B91" t="s">
        <v>229</v>
      </c>
      <c r="C91" t="s">
        <v>230</v>
      </c>
      <c r="D91" t="e" cm="1">
        <f t="array" aca="1" ref="D91" ca="1">TRANSLATE(Table3[[#This Row],[Description]],"id","en")</f>
        <v>#NAME?</v>
      </c>
      <c r="E91" t="s">
        <v>51</v>
      </c>
      <c r="F91">
        <f>_xlfn.XLOOKUP(Table3[[#This Row],[Category]],Table10[category],Table10[category_id],"Not found")</f>
        <v>5</v>
      </c>
      <c r="G91" t="str">
        <f>_xlfn.XLOOKUP(Table3[[#This Row],[Place_Id]],Table7[place_id],Table7[city3],"Not found")</f>
        <v>Yogyakarta</v>
      </c>
      <c r="H91">
        <f>_xlfn.XLOOKUP(Table3[[#This Row],[City]],Table5[city_name],Table5[city_id],"Not found")</f>
        <v>39</v>
      </c>
      <c r="I91">
        <v>5000</v>
      </c>
      <c r="K91">
        <v>-7.8100673</v>
      </c>
      <c r="L91">
        <v>110.3594581</v>
      </c>
    </row>
    <row r="92" spans="1:12" x14ac:dyDescent="0.25">
      <c r="A92">
        <v>91</v>
      </c>
      <c r="B92" t="s">
        <v>231</v>
      </c>
      <c r="C92" t="s">
        <v>232</v>
      </c>
      <c r="D92" t="e" cm="1">
        <f t="array" aca="1" ref="D92" ca="1">TRANSLATE(Table3[[#This Row],[Description]],"id","en")</f>
        <v>#NAME?</v>
      </c>
      <c r="E92" t="s">
        <v>51</v>
      </c>
      <c r="F92">
        <f>_xlfn.XLOOKUP(Table3[[#This Row],[Category]],Table10[category],Table10[category_id],"Not found")</f>
        <v>5</v>
      </c>
      <c r="G92" t="str">
        <f>_xlfn.XLOOKUP(Table3[[#This Row],[Place_Id]],Table7[place_id],Table7[city3],"Not found")</f>
        <v>Yogyakarta</v>
      </c>
      <c r="H92">
        <f>_xlfn.XLOOKUP(Table3[[#This Row],[City]],Table5[city_name],Table5[city_id],"Not found")</f>
        <v>39</v>
      </c>
      <c r="I92">
        <v>0</v>
      </c>
      <c r="J92">
        <v>60</v>
      </c>
      <c r="K92">
        <v>-7.8102685000000003</v>
      </c>
      <c r="L92">
        <v>110.3931513</v>
      </c>
    </row>
    <row r="93" spans="1:12" x14ac:dyDescent="0.25">
      <c r="A93">
        <v>92</v>
      </c>
      <c r="B93" t="s">
        <v>233</v>
      </c>
      <c r="C93" t="s">
        <v>234</v>
      </c>
      <c r="D93" t="e" cm="1">
        <f t="array" aca="1" ref="D93" ca="1">TRANSLATE(Table3[[#This Row],[Description]],"id","en")</f>
        <v>#NAME?</v>
      </c>
      <c r="E93" t="s">
        <v>51</v>
      </c>
      <c r="F93">
        <f>_xlfn.XLOOKUP(Table3[[#This Row],[Category]],Table10[category],Table10[category_id],"Not found")</f>
        <v>5</v>
      </c>
      <c r="G93" t="str">
        <f>_xlfn.XLOOKUP(Table3[[#This Row],[Place_Id]],Table7[place_id],Table7[city3],"Not found")</f>
        <v>Yogyakarta</v>
      </c>
      <c r="H93">
        <f>_xlfn.XLOOKUP(Table3[[#This Row],[City]],Table5[city_name],Table5[city_id],"Not found")</f>
        <v>39</v>
      </c>
      <c r="I93">
        <v>0</v>
      </c>
      <c r="J93">
        <v>45</v>
      </c>
      <c r="K93">
        <v>-7.8013802999999999</v>
      </c>
      <c r="L93">
        <v>110.36476519999999</v>
      </c>
    </row>
    <row r="94" spans="1:12" x14ac:dyDescent="0.25">
      <c r="A94">
        <v>93</v>
      </c>
      <c r="B94" t="s">
        <v>235</v>
      </c>
      <c r="C94" t="s">
        <v>236</v>
      </c>
      <c r="D94" t="e" cm="1">
        <f t="array" aca="1" ref="D94" ca="1">TRANSLATE(Table3[[#This Row],[Description]],"id","en")</f>
        <v>#NAME?</v>
      </c>
      <c r="E94" t="s">
        <v>60</v>
      </c>
      <c r="F94">
        <f>_xlfn.XLOOKUP(Table3[[#This Row],[Category]],Table10[category],Table10[category_id],"Not found")</f>
        <v>3</v>
      </c>
      <c r="G94" t="str">
        <f>_xlfn.XLOOKUP(Table3[[#This Row],[Place_Id]],Table7[place_id],Table7[city3],"Not found")</f>
        <v>Yogyakarta</v>
      </c>
      <c r="H94">
        <f>_xlfn.XLOOKUP(Table3[[#This Row],[City]],Table5[city_name],Table5[city_id],"Not found")</f>
        <v>39</v>
      </c>
      <c r="I94">
        <v>60000</v>
      </c>
      <c r="K94">
        <v>-7.8062344000000001</v>
      </c>
      <c r="L94">
        <v>110.39679769999999</v>
      </c>
    </row>
    <row r="95" spans="1:12" x14ac:dyDescent="0.25">
      <c r="A95">
        <v>94</v>
      </c>
      <c r="B95" t="s">
        <v>237</v>
      </c>
      <c r="C95" t="s">
        <v>238</v>
      </c>
      <c r="D95" t="e" cm="1">
        <f t="array" aca="1" ref="D95" ca="1">TRANSLATE(Table3[[#This Row],[Description]],"id","en")</f>
        <v>#NAME?</v>
      </c>
      <c r="E95" t="s">
        <v>51</v>
      </c>
      <c r="F95">
        <f>_xlfn.XLOOKUP(Table3[[#This Row],[Category]],Table10[category],Table10[category_id],"Not found")</f>
        <v>5</v>
      </c>
      <c r="G95" t="str">
        <f>_xlfn.XLOOKUP(Table3[[#This Row],[Place_Id]],Table7[place_id],Table7[city3],"Not found")</f>
        <v>Yogyakarta</v>
      </c>
      <c r="H95">
        <f>_xlfn.XLOOKUP(Table3[[#This Row],[City]],Table5[city_name],Table5[city_id],"Not found")</f>
        <v>39</v>
      </c>
      <c r="I95">
        <v>7000</v>
      </c>
      <c r="K95">
        <v>-7.8087910999999997</v>
      </c>
      <c r="L95">
        <v>110.3591825</v>
      </c>
    </row>
    <row r="96" spans="1:12" x14ac:dyDescent="0.25">
      <c r="A96">
        <v>95</v>
      </c>
      <c r="B96" t="s">
        <v>239</v>
      </c>
      <c r="C96" t="s">
        <v>240</v>
      </c>
      <c r="D96" t="e" cm="1">
        <f t="array" aca="1" ref="D96" ca="1">TRANSLATE(Table3[[#This Row],[Description]],"id","en")</f>
        <v>#NAME?</v>
      </c>
      <c r="E96" t="s">
        <v>51</v>
      </c>
      <c r="F96">
        <f>_xlfn.XLOOKUP(Table3[[#This Row],[Category]],Table10[category],Table10[category_id],"Not found")</f>
        <v>5</v>
      </c>
      <c r="G96" t="str">
        <f>_xlfn.XLOOKUP(Table3[[#This Row],[Place_Id]],Table7[place_id],Table7[city3],"Not found")</f>
        <v>Yogyakarta</v>
      </c>
      <c r="H96">
        <f>_xlfn.XLOOKUP(Table3[[#This Row],[City]],Table5[city_name],Table5[city_id],"Not found")</f>
        <v>39</v>
      </c>
      <c r="I96">
        <v>0</v>
      </c>
      <c r="K96">
        <v>-7.8229088999999998</v>
      </c>
      <c r="L96">
        <v>110.3756894</v>
      </c>
    </row>
    <row r="97" spans="1:12" x14ac:dyDescent="0.25">
      <c r="A97">
        <v>96</v>
      </c>
      <c r="B97" t="s">
        <v>241</v>
      </c>
      <c r="C97" t="s">
        <v>242</v>
      </c>
      <c r="D97" t="e" cm="1">
        <f t="array" aca="1" ref="D97" ca="1">TRANSLATE(Table3[[#This Row],[Description]],"id","en")</f>
        <v>#NAME?</v>
      </c>
      <c r="E97" t="s">
        <v>51</v>
      </c>
      <c r="F97">
        <f>_xlfn.XLOOKUP(Table3[[#This Row],[Category]],Table10[category],Table10[category_id],"Not found")</f>
        <v>5</v>
      </c>
      <c r="G97" t="str">
        <f>_xlfn.XLOOKUP(Table3[[#This Row],[Place_Id]],Table7[place_id],Table7[city3],"Not found")</f>
        <v>Yogyakarta</v>
      </c>
      <c r="H97">
        <f>_xlfn.XLOOKUP(Table3[[#This Row],[City]],Table5[city_name],Table5[city_id],"Not found")</f>
        <v>39</v>
      </c>
      <c r="I97">
        <v>0</v>
      </c>
      <c r="J97">
        <v>60</v>
      </c>
      <c r="K97">
        <v>-7.8116719000000003</v>
      </c>
      <c r="L97">
        <v>110.363238</v>
      </c>
    </row>
    <row r="98" spans="1:12" x14ac:dyDescent="0.25">
      <c r="A98">
        <v>97</v>
      </c>
      <c r="B98" t="s">
        <v>243</v>
      </c>
      <c r="C98" t="s">
        <v>244</v>
      </c>
      <c r="D98" t="e" cm="1">
        <f t="array" aca="1" ref="D98" ca="1">TRANSLATE(Table3[[#This Row],[Description]],"id","en")</f>
        <v>#NAME?</v>
      </c>
      <c r="E98" t="s">
        <v>45</v>
      </c>
      <c r="F98">
        <f>_xlfn.XLOOKUP(Table3[[#This Row],[Category]],Table10[category],Table10[category_id],"Not found")</f>
        <v>2</v>
      </c>
      <c r="G98" t="str">
        <f>_xlfn.XLOOKUP(Table3[[#This Row],[Place_Id]],Table7[place_id],Table7[city3],"Not found")</f>
        <v>Sleman</v>
      </c>
      <c r="H98">
        <f>_xlfn.XLOOKUP(Table3[[#This Row],[City]],Table5[city_name],Table5[city_id],"Not found")</f>
        <v>38</v>
      </c>
      <c r="I98">
        <v>15000</v>
      </c>
      <c r="J98">
        <v>30</v>
      </c>
      <c r="K98">
        <v>-7.7495903999999998</v>
      </c>
      <c r="L98">
        <v>110.3696068</v>
      </c>
    </row>
    <row r="99" spans="1:12" x14ac:dyDescent="0.25">
      <c r="A99">
        <v>98</v>
      </c>
      <c r="B99" t="s">
        <v>245</v>
      </c>
      <c r="C99" t="s">
        <v>246</v>
      </c>
      <c r="D99" t="e" cm="1">
        <f t="array" aca="1" ref="D99" ca="1">TRANSLATE(Table3[[#This Row],[Description]],"id","en")</f>
        <v>#NAME?</v>
      </c>
      <c r="E99" t="s">
        <v>51</v>
      </c>
      <c r="F99">
        <f>_xlfn.XLOOKUP(Table3[[#This Row],[Category]],Table10[category],Table10[category_id],"Not found")</f>
        <v>5</v>
      </c>
      <c r="G99" t="str">
        <f>_xlfn.XLOOKUP(Table3[[#This Row],[Place_Id]],Table7[place_id],Table7[city3],"Not found")</f>
        <v>Sleman</v>
      </c>
      <c r="H99">
        <f>_xlfn.XLOOKUP(Table3[[#This Row],[City]],Table5[city_name],Table5[city_id],"Not found")</f>
        <v>38</v>
      </c>
      <c r="I99">
        <v>15000</v>
      </c>
      <c r="J99">
        <v>60</v>
      </c>
      <c r="K99">
        <v>-7.7505259000000004</v>
      </c>
      <c r="L99">
        <v>110.3687049</v>
      </c>
    </row>
    <row r="100" spans="1:12" x14ac:dyDescent="0.25">
      <c r="A100">
        <v>99</v>
      </c>
      <c r="B100" t="s">
        <v>247</v>
      </c>
      <c r="C100" t="s">
        <v>248</v>
      </c>
      <c r="D100" t="e" cm="1">
        <f t="array" aca="1" ref="D100" ca="1">TRANSLATE(Table3[[#This Row],[Description]],"id","en")</f>
        <v>#NAME?</v>
      </c>
      <c r="E100" t="s">
        <v>45</v>
      </c>
      <c r="F100">
        <f>_xlfn.XLOOKUP(Table3[[#This Row],[Category]],Table10[category],Table10[category_id],"Not found")</f>
        <v>2</v>
      </c>
      <c r="G100" t="str">
        <f>_xlfn.XLOOKUP(Table3[[#This Row],[Place_Id]],Table7[place_id],Table7[city3],"Not found")</f>
        <v>Yogyakarta</v>
      </c>
      <c r="H100">
        <f>_xlfn.XLOOKUP(Table3[[#This Row],[City]],Table5[city_name],Table5[city_id],"Not found")</f>
        <v>39</v>
      </c>
      <c r="I100">
        <v>0</v>
      </c>
      <c r="K100">
        <v>-7.8060929999999997</v>
      </c>
      <c r="L100">
        <v>110.35831</v>
      </c>
    </row>
    <row r="101" spans="1:12" ht="60" x14ac:dyDescent="0.25">
      <c r="A101">
        <v>100</v>
      </c>
      <c r="B101" t="s">
        <v>249</v>
      </c>
      <c r="C101" s="3" t="s">
        <v>250</v>
      </c>
      <c r="D101" s="3" t="e" cm="1">
        <f t="array" aca="1" ref="D101" ca="1">TRANSLATE(Table3[[#This Row],[Description]],"id","en")</f>
        <v>#NAME?</v>
      </c>
      <c r="E101" t="s">
        <v>45</v>
      </c>
      <c r="F101">
        <f>_xlfn.XLOOKUP(Table3[[#This Row],[Category]],Table10[category],Table10[category_id],"Not found")</f>
        <v>2</v>
      </c>
      <c r="G101" t="str">
        <f>_xlfn.XLOOKUP(Table3[[#This Row],[Place_Id]],Table7[place_id],Table7[city3],"Not found")</f>
        <v>Yogyakarta</v>
      </c>
      <c r="H101">
        <f>_xlfn.XLOOKUP(Table3[[#This Row],[City]],Table5[city_name],Table5[city_id],"Not found")</f>
        <v>39</v>
      </c>
      <c r="I101">
        <v>0</v>
      </c>
      <c r="J101">
        <v>210</v>
      </c>
      <c r="K101">
        <v>-7.8001041000000004</v>
      </c>
      <c r="L101">
        <v>110.3676579</v>
      </c>
    </row>
    <row r="102" spans="1:12" x14ac:dyDescent="0.25">
      <c r="A102">
        <v>101</v>
      </c>
      <c r="B102" t="s">
        <v>251</v>
      </c>
      <c r="C102" t="s">
        <v>252</v>
      </c>
      <c r="D102" t="e" cm="1">
        <f t="array" aca="1" ref="D102" ca="1">TRANSLATE(Table3[[#This Row],[Description]],"id","en")</f>
        <v>#NAME?</v>
      </c>
      <c r="E102" t="s">
        <v>45</v>
      </c>
      <c r="F102">
        <f>_xlfn.XLOOKUP(Table3[[#This Row],[Category]],Table10[category],Table10[category_id],"Not found")</f>
        <v>2</v>
      </c>
      <c r="G102" t="str">
        <f>_xlfn.XLOOKUP(Table3[[#This Row],[Place_Id]],Table7[place_id],Table7[city3],"Not found")</f>
        <v>Yogyakarta</v>
      </c>
      <c r="H102">
        <f>_xlfn.XLOOKUP(Table3[[#This Row],[City]],Table5[city_name],Table5[city_id],"Not found")</f>
        <v>39</v>
      </c>
      <c r="I102">
        <v>0</v>
      </c>
      <c r="K102">
        <v>-7.7921899999999997</v>
      </c>
      <c r="L102">
        <v>110.362151</v>
      </c>
    </row>
    <row r="103" spans="1:12" x14ac:dyDescent="0.25">
      <c r="A103">
        <v>102</v>
      </c>
      <c r="B103" t="s">
        <v>253</v>
      </c>
      <c r="C103" t="s">
        <v>254</v>
      </c>
      <c r="D103" t="e" cm="1">
        <f t="array" aca="1" ref="D103" ca="1">TRANSLATE(Table3[[#This Row],[Description]],"id","en")</f>
        <v>#NAME?</v>
      </c>
      <c r="E103" t="s">
        <v>45</v>
      </c>
      <c r="F103">
        <f>_xlfn.XLOOKUP(Table3[[#This Row],[Category]],Table10[category],Table10[category_id],"Not found")</f>
        <v>2</v>
      </c>
      <c r="G103" t="str">
        <f>_xlfn.XLOOKUP(Table3[[#This Row],[Place_Id]],Table7[place_id],Table7[city3],"Not found")</f>
        <v>Yogyakarta</v>
      </c>
      <c r="H103">
        <f>_xlfn.XLOOKUP(Table3[[#This Row],[City]],Table5[city_name],Table5[city_id],"Not found")</f>
        <v>39</v>
      </c>
      <c r="I103">
        <v>40000</v>
      </c>
      <c r="J103">
        <v>15</v>
      </c>
      <c r="K103">
        <v>-7.8011159000000001</v>
      </c>
      <c r="L103">
        <v>110.3646172</v>
      </c>
    </row>
    <row r="104" spans="1:12" ht="45" x14ac:dyDescent="0.25">
      <c r="A104">
        <v>103</v>
      </c>
      <c r="B104" t="s">
        <v>255</v>
      </c>
      <c r="C104" s="3" t="s">
        <v>256</v>
      </c>
      <c r="D104" s="3" t="e" cm="1">
        <f t="array" aca="1" ref="D104" ca="1">TRANSLATE(Table3[[#This Row],[Description]],"id","en")</f>
        <v>#NAME?</v>
      </c>
      <c r="E104" t="s">
        <v>51</v>
      </c>
      <c r="F104">
        <f>_xlfn.XLOOKUP(Table3[[#This Row],[Category]],Table10[category],Table10[category_id],"Not found")</f>
        <v>5</v>
      </c>
      <c r="G104" t="str">
        <f>_xlfn.XLOOKUP(Table3[[#This Row],[Place_Id]],Table7[place_id],Table7[city3],"Not found")</f>
        <v>Yogyakarta</v>
      </c>
      <c r="H104">
        <f>_xlfn.XLOOKUP(Table3[[#This Row],[City]],Table5[city_name],Table5[city_id],"Not found")</f>
        <v>39</v>
      </c>
      <c r="I104">
        <v>0</v>
      </c>
      <c r="J104">
        <v>15</v>
      </c>
      <c r="K104">
        <v>-7.7829436999999997</v>
      </c>
      <c r="L104">
        <v>110.36705480000001</v>
      </c>
    </row>
    <row r="105" spans="1:12" x14ac:dyDescent="0.25">
      <c r="A105">
        <v>104</v>
      </c>
      <c r="B105" t="s">
        <v>257</v>
      </c>
      <c r="C105" t="s">
        <v>258</v>
      </c>
      <c r="D105" t="e" cm="1">
        <f t="array" aca="1" ref="D105" ca="1">TRANSLATE(Table3[[#This Row],[Description]],"id","en")</f>
        <v>#NAME?</v>
      </c>
      <c r="E105" t="s">
        <v>45</v>
      </c>
      <c r="F105">
        <f>_xlfn.XLOOKUP(Table3[[#This Row],[Category]],Table10[category],Table10[category_id],"Not found")</f>
        <v>2</v>
      </c>
      <c r="G105" t="str">
        <f>_xlfn.XLOOKUP(Table3[[#This Row],[Place_Id]],Table7[place_id],Table7[city3],"Not found")</f>
        <v>Sleman</v>
      </c>
      <c r="H105">
        <f>_xlfn.XLOOKUP(Table3[[#This Row],[City]],Table5[city_name],Table5[city_id],"Not found")</f>
        <v>38</v>
      </c>
      <c r="I105">
        <v>20000</v>
      </c>
      <c r="K105">
        <v>-7.7815713999999998</v>
      </c>
      <c r="L105">
        <v>110.5045827</v>
      </c>
    </row>
    <row r="106" spans="1:12" x14ac:dyDescent="0.25">
      <c r="A106">
        <v>105</v>
      </c>
      <c r="B106" t="s">
        <v>259</v>
      </c>
      <c r="C106" t="s">
        <v>260</v>
      </c>
      <c r="D106" t="e" cm="1">
        <f t="array" aca="1" ref="D106" ca="1">TRANSLATE(Table3[[#This Row],[Description]],"id","en")</f>
        <v>#NAME?</v>
      </c>
      <c r="E106" t="s">
        <v>45</v>
      </c>
      <c r="F106">
        <f>_xlfn.XLOOKUP(Table3[[#This Row],[Category]],Table10[category],Table10[category_id],"Not found")</f>
        <v>2</v>
      </c>
      <c r="G106" t="str">
        <f>_xlfn.XLOOKUP(Table3[[#This Row],[Place_Id]],Table7[place_id],Table7[city3],"Not found")</f>
        <v>Yogyakarta</v>
      </c>
      <c r="H106">
        <f>_xlfn.XLOOKUP(Table3[[#This Row],[City]],Table5[city_name],Table5[city_id],"Not found")</f>
        <v>39</v>
      </c>
      <c r="I106">
        <v>0</v>
      </c>
      <c r="J106">
        <v>25</v>
      </c>
      <c r="K106">
        <v>-7.7955613000000001</v>
      </c>
      <c r="L106">
        <v>110.3612095</v>
      </c>
    </row>
    <row r="107" spans="1:12" x14ac:dyDescent="0.25">
      <c r="A107">
        <v>106</v>
      </c>
      <c r="B107" t="s">
        <v>261</v>
      </c>
      <c r="C107" t="s">
        <v>262</v>
      </c>
      <c r="D107" t="e" cm="1">
        <f t="array" aca="1" ref="D107" ca="1">TRANSLATE(Table3[[#This Row],[Description]],"id","en")</f>
        <v>#NAME?</v>
      </c>
      <c r="E107" t="s">
        <v>51</v>
      </c>
      <c r="F107">
        <f>_xlfn.XLOOKUP(Table3[[#This Row],[Category]],Table10[category],Table10[category_id],"Not found")</f>
        <v>5</v>
      </c>
      <c r="G107" t="str">
        <f>_xlfn.XLOOKUP(Table3[[#This Row],[Place_Id]],Table7[place_id],Table7[city3],"Not found")</f>
        <v>Yogyakarta</v>
      </c>
      <c r="H107">
        <f>_xlfn.XLOOKUP(Table3[[#This Row],[City]],Table5[city_name],Table5[city_id],"Not found")</f>
        <v>39</v>
      </c>
      <c r="I107">
        <v>0</v>
      </c>
      <c r="K107">
        <v>-7.7931670000000004</v>
      </c>
      <c r="L107">
        <v>110.36552380000001</v>
      </c>
    </row>
    <row r="108" spans="1:12" ht="45" x14ac:dyDescent="0.25">
      <c r="A108">
        <v>107</v>
      </c>
      <c r="B108" t="s">
        <v>263</v>
      </c>
      <c r="C108" s="3" t="s">
        <v>264</v>
      </c>
      <c r="D108" s="3" t="e" cm="1">
        <f t="array" aca="1" ref="D108" ca="1">TRANSLATE(Table3[[#This Row],[Description]],"id","en")</f>
        <v>#NAME?</v>
      </c>
      <c r="E108" t="s">
        <v>45</v>
      </c>
      <c r="F108">
        <f>_xlfn.XLOOKUP(Table3[[#This Row],[Category]],Table10[category],Table10[category_id],"Not found")</f>
        <v>2</v>
      </c>
      <c r="G108" t="str">
        <f>_xlfn.XLOOKUP(Table3[[#This Row],[Place_Id]],Table7[place_id],Table7[city3],"Not found")</f>
        <v>Yogyakarta</v>
      </c>
      <c r="H108">
        <f>_xlfn.XLOOKUP(Table3[[#This Row],[City]],Table5[city_name],Table5[city_id],"Not found")</f>
        <v>39</v>
      </c>
      <c r="I108">
        <v>5000</v>
      </c>
      <c r="K108">
        <v>-7.8052843000000003</v>
      </c>
      <c r="L108">
        <v>110.36421369999999</v>
      </c>
    </row>
    <row r="109" spans="1:12" x14ac:dyDescent="0.25">
      <c r="A109">
        <v>108</v>
      </c>
      <c r="B109" t="s">
        <v>265</v>
      </c>
      <c r="C109" t="s">
        <v>266</v>
      </c>
      <c r="D109" t="e" cm="1">
        <f t="array" aca="1" ref="D109" ca="1">TRANSLATE(Table3[[#This Row],[Description]],"id","en")</f>
        <v>#NAME?</v>
      </c>
      <c r="E109" t="s">
        <v>51</v>
      </c>
      <c r="F109">
        <f>_xlfn.XLOOKUP(Table3[[#This Row],[Category]],Table10[category],Table10[category_id],"Not found")</f>
        <v>5</v>
      </c>
      <c r="G109" t="str">
        <f>_xlfn.XLOOKUP(Table3[[#This Row],[Place_Id]],Table7[place_id],Table7[city3],"Not found")</f>
        <v>Sleman</v>
      </c>
      <c r="H109">
        <f>_xlfn.XLOOKUP(Table3[[#This Row],[City]],Table5[city_name],Table5[city_id],"Not found")</f>
        <v>38</v>
      </c>
      <c r="I109">
        <v>0</v>
      </c>
      <c r="K109">
        <v>-7.756227</v>
      </c>
      <c r="L109">
        <v>110.4150131</v>
      </c>
    </row>
    <row r="110" spans="1:12" x14ac:dyDescent="0.25">
      <c r="A110">
        <v>109</v>
      </c>
      <c r="B110" t="s">
        <v>267</v>
      </c>
      <c r="C110" t="s">
        <v>268</v>
      </c>
      <c r="D110" t="e" cm="1">
        <f t="array" aca="1" ref="D110" ca="1">TRANSLATE(Table3[[#This Row],[Description]],"id","en")</f>
        <v>#NAME?</v>
      </c>
      <c r="E110" t="s">
        <v>51</v>
      </c>
      <c r="F110">
        <f>_xlfn.XLOOKUP(Table3[[#This Row],[Category]],Table10[category],Table10[category_id],"Not found")</f>
        <v>5</v>
      </c>
      <c r="G110" t="str">
        <f>_xlfn.XLOOKUP(Table3[[#This Row],[Place_Id]],Table7[place_id],Table7[city3],"Not found")</f>
        <v>Bantul</v>
      </c>
      <c r="H110">
        <f>_xlfn.XLOOKUP(Table3[[#This Row],[City]],Table5[city_name],Table5[city_id],"Not found")</f>
        <v>34</v>
      </c>
      <c r="I110">
        <v>3000</v>
      </c>
      <c r="K110">
        <v>-7.8704831999999998</v>
      </c>
      <c r="L110">
        <v>110.4599108</v>
      </c>
    </row>
    <row r="111" spans="1:12" x14ac:dyDescent="0.25">
      <c r="A111">
        <v>110</v>
      </c>
      <c r="B111" t="s">
        <v>269</v>
      </c>
      <c r="C111" t="s">
        <v>270</v>
      </c>
      <c r="D111" t="e" cm="1">
        <f t="array" aca="1" ref="D111" ca="1">TRANSLATE(Table3[[#This Row],[Description]],"id","en")</f>
        <v>#NAME?</v>
      </c>
      <c r="E111" t="s">
        <v>51</v>
      </c>
      <c r="F111">
        <f>_xlfn.XLOOKUP(Table3[[#This Row],[Category]],Table10[category],Table10[category_id],"Not found")</f>
        <v>5</v>
      </c>
      <c r="G111" t="str">
        <f>_xlfn.XLOOKUP(Table3[[#This Row],[Place_Id]],Table7[place_id],Table7[city3],"Not found")</f>
        <v>Yogyakarta</v>
      </c>
      <c r="H111">
        <f>_xlfn.XLOOKUP(Table3[[#This Row],[City]],Table5[city_name],Table5[city_id],"Not found")</f>
        <v>39</v>
      </c>
      <c r="I111">
        <v>3000</v>
      </c>
      <c r="K111">
        <v>-7.8010124000000003</v>
      </c>
      <c r="L111">
        <v>110.3653376</v>
      </c>
    </row>
    <row r="112" spans="1:12" x14ac:dyDescent="0.25">
      <c r="A112">
        <v>111</v>
      </c>
      <c r="B112" t="s">
        <v>271</v>
      </c>
      <c r="C112" t="s">
        <v>272</v>
      </c>
      <c r="D112" t="e" cm="1">
        <f t="array" aca="1" ref="D112" ca="1">TRANSLATE(Table3[[#This Row],[Description]],"id","en")</f>
        <v>#NAME?</v>
      </c>
      <c r="E112" t="s">
        <v>51</v>
      </c>
      <c r="F112">
        <f>_xlfn.XLOOKUP(Table3[[#This Row],[Category]],Table10[category],Table10[category_id],"Not found")</f>
        <v>5</v>
      </c>
      <c r="G112" t="str">
        <f>_xlfn.XLOOKUP(Table3[[#This Row],[Place_Id]],Table7[place_id],Table7[city3],"Not found")</f>
        <v>Bantul</v>
      </c>
      <c r="H112">
        <f>_xlfn.XLOOKUP(Table3[[#This Row],[City]],Table5[city_name],Table5[city_id],"Not found")</f>
        <v>34</v>
      </c>
      <c r="I112">
        <v>3000</v>
      </c>
      <c r="K112">
        <v>-7.9020355000000002</v>
      </c>
      <c r="L112">
        <v>110.4374627</v>
      </c>
    </row>
    <row r="113" spans="1:12" ht="45" x14ac:dyDescent="0.25">
      <c r="A113">
        <v>112</v>
      </c>
      <c r="B113" t="s">
        <v>273</v>
      </c>
      <c r="C113" s="3" t="s">
        <v>274</v>
      </c>
      <c r="D113" s="3" t="e" cm="1">
        <f t="array" aca="1" ref="D113" ca="1">TRANSLATE(Table3[[#This Row],[Description]],"id","en")</f>
        <v>#NAME?</v>
      </c>
      <c r="E113" t="s">
        <v>51</v>
      </c>
      <c r="F113">
        <f>_xlfn.XLOOKUP(Table3[[#This Row],[Category]],Table10[category],Table10[category_id],"Not found")</f>
        <v>5</v>
      </c>
      <c r="G113" t="str">
        <f>_xlfn.XLOOKUP(Table3[[#This Row],[Place_Id]],Table7[place_id],Table7[city3],"Not found")</f>
        <v>Gunungkidul</v>
      </c>
      <c r="H113">
        <f>_xlfn.XLOOKUP(Table3[[#This Row],[City]],Table5[city_name],Table5[city_id],"Not found")</f>
        <v>35</v>
      </c>
      <c r="I113">
        <v>25000</v>
      </c>
      <c r="J113">
        <v>90</v>
      </c>
      <c r="K113">
        <v>-7.8458407000000001</v>
      </c>
      <c r="L113">
        <v>110.4798457</v>
      </c>
    </row>
    <row r="114" spans="1:12" x14ac:dyDescent="0.25">
      <c r="A114">
        <v>113</v>
      </c>
      <c r="B114" t="s">
        <v>275</v>
      </c>
      <c r="C114" t="s">
        <v>276</v>
      </c>
      <c r="D114" t="e" cm="1">
        <f t="array" aca="1" ref="D114" ca="1">TRANSLATE(Table3[[#This Row],[Description]],"id","en")</f>
        <v>#NAME?</v>
      </c>
      <c r="E114" t="s">
        <v>45</v>
      </c>
      <c r="F114">
        <f>_xlfn.XLOOKUP(Table3[[#This Row],[Category]],Table10[category],Table10[category_id],"Not found")</f>
        <v>2</v>
      </c>
      <c r="G114" t="str">
        <f>_xlfn.XLOOKUP(Table3[[#This Row],[Place_Id]],Table7[place_id],Table7[city3],"Not found")</f>
        <v>Yogyakarta</v>
      </c>
      <c r="H114">
        <f>_xlfn.XLOOKUP(Table3[[#This Row],[City]],Table5[city_name],Table5[city_id],"Not found")</f>
        <v>39</v>
      </c>
      <c r="I114">
        <v>0</v>
      </c>
      <c r="K114">
        <v>-7.8001506000000003</v>
      </c>
      <c r="L114">
        <v>110.3637507</v>
      </c>
    </row>
    <row r="115" spans="1:12" x14ac:dyDescent="0.25">
      <c r="A115">
        <v>114</v>
      </c>
      <c r="B115" t="s">
        <v>277</v>
      </c>
      <c r="C115" t="s">
        <v>278</v>
      </c>
      <c r="D115" t="e" cm="1">
        <f t="array" aca="1" ref="D115" ca="1">TRANSLATE(Table3[[#This Row],[Description]],"id","en")</f>
        <v>#NAME?</v>
      </c>
      <c r="E115" t="s">
        <v>51</v>
      </c>
      <c r="F115">
        <f>_xlfn.XLOOKUP(Table3[[#This Row],[Category]],Table10[category],Table10[category_id],"Not found")</f>
        <v>5</v>
      </c>
      <c r="G115" t="str">
        <f>_xlfn.XLOOKUP(Table3[[#This Row],[Place_Id]],Table7[place_id],Table7[city3],"Not found")</f>
        <v>Sleman</v>
      </c>
      <c r="H115">
        <f>_xlfn.XLOOKUP(Table3[[#This Row],[City]],Table5[city_name],Table5[city_id],"Not found")</f>
        <v>38</v>
      </c>
      <c r="I115">
        <v>30000</v>
      </c>
      <c r="K115">
        <v>-7.6041648000000004</v>
      </c>
      <c r="L115">
        <v>110.4510042</v>
      </c>
    </row>
    <row r="116" spans="1:12" x14ac:dyDescent="0.25">
      <c r="A116">
        <v>115</v>
      </c>
      <c r="B116" t="s">
        <v>279</v>
      </c>
      <c r="C116" t="s">
        <v>280</v>
      </c>
      <c r="D116" t="e" cm="1">
        <f t="array" aca="1" ref="D116" ca="1">TRANSLATE(Table3[[#This Row],[Description]],"id","en")</f>
        <v>#NAME?</v>
      </c>
      <c r="E116" t="s">
        <v>45</v>
      </c>
      <c r="F116">
        <f>_xlfn.XLOOKUP(Table3[[#This Row],[Category]],Table10[category],Table10[category_id],"Not found")</f>
        <v>2</v>
      </c>
      <c r="G116" t="str">
        <f>_xlfn.XLOOKUP(Table3[[#This Row],[Place_Id]],Table7[place_id],Table7[city3],"Not found")</f>
        <v>Yogyakarta</v>
      </c>
      <c r="H116">
        <f>_xlfn.XLOOKUP(Table3[[#This Row],[City]],Table5[city_name],Table5[city_id],"Not found")</f>
        <v>39</v>
      </c>
      <c r="I116">
        <v>15000</v>
      </c>
      <c r="K116">
        <v>-7.7881727999999999</v>
      </c>
      <c r="L116">
        <v>110.37154030000001</v>
      </c>
    </row>
    <row r="117" spans="1:12" x14ac:dyDescent="0.25">
      <c r="A117">
        <v>116</v>
      </c>
      <c r="B117" t="s">
        <v>281</v>
      </c>
      <c r="C117" t="s">
        <v>282</v>
      </c>
      <c r="D117" t="e" cm="1">
        <f t="array" aca="1" ref="D117" ca="1">TRANSLATE(Table3[[#This Row],[Description]],"id","en")</f>
        <v>#NAME?</v>
      </c>
      <c r="E117" t="s">
        <v>51</v>
      </c>
      <c r="F117">
        <f>_xlfn.XLOOKUP(Table3[[#This Row],[Category]],Table10[category],Table10[category_id],"Not found")</f>
        <v>5</v>
      </c>
      <c r="G117" t="str">
        <f>_xlfn.XLOOKUP(Table3[[#This Row],[Place_Id]],Table7[place_id],Table7[city3],"Not found")</f>
        <v>Bantul</v>
      </c>
      <c r="H117">
        <f>_xlfn.XLOOKUP(Table3[[#This Row],[City]],Table5[city_name],Table5[city_id],"Not found")</f>
        <v>34</v>
      </c>
      <c r="I117">
        <v>2500</v>
      </c>
      <c r="J117">
        <v>45</v>
      </c>
      <c r="K117">
        <v>-7.9401064999999997</v>
      </c>
      <c r="L117">
        <v>110.43000619999999</v>
      </c>
    </row>
    <row r="118" spans="1:12" x14ac:dyDescent="0.25">
      <c r="A118">
        <v>117</v>
      </c>
      <c r="B118" t="s">
        <v>283</v>
      </c>
      <c r="C118" t="s">
        <v>284</v>
      </c>
      <c r="D118" t="e" cm="1">
        <f t="array" aca="1" ref="D118" ca="1">TRANSLATE(Table3[[#This Row],[Description]],"id","en")</f>
        <v>#NAME?</v>
      </c>
      <c r="E118" t="s">
        <v>51</v>
      </c>
      <c r="F118">
        <f>_xlfn.XLOOKUP(Table3[[#This Row],[Category]],Table10[category],Table10[category_id],"Not found")</f>
        <v>5</v>
      </c>
      <c r="G118" t="str">
        <f>_xlfn.XLOOKUP(Table3[[#This Row],[Place_Id]],Table7[place_id],Table7[city3],"Not found")</f>
        <v>Sleman</v>
      </c>
      <c r="H118">
        <f>_xlfn.XLOOKUP(Table3[[#This Row],[City]],Table5[city_name],Table5[city_id],"Not found")</f>
        <v>38</v>
      </c>
      <c r="I118">
        <v>22000</v>
      </c>
      <c r="J118">
        <v>90</v>
      </c>
      <c r="K118">
        <v>-7.6209046000000003</v>
      </c>
      <c r="L118">
        <v>110.4216275</v>
      </c>
    </row>
    <row r="119" spans="1:12" ht="45" x14ac:dyDescent="0.25">
      <c r="A119">
        <v>118</v>
      </c>
      <c r="B119" t="s">
        <v>285</v>
      </c>
      <c r="C119" s="3" t="s">
        <v>286</v>
      </c>
      <c r="D119" s="3" t="e" cm="1">
        <f t="array" aca="1" ref="D119" ca="1">TRANSLATE(Table3[[#This Row],[Description]],"id","en")</f>
        <v>#NAME?</v>
      </c>
      <c r="E119" t="s">
        <v>45</v>
      </c>
      <c r="F119">
        <f>_xlfn.XLOOKUP(Table3[[#This Row],[Category]],Table10[category],Table10[category_id],"Not found")</f>
        <v>2</v>
      </c>
      <c r="G119" t="str">
        <f>_xlfn.XLOOKUP(Table3[[#This Row],[Place_Id]],Table7[place_id],Table7[city3],"Not found")</f>
        <v>Yogyakarta</v>
      </c>
      <c r="H119">
        <f>_xlfn.XLOOKUP(Table3[[#This Row],[City]],Table5[city_name],Table5[city_id],"Not found")</f>
        <v>39</v>
      </c>
      <c r="I119">
        <v>5000</v>
      </c>
      <c r="J119">
        <v>120</v>
      </c>
      <c r="K119">
        <v>-7.8024499</v>
      </c>
      <c r="L119">
        <v>110.3639555</v>
      </c>
    </row>
    <row r="120" spans="1:12" x14ac:dyDescent="0.25">
      <c r="A120">
        <v>119</v>
      </c>
      <c r="B120" t="s">
        <v>287</v>
      </c>
      <c r="C120" t="s">
        <v>288</v>
      </c>
      <c r="D120" t="e" cm="1">
        <f t="array" aca="1" ref="D120" ca="1">TRANSLATE(Table3[[#This Row],[Description]],"id","en")</f>
        <v>#NAME?</v>
      </c>
      <c r="E120" t="s">
        <v>45</v>
      </c>
      <c r="F120">
        <f>_xlfn.XLOOKUP(Table3[[#This Row],[Category]],Table10[category],Table10[category_id],"Not found")</f>
        <v>2</v>
      </c>
      <c r="G120" t="str">
        <f>_xlfn.XLOOKUP(Table3[[#This Row],[Place_Id]],Table7[place_id],Table7[city3],"Not found")</f>
        <v>Sleman</v>
      </c>
      <c r="H120">
        <f>_xlfn.XLOOKUP(Table3[[#This Row],[City]],Table5[city_name],Table5[city_id],"Not found")</f>
        <v>38</v>
      </c>
      <c r="I120">
        <v>5000</v>
      </c>
      <c r="J120">
        <v>30</v>
      </c>
      <c r="K120">
        <v>-7.8081518000000001</v>
      </c>
      <c r="L120">
        <v>110.4595183</v>
      </c>
    </row>
    <row r="121" spans="1:12" x14ac:dyDescent="0.25">
      <c r="A121">
        <v>120</v>
      </c>
      <c r="B121" t="s">
        <v>289</v>
      </c>
      <c r="C121" t="s">
        <v>290</v>
      </c>
      <c r="D121" t="e" cm="1">
        <f t="array" aca="1" ref="D121" ca="1">TRANSLATE(Table3[[#This Row],[Description]],"id","en")</f>
        <v>#NAME?</v>
      </c>
      <c r="E121" t="s">
        <v>45</v>
      </c>
      <c r="F121">
        <f>_xlfn.XLOOKUP(Table3[[#This Row],[Category]],Table10[category],Table10[category_id],"Not found")</f>
        <v>2</v>
      </c>
      <c r="G121" t="str">
        <f>_xlfn.XLOOKUP(Table3[[#This Row],[Place_Id]],Table7[place_id],Table7[city3],"Not found")</f>
        <v>Bantul</v>
      </c>
      <c r="H121">
        <f>_xlfn.XLOOKUP(Table3[[#This Row],[City]],Table5[city_name],Table5[city_id],"Not found")</f>
        <v>34</v>
      </c>
      <c r="I121">
        <v>250000</v>
      </c>
      <c r="J121">
        <v>90</v>
      </c>
      <c r="K121">
        <v>-7.9583694999999999</v>
      </c>
      <c r="L121">
        <v>110.44076219999999</v>
      </c>
    </row>
    <row r="122" spans="1:12" x14ac:dyDescent="0.25">
      <c r="A122">
        <v>121</v>
      </c>
      <c r="B122" t="s">
        <v>291</v>
      </c>
      <c r="C122" t="s">
        <v>292</v>
      </c>
      <c r="D122" t="e" cm="1">
        <f t="array" aca="1" ref="D122" ca="1">TRANSLATE(Table3[[#This Row],[Description]],"id","en")</f>
        <v>#NAME?</v>
      </c>
      <c r="E122" t="s">
        <v>45</v>
      </c>
      <c r="F122">
        <f>_xlfn.XLOOKUP(Table3[[#This Row],[Category]],Table10[category],Table10[category_id],"Not found")</f>
        <v>2</v>
      </c>
      <c r="G122" t="str">
        <f>_xlfn.XLOOKUP(Table3[[#This Row],[Place_Id]],Table7[place_id],Table7[city3],"Not found")</f>
        <v>Sleman</v>
      </c>
      <c r="H122">
        <f>_xlfn.XLOOKUP(Table3[[#This Row],[City]],Table5[city_name],Table5[city_id],"Not found")</f>
        <v>38</v>
      </c>
      <c r="I122">
        <v>50000</v>
      </c>
      <c r="K122">
        <v>-7.7520205999999998</v>
      </c>
      <c r="L122">
        <v>110.4914674</v>
      </c>
    </row>
    <row r="123" spans="1:12" x14ac:dyDescent="0.25">
      <c r="A123">
        <v>122</v>
      </c>
      <c r="B123" t="s">
        <v>293</v>
      </c>
      <c r="C123" t="s">
        <v>294</v>
      </c>
      <c r="D123" t="e" cm="1">
        <f t="array" aca="1" ref="D123" ca="1">TRANSLATE(Table3[[#This Row],[Description]],"id","en")</f>
        <v>#NAME?</v>
      </c>
      <c r="E123" t="s">
        <v>45</v>
      </c>
      <c r="F123">
        <f>_xlfn.XLOOKUP(Table3[[#This Row],[Category]],Table10[category],Table10[category_id],"Not found")</f>
        <v>2</v>
      </c>
      <c r="G123" t="str">
        <f>_xlfn.XLOOKUP(Table3[[#This Row],[Place_Id]],Table7[place_id],Table7[city3],"Not found")</f>
        <v>Bantul</v>
      </c>
      <c r="H123">
        <f>_xlfn.XLOOKUP(Table3[[#This Row],[City]],Table5[city_name],Table5[city_id],"Not found")</f>
        <v>34</v>
      </c>
      <c r="I123">
        <v>2500</v>
      </c>
      <c r="J123">
        <v>45</v>
      </c>
      <c r="K123">
        <v>-7.9274085999999997</v>
      </c>
      <c r="L123">
        <v>110.41205859999999</v>
      </c>
    </row>
    <row r="124" spans="1:12" ht="75" x14ac:dyDescent="0.25">
      <c r="A124">
        <v>123</v>
      </c>
      <c r="B124" t="s">
        <v>295</v>
      </c>
      <c r="C124" s="3" t="s">
        <v>296</v>
      </c>
      <c r="D124" s="3" t="e" cm="1">
        <f t="array" aca="1" ref="D124" ca="1">TRANSLATE(Table3[[#This Row],[Description]],"id","en")</f>
        <v>#NAME?</v>
      </c>
      <c r="E124" t="s">
        <v>45</v>
      </c>
      <c r="F124">
        <f>_xlfn.XLOOKUP(Table3[[#This Row],[Category]],Table10[category],Table10[category_id],"Not found")</f>
        <v>2</v>
      </c>
      <c r="G124" t="str">
        <f>_xlfn.XLOOKUP(Table3[[#This Row],[Place_Id]],Table7[place_id],Table7[city3],"Not found")</f>
        <v>Yogyakarta</v>
      </c>
      <c r="H124">
        <f>_xlfn.XLOOKUP(Table3[[#This Row],[City]],Table5[city_name],Table5[city_id],"Not found")</f>
        <v>39</v>
      </c>
      <c r="I124">
        <v>0</v>
      </c>
      <c r="K124">
        <v>-7.8152775999999999</v>
      </c>
      <c r="L124">
        <v>110.39883589999999</v>
      </c>
    </row>
    <row r="125" spans="1:12" ht="45" x14ac:dyDescent="0.25">
      <c r="A125">
        <v>124</v>
      </c>
      <c r="B125" t="s">
        <v>297</v>
      </c>
      <c r="C125" s="3" t="s">
        <v>298</v>
      </c>
      <c r="D125" s="3" t="e" cm="1">
        <f t="array" aca="1" ref="D125" ca="1">TRANSLATE(Table3[[#This Row],[Description]],"id","en")</f>
        <v>#NAME?</v>
      </c>
      <c r="E125" t="s">
        <v>45</v>
      </c>
      <c r="F125">
        <f>_xlfn.XLOOKUP(Table3[[#This Row],[Category]],Table10[category],Table10[category_id],"Not found")</f>
        <v>2</v>
      </c>
      <c r="G125" t="str">
        <f>_xlfn.XLOOKUP(Table3[[#This Row],[Place_Id]],Table7[place_id],Table7[city3],"Not found")</f>
        <v>Yogyakarta</v>
      </c>
      <c r="H125">
        <f>_xlfn.XLOOKUP(Table3[[#This Row],[City]],Table5[city_name],Table5[city_id],"Not found")</f>
        <v>39</v>
      </c>
      <c r="I125">
        <v>0</v>
      </c>
      <c r="K125">
        <v>-7.8010346999999998</v>
      </c>
      <c r="L125">
        <v>110.3751922</v>
      </c>
    </row>
    <row r="126" spans="1:12" x14ac:dyDescent="0.25">
      <c r="A126">
        <v>125</v>
      </c>
      <c r="B126" t="s">
        <v>299</v>
      </c>
      <c r="C126" t="s">
        <v>300</v>
      </c>
      <c r="D126" t="e" cm="1">
        <f t="array" aca="1" ref="D126" ca="1">TRANSLATE(Table3[[#This Row],[Description]],"id","en")</f>
        <v>#NAME?</v>
      </c>
      <c r="E126" t="s">
        <v>45</v>
      </c>
      <c r="F126">
        <f>_xlfn.XLOOKUP(Table3[[#This Row],[Category]],Table10[category],Table10[category_id],"Not found")</f>
        <v>2</v>
      </c>
      <c r="G126" t="str">
        <f>_xlfn.XLOOKUP(Table3[[#This Row],[Place_Id]],Table7[place_id],Table7[city3],"Not found")</f>
        <v>Yogyakarta</v>
      </c>
      <c r="H126">
        <f>_xlfn.XLOOKUP(Table3[[#This Row],[City]],Table5[city_name],Table5[city_id],"Not found")</f>
        <v>39</v>
      </c>
      <c r="I126">
        <v>0</v>
      </c>
      <c r="J126">
        <v>60</v>
      </c>
      <c r="K126">
        <v>-7.8038974999999997</v>
      </c>
      <c r="L126">
        <v>110.3644232</v>
      </c>
    </row>
    <row r="127" spans="1:12" x14ac:dyDescent="0.25">
      <c r="A127">
        <v>126</v>
      </c>
      <c r="B127" t="s">
        <v>301</v>
      </c>
      <c r="C127" t="s">
        <v>302</v>
      </c>
      <c r="D127" t="e" cm="1">
        <f t="array" aca="1" ref="D127" ca="1">TRANSLATE(Table3[[#This Row],[Description]],"id","en")</f>
        <v>#NAME?</v>
      </c>
      <c r="E127" t="s">
        <v>65</v>
      </c>
      <c r="F127">
        <f>_xlfn.XLOOKUP(Table3[[#This Row],[Category]],Table10[category],Table10[category_id],"Not found")</f>
        <v>1</v>
      </c>
      <c r="G127" t="str">
        <f>_xlfn.XLOOKUP(Table3[[#This Row],[Place_Id]],Table7[place_id],Table7[city3],"Not found")</f>
        <v>Bantul</v>
      </c>
      <c r="H127">
        <f>_xlfn.XLOOKUP(Table3[[#This Row],[City]],Table5[city_name],Table5[city_id],"Not found")</f>
        <v>34</v>
      </c>
      <c r="I127">
        <v>4000</v>
      </c>
      <c r="K127">
        <v>-7.9994230000000002</v>
      </c>
      <c r="L127">
        <v>110.248963</v>
      </c>
    </row>
    <row r="128" spans="1:12" x14ac:dyDescent="0.25">
      <c r="A128">
        <v>127</v>
      </c>
      <c r="B128" t="s">
        <v>303</v>
      </c>
      <c r="C128" t="s">
        <v>304</v>
      </c>
      <c r="D128" t="e" cm="1">
        <f t="array" aca="1" ref="D128" ca="1">TRANSLATE(Table3[[#This Row],[Description]],"id","en")</f>
        <v>#NAME?</v>
      </c>
      <c r="E128" t="s">
        <v>51</v>
      </c>
      <c r="F128">
        <f>_xlfn.XLOOKUP(Table3[[#This Row],[Category]],Table10[category],Table10[category_id],"Not found")</f>
        <v>5</v>
      </c>
      <c r="G128" t="str">
        <f>_xlfn.XLOOKUP(Table3[[#This Row],[Place_Id]],Table7[place_id],Table7[city3],"Not found")</f>
        <v>Sleman</v>
      </c>
      <c r="H128">
        <f>_xlfn.XLOOKUP(Table3[[#This Row],[City]],Table5[city_name],Table5[city_id],"Not found")</f>
        <v>38</v>
      </c>
      <c r="I128">
        <v>10000</v>
      </c>
      <c r="K128">
        <v>-7.7044357999999997</v>
      </c>
      <c r="L128">
        <v>110.45026</v>
      </c>
    </row>
    <row r="129" spans="1:12" x14ac:dyDescent="0.25">
      <c r="A129">
        <v>128</v>
      </c>
      <c r="B129" t="s">
        <v>305</v>
      </c>
      <c r="C129" t="s">
        <v>306</v>
      </c>
      <c r="D129" t="e" cm="1">
        <f t="array" aca="1" ref="D129" ca="1">TRANSLATE(Table3[[#This Row],[Description]],"id","en")</f>
        <v>#NAME?</v>
      </c>
      <c r="E129" t="s">
        <v>51</v>
      </c>
      <c r="F129">
        <f>_xlfn.XLOOKUP(Table3[[#This Row],[Category]],Table10[category],Table10[category_id],"Not found")</f>
        <v>5</v>
      </c>
      <c r="G129" t="str">
        <f>_xlfn.XLOOKUP(Table3[[#This Row],[Place_Id]],Table7[place_id],Table7[city3],"Not found")</f>
        <v>Bantul</v>
      </c>
      <c r="H129">
        <f>_xlfn.XLOOKUP(Table3[[#This Row],[City]],Table5[city_name],Table5[city_id],"Not found")</f>
        <v>34</v>
      </c>
      <c r="I129">
        <v>0</v>
      </c>
      <c r="J129">
        <v>90</v>
      </c>
      <c r="K129">
        <v>-8.0173266000000005</v>
      </c>
      <c r="L129">
        <v>110.31807910000001</v>
      </c>
    </row>
    <row r="130" spans="1:12" ht="60" x14ac:dyDescent="0.25">
      <c r="A130">
        <v>129</v>
      </c>
      <c r="B130" t="s">
        <v>307</v>
      </c>
      <c r="C130" s="3" t="s">
        <v>308</v>
      </c>
      <c r="D130" s="3" t="e" cm="1">
        <f t="array" aca="1" ref="D130" ca="1">TRANSLATE(Table3[[#This Row],[Description]],"id","en")</f>
        <v>#NAME?</v>
      </c>
      <c r="E130" t="s">
        <v>51</v>
      </c>
      <c r="F130">
        <f>_xlfn.XLOOKUP(Table3[[#This Row],[Category]],Table10[category],Table10[category_id],"Not found")</f>
        <v>5</v>
      </c>
      <c r="G130" t="str">
        <f>_xlfn.XLOOKUP(Table3[[#This Row],[Place_Id]],Table7[place_id],Table7[city3],"Not found")</f>
        <v>Bantul</v>
      </c>
      <c r="H130">
        <f>_xlfn.XLOOKUP(Table3[[#This Row],[City]],Table5[city_name],Table5[city_id],"Not found")</f>
        <v>34</v>
      </c>
      <c r="I130">
        <v>2000</v>
      </c>
      <c r="J130">
        <v>60</v>
      </c>
      <c r="K130">
        <v>-7.9157997</v>
      </c>
      <c r="L130">
        <v>110.4366436</v>
      </c>
    </row>
    <row r="131" spans="1:12" x14ac:dyDescent="0.25">
      <c r="A131">
        <v>130</v>
      </c>
      <c r="B131" t="s">
        <v>309</v>
      </c>
      <c r="C131" t="s">
        <v>310</v>
      </c>
      <c r="D131" t="e" cm="1">
        <f t="array" aca="1" ref="D131" ca="1">TRANSLATE(Table3[[#This Row],[Description]],"id","en")</f>
        <v>#NAME?</v>
      </c>
      <c r="E131" t="s">
        <v>51</v>
      </c>
      <c r="F131">
        <f>_xlfn.XLOOKUP(Table3[[#This Row],[Category]],Table10[category],Table10[category_id],"Not found")</f>
        <v>5</v>
      </c>
      <c r="G131" t="str">
        <f>_xlfn.XLOOKUP(Table3[[#This Row],[Place_Id]],Table7[place_id],Table7[city3],"Not found")</f>
        <v>Sleman</v>
      </c>
      <c r="H131">
        <f>_xlfn.XLOOKUP(Table3[[#This Row],[City]],Table5[city_name],Table5[city_id],"Not found")</f>
        <v>38</v>
      </c>
      <c r="I131">
        <v>10000</v>
      </c>
      <c r="J131">
        <v>120</v>
      </c>
      <c r="K131">
        <v>-7.8057936000000003</v>
      </c>
      <c r="L131">
        <v>110.2367304</v>
      </c>
    </row>
    <row r="132" spans="1:12" x14ac:dyDescent="0.25">
      <c r="A132">
        <v>131</v>
      </c>
      <c r="B132" t="s">
        <v>311</v>
      </c>
      <c r="C132" t="s">
        <v>312</v>
      </c>
      <c r="D132" t="e" cm="1">
        <f t="array" aca="1" ref="D132" ca="1">TRANSLATE(Table3[[#This Row],[Description]],"id","en")</f>
        <v>#NAME?</v>
      </c>
      <c r="E132" t="s">
        <v>60</v>
      </c>
      <c r="F132">
        <f>_xlfn.XLOOKUP(Table3[[#This Row],[Category]],Table10[category],Table10[category_id],"Not found")</f>
        <v>3</v>
      </c>
      <c r="G132" t="str">
        <f>_xlfn.XLOOKUP(Table3[[#This Row],[Place_Id]],Table7[place_id],Table7[city3],"Not found")</f>
        <v>Bantul</v>
      </c>
      <c r="H132">
        <f>_xlfn.XLOOKUP(Table3[[#This Row],[City]],Table5[city_name],Table5[city_id],"Not found")</f>
        <v>34</v>
      </c>
      <c r="I132">
        <v>5000</v>
      </c>
      <c r="J132">
        <v>30</v>
      </c>
      <c r="K132">
        <v>-7.9924378999999997</v>
      </c>
      <c r="L132">
        <v>110.317778</v>
      </c>
    </row>
    <row r="133" spans="1:12" x14ac:dyDescent="0.25">
      <c r="A133">
        <v>132</v>
      </c>
      <c r="B133" t="s">
        <v>313</v>
      </c>
      <c r="C133" t="s">
        <v>314</v>
      </c>
      <c r="D133" t="e" cm="1">
        <f t="array" aca="1" ref="D133" ca="1">TRANSLATE(Table3[[#This Row],[Description]],"id","en")</f>
        <v>#NAME?</v>
      </c>
      <c r="E133" t="s">
        <v>60</v>
      </c>
      <c r="F133">
        <f>_xlfn.XLOOKUP(Table3[[#This Row],[Category]],Table10[category],Table10[category_id],"Not found")</f>
        <v>3</v>
      </c>
      <c r="G133" t="str">
        <f>_xlfn.XLOOKUP(Table3[[#This Row],[Place_Id]],Table7[place_id],Table7[city3],"Not found")</f>
        <v>Kulon Progo</v>
      </c>
      <c r="H133">
        <f>_xlfn.XLOOKUP(Table3[[#This Row],[City]],Table5[city_name],Table5[city_id],"Not found")</f>
        <v>37</v>
      </c>
      <c r="I133">
        <v>20000</v>
      </c>
      <c r="J133">
        <v>60</v>
      </c>
      <c r="K133">
        <v>-7.7699875</v>
      </c>
      <c r="L133">
        <v>110.1210707</v>
      </c>
    </row>
    <row r="134" spans="1:12" ht="45" x14ac:dyDescent="0.25">
      <c r="A134">
        <v>133</v>
      </c>
      <c r="B134" t="s">
        <v>315</v>
      </c>
      <c r="C134" s="3" t="s">
        <v>316</v>
      </c>
      <c r="D134" s="3" t="e" cm="1">
        <f t="array" aca="1" ref="D134" ca="1">TRANSLATE(Table3[[#This Row],[Description]],"id","en")</f>
        <v>#NAME?</v>
      </c>
      <c r="E134" t="s">
        <v>51</v>
      </c>
      <c r="F134">
        <f>_xlfn.XLOOKUP(Table3[[#This Row],[Category]],Table10[category],Table10[category_id],"Not found")</f>
        <v>5</v>
      </c>
      <c r="G134" t="str">
        <f>_xlfn.XLOOKUP(Table3[[#This Row],[Place_Id]],Table7[place_id],Table7[city3],"Not found")</f>
        <v>Bantul</v>
      </c>
      <c r="H134">
        <f>_xlfn.XLOOKUP(Table3[[#This Row],[City]],Table5[city_name],Table5[city_id],"Not found")</f>
        <v>34</v>
      </c>
      <c r="I134">
        <v>5000</v>
      </c>
      <c r="J134">
        <v>90</v>
      </c>
      <c r="K134">
        <v>-7.9413717999999998</v>
      </c>
      <c r="L134">
        <v>110.4247345</v>
      </c>
    </row>
    <row r="135" spans="1:12" x14ac:dyDescent="0.25">
      <c r="A135">
        <v>134</v>
      </c>
      <c r="B135" t="s">
        <v>317</v>
      </c>
      <c r="C135" t="s">
        <v>318</v>
      </c>
      <c r="D135" t="e" cm="1">
        <f t="array" aca="1" ref="D135" ca="1">TRANSLATE(Table3[[#This Row],[Description]],"id","en")</f>
        <v>#NAME?</v>
      </c>
      <c r="E135" t="s">
        <v>51</v>
      </c>
      <c r="F135">
        <f>_xlfn.XLOOKUP(Table3[[#This Row],[Category]],Table10[category],Table10[category_id],"Not found")</f>
        <v>5</v>
      </c>
      <c r="G135" t="str">
        <f>_xlfn.XLOOKUP(Table3[[#This Row],[Place_Id]],Table7[place_id],Table7[city3],"Not found")</f>
        <v>Sleman</v>
      </c>
      <c r="H135">
        <f>_xlfn.XLOOKUP(Table3[[#This Row],[City]],Table5[city_name],Table5[city_id],"Not found")</f>
        <v>38</v>
      </c>
      <c r="I135">
        <v>10000</v>
      </c>
      <c r="J135">
        <v>60</v>
      </c>
      <c r="K135">
        <v>-7.8055231999999997</v>
      </c>
      <c r="L135">
        <v>110.2374676</v>
      </c>
    </row>
    <row r="136" spans="1:12" x14ac:dyDescent="0.25">
      <c r="A136">
        <v>135</v>
      </c>
      <c r="B136" t="s">
        <v>319</v>
      </c>
      <c r="C136" t="s">
        <v>320</v>
      </c>
      <c r="D136" t="e" cm="1">
        <f t="array" aca="1" ref="D136" ca="1">TRANSLATE(Table3[[#This Row],[Description]],"id","en")</f>
        <v>#NAME?</v>
      </c>
      <c r="E136" t="s">
        <v>78</v>
      </c>
      <c r="F136">
        <f>_xlfn.XLOOKUP(Table3[[#This Row],[Category]],Table10[category],Table10[category_id],"Not found")</f>
        <v>4</v>
      </c>
      <c r="G136" t="str">
        <f>_xlfn.XLOOKUP(Table3[[#This Row],[Place_Id]],Table7[place_id],Table7[city3],"Not found")</f>
        <v>Yogyakarta</v>
      </c>
      <c r="H136">
        <f>_xlfn.XLOOKUP(Table3[[#This Row],[City]],Table5[city_name],Table5[city_id],"Not found")</f>
        <v>39</v>
      </c>
      <c r="I136">
        <v>0</v>
      </c>
      <c r="K136">
        <v>-7.7916235</v>
      </c>
      <c r="L136">
        <v>110.36195600000001</v>
      </c>
    </row>
    <row r="137" spans="1:12" x14ac:dyDescent="0.25">
      <c r="A137">
        <v>136</v>
      </c>
      <c r="B137" t="s">
        <v>321</v>
      </c>
      <c r="C137" t="s">
        <v>322</v>
      </c>
      <c r="D137" t="e" cm="1">
        <f t="array" aca="1" ref="D137" ca="1">TRANSLATE(Table3[[#This Row],[Description]],"id","en")</f>
        <v>#NAME?</v>
      </c>
      <c r="E137" t="s">
        <v>51</v>
      </c>
      <c r="F137">
        <f>_xlfn.XLOOKUP(Table3[[#This Row],[Category]],Table10[category],Table10[category_id],"Not found")</f>
        <v>5</v>
      </c>
      <c r="G137" t="str">
        <f>_xlfn.XLOOKUP(Table3[[#This Row],[Place_Id]],Table7[place_id],Table7[city3],"Not found")</f>
        <v>Sleman</v>
      </c>
      <c r="H137">
        <f>_xlfn.XLOOKUP(Table3[[#This Row],[City]],Table5[city_name],Table5[city_id],"Not found")</f>
        <v>38</v>
      </c>
      <c r="I137">
        <v>10000</v>
      </c>
      <c r="J137">
        <v>90</v>
      </c>
      <c r="K137">
        <v>-7.6340171999999997</v>
      </c>
      <c r="L137">
        <v>110.33837</v>
      </c>
    </row>
    <row r="138" spans="1:12" x14ac:dyDescent="0.25">
      <c r="A138">
        <v>137</v>
      </c>
      <c r="B138" t="s">
        <v>323</v>
      </c>
      <c r="C138" t="s">
        <v>324</v>
      </c>
      <c r="D138" t="e" cm="1">
        <f t="array" aca="1" ref="D138" ca="1">TRANSLATE(Table3[[#This Row],[Description]],"id","en")</f>
        <v>#NAME?</v>
      </c>
      <c r="E138" t="s">
        <v>60</v>
      </c>
      <c r="F138">
        <f>_xlfn.XLOOKUP(Table3[[#This Row],[Category]],Table10[category],Table10[category_id],"Not found")</f>
        <v>3</v>
      </c>
      <c r="G138" t="str">
        <f>_xlfn.XLOOKUP(Table3[[#This Row],[Place_Id]],Table7[place_id],Table7[city3],"Not found")</f>
        <v>Kulon Progo</v>
      </c>
      <c r="H138">
        <f>_xlfn.XLOOKUP(Table3[[#This Row],[City]],Table5[city_name],Table5[city_id],"Not found")</f>
        <v>37</v>
      </c>
      <c r="I138">
        <v>20000</v>
      </c>
      <c r="J138">
        <v>90</v>
      </c>
      <c r="K138">
        <v>-7.8057305000000001</v>
      </c>
      <c r="L138">
        <v>110.12796899999999</v>
      </c>
    </row>
    <row r="139" spans="1:12" x14ac:dyDescent="0.25">
      <c r="A139">
        <v>138</v>
      </c>
      <c r="B139" t="s">
        <v>325</v>
      </c>
      <c r="C139" t="s">
        <v>326</v>
      </c>
      <c r="D139" t="e" cm="1">
        <f t="array" aca="1" ref="D139" ca="1">TRANSLATE(Table3[[#This Row],[Description]],"id","en")</f>
        <v>#NAME?</v>
      </c>
      <c r="E139" t="s">
        <v>51</v>
      </c>
      <c r="F139">
        <f>_xlfn.XLOOKUP(Table3[[#This Row],[Category]],Table10[category],Table10[category_id],"Not found")</f>
        <v>5</v>
      </c>
      <c r="G139" t="str">
        <f>_xlfn.XLOOKUP(Table3[[#This Row],[Place_Id]],Table7[place_id],Table7[city3],"Not found")</f>
        <v>Sleman</v>
      </c>
      <c r="H139">
        <f>_xlfn.XLOOKUP(Table3[[#This Row],[City]],Table5[city_name],Table5[city_id],"Not found")</f>
        <v>38</v>
      </c>
      <c r="I139">
        <v>20000</v>
      </c>
      <c r="J139">
        <v>120</v>
      </c>
      <c r="K139">
        <v>-7.7280356000000001</v>
      </c>
      <c r="L139">
        <v>110.35917120000001</v>
      </c>
    </row>
    <row r="140" spans="1:12" x14ac:dyDescent="0.25">
      <c r="A140">
        <v>139</v>
      </c>
      <c r="B140" t="s">
        <v>327</v>
      </c>
      <c r="C140" t="s">
        <v>328</v>
      </c>
      <c r="D140" t="e" cm="1">
        <f t="array" aca="1" ref="D140" ca="1">TRANSLATE(Table3[[#This Row],[Description]],"id","en")</f>
        <v>#NAME?</v>
      </c>
      <c r="E140" t="s">
        <v>60</v>
      </c>
      <c r="F140">
        <f>_xlfn.XLOOKUP(Table3[[#This Row],[Category]],Table10[category],Table10[category_id],"Not found")</f>
        <v>3</v>
      </c>
      <c r="G140" t="str">
        <f>_xlfn.XLOOKUP(Table3[[#This Row],[Place_Id]],Table7[place_id],Table7[city3],"Not found")</f>
        <v>Gunungkidul</v>
      </c>
      <c r="H140">
        <f>_xlfn.XLOOKUP(Table3[[#This Row],[City]],Table5[city_name],Table5[city_id],"Not found")</f>
        <v>35</v>
      </c>
      <c r="I140">
        <v>10000</v>
      </c>
      <c r="J140">
        <v>60</v>
      </c>
      <c r="K140">
        <v>-7.841253</v>
      </c>
      <c r="L140">
        <v>110.54305600000001</v>
      </c>
    </row>
    <row r="141" spans="1:12" x14ac:dyDescent="0.25">
      <c r="A141">
        <v>140</v>
      </c>
      <c r="B141" t="s">
        <v>329</v>
      </c>
      <c r="C141" t="s">
        <v>330</v>
      </c>
      <c r="D141" t="e" cm="1">
        <f t="array" aca="1" ref="D141" ca="1">TRANSLATE(Table3[[#This Row],[Description]],"id","en")</f>
        <v>#NAME?</v>
      </c>
      <c r="E141" t="s">
        <v>51</v>
      </c>
      <c r="F141">
        <f>_xlfn.XLOOKUP(Table3[[#This Row],[Category]],Table10[category],Table10[category_id],"Not found")</f>
        <v>5</v>
      </c>
      <c r="G141" t="str">
        <f>_xlfn.XLOOKUP(Table3[[#This Row],[Place_Id]],Table7[place_id],Table7[city3],"Not found")</f>
        <v>Yogyakarta</v>
      </c>
      <c r="H141">
        <f>_xlfn.XLOOKUP(Table3[[#This Row],[City]],Table5[city_name],Table5[city_id],"Not found")</f>
        <v>39</v>
      </c>
      <c r="I141">
        <v>0</v>
      </c>
      <c r="J141">
        <v>60</v>
      </c>
      <c r="K141">
        <v>-7.8316667999999998</v>
      </c>
      <c r="L141">
        <v>110.3945119</v>
      </c>
    </row>
    <row r="142" spans="1:12" x14ac:dyDescent="0.25">
      <c r="A142">
        <v>141</v>
      </c>
      <c r="B142" t="s">
        <v>331</v>
      </c>
      <c r="C142" t="s">
        <v>332</v>
      </c>
      <c r="D142" t="e" cm="1">
        <f t="array" aca="1" ref="D142" ca="1">TRANSLATE(Table3[[#This Row],[Description]],"id","en")</f>
        <v>#NAME?</v>
      </c>
      <c r="E142" t="s">
        <v>60</v>
      </c>
      <c r="F142">
        <f>_xlfn.XLOOKUP(Table3[[#This Row],[Category]],Table10[category],Table10[category_id],"Not found")</f>
        <v>3</v>
      </c>
      <c r="G142" t="str">
        <f>_xlfn.XLOOKUP(Table3[[#This Row],[Place_Id]],Table7[place_id],Table7[city3],"Not found")</f>
        <v>Sleman</v>
      </c>
      <c r="H142">
        <f>_xlfn.XLOOKUP(Table3[[#This Row],[City]],Table5[city_name],Table5[city_id],"Not found")</f>
        <v>38</v>
      </c>
      <c r="I142">
        <v>3000</v>
      </c>
      <c r="J142">
        <v>45</v>
      </c>
      <c r="K142">
        <v>-7.5829198</v>
      </c>
      <c r="L142">
        <v>110.4476816</v>
      </c>
    </row>
    <row r="143" spans="1:12" x14ac:dyDescent="0.25">
      <c r="A143">
        <v>142</v>
      </c>
      <c r="B143" t="s">
        <v>333</v>
      </c>
      <c r="C143" t="s">
        <v>334</v>
      </c>
      <c r="D143" t="e" cm="1">
        <f t="array" aca="1" ref="D143" ca="1">TRANSLATE(Table3[[#This Row],[Description]],"id","en")</f>
        <v>#NAME?</v>
      </c>
      <c r="E143" t="s">
        <v>60</v>
      </c>
      <c r="F143">
        <f>_xlfn.XLOOKUP(Table3[[#This Row],[Category]],Table10[category],Table10[category_id],"Not found")</f>
        <v>3</v>
      </c>
      <c r="G143" t="str">
        <f>_xlfn.XLOOKUP(Table3[[#This Row],[Place_Id]],Table7[place_id],Table7[city3],"Not found")</f>
        <v>Sleman</v>
      </c>
      <c r="H143">
        <f>_xlfn.XLOOKUP(Table3[[#This Row],[City]],Table5[city_name],Table5[city_id],"Not found")</f>
        <v>38</v>
      </c>
      <c r="I143">
        <v>0</v>
      </c>
      <c r="J143">
        <v>150</v>
      </c>
      <c r="K143">
        <v>-7.6470943</v>
      </c>
      <c r="L143">
        <v>110.4280998</v>
      </c>
    </row>
    <row r="144" spans="1:12" x14ac:dyDescent="0.25">
      <c r="A144">
        <v>143</v>
      </c>
      <c r="B144" t="s">
        <v>335</v>
      </c>
      <c r="C144" t="s">
        <v>336</v>
      </c>
      <c r="D144" t="e" cm="1">
        <f t="array" aca="1" ref="D144" ca="1">TRANSLATE(Table3[[#This Row],[Description]],"id","en")</f>
        <v>#NAME?</v>
      </c>
      <c r="E144" t="s">
        <v>60</v>
      </c>
      <c r="F144">
        <f>_xlfn.XLOOKUP(Table3[[#This Row],[Category]],Table10[category],Table10[category_id],"Not found")</f>
        <v>3</v>
      </c>
      <c r="G144" t="str">
        <f>_xlfn.XLOOKUP(Table3[[#This Row],[Place_Id]],Table7[place_id],Table7[city3],"Not found")</f>
        <v>Bantul</v>
      </c>
      <c r="H144">
        <f>_xlfn.XLOOKUP(Table3[[#This Row],[City]],Table5[city_name],Table5[city_id],"Not found")</f>
        <v>34</v>
      </c>
      <c r="I144">
        <v>2000</v>
      </c>
      <c r="J144">
        <v>90</v>
      </c>
      <c r="K144">
        <v>-7.9310983999999998</v>
      </c>
      <c r="L144">
        <v>110.430919</v>
      </c>
    </row>
    <row r="145" spans="1:12" x14ac:dyDescent="0.25">
      <c r="A145">
        <v>144</v>
      </c>
      <c r="B145" t="s">
        <v>337</v>
      </c>
      <c r="C145" t="s">
        <v>338</v>
      </c>
      <c r="D145" t="e" cm="1">
        <f t="array" aca="1" ref="D145" ca="1">TRANSLATE(Table3[[#This Row],[Description]],"id","en")</f>
        <v>#NAME?</v>
      </c>
      <c r="E145" t="s">
        <v>60</v>
      </c>
      <c r="F145">
        <f>_xlfn.XLOOKUP(Table3[[#This Row],[Category]],Table10[category],Table10[category_id],"Not found")</f>
        <v>3</v>
      </c>
      <c r="G145" t="str">
        <f>_xlfn.XLOOKUP(Table3[[#This Row],[Place_Id]],Table7[place_id],Table7[city3],"Not found")</f>
        <v>Gunungkidul</v>
      </c>
      <c r="H145">
        <f>_xlfn.XLOOKUP(Table3[[#This Row],[City]],Table5[city_name],Table5[city_id],"Not found")</f>
        <v>35</v>
      </c>
      <c r="I145">
        <v>500000</v>
      </c>
      <c r="K145">
        <v>-8.0281561999999997</v>
      </c>
      <c r="L145">
        <v>110.6383307</v>
      </c>
    </row>
    <row r="146" spans="1:12" x14ac:dyDescent="0.25">
      <c r="A146">
        <v>145</v>
      </c>
      <c r="B146" t="s">
        <v>339</v>
      </c>
      <c r="C146" t="s">
        <v>340</v>
      </c>
      <c r="D146" t="e" cm="1">
        <f t="array" aca="1" ref="D146" ca="1">TRANSLATE(Table3[[#This Row],[Description]],"id","en")</f>
        <v>#NAME?</v>
      </c>
      <c r="E146" t="s">
        <v>51</v>
      </c>
      <c r="F146">
        <f>_xlfn.XLOOKUP(Table3[[#This Row],[Category]],Table10[category],Table10[category_id],"Not found")</f>
        <v>5</v>
      </c>
      <c r="G146" t="str">
        <f>_xlfn.XLOOKUP(Table3[[#This Row],[Place_Id]],Table7[place_id],Table7[city3],"Not found")</f>
        <v>Sleman</v>
      </c>
      <c r="H146">
        <f>_xlfn.XLOOKUP(Table3[[#This Row],[City]],Table5[city_name],Table5[city_id],"Not found")</f>
        <v>38</v>
      </c>
      <c r="I146">
        <v>5000</v>
      </c>
      <c r="J146">
        <v>60</v>
      </c>
      <c r="K146">
        <v>-7.8136085</v>
      </c>
      <c r="L146">
        <v>110.5033442</v>
      </c>
    </row>
    <row r="147" spans="1:12" x14ac:dyDescent="0.25">
      <c r="A147">
        <v>146</v>
      </c>
      <c r="B147" t="s">
        <v>341</v>
      </c>
      <c r="C147" t="s">
        <v>342</v>
      </c>
      <c r="D147" t="e" cm="1">
        <f t="array" aca="1" ref="D147" ca="1">TRANSLATE(Table3[[#This Row],[Description]],"id","en")</f>
        <v>#NAME?</v>
      </c>
      <c r="E147" t="s">
        <v>60</v>
      </c>
      <c r="F147">
        <f>_xlfn.XLOOKUP(Table3[[#This Row],[Category]],Table10[category],Table10[category_id],"Not found")</f>
        <v>3</v>
      </c>
      <c r="G147" t="str">
        <f>_xlfn.XLOOKUP(Table3[[#This Row],[Place_Id]],Table7[place_id],Table7[city3],"Not found")</f>
        <v>Kulon Progo</v>
      </c>
      <c r="H147">
        <f>_xlfn.XLOOKUP(Table3[[#This Row],[City]],Table5[city_name],Table5[city_id],"Not found")</f>
        <v>37</v>
      </c>
      <c r="I147">
        <v>10000</v>
      </c>
      <c r="K147">
        <v>-7.8001106</v>
      </c>
      <c r="L147">
        <v>110.12389539999999</v>
      </c>
    </row>
    <row r="148" spans="1:12" x14ac:dyDescent="0.25">
      <c r="A148">
        <v>147</v>
      </c>
      <c r="B148" t="s">
        <v>343</v>
      </c>
      <c r="C148" t="s">
        <v>344</v>
      </c>
      <c r="D148" t="e" cm="1">
        <f t="array" aca="1" ref="D148" ca="1">TRANSLATE(Table3[[#This Row],[Description]],"id","en")</f>
        <v>#NAME?</v>
      </c>
      <c r="E148" t="s">
        <v>45</v>
      </c>
      <c r="F148">
        <f>_xlfn.XLOOKUP(Table3[[#This Row],[Category]],Table10[category],Table10[category_id],"Not found")</f>
        <v>2</v>
      </c>
      <c r="G148" t="str">
        <f>_xlfn.XLOOKUP(Table3[[#This Row],[Place_Id]],Table7[place_id],Table7[city3],"Not found")</f>
        <v>Yogyakarta</v>
      </c>
      <c r="H148">
        <f>_xlfn.XLOOKUP(Table3[[#This Row],[City]],Table5[city_name],Table5[city_id],"Not found")</f>
        <v>39</v>
      </c>
      <c r="I148">
        <v>0</v>
      </c>
      <c r="K148">
        <v>-7.7857241999999998</v>
      </c>
      <c r="L148">
        <v>110.37469539999999</v>
      </c>
    </row>
    <row r="149" spans="1:12" x14ac:dyDescent="0.25">
      <c r="A149">
        <v>148</v>
      </c>
      <c r="B149" t="s">
        <v>345</v>
      </c>
      <c r="C149" t="s">
        <v>346</v>
      </c>
      <c r="D149" t="e" cm="1">
        <f t="array" aca="1" ref="D149" ca="1">TRANSLATE(Table3[[#This Row],[Description]],"id","en")</f>
        <v>#NAME?</v>
      </c>
      <c r="E149" t="s">
        <v>60</v>
      </c>
      <c r="F149">
        <f>_xlfn.XLOOKUP(Table3[[#This Row],[Category]],Table10[category],Table10[category_id],"Not found")</f>
        <v>3</v>
      </c>
      <c r="G149" t="str">
        <f>_xlfn.XLOOKUP(Table3[[#This Row],[Place_Id]],Table7[place_id],Table7[city3],"Not found")</f>
        <v>Gunungkidul</v>
      </c>
      <c r="H149">
        <f>_xlfn.XLOOKUP(Table3[[#This Row],[City]],Table5[city_name],Table5[city_id],"Not found")</f>
        <v>35</v>
      </c>
      <c r="I149">
        <v>5000</v>
      </c>
      <c r="J149">
        <v>30</v>
      </c>
      <c r="K149">
        <v>-7.9492611999999996</v>
      </c>
      <c r="L149">
        <v>110.4926511</v>
      </c>
    </row>
    <row r="150" spans="1:12" x14ac:dyDescent="0.25">
      <c r="A150">
        <v>149</v>
      </c>
      <c r="B150" t="s">
        <v>347</v>
      </c>
      <c r="C150" t="s">
        <v>348</v>
      </c>
      <c r="D150" t="e" cm="1">
        <f t="array" aca="1" ref="D150" ca="1">TRANSLATE(Table3[[#This Row],[Description]],"id","en")</f>
        <v>#NAME?</v>
      </c>
      <c r="E150" t="s">
        <v>60</v>
      </c>
      <c r="F150">
        <f>_xlfn.XLOOKUP(Table3[[#This Row],[Category]],Table10[category],Table10[category_id],"Not found")</f>
        <v>3</v>
      </c>
      <c r="G150" t="str">
        <f>_xlfn.XLOOKUP(Table3[[#This Row],[Place_Id]],Table7[place_id],Table7[city3],"Not found")</f>
        <v>Bantul</v>
      </c>
      <c r="H150">
        <f>_xlfn.XLOOKUP(Table3[[#This Row],[City]],Table5[city_name],Table5[city_id],"Not found")</f>
        <v>34</v>
      </c>
      <c r="I150">
        <v>3000</v>
      </c>
      <c r="J150">
        <v>90</v>
      </c>
      <c r="K150">
        <v>-7.9794413000000004</v>
      </c>
      <c r="L150">
        <v>110.3803114</v>
      </c>
    </row>
    <row r="151" spans="1:12" x14ac:dyDescent="0.25">
      <c r="A151">
        <v>150</v>
      </c>
      <c r="B151" t="s">
        <v>349</v>
      </c>
      <c r="C151" t="s">
        <v>350</v>
      </c>
      <c r="D151" t="e" cm="1">
        <f t="array" aca="1" ref="D151" ca="1">TRANSLATE(Table3[[#This Row],[Description]],"id","en")</f>
        <v>#NAME?</v>
      </c>
      <c r="E151" t="s">
        <v>45</v>
      </c>
      <c r="F151">
        <f>_xlfn.XLOOKUP(Table3[[#This Row],[Category]],Table10[category],Table10[category_id],"Not found")</f>
        <v>2</v>
      </c>
      <c r="G151" t="str">
        <f>_xlfn.XLOOKUP(Table3[[#This Row],[Place_Id]],Table7[place_id],Table7[city3],"Not found")</f>
        <v>Yogyakarta</v>
      </c>
      <c r="H151">
        <f>_xlfn.XLOOKUP(Table3[[#This Row],[City]],Table5[city_name],Table5[city_id],"Not found")</f>
        <v>39</v>
      </c>
      <c r="I151">
        <v>7000</v>
      </c>
      <c r="K151">
        <v>-7.8067535000000001</v>
      </c>
      <c r="L151">
        <v>110.3636659</v>
      </c>
    </row>
    <row r="152" spans="1:12" x14ac:dyDescent="0.25">
      <c r="A152">
        <v>151</v>
      </c>
      <c r="B152" t="s">
        <v>351</v>
      </c>
      <c r="C152" t="s">
        <v>352</v>
      </c>
      <c r="D152" t="e" cm="1">
        <f t="array" aca="1" ref="D152" ca="1">TRANSLATE(Table3[[#This Row],[Description]],"id","en")</f>
        <v>#NAME?</v>
      </c>
      <c r="E152" t="s">
        <v>51</v>
      </c>
      <c r="F152">
        <f>_xlfn.XLOOKUP(Table3[[#This Row],[Category]],Table10[category],Table10[category_id],"Not found")</f>
        <v>5</v>
      </c>
      <c r="G152" t="str">
        <f>_xlfn.XLOOKUP(Table3[[#This Row],[Place_Id]],Table7[place_id],Table7[city3],"Not found")</f>
        <v>Sleman</v>
      </c>
      <c r="H152">
        <f>_xlfn.XLOOKUP(Table3[[#This Row],[City]],Table5[city_name],Table5[city_id],"Not found")</f>
        <v>38</v>
      </c>
      <c r="I152">
        <v>0</v>
      </c>
      <c r="J152">
        <v>90</v>
      </c>
      <c r="K152">
        <v>-7.6410258000000004</v>
      </c>
      <c r="L152">
        <v>110.36227940000001</v>
      </c>
    </row>
    <row r="153" spans="1:12" x14ac:dyDescent="0.25">
      <c r="A153">
        <v>152</v>
      </c>
      <c r="B153" t="s">
        <v>353</v>
      </c>
      <c r="C153" t="s">
        <v>354</v>
      </c>
      <c r="D153" t="e" cm="1">
        <f t="array" aca="1" ref="D153" ca="1">TRANSLATE(Table3[[#This Row],[Description]],"id","en")</f>
        <v>#NAME?</v>
      </c>
      <c r="E153" t="s">
        <v>65</v>
      </c>
      <c r="F153">
        <f>_xlfn.XLOOKUP(Table3[[#This Row],[Category]],Table10[category],Table10[category_id],"Not found")</f>
        <v>1</v>
      </c>
      <c r="G153" t="str">
        <f>_xlfn.XLOOKUP(Table3[[#This Row],[Place_Id]],Table7[place_id],Table7[city3],"Not found")</f>
        <v>Bantul</v>
      </c>
      <c r="H153">
        <f>_xlfn.XLOOKUP(Table3[[#This Row],[City]],Table5[city_name],Table5[city_id],"Not found")</f>
        <v>34</v>
      </c>
      <c r="I153">
        <v>5000</v>
      </c>
      <c r="J153">
        <v>45</v>
      </c>
      <c r="K153">
        <v>-7.9977780000000003</v>
      </c>
      <c r="L153">
        <v>110.2449113</v>
      </c>
    </row>
    <row r="154" spans="1:12" x14ac:dyDescent="0.25">
      <c r="A154">
        <v>153</v>
      </c>
      <c r="B154" t="s">
        <v>355</v>
      </c>
      <c r="C154" t="s">
        <v>356</v>
      </c>
      <c r="D154" t="e" cm="1">
        <f t="array" aca="1" ref="D154" ca="1">TRANSLATE(Table3[[#This Row],[Description]],"id","en")</f>
        <v>#NAME?</v>
      </c>
      <c r="E154" t="s">
        <v>65</v>
      </c>
      <c r="F154">
        <f>_xlfn.XLOOKUP(Table3[[#This Row],[Category]],Table10[category],Table10[category_id],"Not found")</f>
        <v>1</v>
      </c>
      <c r="G154" t="str">
        <f>_xlfn.XLOOKUP(Table3[[#This Row],[Place_Id]],Table7[place_id],Table7[city3],"Not found")</f>
        <v>Gunungkidul</v>
      </c>
      <c r="H154">
        <f>_xlfn.XLOOKUP(Table3[[#This Row],[City]],Table5[city_name],Table5[city_id],"Not found")</f>
        <v>35</v>
      </c>
      <c r="I154">
        <v>10000</v>
      </c>
      <c r="K154">
        <v>-8.1338763000000007</v>
      </c>
      <c r="L154">
        <v>110.5548349</v>
      </c>
    </row>
    <row r="155" spans="1:12" x14ac:dyDescent="0.25">
      <c r="A155">
        <v>154</v>
      </c>
      <c r="B155" t="s">
        <v>357</v>
      </c>
      <c r="C155" t="s">
        <v>358</v>
      </c>
      <c r="D155" t="e" cm="1">
        <f t="array" aca="1" ref="D155" ca="1">TRANSLATE(Table3[[#This Row],[Description]],"id","en")</f>
        <v>#NAME?</v>
      </c>
      <c r="E155" t="s">
        <v>65</v>
      </c>
      <c r="F155">
        <f>_xlfn.XLOOKUP(Table3[[#This Row],[Category]],Table10[category],Table10[category_id],"Not found")</f>
        <v>1</v>
      </c>
      <c r="G155" t="str">
        <f>_xlfn.XLOOKUP(Table3[[#This Row],[Place_Id]],Table7[place_id],Table7[city3],"Not found")</f>
        <v>Gunungkidul</v>
      </c>
      <c r="H155">
        <f>_xlfn.XLOOKUP(Table3[[#This Row],[City]],Table5[city_name],Table5[city_id],"Not found")</f>
        <v>35</v>
      </c>
      <c r="I155">
        <v>10000</v>
      </c>
      <c r="K155">
        <v>-8.1333389</v>
      </c>
      <c r="L155">
        <v>110.5537405</v>
      </c>
    </row>
    <row r="156" spans="1:12" x14ac:dyDescent="0.25">
      <c r="A156">
        <v>155</v>
      </c>
      <c r="B156" t="s">
        <v>359</v>
      </c>
      <c r="C156" t="s">
        <v>360</v>
      </c>
      <c r="D156" t="e" cm="1">
        <f t="array" aca="1" ref="D156" ca="1">TRANSLATE(Table3[[#This Row],[Description]],"id","en")</f>
        <v>#NAME?</v>
      </c>
      <c r="E156" t="s">
        <v>65</v>
      </c>
      <c r="F156">
        <f>_xlfn.XLOOKUP(Table3[[#This Row],[Category]],Table10[category],Table10[category_id],"Not found")</f>
        <v>1</v>
      </c>
      <c r="G156" t="str">
        <f>_xlfn.XLOOKUP(Table3[[#This Row],[Place_Id]],Table7[place_id],Table7[city3],"Not found")</f>
        <v>Gunungkidul</v>
      </c>
      <c r="H156">
        <f>_xlfn.XLOOKUP(Table3[[#This Row],[City]],Table5[city_name],Table5[city_id],"Not found")</f>
        <v>35</v>
      </c>
      <c r="I156">
        <v>5000</v>
      </c>
      <c r="K156">
        <v>-8.1184843999999998</v>
      </c>
      <c r="L156">
        <v>110.50287849999999</v>
      </c>
    </row>
    <row r="157" spans="1:12" x14ac:dyDescent="0.25">
      <c r="A157">
        <v>156</v>
      </c>
      <c r="B157" t="s">
        <v>361</v>
      </c>
      <c r="C157" t="s">
        <v>362</v>
      </c>
      <c r="D157" t="e" cm="1">
        <f t="array" aca="1" ref="D157" ca="1">TRANSLATE(Table3[[#This Row],[Description]],"id","en")</f>
        <v>#NAME?</v>
      </c>
      <c r="E157" t="s">
        <v>65</v>
      </c>
      <c r="F157">
        <f>_xlfn.XLOOKUP(Table3[[#This Row],[Category]],Table10[category],Table10[category_id],"Not found")</f>
        <v>1</v>
      </c>
      <c r="G157" t="str">
        <f>_xlfn.XLOOKUP(Table3[[#This Row],[Place_Id]],Table7[place_id],Table7[city3],"Not found")</f>
        <v>Gunungkidul</v>
      </c>
      <c r="H157">
        <f>_xlfn.XLOOKUP(Table3[[#This Row],[City]],Table5[city_name],Table5[city_id],"Not found")</f>
        <v>35</v>
      </c>
      <c r="I157">
        <v>10000</v>
      </c>
      <c r="K157">
        <v>-8.1506588999999998</v>
      </c>
      <c r="L157">
        <v>110.6126311</v>
      </c>
    </row>
    <row r="158" spans="1:12" x14ac:dyDescent="0.25">
      <c r="A158">
        <v>157</v>
      </c>
      <c r="B158" t="s">
        <v>363</v>
      </c>
      <c r="C158" t="s">
        <v>364</v>
      </c>
      <c r="D158" t="e" cm="1">
        <f t="array" aca="1" ref="D158" ca="1">TRANSLATE(Table3[[#This Row],[Description]],"id","en")</f>
        <v>#NAME?</v>
      </c>
      <c r="E158" t="s">
        <v>65</v>
      </c>
      <c r="F158">
        <f>_xlfn.XLOOKUP(Table3[[#This Row],[Category]],Table10[category],Table10[category_id],"Not found")</f>
        <v>1</v>
      </c>
      <c r="G158" t="str">
        <f>_xlfn.XLOOKUP(Table3[[#This Row],[Place_Id]],Table7[place_id],Table7[city3],"Not found")</f>
        <v>Gunungkidul</v>
      </c>
      <c r="H158">
        <f>_xlfn.XLOOKUP(Table3[[#This Row],[City]],Table5[city_name],Table5[city_id],"Not found")</f>
        <v>35</v>
      </c>
      <c r="I158">
        <v>10000</v>
      </c>
      <c r="K158">
        <v>-8.1288245999999997</v>
      </c>
      <c r="L158">
        <v>110.5487763</v>
      </c>
    </row>
    <row r="159" spans="1:12" x14ac:dyDescent="0.25">
      <c r="A159">
        <v>158</v>
      </c>
      <c r="B159" t="s">
        <v>365</v>
      </c>
      <c r="C159" t="s">
        <v>366</v>
      </c>
      <c r="D159" t="e" cm="1">
        <f t="array" aca="1" ref="D159" ca="1">TRANSLATE(Table3[[#This Row],[Description]],"id","en")</f>
        <v>#NAME?</v>
      </c>
      <c r="E159" t="s">
        <v>65</v>
      </c>
      <c r="F159">
        <f>_xlfn.XLOOKUP(Table3[[#This Row],[Category]],Table10[category],Table10[category_id],"Not found")</f>
        <v>1</v>
      </c>
      <c r="G159" t="str">
        <f>_xlfn.XLOOKUP(Table3[[#This Row],[Place_Id]],Table7[place_id],Table7[city3],"Not found")</f>
        <v>Gunungkidul</v>
      </c>
      <c r="H159">
        <f>_xlfn.XLOOKUP(Table3[[#This Row],[City]],Table5[city_name],Table5[city_id],"Not found")</f>
        <v>35</v>
      </c>
      <c r="I159">
        <v>10000</v>
      </c>
      <c r="K159">
        <v>-8.1554468</v>
      </c>
      <c r="L159">
        <v>110.6217582</v>
      </c>
    </row>
    <row r="160" spans="1:12" x14ac:dyDescent="0.25">
      <c r="A160">
        <v>159</v>
      </c>
      <c r="B160" t="s">
        <v>367</v>
      </c>
      <c r="C160" t="s">
        <v>368</v>
      </c>
      <c r="D160" t="e" cm="1">
        <f t="array" aca="1" ref="D160" ca="1">TRANSLATE(Table3[[#This Row],[Description]],"id","en")</f>
        <v>#NAME?</v>
      </c>
      <c r="E160" t="s">
        <v>60</v>
      </c>
      <c r="F160">
        <f>_xlfn.XLOOKUP(Table3[[#This Row],[Category]],Table10[category],Table10[category_id],"Not found")</f>
        <v>3</v>
      </c>
      <c r="G160" t="str">
        <f>_xlfn.XLOOKUP(Table3[[#This Row],[Place_Id]],Table7[place_id],Table7[city3],"Not found")</f>
        <v>Bantul</v>
      </c>
      <c r="H160">
        <f>_xlfn.XLOOKUP(Table3[[#This Row],[City]],Table5[city_name],Table5[city_id],"Not found")</f>
        <v>34</v>
      </c>
      <c r="I160">
        <v>2500</v>
      </c>
      <c r="K160">
        <v>-7.9209208999999996</v>
      </c>
      <c r="L160">
        <v>110.43556510000001</v>
      </c>
    </row>
    <row r="161" spans="1:12" x14ac:dyDescent="0.25">
      <c r="A161">
        <v>160</v>
      </c>
      <c r="B161" t="s">
        <v>369</v>
      </c>
      <c r="C161" t="s">
        <v>370</v>
      </c>
      <c r="D161" t="e" cm="1">
        <f t="array" aca="1" ref="D161" ca="1">TRANSLATE(Table3[[#This Row],[Description]],"id","en")</f>
        <v>#NAME?</v>
      </c>
      <c r="E161" t="s">
        <v>78</v>
      </c>
      <c r="F161">
        <f>_xlfn.XLOOKUP(Table3[[#This Row],[Category]],Table10[category],Table10[category_id],"Not found")</f>
        <v>4</v>
      </c>
      <c r="G161" t="str">
        <f>_xlfn.XLOOKUP(Table3[[#This Row],[Place_Id]],Table7[place_id],Table7[city3],"Not found")</f>
        <v>Gunungkidul</v>
      </c>
      <c r="H161">
        <f>_xlfn.XLOOKUP(Table3[[#This Row],[City]],Table5[city_name],Table5[city_id],"Not found")</f>
        <v>35</v>
      </c>
      <c r="I161">
        <v>0</v>
      </c>
      <c r="K161">
        <v>-7.8363205000000002</v>
      </c>
      <c r="L161">
        <v>110.4575806</v>
      </c>
    </row>
    <row r="162" spans="1:12" x14ac:dyDescent="0.25">
      <c r="A162">
        <v>161</v>
      </c>
      <c r="B162" t="s">
        <v>371</v>
      </c>
      <c r="C162" t="s">
        <v>372</v>
      </c>
      <c r="D162" t="e" cm="1">
        <f t="array" aca="1" ref="D162" ca="1">TRANSLATE(Table3[[#This Row],[Description]],"id","en")</f>
        <v>#NAME?</v>
      </c>
      <c r="E162" t="s">
        <v>60</v>
      </c>
      <c r="F162">
        <f>_xlfn.XLOOKUP(Table3[[#This Row],[Category]],Table10[category],Table10[category_id],"Not found")</f>
        <v>3</v>
      </c>
      <c r="G162" t="str">
        <f>_xlfn.XLOOKUP(Table3[[#This Row],[Place_Id]],Table7[place_id],Table7[city3],"Not found")</f>
        <v>Gunungkidul</v>
      </c>
      <c r="H162">
        <f>_xlfn.XLOOKUP(Table3[[#This Row],[City]],Table5[city_name],Table5[city_id],"Not found")</f>
        <v>35</v>
      </c>
      <c r="I162">
        <v>5000</v>
      </c>
      <c r="J162">
        <v>90</v>
      </c>
      <c r="K162">
        <v>-8.0268551000000006</v>
      </c>
      <c r="L162">
        <v>110.3459122</v>
      </c>
    </row>
    <row r="163" spans="1:12" x14ac:dyDescent="0.25">
      <c r="A163">
        <v>162</v>
      </c>
      <c r="B163" t="s">
        <v>373</v>
      </c>
      <c r="C163" t="s">
        <v>374</v>
      </c>
      <c r="D163" t="e" cm="1">
        <f t="array" aca="1" ref="D163" ca="1">TRANSLATE(Table3[[#This Row],[Description]],"id","en")</f>
        <v>#NAME?</v>
      </c>
      <c r="E163" t="s">
        <v>45</v>
      </c>
      <c r="F163">
        <f>_xlfn.XLOOKUP(Table3[[#This Row],[Category]],Table10[category],Table10[category_id],"Not found")</f>
        <v>2</v>
      </c>
      <c r="G163" t="str">
        <f>_xlfn.XLOOKUP(Table3[[#This Row],[Place_Id]],Table7[place_id],Table7[city3],"Not found")</f>
        <v>Yogyakarta</v>
      </c>
      <c r="H163">
        <f>_xlfn.XLOOKUP(Table3[[#This Row],[City]],Table5[city_name],Table5[city_id],"Not found")</f>
        <v>39</v>
      </c>
      <c r="I163">
        <v>220000</v>
      </c>
      <c r="K163">
        <v>-7.8105529000000002</v>
      </c>
      <c r="L163">
        <v>110.3704987</v>
      </c>
    </row>
    <row r="164" spans="1:12" ht="75" x14ac:dyDescent="0.25">
      <c r="A164">
        <v>163</v>
      </c>
      <c r="B164" t="s">
        <v>375</v>
      </c>
      <c r="C164" s="3" t="s">
        <v>376</v>
      </c>
      <c r="D164" s="3" t="e" cm="1">
        <f t="array" aca="1" ref="D164" ca="1">TRANSLATE(Table3[[#This Row],[Description]],"id","en")</f>
        <v>#NAME?</v>
      </c>
      <c r="E164" t="s">
        <v>60</v>
      </c>
      <c r="F164">
        <f>_xlfn.XLOOKUP(Table3[[#This Row],[Category]],Table10[category],Table10[category_id],"Not found")</f>
        <v>3</v>
      </c>
      <c r="G164" t="str">
        <f>_xlfn.XLOOKUP(Table3[[#This Row],[Place_Id]],Table7[place_id],Table7[city3],"Not found")</f>
        <v>Bantul</v>
      </c>
      <c r="H164">
        <f>_xlfn.XLOOKUP(Table3[[#This Row],[City]],Table5[city_name],Table5[city_id],"Not found")</f>
        <v>34</v>
      </c>
      <c r="I164">
        <v>2500</v>
      </c>
      <c r="J164">
        <v>60</v>
      </c>
      <c r="K164">
        <v>-7.9471210000000001</v>
      </c>
      <c r="L164">
        <v>110.441</v>
      </c>
    </row>
    <row r="165" spans="1:12" x14ac:dyDescent="0.25">
      <c r="A165">
        <v>164</v>
      </c>
      <c r="B165" t="s">
        <v>377</v>
      </c>
      <c r="C165" t="s">
        <v>378</v>
      </c>
      <c r="D165" t="e" cm="1">
        <f t="array" aca="1" ref="D165" ca="1">TRANSLATE(Table3[[#This Row],[Description]],"id","en")</f>
        <v>#NAME?</v>
      </c>
      <c r="E165" t="s">
        <v>60</v>
      </c>
      <c r="F165">
        <f>_xlfn.XLOOKUP(Table3[[#This Row],[Category]],Table10[category],Table10[category_id],"Not found")</f>
        <v>3</v>
      </c>
      <c r="G165" t="str">
        <f>_xlfn.XLOOKUP(Table3[[#This Row],[Place_Id]],Table7[place_id],Table7[city3],"Not found")</f>
        <v>Bantul</v>
      </c>
      <c r="H165">
        <f>_xlfn.XLOOKUP(Table3[[#This Row],[City]],Table5[city_name],Table5[city_id],"Not found")</f>
        <v>34</v>
      </c>
      <c r="I165">
        <v>2500</v>
      </c>
      <c r="J165">
        <v>60</v>
      </c>
      <c r="K165">
        <v>-7.913608</v>
      </c>
      <c r="L165">
        <v>110.437783</v>
      </c>
    </row>
    <row r="166" spans="1:12" ht="75" x14ac:dyDescent="0.25">
      <c r="A166">
        <v>165</v>
      </c>
      <c r="B166" t="s">
        <v>379</v>
      </c>
      <c r="C166" s="3" t="s">
        <v>380</v>
      </c>
      <c r="D166" s="3" t="e" cm="1">
        <f t="array" aca="1" ref="D166" ca="1">TRANSLATE(Table3[[#This Row],[Description]],"id","en")</f>
        <v>#NAME?</v>
      </c>
      <c r="E166" t="s">
        <v>51</v>
      </c>
      <c r="F166">
        <f>_xlfn.XLOOKUP(Table3[[#This Row],[Category]],Table10[category],Table10[category_id],"Not found")</f>
        <v>5</v>
      </c>
      <c r="G166" t="str">
        <f>_xlfn.XLOOKUP(Table3[[#This Row],[Place_Id]],Table7[place_id],Table7[city3],"Not found")</f>
        <v>Gunungkidul</v>
      </c>
      <c r="H166">
        <f>_xlfn.XLOOKUP(Table3[[#This Row],[City]],Table5[city_name],Table5[city_id],"Not found")</f>
        <v>35</v>
      </c>
      <c r="I166">
        <v>2000</v>
      </c>
      <c r="J166">
        <v>60</v>
      </c>
      <c r="K166">
        <v>-7.8130940000000004</v>
      </c>
      <c r="L166">
        <v>110.615571</v>
      </c>
    </row>
    <row r="167" spans="1:12" x14ac:dyDescent="0.25">
      <c r="A167">
        <v>166</v>
      </c>
      <c r="B167" t="s">
        <v>381</v>
      </c>
      <c r="C167" t="s">
        <v>382</v>
      </c>
      <c r="D167" t="e" cm="1">
        <f t="array" aca="1" ref="D167" ca="1">TRANSLATE(Table3[[#This Row],[Description]],"id","en")</f>
        <v>#NAME?</v>
      </c>
      <c r="E167" t="s">
        <v>60</v>
      </c>
      <c r="F167">
        <f>_xlfn.XLOOKUP(Table3[[#This Row],[Category]],Table10[category],Table10[category_id],"Not found")</f>
        <v>3</v>
      </c>
      <c r="G167" t="str">
        <f>_xlfn.XLOOKUP(Table3[[#This Row],[Place_Id]],Table7[place_id],Table7[city3],"Not found")</f>
        <v>Kulon Progo</v>
      </c>
      <c r="H167">
        <f>_xlfn.XLOOKUP(Table3[[#This Row],[City]],Table5[city_name],Table5[city_id],"Not found")</f>
        <v>37</v>
      </c>
      <c r="I167">
        <v>6000</v>
      </c>
      <c r="K167">
        <v>-7.6470539999999998</v>
      </c>
      <c r="L167">
        <v>110.1414699</v>
      </c>
    </row>
    <row r="168" spans="1:12" x14ac:dyDescent="0.25">
      <c r="A168">
        <v>167</v>
      </c>
      <c r="B168" t="s">
        <v>383</v>
      </c>
      <c r="C168" t="s">
        <v>384</v>
      </c>
      <c r="D168" t="e" cm="1">
        <f t="array" aca="1" ref="D168" ca="1">TRANSLATE(Table3[[#This Row],[Description]],"id","en")</f>
        <v>#NAME?</v>
      </c>
      <c r="E168" t="s">
        <v>60</v>
      </c>
      <c r="F168">
        <f>_xlfn.XLOOKUP(Table3[[#This Row],[Category]],Table10[category],Table10[category_id],"Not found")</f>
        <v>3</v>
      </c>
      <c r="G168" t="str">
        <f>_xlfn.XLOOKUP(Table3[[#This Row],[Place_Id]],Table7[place_id],Table7[city3],"Not found")</f>
        <v>Gunungkidul</v>
      </c>
      <c r="H168">
        <f>_xlfn.XLOOKUP(Table3[[#This Row],[City]],Table5[city_name],Table5[city_id],"Not found")</f>
        <v>35</v>
      </c>
      <c r="I168">
        <v>0</v>
      </c>
      <c r="J168">
        <v>60</v>
      </c>
      <c r="K168">
        <v>-7.9742940000000004</v>
      </c>
      <c r="L168">
        <v>110.4364363</v>
      </c>
    </row>
    <row r="169" spans="1:12" ht="60" x14ac:dyDescent="0.25">
      <c r="A169">
        <v>168</v>
      </c>
      <c r="B169" t="s">
        <v>385</v>
      </c>
      <c r="C169" s="3" t="s">
        <v>386</v>
      </c>
      <c r="D169" s="3" t="e" cm="1">
        <f t="array" aca="1" ref="D169" ca="1">TRANSLATE(Table3[[#This Row],[Description]],"id","en")</f>
        <v>#NAME?</v>
      </c>
      <c r="E169" t="s">
        <v>65</v>
      </c>
      <c r="F169">
        <f>_xlfn.XLOOKUP(Table3[[#This Row],[Category]],Table10[category],Table10[category_id],"Not found")</f>
        <v>1</v>
      </c>
      <c r="G169" t="str">
        <f>_xlfn.XLOOKUP(Table3[[#This Row],[Place_Id]],Table7[place_id],Table7[city3],"Not found")</f>
        <v>Gunungkidul</v>
      </c>
      <c r="H169">
        <f>_xlfn.XLOOKUP(Table3[[#This Row],[City]],Table5[city_name],Table5[city_id],"Not found")</f>
        <v>35</v>
      </c>
      <c r="I169">
        <v>10000</v>
      </c>
      <c r="J169">
        <v>90</v>
      </c>
      <c r="K169">
        <v>-8.1759266000000004</v>
      </c>
      <c r="L169">
        <v>110.66241960000001</v>
      </c>
    </row>
    <row r="170" spans="1:12" x14ac:dyDescent="0.25">
      <c r="A170">
        <v>169</v>
      </c>
      <c r="B170" t="s">
        <v>387</v>
      </c>
      <c r="C170" t="s">
        <v>388</v>
      </c>
      <c r="D170" t="e" cm="1">
        <f t="array" aca="1" ref="D170" ca="1">TRANSLATE(Table3[[#This Row],[Description]],"id","en")</f>
        <v>#NAME?</v>
      </c>
      <c r="E170" t="s">
        <v>60</v>
      </c>
      <c r="F170">
        <f>_xlfn.XLOOKUP(Table3[[#This Row],[Category]],Table10[category],Table10[category_id],"Not found")</f>
        <v>3</v>
      </c>
      <c r="G170" t="str">
        <f>_xlfn.XLOOKUP(Table3[[#This Row],[Place_Id]],Table7[place_id],Table7[city3],"Not found")</f>
        <v>Gunungkidul</v>
      </c>
      <c r="H170">
        <f>_xlfn.XLOOKUP(Table3[[#This Row],[City]],Table5[city_name],Table5[city_id],"Not found")</f>
        <v>35</v>
      </c>
      <c r="I170">
        <v>5000</v>
      </c>
      <c r="J170">
        <v>90</v>
      </c>
      <c r="K170">
        <v>-8.1026167000000004</v>
      </c>
      <c r="L170">
        <v>110.45620839999999</v>
      </c>
    </row>
    <row r="171" spans="1:12" x14ac:dyDescent="0.25">
      <c r="A171">
        <v>170</v>
      </c>
      <c r="B171" t="s">
        <v>389</v>
      </c>
      <c r="C171" t="s">
        <v>390</v>
      </c>
      <c r="D171" t="e" cm="1">
        <f t="array" aca="1" ref="D171" ca="1">TRANSLATE(Table3[[#This Row],[Description]],"id","en")</f>
        <v>#NAME?</v>
      </c>
      <c r="E171" t="s">
        <v>45</v>
      </c>
      <c r="F171">
        <f>_xlfn.XLOOKUP(Table3[[#This Row],[Category]],Table10[category],Table10[category_id],"Not found")</f>
        <v>2</v>
      </c>
      <c r="G171" t="str">
        <f>_xlfn.XLOOKUP(Table3[[#This Row],[Place_Id]],Table7[place_id],Table7[city3],"Not found")</f>
        <v>Magelang</v>
      </c>
      <c r="H171">
        <f>_xlfn.XLOOKUP(Table3[[#This Row],[City]],Table5[city_name],Table5[city_id],"Not found")</f>
        <v>30</v>
      </c>
      <c r="I171">
        <v>50000</v>
      </c>
      <c r="J171">
        <v>120</v>
      </c>
      <c r="K171">
        <v>-7.6078738000000001</v>
      </c>
      <c r="L171">
        <v>110.20375129999999</v>
      </c>
    </row>
    <row r="172" spans="1:12" ht="45" x14ac:dyDescent="0.25">
      <c r="A172">
        <v>171</v>
      </c>
      <c r="B172" t="s">
        <v>391</v>
      </c>
      <c r="C172" s="3" t="s">
        <v>392</v>
      </c>
      <c r="D172" s="3" t="e" cm="1">
        <f t="array" aca="1" ref="D172" ca="1">TRANSLATE(Table3[[#This Row],[Description]],"id","en")</f>
        <v>#NAME?</v>
      </c>
      <c r="E172" t="s">
        <v>45</v>
      </c>
      <c r="F172">
        <f>_xlfn.XLOOKUP(Table3[[#This Row],[Category]],Table10[category],Table10[category_id],"Not found")</f>
        <v>2</v>
      </c>
      <c r="G172" t="str">
        <f>_xlfn.XLOOKUP(Table3[[#This Row],[Place_Id]],Table7[place_id],Table7[city3],"Not found")</f>
        <v>Sleman</v>
      </c>
      <c r="H172">
        <f>_xlfn.XLOOKUP(Table3[[#This Row],[City]],Table5[city_name],Table5[city_id],"Not found")</f>
        <v>38</v>
      </c>
      <c r="I172">
        <v>5000</v>
      </c>
      <c r="J172">
        <v>60</v>
      </c>
      <c r="K172">
        <v>-7.7838276000000004</v>
      </c>
      <c r="L172">
        <v>110.5118987</v>
      </c>
    </row>
    <row r="173" spans="1:12" x14ac:dyDescent="0.25">
      <c r="A173">
        <v>172</v>
      </c>
      <c r="B173" t="s">
        <v>393</v>
      </c>
      <c r="C173" t="s">
        <v>394</v>
      </c>
      <c r="D173" t="e" cm="1">
        <f t="array" aca="1" ref="D173" ca="1">TRANSLATE(Table3[[#This Row],[Description]],"id","en")</f>
        <v>#NAME?</v>
      </c>
      <c r="E173" t="s">
        <v>65</v>
      </c>
      <c r="F173">
        <f>_xlfn.XLOOKUP(Table3[[#This Row],[Category]],Table10[category],Table10[category_id],"Not found")</f>
        <v>1</v>
      </c>
      <c r="G173" t="str">
        <f>_xlfn.XLOOKUP(Table3[[#This Row],[Place_Id]],Table7[place_id],Table7[city3],"Not found")</f>
        <v>Gunungkidul</v>
      </c>
      <c r="H173">
        <f>_xlfn.XLOOKUP(Table3[[#This Row],[City]],Table5[city_name],Table5[city_id],"Not found")</f>
        <v>35</v>
      </c>
      <c r="I173">
        <v>10000</v>
      </c>
      <c r="K173">
        <v>-8.1508415000000003</v>
      </c>
      <c r="L173">
        <v>110.6129852</v>
      </c>
    </row>
    <row r="174" spans="1:12" x14ac:dyDescent="0.25">
      <c r="A174">
        <v>173</v>
      </c>
      <c r="B174" t="s">
        <v>395</v>
      </c>
      <c r="C174" t="s">
        <v>396</v>
      </c>
      <c r="D174" t="e" cm="1">
        <f t="array" aca="1" ref="D174" ca="1">TRANSLATE(Table3[[#This Row],[Description]],"id","en")</f>
        <v>#NAME?</v>
      </c>
      <c r="E174" t="s">
        <v>65</v>
      </c>
      <c r="F174">
        <f>_xlfn.XLOOKUP(Table3[[#This Row],[Category]],Table10[category],Table10[category_id],"Not found")</f>
        <v>1</v>
      </c>
      <c r="G174" t="str">
        <f>_xlfn.XLOOKUP(Table3[[#This Row],[Place_Id]],Table7[place_id],Table7[city3],"Not found")</f>
        <v>Gunungkidul</v>
      </c>
      <c r="H174">
        <f>_xlfn.XLOOKUP(Table3[[#This Row],[City]],Table5[city_name],Table5[city_id],"Not found")</f>
        <v>35</v>
      </c>
      <c r="I174">
        <v>10000</v>
      </c>
      <c r="K174">
        <v>-8.1827027999999995</v>
      </c>
      <c r="L174">
        <v>110.6792399</v>
      </c>
    </row>
    <row r="175" spans="1:12" x14ac:dyDescent="0.25">
      <c r="A175">
        <v>174</v>
      </c>
      <c r="B175" t="s">
        <v>397</v>
      </c>
      <c r="C175" t="s">
        <v>398</v>
      </c>
      <c r="D175" t="e" cm="1">
        <f t="array" aca="1" ref="D175" ca="1">TRANSLATE(Table3[[#This Row],[Description]],"id","en")</f>
        <v>#NAME?</v>
      </c>
      <c r="E175" t="s">
        <v>78</v>
      </c>
      <c r="F175">
        <f>_xlfn.XLOOKUP(Table3[[#This Row],[Category]],Table10[category],Table10[category_id],"Not found")</f>
        <v>4</v>
      </c>
      <c r="G175" t="str">
        <f>_xlfn.XLOOKUP(Table3[[#This Row],[Place_Id]],Table7[place_id],Table7[city3],"Not found")</f>
        <v>Yogyakarta</v>
      </c>
      <c r="H175">
        <f>_xlfn.XLOOKUP(Table3[[#This Row],[City]],Table5[city_name],Table5[city_id],"Not found")</f>
        <v>39</v>
      </c>
      <c r="I175">
        <v>0</v>
      </c>
      <c r="J175">
        <v>60</v>
      </c>
      <c r="K175">
        <v>-7.7987943</v>
      </c>
      <c r="L175">
        <v>110.36744299999999</v>
      </c>
    </row>
    <row r="176" spans="1:12" ht="120" x14ac:dyDescent="0.25">
      <c r="A176">
        <v>175</v>
      </c>
      <c r="B176" t="s">
        <v>399</v>
      </c>
      <c r="C176" s="3" t="s">
        <v>400</v>
      </c>
      <c r="D176" s="3" t="e" cm="1">
        <f t="array" aca="1" ref="D176" ca="1">TRANSLATE(Table3[[#This Row],[Description]],"id","en")</f>
        <v>#NAME?</v>
      </c>
      <c r="E176" t="s">
        <v>45</v>
      </c>
      <c r="F176">
        <f>_xlfn.XLOOKUP(Table3[[#This Row],[Category]],Table10[category],Table10[category_id],"Not found")</f>
        <v>2</v>
      </c>
      <c r="G176" t="str">
        <f>_xlfn.XLOOKUP(Table3[[#This Row],[Place_Id]],Table7[place_id],Table7[city3],"Not found")</f>
        <v>Sleman</v>
      </c>
      <c r="H176">
        <f>_xlfn.XLOOKUP(Table3[[#This Row],[City]],Table5[city_name],Table5[city_id],"Not found")</f>
        <v>38</v>
      </c>
      <c r="I176">
        <v>100000</v>
      </c>
      <c r="J176">
        <v>120</v>
      </c>
      <c r="K176">
        <v>-7.5978656000000004</v>
      </c>
      <c r="L176">
        <v>110.4233959</v>
      </c>
    </row>
    <row r="177" spans="1:12" x14ac:dyDescent="0.25">
      <c r="A177">
        <v>176</v>
      </c>
      <c r="B177" t="s">
        <v>401</v>
      </c>
      <c r="C177" t="s">
        <v>402</v>
      </c>
      <c r="D177" t="e" cm="1">
        <f t="array" aca="1" ref="D177" ca="1">TRANSLATE(Table3[[#This Row],[Description]],"id","en")</f>
        <v>#NAME?</v>
      </c>
      <c r="E177" t="s">
        <v>45</v>
      </c>
      <c r="F177">
        <f>_xlfn.XLOOKUP(Table3[[#This Row],[Category]],Table10[category],Table10[category_id],"Not found")</f>
        <v>2</v>
      </c>
      <c r="G177" t="str">
        <f>_xlfn.XLOOKUP(Table3[[#This Row],[Place_Id]],Table7[place_id],Table7[city3],"Not found")</f>
        <v>Sleman</v>
      </c>
      <c r="H177">
        <f>_xlfn.XLOOKUP(Table3[[#This Row],[City]],Table5[city_name],Table5[city_id],"Not found")</f>
        <v>38</v>
      </c>
      <c r="I177">
        <v>10000</v>
      </c>
      <c r="J177">
        <v>60</v>
      </c>
      <c r="K177">
        <v>-7.6159271999999998</v>
      </c>
      <c r="L177">
        <v>110.4243329</v>
      </c>
    </row>
    <row r="178" spans="1:12" x14ac:dyDescent="0.25">
      <c r="A178">
        <v>177</v>
      </c>
      <c r="B178" t="s">
        <v>403</v>
      </c>
      <c r="C178" t="s">
        <v>404</v>
      </c>
      <c r="D178" t="e" cm="1">
        <f t="array" aca="1" ref="D178" ca="1">TRANSLATE(Table3[[#This Row],[Description]],"id","en")</f>
        <v>#NAME?</v>
      </c>
      <c r="E178" t="s">
        <v>65</v>
      </c>
      <c r="F178">
        <f>_xlfn.XLOOKUP(Table3[[#This Row],[Category]],Table10[category],Table10[category_id],"Not found")</f>
        <v>1</v>
      </c>
      <c r="G178" t="str">
        <f>_xlfn.XLOOKUP(Table3[[#This Row],[Place_Id]],Table7[place_id],Table7[city3],"Not found")</f>
        <v>Bantul</v>
      </c>
      <c r="H178">
        <f>_xlfn.XLOOKUP(Table3[[#This Row],[City]],Table5[city_name],Table5[city_id],"Not found")</f>
        <v>34</v>
      </c>
      <c r="I178">
        <v>10000</v>
      </c>
      <c r="K178">
        <v>-8.0246080000000006</v>
      </c>
      <c r="L178">
        <v>110.32980449999999</v>
      </c>
    </row>
    <row r="179" spans="1:12" x14ac:dyDescent="0.25">
      <c r="A179">
        <v>178</v>
      </c>
      <c r="B179" t="s">
        <v>405</v>
      </c>
      <c r="C179" t="s">
        <v>406</v>
      </c>
      <c r="D179" t="e" cm="1">
        <f t="array" aca="1" ref="D179" ca="1">TRANSLATE(Table3[[#This Row],[Description]],"id","en")</f>
        <v>#NAME?</v>
      </c>
      <c r="E179" t="s">
        <v>60</v>
      </c>
      <c r="F179">
        <f>_xlfn.XLOOKUP(Table3[[#This Row],[Category]],Table10[category],Table10[category_id],"Not found")</f>
        <v>3</v>
      </c>
      <c r="G179" t="str">
        <f>_xlfn.XLOOKUP(Table3[[#This Row],[Place_Id]],Table7[place_id],Table7[city3],"Not found")</f>
        <v>Gunungkidul</v>
      </c>
      <c r="H179">
        <f>_xlfn.XLOOKUP(Table3[[#This Row],[City]],Table5[city_name],Table5[city_id],"Not found")</f>
        <v>35</v>
      </c>
      <c r="I179">
        <v>40000</v>
      </c>
      <c r="K179">
        <v>-7.9339721000000001</v>
      </c>
      <c r="L179">
        <v>110.651966</v>
      </c>
    </row>
    <row r="180" spans="1:12" x14ac:dyDescent="0.25">
      <c r="A180">
        <v>179</v>
      </c>
      <c r="B180" t="s">
        <v>407</v>
      </c>
      <c r="C180" t="s">
        <v>408</v>
      </c>
      <c r="D180" t="e" cm="1">
        <f t="array" aca="1" ref="D180" ca="1">TRANSLATE(Table3[[#This Row],[Description]],"id","en")</f>
        <v>#NAME?</v>
      </c>
      <c r="E180" t="s">
        <v>45</v>
      </c>
      <c r="F180">
        <f>_xlfn.XLOOKUP(Table3[[#This Row],[Category]],Table10[category],Table10[category_id],"Not found")</f>
        <v>2</v>
      </c>
      <c r="G180" t="str">
        <f>_xlfn.XLOOKUP(Table3[[#This Row],[Place_Id]],Table7[place_id],Table7[city3],"Not found")</f>
        <v>Sleman</v>
      </c>
      <c r="H180">
        <f>_xlfn.XLOOKUP(Table3[[#This Row],[City]],Table5[city_name],Table5[city_id],"Not found")</f>
        <v>38</v>
      </c>
      <c r="I180">
        <v>75000</v>
      </c>
      <c r="J180">
        <v>90</v>
      </c>
      <c r="K180">
        <v>-7.7705415999999996</v>
      </c>
      <c r="L180">
        <v>110.4894158</v>
      </c>
    </row>
    <row r="181" spans="1:12" x14ac:dyDescent="0.25">
      <c r="A181">
        <v>180</v>
      </c>
      <c r="B181" t="s">
        <v>409</v>
      </c>
      <c r="C181" t="s">
        <v>410</v>
      </c>
      <c r="D181" t="e" cm="1">
        <f t="array" aca="1" ref="D181" ca="1">TRANSLATE(Table3[[#This Row],[Description]],"id","en")</f>
        <v>#NAME?</v>
      </c>
      <c r="E181" t="s">
        <v>65</v>
      </c>
      <c r="F181">
        <f>_xlfn.XLOOKUP(Table3[[#This Row],[Category]],Table10[category],Table10[category_id],"Not found")</f>
        <v>1</v>
      </c>
      <c r="G181" t="str">
        <f>_xlfn.XLOOKUP(Table3[[#This Row],[Place_Id]],Table7[place_id],Table7[city3],"Not found")</f>
        <v>Bantul</v>
      </c>
      <c r="H181">
        <f>_xlfn.XLOOKUP(Table3[[#This Row],[City]],Table5[city_name],Table5[city_id],"Not found")</f>
        <v>34</v>
      </c>
      <c r="I181">
        <v>10000</v>
      </c>
      <c r="K181">
        <v>-8.0137087000000005</v>
      </c>
      <c r="L181">
        <v>110.2914777</v>
      </c>
    </row>
    <row r="182" spans="1:12" x14ac:dyDescent="0.25">
      <c r="A182">
        <v>181</v>
      </c>
      <c r="B182" t="s">
        <v>411</v>
      </c>
      <c r="C182" t="s">
        <v>412</v>
      </c>
      <c r="D182" t="e" cm="1">
        <f t="array" aca="1" ref="D182" ca="1">TRANSLATE(Table3[[#This Row],[Description]],"id","en")</f>
        <v>#NAME?</v>
      </c>
      <c r="E182" t="s">
        <v>65</v>
      </c>
      <c r="F182">
        <f>_xlfn.XLOOKUP(Table3[[#This Row],[Category]],Table10[category],Table10[category_id],"Not found")</f>
        <v>1</v>
      </c>
      <c r="G182" t="str">
        <f>_xlfn.XLOOKUP(Table3[[#This Row],[Place_Id]],Table7[place_id],Table7[city3],"Not found")</f>
        <v>Gunungkidul</v>
      </c>
      <c r="H182">
        <f>_xlfn.XLOOKUP(Table3[[#This Row],[City]],Table5[city_name],Table5[city_id],"Not found")</f>
        <v>35</v>
      </c>
      <c r="I182">
        <v>5000</v>
      </c>
      <c r="K182">
        <v>-8.1470719999999996</v>
      </c>
      <c r="L182">
        <v>110.6079043</v>
      </c>
    </row>
    <row r="183" spans="1:12" ht="45" x14ac:dyDescent="0.25">
      <c r="A183">
        <v>182</v>
      </c>
      <c r="B183" t="s">
        <v>413</v>
      </c>
      <c r="C183" s="3" t="s">
        <v>414</v>
      </c>
      <c r="D183" s="3" t="e" cm="1">
        <f t="array" aca="1" ref="D183" ca="1">TRANSLATE(Table3[[#This Row],[Description]],"id","en")</f>
        <v>#NAME?</v>
      </c>
      <c r="E183" t="s">
        <v>65</v>
      </c>
      <c r="F183">
        <f>_xlfn.XLOOKUP(Table3[[#This Row],[Category]],Table10[category],Table10[category_id],"Not found")</f>
        <v>1</v>
      </c>
      <c r="G183" t="str">
        <f>_xlfn.XLOOKUP(Table3[[#This Row],[Place_Id]],Table7[place_id],Table7[city3],"Not found")</f>
        <v>Kulon Progo</v>
      </c>
      <c r="H183">
        <f>_xlfn.XLOOKUP(Table3[[#This Row],[City]],Table5[city_name],Table5[city_id],"Not found")</f>
        <v>37</v>
      </c>
      <c r="I183">
        <v>5000</v>
      </c>
      <c r="J183">
        <v>120</v>
      </c>
      <c r="K183">
        <v>-7.8933458999999999</v>
      </c>
      <c r="L183">
        <v>110.0198257</v>
      </c>
    </row>
    <row r="184" spans="1:12" x14ac:dyDescent="0.25">
      <c r="A184">
        <v>183</v>
      </c>
      <c r="B184" t="s">
        <v>415</v>
      </c>
      <c r="C184" t="s">
        <v>416</v>
      </c>
      <c r="D184" t="e" cm="1">
        <f t="array" aca="1" ref="D184" ca="1">TRANSLATE(Table3[[#This Row],[Description]],"id","en")</f>
        <v>#NAME?</v>
      </c>
      <c r="E184" t="s">
        <v>51</v>
      </c>
      <c r="F184">
        <f>_xlfn.XLOOKUP(Table3[[#This Row],[Category]],Table10[category],Table10[category_id],"Not found")</f>
        <v>5</v>
      </c>
      <c r="G184" t="str">
        <f>_xlfn.XLOOKUP(Table3[[#This Row],[Place_Id]],Table7[place_id],Table7[city3],"Not found")</f>
        <v>Sleman</v>
      </c>
      <c r="H184">
        <f>_xlfn.XLOOKUP(Table3[[#This Row],[City]],Table5[city_name],Table5[city_id],"Not found")</f>
        <v>38</v>
      </c>
      <c r="I184">
        <v>150000</v>
      </c>
      <c r="K184">
        <v>-7.7478461000000003</v>
      </c>
      <c r="L184">
        <v>110.4188754</v>
      </c>
    </row>
    <row r="185" spans="1:12" x14ac:dyDescent="0.25">
      <c r="A185">
        <v>184</v>
      </c>
      <c r="B185" t="s">
        <v>417</v>
      </c>
      <c r="C185" t="s">
        <v>418</v>
      </c>
      <c r="D185" t="e" cm="1">
        <f t="array" aca="1" ref="D185" ca="1">TRANSLATE(Table3[[#This Row],[Description]],"id","en")</f>
        <v>#NAME?</v>
      </c>
      <c r="E185" t="s">
        <v>65</v>
      </c>
      <c r="F185">
        <f>_xlfn.XLOOKUP(Table3[[#This Row],[Category]],Table10[category],Table10[category_id],"Not found")</f>
        <v>1</v>
      </c>
      <c r="G185" t="str">
        <f>_xlfn.XLOOKUP(Table3[[#This Row],[Place_Id]],Table7[place_id],Table7[city3],"Not found")</f>
        <v>Gunungkidul</v>
      </c>
      <c r="H185">
        <f>_xlfn.XLOOKUP(Table3[[#This Row],[City]],Table5[city_name],Table5[city_id],"Not found")</f>
        <v>35</v>
      </c>
      <c r="I185">
        <v>10000</v>
      </c>
      <c r="J185">
        <v>120</v>
      </c>
      <c r="K185">
        <v>-8.1366656000000006</v>
      </c>
      <c r="L185">
        <v>110.5659962</v>
      </c>
    </row>
    <row r="186" spans="1:12" x14ac:dyDescent="0.25">
      <c r="A186">
        <v>185</v>
      </c>
      <c r="B186" t="s">
        <v>419</v>
      </c>
      <c r="C186" t="s">
        <v>420</v>
      </c>
      <c r="D186" t="e" cm="1">
        <f t="array" aca="1" ref="D186" ca="1">TRANSLATE(Table3[[#This Row],[Description]],"id","en")</f>
        <v>#NAME?</v>
      </c>
      <c r="E186" t="s">
        <v>65</v>
      </c>
      <c r="F186">
        <f>_xlfn.XLOOKUP(Table3[[#This Row],[Category]],Table10[category],Table10[category_id],"Not found")</f>
        <v>1</v>
      </c>
      <c r="G186" t="str">
        <f>_xlfn.XLOOKUP(Table3[[#This Row],[Place_Id]],Table7[place_id],Table7[city3],"Not found")</f>
        <v>Gunungkidul</v>
      </c>
      <c r="H186">
        <f>_xlfn.XLOOKUP(Table3[[#This Row],[City]],Table5[city_name],Table5[city_id],"Not found")</f>
        <v>35</v>
      </c>
      <c r="I186">
        <v>10000</v>
      </c>
      <c r="K186">
        <v>-8.1450189999999996</v>
      </c>
      <c r="L186">
        <v>110.5998857</v>
      </c>
    </row>
    <row r="187" spans="1:12" x14ac:dyDescent="0.25">
      <c r="A187">
        <v>186</v>
      </c>
      <c r="B187" t="s">
        <v>421</v>
      </c>
      <c r="C187" t="s">
        <v>422</v>
      </c>
      <c r="D187" t="e" cm="1">
        <f t="array" aca="1" ref="D187" ca="1">TRANSLATE(Table3[[#This Row],[Description]],"id","en")</f>
        <v>#NAME?</v>
      </c>
      <c r="E187" t="s">
        <v>65</v>
      </c>
      <c r="F187">
        <f>_xlfn.XLOOKUP(Table3[[#This Row],[Category]],Table10[category],Table10[category_id],"Not found")</f>
        <v>1</v>
      </c>
      <c r="G187" t="str">
        <f>_xlfn.XLOOKUP(Table3[[#This Row],[Place_Id]],Table7[place_id],Table7[city3],"Not found")</f>
        <v>Kulon Progo</v>
      </c>
      <c r="H187">
        <f>_xlfn.XLOOKUP(Table3[[#This Row],[City]],Table5[city_name],Table5[city_id],"Not found")</f>
        <v>37</v>
      </c>
      <c r="I187">
        <v>5000</v>
      </c>
      <c r="K187">
        <v>-7.9119427</v>
      </c>
      <c r="L187">
        <v>110.06473389999999</v>
      </c>
    </row>
    <row r="188" spans="1:12" x14ac:dyDescent="0.25">
      <c r="A188">
        <v>187</v>
      </c>
      <c r="B188" t="s">
        <v>423</v>
      </c>
      <c r="C188" t="s">
        <v>424</v>
      </c>
      <c r="D188" t="e" cm="1">
        <f t="array" aca="1" ref="D188" ca="1">TRANSLATE(Table3[[#This Row],[Description]],"id","en")</f>
        <v>#NAME?</v>
      </c>
      <c r="E188" t="s">
        <v>65</v>
      </c>
      <c r="F188">
        <f>_xlfn.XLOOKUP(Table3[[#This Row],[Category]],Table10[category],Table10[category_id],"Not found")</f>
        <v>1</v>
      </c>
      <c r="G188" t="str">
        <f>_xlfn.XLOOKUP(Table3[[#This Row],[Place_Id]],Table7[place_id],Table7[city3],"Not found")</f>
        <v>Gunungkidul</v>
      </c>
      <c r="H188">
        <f>_xlfn.XLOOKUP(Table3[[#This Row],[City]],Table5[city_name],Table5[city_id],"Not found")</f>
        <v>35</v>
      </c>
      <c r="I188">
        <v>10000</v>
      </c>
      <c r="K188">
        <v>-8.1818232999999996</v>
      </c>
      <c r="L188">
        <v>110.68323940000001</v>
      </c>
    </row>
    <row r="189" spans="1:12" x14ac:dyDescent="0.25">
      <c r="A189">
        <v>188</v>
      </c>
      <c r="B189" t="s">
        <v>425</v>
      </c>
      <c r="C189" t="s">
        <v>426</v>
      </c>
      <c r="D189" t="e" cm="1">
        <f t="array" aca="1" ref="D189" ca="1">TRANSLATE(Table3[[#This Row],[Description]],"id","en")</f>
        <v>#NAME?</v>
      </c>
      <c r="E189" t="s">
        <v>65</v>
      </c>
      <c r="F189">
        <f>_xlfn.XLOOKUP(Table3[[#This Row],[Category]],Table10[category],Table10[category_id],"Not found")</f>
        <v>1</v>
      </c>
      <c r="G189" t="str">
        <f>_xlfn.XLOOKUP(Table3[[#This Row],[Place_Id]],Table7[place_id],Table7[city3],"Not found")</f>
        <v>Gunungkidul</v>
      </c>
      <c r="H189">
        <f>_xlfn.XLOOKUP(Table3[[#This Row],[City]],Table5[city_name],Table5[city_id],"Not found")</f>
        <v>35</v>
      </c>
      <c r="I189">
        <v>10000</v>
      </c>
      <c r="K189">
        <v>-8.1456680000000006</v>
      </c>
      <c r="L189">
        <v>110.6043914</v>
      </c>
    </row>
    <row r="190" spans="1:12" x14ac:dyDescent="0.25">
      <c r="A190">
        <v>189</v>
      </c>
      <c r="B190" t="s">
        <v>427</v>
      </c>
      <c r="C190" t="s">
        <v>428</v>
      </c>
      <c r="D190" t="e" cm="1">
        <f t="array" aca="1" ref="D190" ca="1">TRANSLATE(Table3[[#This Row],[Description]],"id","en")</f>
        <v>#NAME?</v>
      </c>
      <c r="E190" t="s">
        <v>65</v>
      </c>
      <c r="F190">
        <f>_xlfn.XLOOKUP(Table3[[#This Row],[Category]],Table10[category],Table10[category_id],"Not found")</f>
        <v>1</v>
      </c>
      <c r="G190" t="str">
        <f>_xlfn.XLOOKUP(Table3[[#This Row],[Place_Id]],Table7[place_id],Table7[city3],"Not found")</f>
        <v>Gunungkidul</v>
      </c>
      <c r="H190">
        <f>_xlfn.XLOOKUP(Table3[[#This Row],[City]],Table5[city_name],Table5[city_id],"Not found")</f>
        <v>35</v>
      </c>
      <c r="I190">
        <v>10000</v>
      </c>
      <c r="K190">
        <v>-8.1060061000000001</v>
      </c>
      <c r="L190">
        <v>110.4618655</v>
      </c>
    </row>
    <row r="191" spans="1:12" x14ac:dyDescent="0.25">
      <c r="A191">
        <v>190</v>
      </c>
      <c r="B191" t="s">
        <v>429</v>
      </c>
      <c r="C191" t="s">
        <v>430</v>
      </c>
      <c r="D191" t="e" cm="1">
        <f t="array" aca="1" ref="D191" ca="1">TRANSLATE(Table3[[#This Row],[Description]],"id","en")</f>
        <v>#NAME?</v>
      </c>
      <c r="E191" t="s">
        <v>65</v>
      </c>
      <c r="F191">
        <f>_xlfn.XLOOKUP(Table3[[#This Row],[Category]],Table10[category],Table10[category_id],"Not found")</f>
        <v>1</v>
      </c>
      <c r="G191" t="str">
        <f>_xlfn.XLOOKUP(Table3[[#This Row],[Place_Id]],Table7[place_id],Table7[city3],"Not found")</f>
        <v>Bantul</v>
      </c>
      <c r="H191">
        <f>_xlfn.XLOOKUP(Table3[[#This Row],[City]],Table5[city_name],Table5[city_id],"Not found")</f>
        <v>34</v>
      </c>
      <c r="I191">
        <v>4000</v>
      </c>
      <c r="J191">
        <v>45</v>
      </c>
      <c r="K191">
        <v>-8.0045535000000001</v>
      </c>
      <c r="L191">
        <v>110.27037559999999</v>
      </c>
    </row>
    <row r="192" spans="1:12" x14ac:dyDescent="0.25">
      <c r="A192">
        <v>191</v>
      </c>
      <c r="B192" t="s">
        <v>431</v>
      </c>
      <c r="C192" t="s">
        <v>432</v>
      </c>
      <c r="D192" t="e" cm="1">
        <f t="array" aca="1" ref="D192" ca="1">TRANSLATE(Table3[[#This Row],[Description]],"id","en")</f>
        <v>#NAME?</v>
      </c>
      <c r="E192" t="s">
        <v>65</v>
      </c>
      <c r="F192">
        <f>_xlfn.XLOOKUP(Table3[[#This Row],[Category]],Table10[category],Table10[category_id],"Not found")</f>
        <v>1</v>
      </c>
      <c r="G192" t="str">
        <f>_xlfn.XLOOKUP(Table3[[#This Row],[Place_Id]],Table7[place_id],Table7[city3],"Not found")</f>
        <v>Gunungkidul</v>
      </c>
      <c r="H192">
        <f>_xlfn.XLOOKUP(Table3[[#This Row],[City]],Table5[city_name],Table5[city_id],"Not found")</f>
        <v>35</v>
      </c>
      <c r="I192">
        <v>10000</v>
      </c>
      <c r="K192">
        <v>-8.1384509000000005</v>
      </c>
      <c r="L192">
        <v>110.577522</v>
      </c>
    </row>
    <row r="193" spans="1:12" x14ac:dyDescent="0.25">
      <c r="A193">
        <v>192</v>
      </c>
      <c r="B193" t="s">
        <v>433</v>
      </c>
      <c r="C193" t="s">
        <v>434</v>
      </c>
      <c r="D193" t="e" cm="1">
        <f t="array" aca="1" ref="D193" ca="1">TRANSLATE(Table3[[#This Row],[Description]],"id","en")</f>
        <v>#NAME?</v>
      </c>
      <c r="E193" t="s">
        <v>60</v>
      </c>
      <c r="F193">
        <f>_xlfn.XLOOKUP(Table3[[#This Row],[Category]],Table10[category],Table10[category_id],"Not found")</f>
        <v>3</v>
      </c>
      <c r="G193" t="str">
        <f>_xlfn.XLOOKUP(Table3[[#This Row],[Place_Id]],Table7[place_id],Table7[city3],"Not found")</f>
        <v>Gunungkidul</v>
      </c>
      <c r="H193">
        <f>_xlfn.XLOOKUP(Table3[[#This Row],[City]],Table5[city_name],Table5[city_id],"Not found")</f>
        <v>35</v>
      </c>
      <c r="I193">
        <v>15000</v>
      </c>
      <c r="K193">
        <v>-7.9431779999999996</v>
      </c>
      <c r="L193">
        <v>110.48924</v>
      </c>
    </row>
    <row r="194" spans="1:12" x14ac:dyDescent="0.25">
      <c r="A194">
        <v>193</v>
      </c>
      <c r="B194" t="s">
        <v>435</v>
      </c>
      <c r="C194" t="s">
        <v>436</v>
      </c>
      <c r="D194" t="e" cm="1">
        <f t="array" aca="1" ref="D194" ca="1">TRANSLATE(Table3[[#This Row],[Description]],"id","en")</f>
        <v>#NAME?</v>
      </c>
      <c r="E194" t="s">
        <v>45</v>
      </c>
      <c r="F194">
        <f>_xlfn.XLOOKUP(Table3[[#This Row],[Category]],Table10[category],Table10[category_id],"Not found")</f>
        <v>2</v>
      </c>
      <c r="G194" t="str">
        <f>_xlfn.XLOOKUP(Table3[[#This Row],[Place_Id]],Table7[place_id],Table7[city3],"Not found")</f>
        <v>Klaten</v>
      </c>
      <c r="H194">
        <f>_xlfn.XLOOKUP(Table3[[#This Row],[City]],Table5[city_name],Table5[city_id],"Not found")</f>
        <v>4</v>
      </c>
      <c r="I194">
        <v>50000</v>
      </c>
      <c r="K194">
        <v>-7.7439216999999996</v>
      </c>
      <c r="L194">
        <v>110.4929095</v>
      </c>
    </row>
    <row r="195" spans="1:12" x14ac:dyDescent="0.25">
      <c r="A195">
        <v>194</v>
      </c>
      <c r="B195" t="s">
        <v>437</v>
      </c>
      <c r="C195" t="s">
        <v>438</v>
      </c>
      <c r="D195" t="e" cm="1">
        <f t="array" aca="1" ref="D195" ca="1">TRANSLATE(Table3[[#This Row],[Description]],"id","en")</f>
        <v>#NAME?</v>
      </c>
      <c r="E195" t="s">
        <v>65</v>
      </c>
      <c r="F195">
        <f>_xlfn.XLOOKUP(Table3[[#This Row],[Category]],Table10[category],Table10[category_id],"Not found")</f>
        <v>1</v>
      </c>
      <c r="G195" t="str">
        <f>_xlfn.XLOOKUP(Table3[[#This Row],[Place_Id]],Table7[place_id],Table7[city3],"Not found")</f>
        <v>Gunungkidul</v>
      </c>
      <c r="H195">
        <f>_xlfn.XLOOKUP(Table3[[#This Row],[City]],Table5[city_name],Table5[city_id],"Not found")</f>
        <v>35</v>
      </c>
      <c r="I195">
        <v>5000</v>
      </c>
      <c r="K195">
        <v>-8.1862461999999994</v>
      </c>
      <c r="L195">
        <v>110.709901</v>
      </c>
    </row>
    <row r="196" spans="1:12" x14ac:dyDescent="0.25">
      <c r="A196">
        <v>195</v>
      </c>
      <c r="B196" t="s">
        <v>439</v>
      </c>
      <c r="C196" t="s">
        <v>440</v>
      </c>
      <c r="D196" t="e" cm="1">
        <f t="array" aca="1" ref="D196" ca="1">TRANSLATE(Table3[[#This Row],[Description]],"id","en")</f>
        <v>#NAME?</v>
      </c>
      <c r="E196" t="s">
        <v>65</v>
      </c>
      <c r="F196">
        <f>_xlfn.XLOOKUP(Table3[[#This Row],[Category]],Table10[category],Table10[category_id],"Not found")</f>
        <v>1</v>
      </c>
      <c r="G196" t="str">
        <f>_xlfn.XLOOKUP(Table3[[#This Row],[Place_Id]],Table7[place_id],Table7[city3],"Not found")</f>
        <v>Gunungkidul</v>
      </c>
      <c r="H196">
        <f>_xlfn.XLOOKUP(Table3[[#This Row],[City]],Table5[city_name],Table5[city_id],"Not found")</f>
        <v>35</v>
      </c>
      <c r="I196">
        <v>5000</v>
      </c>
      <c r="K196">
        <v>-8.1801349999999999</v>
      </c>
      <c r="L196">
        <v>110.6763715</v>
      </c>
    </row>
    <row r="197" spans="1:12" x14ac:dyDescent="0.25">
      <c r="A197">
        <v>196</v>
      </c>
      <c r="B197" t="s">
        <v>441</v>
      </c>
      <c r="C197" t="s">
        <v>442</v>
      </c>
      <c r="D197" t="e" cm="1">
        <f t="array" aca="1" ref="D197" ca="1">TRANSLATE(Table3[[#This Row],[Description]],"id","en")</f>
        <v>#NAME?</v>
      </c>
      <c r="E197" t="s">
        <v>65</v>
      </c>
      <c r="F197">
        <f>_xlfn.XLOOKUP(Table3[[#This Row],[Category]],Table10[category],Table10[category_id],"Not found")</f>
        <v>1</v>
      </c>
      <c r="G197" t="str">
        <f>_xlfn.XLOOKUP(Table3[[#This Row],[Place_Id]],Table7[place_id],Table7[city3],"Not found")</f>
        <v>Gunungkidul</v>
      </c>
      <c r="H197">
        <f>_xlfn.XLOOKUP(Table3[[#This Row],[City]],Table5[city_name],Table5[city_id],"Not found")</f>
        <v>35</v>
      </c>
      <c r="I197">
        <v>3000</v>
      </c>
      <c r="K197">
        <v>-8.1211474999999993</v>
      </c>
      <c r="L197">
        <v>110.51423370000001</v>
      </c>
    </row>
    <row r="198" spans="1:12" x14ac:dyDescent="0.25">
      <c r="A198">
        <v>197</v>
      </c>
      <c r="B198" t="s">
        <v>443</v>
      </c>
      <c r="C198" t="s">
        <v>444</v>
      </c>
      <c r="D198" t="e" cm="1">
        <f t="array" aca="1" ref="D198" ca="1">TRANSLATE(Table3[[#This Row],[Description]],"id","en")</f>
        <v>#NAME?</v>
      </c>
      <c r="E198" t="s">
        <v>65</v>
      </c>
      <c r="F198">
        <f>_xlfn.XLOOKUP(Table3[[#This Row],[Category]],Table10[category],Table10[category_id],"Not found")</f>
        <v>1</v>
      </c>
      <c r="G198" t="str">
        <f>_xlfn.XLOOKUP(Table3[[#This Row],[Place_Id]],Table7[place_id],Table7[city3],"Not found")</f>
        <v>Gunungkidul</v>
      </c>
      <c r="H198">
        <f>_xlfn.XLOOKUP(Table3[[#This Row],[City]],Table5[city_name],Table5[city_id],"Not found")</f>
        <v>35</v>
      </c>
      <c r="I198">
        <v>5000</v>
      </c>
      <c r="K198">
        <v>-8.1978220000000004</v>
      </c>
      <c r="L198">
        <v>110.7123397</v>
      </c>
    </row>
    <row r="199" spans="1:12" x14ac:dyDescent="0.25">
      <c r="A199">
        <v>198</v>
      </c>
      <c r="B199" t="s">
        <v>445</v>
      </c>
      <c r="C199" t="s">
        <v>446</v>
      </c>
      <c r="D199" t="e" cm="1">
        <f t="array" aca="1" ref="D199" ca="1">TRANSLATE(Table3[[#This Row],[Description]],"id","en")</f>
        <v>#NAME?</v>
      </c>
      <c r="E199" t="s">
        <v>65</v>
      </c>
      <c r="F199">
        <f>_xlfn.XLOOKUP(Table3[[#This Row],[Category]],Table10[category],Table10[category_id],"Not found")</f>
        <v>1</v>
      </c>
      <c r="G199" t="str">
        <f>_xlfn.XLOOKUP(Table3[[#This Row],[Place_Id]],Table7[place_id],Table7[city3],"Not found")</f>
        <v>Gunungkidul</v>
      </c>
      <c r="H199">
        <f>_xlfn.XLOOKUP(Table3[[#This Row],[City]],Table5[city_name],Table5[city_id],"Not found")</f>
        <v>35</v>
      </c>
      <c r="I199">
        <v>5000</v>
      </c>
      <c r="K199">
        <v>-8.1978644000000003</v>
      </c>
      <c r="L199">
        <v>110.71862160000001</v>
      </c>
    </row>
    <row r="200" spans="1:12" x14ac:dyDescent="0.25">
      <c r="A200">
        <v>199</v>
      </c>
      <c r="B200" t="s">
        <v>447</v>
      </c>
      <c r="C200" t="s">
        <v>448</v>
      </c>
      <c r="D200" t="e" cm="1">
        <f t="array" aca="1" ref="D200" ca="1">TRANSLATE(Table3[[#This Row],[Description]],"id","en")</f>
        <v>#NAME?</v>
      </c>
      <c r="E200" t="s">
        <v>65</v>
      </c>
      <c r="F200">
        <f>_xlfn.XLOOKUP(Table3[[#This Row],[Category]],Table10[category],Table10[category_id],"Not found")</f>
        <v>1</v>
      </c>
      <c r="G200" t="str">
        <f>_xlfn.XLOOKUP(Table3[[#This Row],[Place_Id]],Table7[place_id],Table7[city3],"Not found")</f>
        <v>Gunungkidul</v>
      </c>
      <c r="H200">
        <f>_xlfn.XLOOKUP(Table3[[#This Row],[City]],Table5[city_name],Table5[city_id],"Not found")</f>
        <v>35</v>
      </c>
      <c r="I200">
        <v>5000</v>
      </c>
      <c r="K200">
        <v>-8.1978942999999997</v>
      </c>
      <c r="L200">
        <v>110.7208535</v>
      </c>
    </row>
    <row r="201" spans="1:12" x14ac:dyDescent="0.25">
      <c r="A201">
        <v>200</v>
      </c>
      <c r="B201" t="s">
        <v>449</v>
      </c>
      <c r="C201" t="s">
        <v>450</v>
      </c>
      <c r="D201" t="e" cm="1">
        <f t="array" aca="1" ref="D201" ca="1">TRANSLATE(Table3[[#This Row],[Description]],"id","en")</f>
        <v>#NAME?</v>
      </c>
      <c r="E201" t="s">
        <v>65</v>
      </c>
      <c r="F201">
        <f>_xlfn.XLOOKUP(Table3[[#This Row],[Category]],Table10[category],Table10[category_id],"Not found")</f>
        <v>1</v>
      </c>
      <c r="G201" t="str">
        <f>_xlfn.XLOOKUP(Table3[[#This Row],[Place_Id]],Table7[place_id],Table7[city3],"Not found")</f>
        <v>Gunungkidul</v>
      </c>
      <c r="H201">
        <f>_xlfn.XLOOKUP(Table3[[#This Row],[City]],Table5[city_name],Table5[city_id],"Not found")</f>
        <v>35</v>
      </c>
      <c r="I201">
        <v>5000</v>
      </c>
      <c r="K201">
        <v>-8.1370556000000001</v>
      </c>
      <c r="L201">
        <v>110.5746611</v>
      </c>
    </row>
    <row r="202" spans="1:12" x14ac:dyDescent="0.25">
      <c r="A202">
        <v>201</v>
      </c>
      <c r="B202" t="s">
        <v>451</v>
      </c>
      <c r="C202" t="s">
        <v>452</v>
      </c>
      <c r="D202" t="e" cm="1">
        <f t="array" aca="1" ref="D202" ca="1">TRANSLATE(Table3[[#This Row],[Description]],"id","en")</f>
        <v>#NAME?</v>
      </c>
      <c r="E202" t="s">
        <v>65</v>
      </c>
      <c r="F202">
        <f>_xlfn.XLOOKUP(Table3[[#This Row],[Category]],Table10[category],Table10[category_id],"Not found")</f>
        <v>1</v>
      </c>
      <c r="G202" t="str">
        <f>_xlfn.XLOOKUP(Table3[[#This Row],[Place_Id]],Table7[place_id],Table7[city3],"Not found")</f>
        <v>Gunungkidul</v>
      </c>
      <c r="H202">
        <f>_xlfn.XLOOKUP(Table3[[#This Row],[City]],Table5[city_name],Table5[city_id],"Not found")</f>
        <v>35</v>
      </c>
      <c r="I202">
        <v>5000</v>
      </c>
      <c r="J202">
        <v>90</v>
      </c>
      <c r="K202">
        <v>-8.0961534999999998</v>
      </c>
      <c r="L202">
        <v>110.43504830000001</v>
      </c>
    </row>
    <row r="203" spans="1:12" x14ac:dyDescent="0.25">
      <c r="A203">
        <v>202</v>
      </c>
      <c r="B203" t="s">
        <v>453</v>
      </c>
      <c r="C203" t="s">
        <v>454</v>
      </c>
      <c r="D203" t="e" cm="1">
        <f t="array" aca="1" ref="D203" ca="1">TRANSLATE(Table3[[#This Row],[Description]],"id","en")</f>
        <v>#NAME?</v>
      </c>
      <c r="E203" t="s">
        <v>65</v>
      </c>
      <c r="F203">
        <f>_xlfn.XLOOKUP(Table3[[#This Row],[Category]],Table10[category],Table10[category_id],"Not found")</f>
        <v>1</v>
      </c>
      <c r="G203" t="str">
        <f>_xlfn.XLOOKUP(Table3[[#This Row],[Place_Id]],Table7[place_id],Table7[city3],"Not found")</f>
        <v>Gunungkidul</v>
      </c>
      <c r="H203">
        <f>_xlfn.XLOOKUP(Table3[[#This Row],[City]],Table5[city_name],Table5[city_id],"Not found")</f>
        <v>35</v>
      </c>
      <c r="I203">
        <v>10000</v>
      </c>
      <c r="K203">
        <v>-8.1464230000000004</v>
      </c>
      <c r="L203">
        <v>110.60614080000001</v>
      </c>
    </row>
    <row r="204" spans="1:12" x14ac:dyDescent="0.25">
      <c r="A204">
        <v>203</v>
      </c>
      <c r="B204" t="s">
        <v>455</v>
      </c>
      <c r="C204" t="s">
        <v>456</v>
      </c>
      <c r="D204" t="e" cm="1">
        <f t="array" aca="1" ref="D204" ca="1">TRANSLATE(Table3[[#This Row],[Description]],"id","en")</f>
        <v>#NAME?</v>
      </c>
      <c r="E204" t="s">
        <v>51</v>
      </c>
      <c r="F204">
        <f>_xlfn.XLOOKUP(Table3[[#This Row],[Category]],Table10[category],Table10[category_id],"Not found")</f>
        <v>5</v>
      </c>
      <c r="G204" t="str">
        <f>_xlfn.XLOOKUP(Table3[[#This Row],[Place_Id]],Table7[place_id],Table7[city3],"Not found")</f>
        <v>Bantul</v>
      </c>
      <c r="H204">
        <f>_xlfn.XLOOKUP(Table3[[#This Row],[City]],Table5[city_name],Table5[city_id],"Not found")</f>
        <v>34</v>
      </c>
      <c r="I204">
        <v>40000</v>
      </c>
      <c r="K204">
        <v>-7.8159632999999999</v>
      </c>
      <c r="L204">
        <v>110.4136917</v>
      </c>
    </row>
    <row r="205" spans="1:12" x14ac:dyDescent="0.25">
      <c r="A205">
        <v>204</v>
      </c>
      <c r="B205" t="s">
        <v>457</v>
      </c>
      <c r="C205" t="s">
        <v>458</v>
      </c>
      <c r="D205" t="e" cm="1">
        <f t="array" aca="1" ref="D205" ca="1">TRANSLATE(Table3[[#This Row],[Description]],"id","en")</f>
        <v>#NAME?</v>
      </c>
      <c r="E205" t="s">
        <v>51</v>
      </c>
      <c r="F205">
        <f>_xlfn.XLOOKUP(Table3[[#This Row],[Category]],Table10[category],Table10[category_id],"Not found")</f>
        <v>5</v>
      </c>
      <c r="G205" t="str">
        <f>_xlfn.XLOOKUP(Table3[[#This Row],[Place_Id]],Table7[place_id],Table7[city3],"Not found")</f>
        <v>Sleman</v>
      </c>
      <c r="H205">
        <f>_xlfn.XLOOKUP(Table3[[#This Row],[City]],Table5[city_name],Table5[city_id],"Not found")</f>
        <v>38</v>
      </c>
      <c r="I205">
        <v>0</v>
      </c>
      <c r="K205">
        <v>-7.6258806000000003</v>
      </c>
      <c r="L205">
        <v>110.37169799999999</v>
      </c>
    </row>
    <row r="206" spans="1:12" x14ac:dyDescent="0.25">
      <c r="A206">
        <v>205</v>
      </c>
      <c r="B206" t="s">
        <v>459</v>
      </c>
      <c r="C206" t="s">
        <v>460</v>
      </c>
      <c r="D206" t="e" cm="1">
        <f t="array" aca="1" ref="D206" ca="1">TRANSLATE(Table3[[#This Row],[Description]],"id","en")</f>
        <v>#NAME?</v>
      </c>
      <c r="E206" t="s">
        <v>51</v>
      </c>
      <c r="F206">
        <f>_xlfn.XLOOKUP(Table3[[#This Row],[Category]],Table10[category],Table10[category_id],"Not found")</f>
        <v>5</v>
      </c>
      <c r="G206" t="str">
        <f>_xlfn.XLOOKUP(Table3[[#This Row],[Place_Id]],Table7[place_id],Table7[city3],"Not found")</f>
        <v>Bantul</v>
      </c>
      <c r="H206">
        <f>_xlfn.XLOOKUP(Table3[[#This Row],[City]],Table5[city_name],Table5[city_id],"Not found")</f>
        <v>34</v>
      </c>
      <c r="I206">
        <v>50000</v>
      </c>
      <c r="K206">
        <v>-7.8725673</v>
      </c>
      <c r="L206">
        <v>110.3546963</v>
      </c>
    </row>
    <row r="207" spans="1:12" x14ac:dyDescent="0.25">
      <c r="A207">
        <v>206</v>
      </c>
      <c r="B207" t="s">
        <v>461</v>
      </c>
      <c r="C207" t="s">
        <v>462</v>
      </c>
      <c r="D207" t="e" cm="1">
        <f t="array" aca="1" ref="D207" ca="1">TRANSLATE(Table3[[#This Row],[Description]],"id","en")</f>
        <v>#NAME?</v>
      </c>
      <c r="E207" t="s">
        <v>60</v>
      </c>
      <c r="F207">
        <f>_xlfn.XLOOKUP(Table3[[#This Row],[Category]],Table10[category],Table10[category_id],"Not found")</f>
        <v>3</v>
      </c>
      <c r="G207" t="str">
        <f>_xlfn.XLOOKUP(Table3[[#This Row],[Place_Id]],Table7[place_id],Table7[city3],"Not found")</f>
        <v>Sleman</v>
      </c>
      <c r="H207">
        <f>_xlfn.XLOOKUP(Table3[[#This Row],[City]],Table5[city_name],Table5[city_id],"Not found")</f>
        <v>38</v>
      </c>
      <c r="I207">
        <v>8000</v>
      </c>
      <c r="J207">
        <v>60</v>
      </c>
      <c r="K207">
        <v>-7.6120675000000002</v>
      </c>
      <c r="L207">
        <v>110.4205209</v>
      </c>
    </row>
    <row r="208" spans="1:12" x14ac:dyDescent="0.25">
      <c r="A208">
        <v>207</v>
      </c>
      <c r="B208" t="s">
        <v>463</v>
      </c>
      <c r="C208" t="s">
        <v>464</v>
      </c>
      <c r="D208" t="e" cm="1">
        <f t="array" aca="1" ref="D208" ca="1">TRANSLATE(Table3[[#This Row],[Description]],"id","en")</f>
        <v>#NAME?</v>
      </c>
      <c r="E208" t="s">
        <v>51</v>
      </c>
      <c r="F208">
        <f>_xlfn.XLOOKUP(Table3[[#This Row],[Category]],Table10[category],Table10[category_id],"Not found")</f>
        <v>5</v>
      </c>
      <c r="G208" t="str">
        <f>_xlfn.XLOOKUP(Table3[[#This Row],[Place_Id]],Table7[place_id],Table7[city3],"Not found")</f>
        <v>Gunungkidul</v>
      </c>
      <c r="H208">
        <f>_xlfn.XLOOKUP(Table3[[#This Row],[City]],Table5[city_name],Table5[city_id],"Not found")</f>
        <v>35</v>
      </c>
      <c r="I208">
        <v>15000</v>
      </c>
      <c r="J208">
        <v>120</v>
      </c>
      <c r="K208">
        <v>-7.8496144000000001</v>
      </c>
      <c r="L208">
        <v>110.478324</v>
      </c>
    </row>
    <row r="209" spans="1:12" x14ac:dyDescent="0.25">
      <c r="A209">
        <v>208</v>
      </c>
      <c r="B209" t="s">
        <v>465</v>
      </c>
      <c r="C209" t="s">
        <v>466</v>
      </c>
      <c r="D209" t="e" cm="1">
        <f t="array" aca="1" ref="D209" ca="1">TRANSLATE(Table3[[#This Row],[Description]],"id","en")</f>
        <v>#NAME?</v>
      </c>
      <c r="E209" t="s">
        <v>60</v>
      </c>
      <c r="F209">
        <f>_xlfn.XLOOKUP(Table3[[#This Row],[Category]],Table10[category],Table10[category_id],"Not found")</f>
        <v>3</v>
      </c>
      <c r="G209" t="str">
        <f>_xlfn.XLOOKUP(Table3[[#This Row],[Place_Id]],Table7[place_id],Table7[city3],"Not found")</f>
        <v>Kulon Progo</v>
      </c>
      <c r="H209">
        <f>_xlfn.XLOOKUP(Table3[[#This Row],[City]],Table5[city_name],Table5[city_id],"Not found")</f>
        <v>37</v>
      </c>
      <c r="I209">
        <v>10000</v>
      </c>
      <c r="J209">
        <v>150</v>
      </c>
      <c r="K209">
        <v>-7.7628136000000003</v>
      </c>
      <c r="L209">
        <v>110.1161626</v>
      </c>
    </row>
    <row r="210" spans="1:12" x14ac:dyDescent="0.25">
      <c r="A210">
        <v>209</v>
      </c>
      <c r="B210" t="s">
        <v>467</v>
      </c>
      <c r="C210" t="s">
        <v>468</v>
      </c>
      <c r="D210" t="e" cm="1">
        <f t="array" aca="1" ref="D210" ca="1">TRANSLATE(Table3[[#This Row],[Description]],"id","en")</f>
        <v>#NAME?</v>
      </c>
      <c r="E210" t="s">
        <v>65</v>
      </c>
      <c r="F210">
        <f>_xlfn.XLOOKUP(Table3[[#This Row],[Category]],Table10[category],Table10[category_id],"Not found")</f>
        <v>1</v>
      </c>
      <c r="G210" t="str">
        <f>_xlfn.XLOOKUP(Table3[[#This Row],[Place_Id]],Table7[place_id],Table7[city3],"Not found")</f>
        <v>Gunungkidul</v>
      </c>
      <c r="H210">
        <f>_xlfn.XLOOKUP(Table3[[#This Row],[City]],Table5[city_name],Table5[city_id],"Not found")</f>
        <v>35</v>
      </c>
      <c r="I210">
        <v>10000</v>
      </c>
      <c r="K210">
        <v>-8.1367455999999994</v>
      </c>
      <c r="L210">
        <v>110.5716362</v>
      </c>
    </row>
    <row r="211" spans="1:12" x14ac:dyDescent="0.25">
      <c r="A211">
        <v>210</v>
      </c>
      <c r="B211" t="s">
        <v>469</v>
      </c>
      <c r="C211" t="s">
        <v>470</v>
      </c>
      <c r="D211" t="e" cm="1">
        <f t="array" aca="1" ref="D211" ca="1">TRANSLATE(Table3[[#This Row],[Description]],"id","en")</f>
        <v>#NAME?</v>
      </c>
      <c r="E211" t="s">
        <v>65</v>
      </c>
      <c r="F211">
        <f>_xlfn.XLOOKUP(Table3[[#This Row],[Category]],Table10[category],Table10[category_id],"Not found")</f>
        <v>1</v>
      </c>
      <c r="G211" t="str">
        <f>_xlfn.XLOOKUP(Table3[[#This Row],[Place_Id]],Table7[place_id],Table7[city3],"Not found")</f>
        <v>Kulon Progo</v>
      </c>
      <c r="H211">
        <f>_xlfn.XLOOKUP(Table3[[#This Row],[City]],Table5[city_name],Table5[city_id],"Not found")</f>
        <v>37</v>
      </c>
      <c r="I211">
        <v>3000</v>
      </c>
      <c r="K211">
        <v>-7.9075424999999999</v>
      </c>
      <c r="L211">
        <v>110.0535658</v>
      </c>
    </row>
    <row r="212" spans="1:12" ht="60" x14ac:dyDescent="0.25">
      <c r="A212">
        <v>211</v>
      </c>
      <c r="B212" t="s">
        <v>961</v>
      </c>
      <c r="C212" s="3" t="s">
        <v>471</v>
      </c>
      <c r="D212" s="3" t="e" cm="1">
        <f t="array" aca="1" ref="D212" ca="1">TRANSLATE(Table3[[#This Row],[Description]],"id","en")</f>
        <v>#NAME?</v>
      </c>
      <c r="E212" t="s">
        <v>60</v>
      </c>
      <c r="F212">
        <f>_xlfn.XLOOKUP(Table3[[#This Row],[Category]],Table10[category],Table10[category_id],"Not found")</f>
        <v>3</v>
      </c>
      <c r="G212" t="str">
        <f>_xlfn.XLOOKUP(Table3[[#This Row],[Place_Id]],Table7[place_id],Table7[city3],"Not found")</f>
        <v>West Bandung regency</v>
      </c>
      <c r="H212">
        <f>_xlfn.XLOOKUP(Table3[[#This Row],[City]],Table5[city_name],Table5[city_id],"Not found")</f>
        <v>33</v>
      </c>
      <c r="I212">
        <v>30000</v>
      </c>
      <c r="K212">
        <v>-6.7596376999999999</v>
      </c>
      <c r="L212">
        <v>107.6097807</v>
      </c>
    </row>
    <row r="213" spans="1:12" x14ac:dyDescent="0.25">
      <c r="A213">
        <v>212</v>
      </c>
      <c r="B213" t="s">
        <v>473</v>
      </c>
      <c r="C213" t="s">
        <v>474</v>
      </c>
      <c r="D213" t="e" cm="1">
        <f t="array" aca="1" ref="D213" ca="1">TRANSLATE(Table3[[#This Row],[Description]],"id","en")</f>
        <v>#NAME?</v>
      </c>
      <c r="E213" t="s">
        <v>45</v>
      </c>
      <c r="F213">
        <f>_xlfn.XLOOKUP(Table3[[#This Row],[Category]],Table10[category],Table10[category_id],"Not found")</f>
        <v>2</v>
      </c>
      <c r="G213" t="str">
        <f>_xlfn.XLOOKUP(Table3[[#This Row],[Place_Id]],Table7[place_id],Table7[city3],"Not found")</f>
        <v>Bandung</v>
      </c>
      <c r="H213">
        <f>_xlfn.XLOOKUP(Table3[[#This Row],[City]],Table5[city_name],Table5[city_id],"Not found")</f>
        <v>22</v>
      </c>
      <c r="I213">
        <v>0</v>
      </c>
      <c r="K213">
        <v>-6.9150533999999997</v>
      </c>
      <c r="L213">
        <v>107.60898419999999</v>
      </c>
    </row>
    <row r="214" spans="1:12" x14ac:dyDescent="0.25">
      <c r="A214">
        <v>213</v>
      </c>
      <c r="B214" t="s">
        <v>475</v>
      </c>
      <c r="C214" t="s">
        <v>476</v>
      </c>
      <c r="D214" t="e" cm="1">
        <f t="array" aca="1" ref="D214" ca="1">TRANSLATE(Table3[[#This Row],[Description]],"id","en")</f>
        <v>#NAME?</v>
      </c>
      <c r="E214" t="s">
        <v>45</v>
      </c>
      <c r="F214">
        <f>_xlfn.XLOOKUP(Table3[[#This Row],[Category]],Table10[category],Table10[category_id],"Not found")</f>
        <v>2</v>
      </c>
      <c r="G214" t="str">
        <f>_xlfn.XLOOKUP(Table3[[#This Row],[Place_Id]],Table7[place_id],Table7[city3],"Not found")</f>
        <v>Bandung</v>
      </c>
      <c r="H214">
        <f>_xlfn.XLOOKUP(Table3[[#This Row],[City]],Table5[city_name],Table5[city_id],"Not found")</f>
        <v>22</v>
      </c>
      <c r="I214">
        <v>5000</v>
      </c>
      <c r="K214">
        <v>-6.9024812000000004</v>
      </c>
      <c r="L214">
        <v>107.61881</v>
      </c>
    </row>
    <row r="215" spans="1:12" x14ac:dyDescent="0.25">
      <c r="A215">
        <v>214</v>
      </c>
      <c r="B215" t="s">
        <v>477</v>
      </c>
      <c r="C215" t="s">
        <v>478</v>
      </c>
      <c r="D215" t="e" cm="1">
        <f t="array" aca="1" ref="D215" ca="1">TRANSLATE(Table3[[#This Row],[Description]],"id","en")</f>
        <v>#NAME?</v>
      </c>
      <c r="E215" t="s">
        <v>51</v>
      </c>
      <c r="F215">
        <f>_xlfn.XLOOKUP(Table3[[#This Row],[Category]],Table10[category],Table10[category_id],"Not found")</f>
        <v>5</v>
      </c>
      <c r="G215" t="str">
        <f>_xlfn.XLOOKUP(Table3[[#This Row],[Place_Id]],Table7[place_id],Table7[city3],"Not found")</f>
        <v>Bandung</v>
      </c>
      <c r="H215">
        <f>_xlfn.XLOOKUP(Table3[[#This Row],[City]],Table5[city_name],Table5[city_id],"Not found")</f>
        <v>22</v>
      </c>
      <c r="I215">
        <v>280000</v>
      </c>
      <c r="J215">
        <v>240</v>
      </c>
      <c r="K215">
        <v>-6.9250942999999996</v>
      </c>
      <c r="L215">
        <v>107.6364944</v>
      </c>
    </row>
    <row r="216" spans="1:12" x14ac:dyDescent="0.25">
      <c r="A216">
        <v>215</v>
      </c>
      <c r="B216" t="s">
        <v>479</v>
      </c>
      <c r="C216" t="s">
        <v>480</v>
      </c>
      <c r="D216" t="e" cm="1">
        <f t="array" aca="1" ref="D216" ca="1">TRANSLATE(Table3[[#This Row],[Description]],"id","en")</f>
        <v>#NAME?</v>
      </c>
      <c r="E216" t="s">
        <v>60</v>
      </c>
      <c r="F216">
        <f>_xlfn.XLOOKUP(Table3[[#This Row],[Category]],Table10[category],Table10[category_id],"Not found")</f>
        <v>3</v>
      </c>
      <c r="G216" t="str">
        <f>_xlfn.XLOOKUP(Table3[[#This Row],[Place_Id]],Table7[place_id],Table7[city3],"Not found")</f>
        <v>Bandung regency</v>
      </c>
      <c r="H216">
        <f>_xlfn.XLOOKUP(Table3[[#This Row],[City]],Table5[city_name],Table5[city_id],"Not found")</f>
        <v>23</v>
      </c>
      <c r="I216">
        <v>15000</v>
      </c>
      <c r="J216">
        <v>90</v>
      </c>
      <c r="K216">
        <v>-6.8565791000000003</v>
      </c>
      <c r="L216">
        <v>107.63237340000001</v>
      </c>
    </row>
    <row r="217" spans="1:12" x14ac:dyDescent="0.25">
      <c r="A217">
        <v>216</v>
      </c>
      <c r="B217" t="s">
        <v>481</v>
      </c>
      <c r="C217" t="s">
        <v>482</v>
      </c>
      <c r="D217" t="e" cm="1">
        <f t="array" aca="1" ref="D217" ca="1">TRANSLATE(Table3[[#This Row],[Description]],"id","en")</f>
        <v>#NAME?</v>
      </c>
      <c r="E217" t="s">
        <v>51</v>
      </c>
      <c r="F217">
        <f>_xlfn.XLOOKUP(Table3[[#This Row],[Category]],Table10[category],Table10[category_id],"Not found")</f>
        <v>5</v>
      </c>
      <c r="G217" t="str">
        <f>_xlfn.XLOOKUP(Table3[[#This Row],[Place_Id]],Table7[place_id],Table7[city3],"Not found")</f>
        <v>West Bandung regency</v>
      </c>
      <c r="H217">
        <f>_xlfn.XLOOKUP(Table3[[#This Row],[City]],Table5[city_name],Table5[city_id],"Not found")</f>
        <v>33</v>
      </c>
      <c r="I217">
        <v>30000</v>
      </c>
      <c r="K217">
        <v>-6.8329690000000003</v>
      </c>
      <c r="L217">
        <v>107.6056183</v>
      </c>
    </row>
    <row r="218" spans="1:12" x14ac:dyDescent="0.25">
      <c r="A218">
        <v>217</v>
      </c>
      <c r="B218" t="s">
        <v>483</v>
      </c>
      <c r="C218" t="s">
        <v>484</v>
      </c>
      <c r="D218" t="e" cm="1">
        <f t="array" aca="1" ref="D218" ca="1">TRANSLATE(Table3[[#This Row],[Description]],"id","en")</f>
        <v>#NAME?</v>
      </c>
      <c r="E218" t="s">
        <v>60</v>
      </c>
      <c r="F218">
        <f>_xlfn.XLOOKUP(Table3[[#This Row],[Category]],Table10[category],Table10[category_id],"Not found")</f>
        <v>3</v>
      </c>
      <c r="G218" t="str">
        <f>_xlfn.XLOOKUP(Table3[[#This Row],[Place_Id]],Table7[place_id],Table7[city3],"Not found")</f>
        <v>Bandung</v>
      </c>
      <c r="H218">
        <f>_xlfn.XLOOKUP(Table3[[#This Row],[City]],Table5[city_name],Table5[city_id],"Not found")</f>
        <v>22</v>
      </c>
      <c r="I218">
        <v>20000</v>
      </c>
      <c r="J218">
        <v>180</v>
      </c>
      <c r="K218">
        <v>-6.8897177000000003</v>
      </c>
      <c r="L218">
        <v>107.6077282</v>
      </c>
    </row>
    <row r="219" spans="1:12" x14ac:dyDescent="0.25">
      <c r="A219">
        <v>218</v>
      </c>
      <c r="B219" t="s">
        <v>485</v>
      </c>
      <c r="C219" t="s">
        <v>486</v>
      </c>
      <c r="D219" t="e" cm="1">
        <f t="array" aca="1" ref="D219" ca="1">TRANSLATE(Table3[[#This Row],[Description]],"id","en")</f>
        <v>#NAME?</v>
      </c>
      <c r="E219" t="s">
        <v>60</v>
      </c>
      <c r="F219">
        <f>_xlfn.XLOOKUP(Table3[[#This Row],[Category]],Table10[category],Table10[category_id],"Not found")</f>
        <v>3</v>
      </c>
      <c r="G219" t="str">
        <f>_xlfn.XLOOKUP(Table3[[#This Row],[Place_Id]],Table7[place_id],Table7[city3],"Not found")</f>
        <v>Bandung regency</v>
      </c>
      <c r="H219">
        <f>_xlfn.XLOOKUP(Table3[[#This Row],[City]],Table5[city_name],Table5[city_id],"Not found")</f>
        <v>23</v>
      </c>
      <c r="I219">
        <v>81000</v>
      </c>
      <c r="K219">
        <v>-7.1662039000000002</v>
      </c>
      <c r="L219">
        <v>107.40212560000001</v>
      </c>
    </row>
    <row r="220" spans="1:12" x14ac:dyDescent="0.25">
      <c r="A220">
        <v>219</v>
      </c>
      <c r="B220" t="s">
        <v>487</v>
      </c>
      <c r="C220" t="s">
        <v>488</v>
      </c>
      <c r="D220" t="e" cm="1">
        <f t="array" aca="1" ref="D220" ca="1">TRANSLATE(Table3[[#This Row],[Description]],"id","en")</f>
        <v>#NAME?</v>
      </c>
      <c r="E220" t="s">
        <v>60</v>
      </c>
      <c r="F220">
        <f>_xlfn.XLOOKUP(Table3[[#This Row],[Category]],Table10[category],Table10[category_id],"Not found")</f>
        <v>3</v>
      </c>
      <c r="G220" t="str">
        <f>_xlfn.XLOOKUP(Table3[[#This Row],[Place_Id]],Table7[place_id],Table7[city3],"Not found")</f>
        <v>West Bandung regency</v>
      </c>
      <c r="H220">
        <f>_xlfn.XLOOKUP(Table3[[#This Row],[City]],Table5[city_name],Table5[city_id],"Not found")</f>
        <v>33</v>
      </c>
      <c r="I220">
        <v>15000</v>
      </c>
      <c r="K220">
        <v>-6.8340683000000002</v>
      </c>
      <c r="L220">
        <v>107.6636151</v>
      </c>
    </row>
    <row r="221" spans="1:12" ht="75" x14ac:dyDescent="0.25">
      <c r="A221">
        <v>220</v>
      </c>
      <c r="B221" t="s">
        <v>489</v>
      </c>
      <c r="C221" s="3" t="s">
        <v>490</v>
      </c>
      <c r="D221" s="3" t="e" cm="1">
        <f t="array" aca="1" ref="D221" ca="1">TRANSLATE(Table3[[#This Row],[Description]],"id","en")</f>
        <v>#NAME?</v>
      </c>
      <c r="E221" t="s">
        <v>51</v>
      </c>
      <c r="F221">
        <f>_xlfn.XLOOKUP(Table3[[#This Row],[Category]],Table10[category],Table10[category_id],"Not found")</f>
        <v>5</v>
      </c>
      <c r="G221" t="str">
        <f>_xlfn.XLOOKUP(Table3[[#This Row],[Place_Id]],Table7[place_id],Table7[city3],"Not found")</f>
        <v>West Bandung regency</v>
      </c>
      <c r="H221">
        <f>_xlfn.XLOOKUP(Table3[[#This Row],[City]],Table5[city_name],Table5[city_id],"Not found")</f>
        <v>33</v>
      </c>
      <c r="I221">
        <v>25000</v>
      </c>
      <c r="K221">
        <v>-6.7897147000000002</v>
      </c>
      <c r="L221">
        <v>107.5791627</v>
      </c>
    </row>
    <row r="222" spans="1:12" x14ac:dyDescent="0.25">
      <c r="A222">
        <v>221</v>
      </c>
      <c r="B222" t="s">
        <v>491</v>
      </c>
      <c r="C222" t="s">
        <v>492</v>
      </c>
      <c r="D222" t="e" cm="1">
        <f t="array" aca="1" ref="D222" ca="1">TRANSLATE(Table3[[#This Row],[Description]],"id","en")</f>
        <v>#NAME?</v>
      </c>
      <c r="E222" t="s">
        <v>45</v>
      </c>
      <c r="F222">
        <f>_xlfn.XLOOKUP(Table3[[#This Row],[Category]],Table10[category],Table10[category_id],"Not found")</f>
        <v>2</v>
      </c>
      <c r="G222" t="str">
        <f>_xlfn.XLOOKUP(Table3[[#This Row],[Place_Id]],Table7[place_id],Table7[city3],"Not found")</f>
        <v>Bandung</v>
      </c>
      <c r="H222">
        <f>_xlfn.XLOOKUP(Table3[[#This Row],[City]],Table5[city_name],Table5[city_id],"Not found")</f>
        <v>22</v>
      </c>
      <c r="I222">
        <v>2000</v>
      </c>
      <c r="K222">
        <v>-6.9007161999999997</v>
      </c>
      <c r="L222">
        <v>107.62145529999999</v>
      </c>
    </row>
    <row r="223" spans="1:12" x14ac:dyDescent="0.25">
      <c r="A223">
        <v>222</v>
      </c>
      <c r="B223" t="s">
        <v>493</v>
      </c>
      <c r="C223" t="s">
        <v>494</v>
      </c>
      <c r="D223" t="e" cm="1">
        <f t="array" aca="1" ref="D223" ca="1">TRANSLATE(Table3[[#This Row],[Description]],"id","en")</f>
        <v>#NAME?</v>
      </c>
      <c r="E223" t="s">
        <v>45</v>
      </c>
      <c r="F223">
        <f>_xlfn.XLOOKUP(Table3[[#This Row],[Category]],Table10[category],Table10[category_id],"Not found")</f>
        <v>2</v>
      </c>
      <c r="G223" t="str">
        <f>_xlfn.XLOOKUP(Table3[[#This Row],[Place_Id]],Table7[place_id],Table7[city3],"Not found")</f>
        <v>Bandung</v>
      </c>
      <c r="H223">
        <f>_xlfn.XLOOKUP(Table3[[#This Row],[City]],Table5[city_name],Table5[city_id],"Not found")</f>
        <v>22</v>
      </c>
      <c r="I223">
        <v>0</v>
      </c>
      <c r="J223">
        <v>60</v>
      </c>
      <c r="K223">
        <v>-6.9211092000000001</v>
      </c>
      <c r="L223">
        <v>107.60959699999999</v>
      </c>
    </row>
    <row r="224" spans="1:12" x14ac:dyDescent="0.25">
      <c r="A224">
        <v>223</v>
      </c>
      <c r="B224" t="s">
        <v>495</v>
      </c>
      <c r="C224" t="s">
        <v>496</v>
      </c>
      <c r="D224" t="e" cm="1">
        <f t="array" aca="1" ref="D224" ca="1">TRANSLATE(Table3[[#This Row],[Description]],"id","en")</f>
        <v>#NAME?</v>
      </c>
      <c r="E224" t="s">
        <v>93</v>
      </c>
      <c r="F224">
        <f>_xlfn.XLOOKUP(Table3[[#This Row],[Category]],Table10[category],Table10[category_id],"Not found")</f>
        <v>6</v>
      </c>
      <c r="G224" t="str">
        <f>_xlfn.XLOOKUP(Table3[[#This Row],[Place_Id]],Table7[place_id],Table7[city3],"Not found")</f>
        <v>Bandung</v>
      </c>
      <c r="H224">
        <f>_xlfn.XLOOKUP(Table3[[#This Row],[City]],Table5[city_name],Table5[city_id],"Not found")</f>
        <v>22</v>
      </c>
      <c r="I224">
        <v>0</v>
      </c>
      <c r="K224">
        <v>-6.9216896999999999</v>
      </c>
      <c r="L224">
        <v>107.6061399</v>
      </c>
    </row>
    <row r="225" spans="1:12" x14ac:dyDescent="0.25">
      <c r="A225">
        <v>224</v>
      </c>
      <c r="B225" t="s">
        <v>497</v>
      </c>
      <c r="C225" t="s">
        <v>498</v>
      </c>
      <c r="D225" t="e" cm="1">
        <f t="array" aca="1" ref="D225" ca="1">TRANSLATE(Table3[[#This Row],[Description]],"id","en")</f>
        <v>#NAME?</v>
      </c>
      <c r="E225" t="s">
        <v>51</v>
      </c>
      <c r="F225">
        <f>_xlfn.XLOOKUP(Table3[[#This Row],[Category]],Table10[category],Table10[category_id],"Not found")</f>
        <v>5</v>
      </c>
      <c r="G225" t="str">
        <f>_xlfn.XLOOKUP(Table3[[#This Row],[Place_Id]],Table7[place_id],Table7[city3],"Not found")</f>
        <v>West Bandung regency</v>
      </c>
      <c r="H225">
        <f>_xlfn.XLOOKUP(Table3[[#This Row],[City]],Table5[city_name],Table5[city_id],"Not found")</f>
        <v>33</v>
      </c>
      <c r="I225">
        <v>40000</v>
      </c>
      <c r="J225">
        <v>150</v>
      </c>
      <c r="K225">
        <v>-6.8486422999999998</v>
      </c>
      <c r="L225">
        <v>107.625939</v>
      </c>
    </row>
    <row r="226" spans="1:12" x14ac:dyDescent="0.25">
      <c r="A226">
        <v>225</v>
      </c>
      <c r="B226" t="s">
        <v>499</v>
      </c>
      <c r="C226" t="s">
        <v>500</v>
      </c>
      <c r="D226" t="e" cm="1">
        <f t="array" aca="1" ref="D226" ca="1">TRANSLATE(Table3[[#This Row],[Description]],"id","en")</f>
        <v>#NAME?</v>
      </c>
      <c r="E226" t="s">
        <v>51</v>
      </c>
      <c r="F226">
        <f>_xlfn.XLOOKUP(Table3[[#This Row],[Category]],Table10[category],Table10[category_id],"Not found")</f>
        <v>5</v>
      </c>
      <c r="G226" t="str">
        <f>_xlfn.XLOOKUP(Table3[[#This Row],[Place_Id]],Table7[place_id],Table7[city3],"Not found")</f>
        <v>West Bandung regency</v>
      </c>
      <c r="H226">
        <f>_xlfn.XLOOKUP(Table3[[#This Row],[City]],Table5[city_name],Table5[city_id],"Not found")</f>
        <v>33</v>
      </c>
      <c r="I226">
        <v>50000</v>
      </c>
      <c r="J226">
        <v>150</v>
      </c>
      <c r="K226">
        <v>-6.7804929999999999</v>
      </c>
      <c r="L226">
        <v>107.63747499999999</v>
      </c>
    </row>
    <row r="227" spans="1:12" x14ac:dyDescent="0.25">
      <c r="A227">
        <v>226</v>
      </c>
      <c r="B227" t="s">
        <v>501</v>
      </c>
      <c r="C227" t="s">
        <v>502</v>
      </c>
      <c r="D227" t="e" cm="1">
        <f t="array" aca="1" ref="D227" ca="1">TRANSLATE(Table3[[#This Row],[Description]],"id","en")</f>
        <v>#NAME?</v>
      </c>
      <c r="E227" t="s">
        <v>51</v>
      </c>
      <c r="F227">
        <f>_xlfn.XLOOKUP(Table3[[#This Row],[Category]],Table10[category],Table10[category_id],"Not found")</f>
        <v>5</v>
      </c>
      <c r="G227" t="str">
        <f>_xlfn.XLOOKUP(Table3[[#This Row],[Place_Id]],Table7[place_id],Table7[city3],"Not found")</f>
        <v>West Bandung regency</v>
      </c>
      <c r="H227">
        <f>_xlfn.XLOOKUP(Table3[[#This Row],[City]],Table5[city_name],Table5[city_id],"Not found")</f>
        <v>33</v>
      </c>
      <c r="I227">
        <v>20000</v>
      </c>
      <c r="J227">
        <v>120</v>
      </c>
      <c r="K227">
        <v>-6.8419755999999996</v>
      </c>
      <c r="L227">
        <v>107.62282399999999</v>
      </c>
    </row>
    <row r="228" spans="1:12" x14ac:dyDescent="0.25">
      <c r="A228">
        <v>227</v>
      </c>
      <c r="B228" t="s">
        <v>503</v>
      </c>
      <c r="C228" t="s">
        <v>504</v>
      </c>
      <c r="D228" t="e" cm="1">
        <f t="array" aca="1" ref="D228" ca="1">TRANSLATE(Table3[[#This Row],[Description]],"id","en")</f>
        <v>#NAME?</v>
      </c>
      <c r="E228" t="s">
        <v>51</v>
      </c>
      <c r="F228">
        <f>_xlfn.XLOOKUP(Table3[[#This Row],[Category]],Table10[category],Table10[category_id],"Not found")</f>
        <v>5</v>
      </c>
      <c r="G228" t="str">
        <f>_xlfn.XLOOKUP(Table3[[#This Row],[Place_Id]],Table7[place_id],Table7[city3],"Not found")</f>
        <v>Bandung</v>
      </c>
      <c r="H228">
        <f>_xlfn.XLOOKUP(Table3[[#This Row],[City]],Table5[city_name],Table5[city_id],"Not found")</f>
        <v>22</v>
      </c>
      <c r="I228">
        <v>0</v>
      </c>
      <c r="J228">
        <v>60</v>
      </c>
      <c r="K228">
        <v>-6.9218571000000004</v>
      </c>
      <c r="L228">
        <v>107.6070141</v>
      </c>
    </row>
    <row r="229" spans="1:12" ht="60" x14ac:dyDescent="0.25">
      <c r="A229">
        <v>228</v>
      </c>
      <c r="B229" t="s">
        <v>505</v>
      </c>
      <c r="C229" s="3" t="s">
        <v>506</v>
      </c>
      <c r="D229" s="3" t="e" cm="1">
        <f t="array" aca="1" ref="D229" ca="1">TRANSLATE(Table3[[#This Row],[Description]],"id","en")</f>
        <v>#NAME?</v>
      </c>
      <c r="E229" t="s">
        <v>45</v>
      </c>
      <c r="F229">
        <f>_xlfn.XLOOKUP(Table3[[#This Row],[Category]],Table10[category],Table10[category_id],"Not found")</f>
        <v>2</v>
      </c>
      <c r="G229" t="str">
        <f>_xlfn.XLOOKUP(Table3[[#This Row],[Place_Id]],Table7[place_id],Table7[city3],"Not found")</f>
        <v>Bandung</v>
      </c>
      <c r="H229">
        <f>_xlfn.XLOOKUP(Table3[[#This Row],[City]],Table5[city_name],Table5[city_id],"Not found")</f>
        <v>22</v>
      </c>
      <c r="I229">
        <v>3000</v>
      </c>
      <c r="K229">
        <v>-6.9375748000000002</v>
      </c>
      <c r="L229">
        <v>107.603775</v>
      </c>
    </row>
    <row r="230" spans="1:12" x14ac:dyDescent="0.25">
      <c r="A230">
        <v>229</v>
      </c>
      <c r="B230" t="s">
        <v>507</v>
      </c>
      <c r="C230" t="s">
        <v>508</v>
      </c>
      <c r="D230" t="e" cm="1">
        <f t="array" aca="1" ref="D230" ca="1">TRANSLATE(Table3[[#This Row],[Description]],"id","en")</f>
        <v>#NAME?</v>
      </c>
      <c r="E230" t="s">
        <v>51</v>
      </c>
      <c r="F230">
        <f>_xlfn.XLOOKUP(Table3[[#This Row],[Category]],Table10[category],Table10[category_id],"Not found")</f>
        <v>5</v>
      </c>
      <c r="G230" t="str">
        <f>_xlfn.XLOOKUP(Table3[[#This Row],[Place_Id]],Table7[place_id],Table7[city3],"Not found")</f>
        <v>Bandung</v>
      </c>
      <c r="H230">
        <f>_xlfn.XLOOKUP(Table3[[#This Row],[City]],Table5[city_name],Table5[city_id],"Not found")</f>
        <v>22</v>
      </c>
      <c r="I230">
        <v>45000</v>
      </c>
      <c r="J230">
        <v>90</v>
      </c>
      <c r="K230">
        <v>-6.8669517999999998</v>
      </c>
      <c r="L230">
        <v>107.6100859</v>
      </c>
    </row>
    <row r="231" spans="1:12" ht="60" x14ac:dyDescent="0.25">
      <c r="A231">
        <v>230</v>
      </c>
      <c r="B231" t="s">
        <v>509</v>
      </c>
      <c r="C231" s="3" t="s">
        <v>510</v>
      </c>
      <c r="D231" s="3" t="e" cm="1">
        <f t="array" aca="1" ref="D231" ca="1">TRANSLATE(Table3[[#This Row],[Description]],"id","en")</f>
        <v>#NAME?</v>
      </c>
      <c r="E231" t="s">
        <v>51</v>
      </c>
      <c r="F231">
        <f>_xlfn.XLOOKUP(Table3[[#This Row],[Category]],Table10[category],Table10[category_id],"Not found")</f>
        <v>5</v>
      </c>
      <c r="G231" t="str">
        <f>_xlfn.XLOOKUP(Table3[[#This Row],[Place_Id]],Table7[place_id],Table7[city3],"Not found")</f>
        <v>West Bandung regency</v>
      </c>
      <c r="H231">
        <f>_xlfn.XLOOKUP(Table3[[#This Row],[City]],Table5[city_name],Table5[city_id],"Not found")</f>
        <v>33</v>
      </c>
      <c r="I231">
        <v>30000</v>
      </c>
      <c r="K231">
        <v>-6.8281527999999998</v>
      </c>
      <c r="L231">
        <v>107.43501790000001</v>
      </c>
    </row>
    <row r="232" spans="1:12" x14ac:dyDescent="0.25">
      <c r="A232">
        <v>231</v>
      </c>
      <c r="B232" t="s">
        <v>511</v>
      </c>
      <c r="C232" t="s">
        <v>512</v>
      </c>
      <c r="D232" t="e" cm="1">
        <f t="array" aca="1" ref="D232" ca="1">TRANSLATE(Table3[[#This Row],[Description]],"id","en")</f>
        <v>#NAME?</v>
      </c>
      <c r="E232" t="s">
        <v>51</v>
      </c>
      <c r="F232">
        <f>_xlfn.XLOOKUP(Table3[[#This Row],[Category]],Table10[category],Table10[category_id],"Not found")</f>
        <v>5</v>
      </c>
      <c r="G232" t="str">
        <f>_xlfn.XLOOKUP(Table3[[#This Row],[Place_Id]],Table7[place_id],Table7[city3],"Not found")</f>
        <v>West Bandung regency</v>
      </c>
      <c r="H232">
        <f>_xlfn.XLOOKUP(Table3[[#This Row],[City]],Table5[city_name],Table5[city_id],"Not found")</f>
        <v>33</v>
      </c>
      <c r="I232">
        <v>50000</v>
      </c>
      <c r="J232">
        <v>180</v>
      </c>
      <c r="K232">
        <v>-6.8331229999999996</v>
      </c>
      <c r="L232">
        <v>107.60415949999999</v>
      </c>
    </row>
    <row r="233" spans="1:12" x14ac:dyDescent="0.25">
      <c r="A233">
        <v>232</v>
      </c>
      <c r="B233" t="s">
        <v>513</v>
      </c>
      <c r="C233" t="s">
        <v>514</v>
      </c>
      <c r="D233" t="e" cm="1">
        <f t="array" aca="1" ref="D233" ca="1">TRANSLATE(Table3[[#This Row],[Description]],"id","en")</f>
        <v>#NAME?</v>
      </c>
      <c r="E233" t="s">
        <v>60</v>
      </c>
      <c r="F233">
        <f>_xlfn.XLOOKUP(Table3[[#This Row],[Category]],Table10[category],Table10[category_id],"Not found")</f>
        <v>3</v>
      </c>
      <c r="G233" t="str">
        <f>_xlfn.XLOOKUP(Table3[[#This Row],[Place_Id]],Table7[place_id],Table7[city3],"Not found")</f>
        <v>Bandung regency</v>
      </c>
      <c r="H233">
        <f>_xlfn.XLOOKUP(Table3[[#This Row],[City]],Table5[city_name],Table5[city_id],"Not found")</f>
        <v>23</v>
      </c>
      <c r="I233">
        <v>25000</v>
      </c>
      <c r="K233">
        <v>-6.8422201999999999</v>
      </c>
      <c r="L233">
        <v>107.6767988</v>
      </c>
    </row>
    <row r="234" spans="1:12" x14ac:dyDescent="0.25">
      <c r="A234">
        <v>233</v>
      </c>
      <c r="B234" t="s">
        <v>515</v>
      </c>
      <c r="C234" t="s">
        <v>516</v>
      </c>
      <c r="D234" t="e" cm="1">
        <f t="array" aca="1" ref="D234" ca="1">TRANSLATE(Table3[[#This Row],[Description]],"id","en")</f>
        <v>#NAME?</v>
      </c>
      <c r="E234" t="s">
        <v>60</v>
      </c>
      <c r="F234">
        <f>_xlfn.XLOOKUP(Table3[[#This Row],[Category]],Table10[category],Table10[category_id],"Not found")</f>
        <v>3</v>
      </c>
      <c r="G234" t="str">
        <f>_xlfn.XLOOKUP(Table3[[#This Row],[Place_Id]],Table7[place_id],Table7[city3],"Not found")</f>
        <v>Garut</v>
      </c>
      <c r="H234">
        <f>_xlfn.XLOOKUP(Table3[[#This Row],[City]],Table5[city_name],Table5[city_id],"Not found")</f>
        <v>28</v>
      </c>
      <c r="I234">
        <v>30000</v>
      </c>
      <c r="K234">
        <v>-7.3193253</v>
      </c>
      <c r="L234">
        <v>107.7310494</v>
      </c>
    </row>
    <row r="235" spans="1:12" x14ac:dyDescent="0.25">
      <c r="A235">
        <v>234</v>
      </c>
      <c r="B235" t="s">
        <v>517</v>
      </c>
      <c r="C235" t="s">
        <v>518</v>
      </c>
      <c r="D235" t="e" cm="1">
        <f t="array" aca="1" ref="D235" ca="1">TRANSLATE(Table3[[#This Row],[Description]],"id","en")</f>
        <v>#NAME?</v>
      </c>
      <c r="E235" t="s">
        <v>45</v>
      </c>
      <c r="F235">
        <f>_xlfn.XLOOKUP(Table3[[#This Row],[Category]],Table10[category],Table10[category_id],"Not found")</f>
        <v>2</v>
      </c>
      <c r="G235" t="str">
        <f>_xlfn.XLOOKUP(Table3[[#This Row],[Place_Id]],Table7[place_id],Table7[city3],"Not found")</f>
        <v>Bandung</v>
      </c>
      <c r="H235">
        <f>_xlfn.XLOOKUP(Table3[[#This Row],[City]],Table5[city_name],Table5[city_id],"Not found")</f>
        <v>22</v>
      </c>
      <c r="I235">
        <v>75000</v>
      </c>
      <c r="J235">
        <v>45</v>
      </c>
      <c r="K235">
        <v>-6.8516591</v>
      </c>
      <c r="L235">
        <v>107.5955534</v>
      </c>
    </row>
    <row r="236" spans="1:12" x14ac:dyDescent="0.25">
      <c r="A236">
        <v>235</v>
      </c>
      <c r="B236" t="s">
        <v>519</v>
      </c>
      <c r="C236" t="s">
        <v>520</v>
      </c>
      <c r="D236" t="e" cm="1">
        <f t="array" aca="1" ref="D236" ca="1">TRANSLATE(Table3[[#This Row],[Description]],"id","en")</f>
        <v>#NAME?</v>
      </c>
      <c r="E236" t="s">
        <v>60</v>
      </c>
      <c r="F236">
        <f>_xlfn.XLOOKUP(Table3[[#This Row],[Category]],Table10[category],Table10[category_id],"Not found")</f>
        <v>3</v>
      </c>
      <c r="G236" t="str">
        <f>_xlfn.XLOOKUP(Table3[[#This Row],[Place_Id]],Table7[place_id],Table7[city3],"Not found")</f>
        <v>Bandung regency</v>
      </c>
      <c r="H236">
        <f>_xlfn.XLOOKUP(Table3[[#This Row],[City]],Table5[city_name],Table5[city_id],"Not found")</f>
        <v>23</v>
      </c>
      <c r="I236">
        <v>15000</v>
      </c>
      <c r="J236">
        <v>45</v>
      </c>
      <c r="K236">
        <v>-6.8544593999999996</v>
      </c>
      <c r="L236">
        <v>107.6377907</v>
      </c>
    </row>
    <row r="237" spans="1:12" ht="45" x14ac:dyDescent="0.25">
      <c r="A237">
        <v>236</v>
      </c>
      <c r="B237" t="s">
        <v>521</v>
      </c>
      <c r="C237" s="3" t="s">
        <v>522</v>
      </c>
      <c r="D237" s="3" t="e" cm="1">
        <f t="array" aca="1" ref="D237" ca="1">TRANSLATE(Table3[[#This Row],[Description]],"id","en")</f>
        <v>#NAME?</v>
      </c>
      <c r="E237" t="s">
        <v>51</v>
      </c>
      <c r="F237">
        <f>_xlfn.XLOOKUP(Table3[[#This Row],[Category]],Table10[category],Table10[category_id],"Not found")</f>
        <v>5</v>
      </c>
      <c r="G237" t="str">
        <f>_xlfn.XLOOKUP(Table3[[#This Row],[Place_Id]],Table7[place_id],Table7[city3],"Not found")</f>
        <v>Bandung</v>
      </c>
      <c r="H237">
        <f>_xlfn.XLOOKUP(Table3[[#This Row],[City]],Table5[city_name],Table5[city_id],"Not found")</f>
        <v>22</v>
      </c>
      <c r="I237">
        <v>0</v>
      </c>
      <c r="J237">
        <v>45</v>
      </c>
      <c r="K237">
        <v>-6.9129659999999999</v>
      </c>
      <c r="L237">
        <v>107.6096031</v>
      </c>
    </row>
    <row r="238" spans="1:12" x14ac:dyDescent="0.25">
      <c r="A238">
        <v>237</v>
      </c>
      <c r="B238" t="s">
        <v>523</v>
      </c>
      <c r="C238" t="s">
        <v>524</v>
      </c>
      <c r="D238" t="e" cm="1">
        <f t="array" aca="1" ref="D238" ca="1">TRANSLATE(Table3[[#This Row],[Description]],"id","en")</f>
        <v>#NAME?</v>
      </c>
      <c r="E238" t="s">
        <v>51</v>
      </c>
      <c r="F238">
        <f>_xlfn.XLOOKUP(Table3[[#This Row],[Category]],Table10[category],Table10[category_id],"Not found")</f>
        <v>5</v>
      </c>
      <c r="G238" t="str">
        <f>_xlfn.XLOOKUP(Table3[[#This Row],[Place_Id]],Table7[place_id],Table7[city3],"Not found")</f>
        <v>Bandung</v>
      </c>
      <c r="H238">
        <f>_xlfn.XLOOKUP(Table3[[#This Row],[City]],Table5[city_name],Table5[city_id],"Not found")</f>
        <v>22</v>
      </c>
      <c r="I238">
        <v>75000</v>
      </c>
      <c r="K238">
        <v>-6.9614032000000003</v>
      </c>
      <c r="L238">
        <v>107.62273209999999</v>
      </c>
    </row>
    <row r="239" spans="1:12" x14ac:dyDescent="0.25">
      <c r="A239">
        <v>238</v>
      </c>
      <c r="B239" t="s">
        <v>525</v>
      </c>
      <c r="C239" t="s">
        <v>526</v>
      </c>
      <c r="D239" t="e" cm="1">
        <f t="array" aca="1" ref="D239" ca="1">TRANSLATE(Table3[[#This Row],[Description]],"id","en")</f>
        <v>#NAME?</v>
      </c>
      <c r="E239" t="s">
        <v>60</v>
      </c>
      <c r="F239">
        <f>_xlfn.XLOOKUP(Table3[[#This Row],[Category]],Table10[category],Table10[category_id],"Not found")</f>
        <v>3</v>
      </c>
      <c r="G239" t="str">
        <f>_xlfn.XLOOKUP(Table3[[#This Row],[Place_Id]],Table7[place_id],Table7[city3],"Not found")</f>
        <v>Bandung regency</v>
      </c>
      <c r="H239">
        <f>_xlfn.XLOOKUP(Table3[[#This Row],[City]],Table5[city_name],Table5[city_id],"Not found")</f>
        <v>23</v>
      </c>
      <c r="I239">
        <v>7500</v>
      </c>
      <c r="K239">
        <v>-6.8761111000000001</v>
      </c>
      <c r="L239">
        <v>107.7436111</v>
      </c>
    </row>
    <row r="240" spans="1:12" x14ac:dyDescent="0.25">
      <c r="A240">
        <v>239</v>
      </c>
      <c r="B240" t="s">
        <v>527</v>
      </c>
      <c r="C240" t="s">
        <v>528</v>
      </c>
      <c r="D240" t="e" cm="1">
        <f t="array" aca="1" ref="D240" ca="1">TRANSLATE(Table3[[#This Row],[Description]],"id","en")</f>
        <v>#NAME?</v>
      </c>
      <c r="E240" t="s">
        <v>60</v>
      </c>
      <c r="F240">
        <f>_xlfn.XLOOKUP(Table3[[#This Row],[Category]],Table10[category],Table10[category_id],"Not found")</f>
        <v>3</v>
      </c>
      <c r="G240" t="str">
        <f>_xlfn.XLOOKUP(Table3[[#This Row],[Place_Id]],Table7[place_id],Table7[city3],"Not found")</f>
        <v>West Bandung regency</v>
      </c>
      <c r="H240">
        <f>_xlfn.XLOOKUP(Table3[[#This Row],[City]],Table5[city_name],Table5[city_id],"Not found")</f>
        <v>33</v>
      </c>
      <c r="I240">
        <v>50000</v>
      </c>
      <c r="J240">
        <v>210</v>
      </c>
      <c r="K240">
        <v>-6.8059153999999999</v>
      </c>
      <c r="L240">
        <v>107.59197260000001</v>
      </c>
    </row>
    <row r="241" spans="1:12" x14ac:dyDescent="0.25">
      <c r="A241">
        <v>240</v>
      </c>
      <c r="B241" t="s">
        <v>529</v>
      </c>
      <c r="C241" t="s">
        <v>530</v>
      </c>
      <c r="D241" t="e" cm="1">
        <f t="array" aca="1" ref="D241" ca="1">TRANSLATE(Table3[[#This Row],[Description]],"id","en")</f>
        <v>#NAME?</v>
      </c>
      <c r="E241" t="s">
        <v>51</v>
      </c>
      <c r="F241">
        <f>_xlfn.XLOOKUP(Table3[[#This Row],[Category]],Table10[category],Table10[category_id],"Not found")</f>
        <v>5</v>
      </c>
      <c r="G241" t="str">
        <f>_xlfn.XLOOKUP(Table3[[#This Row],[Place_Id]],Table7[place_id],Table7[city3],"Not found")</f>
        <v>Bandung</v>
      </c>
      <c r="H241">
        <f>_xlfn.XLOOKUP(Table3[[#This Row],[City]],Table5[city_name],Table5[city_id],"Not found")</f>
        <v>22</v>
      </c>
      <c r="I241">
        <v>7000</v>
      </c>
      <c r="J241">
        <v>60</v>
      </c>
      <c r="K241">
        <v>-6.9112109999999998</v>
      </c>
      <c r="L241">
        <v>107.6133389</v>
      </c>
    </row>
    <row r="242" spans="1:12" x14ac:dyDescent="0.25">
      <c r="A242">
        <v>241</v>
      </c>
      <c r="B242" t="s">
        <v>531</v>
      </c>
      <c r="C242" t="s">
        <v>532</v>
      </c>
      <c r="D242" t="e" cm="1">
        <f t="array" aca="1" ref="D242" ca="1">TRANSLATE(Table3[[#This Row],[Description]],"id","en")</f>
        <v>#NAME?</v>
      </c>
      <c r="E242" t="s">
        <v>51</v>
      </c>
      <c r="F242">
        <f>_xlfn.XLOOKUP(Table3[[#This Row],[Category]],Table10[category],Table10[category_id],"Not found")</f>
        <v>5</v>
      </c>
      <c r="G242" t="str">
        <f>_xlfn.XLOOKUP(Table3[[#This Row],[Place_Id]],Table7[place_id],Table7[city3],"Not found")</f>
        <v>West Bandung regency</v>
      </c>
      <c r="H242">
        <f>_xlfn.XLOOKUP(Table3[[#This Row],[City]],Table5[city_name],Table5[city_id],"Not found")</f>
        <v>33</v>
      </c>
      <c r="I242">
        <v>0</v>
      </c>
      <c r="J242">
        <v>120</v>
      </c>
      <c r="K242">
        <v>-6.8478979999999998</v>
      </c>
      <c r="L242">
        <v>107.6276146</v>
      </c>
    </row>
    <row r="243" spans="1:12" x14ac:dyDescent="0.25">
      <c r="A243">
        <v>242</v>
      </c>
      <c r="B243" t="s">
        <v>533</v>
      </c>
      <c r="C243" t="s">
        <v>534</v>
      </c>
      <c r="D243" t="e" cm="1">
        <f t="array" aca="1" ref="D243" ca="1">TRANSLATE(Table3[[#This Row],[Description]],"id","en")</f>
        <v>#NAME?</v>
      </c>
      <c r="E243" t="s">
        <v>60</v>
      </c>
      <c r="F243">
        <f>_xlfn.XLOOKUP(Table3[[#This Row],[Category]],Table10[category],Table10[category_id],"Not found")</f>
        <v>3</v>
      </c>
      <c r="G243" t="str">
        <f>_xlfn.XLOOKUP(Table3[[#This Row],[Place_Id]],Table7[place_id],Table7[city3],"Not found")</f>
        <v>Bandung</v>
      </c>
      <c r="H243">
        <f>_xlfn.XLOOKUP(Table3[[#This Row],[City]],Table5[city_name],Table5[city_id],"Not found")</f>
        <v>22</v>
      </c>
      <c r="I243">
        <v>12000</v>
      </c>
      <c r="K243">
        <v>-6.8655225</v>
      </c>
      <c r="L243">
        <v>107.6181878</v>
      </c>
    </row>
    <row r="244" spans="1:12" ht="45" x14ac:dyDescent="0.25">
      <c r="A244">
        <v>243</v>
      </c>
      <c r="B244" t="s">
        <v>535</v>
      </c>
      <c r="C244" s="3" t="s">
        <v>536</v>
      </c>
      <c r="D244" s="3" t="e" cm="1">
        <f t="array" aca="1" ref="D244" ca="1">TRANSLATE(Table3[[#This Row],[Description]],"id","en")</f>
        <v>#NAME?</v>
      </c>
      <c r="E244" t="s">
        <v>45</v>
      </c>
      <c r="F244">
        <f>_xlfn.XLOOKUP(Table3[[#This Row],[Category]],Table10[category],Table10[category_id],"Not found")</f>
        <v>2</v>
      </c>
      <c r="G244" t="str">
        <f>_xlfn.XLOOKUP(Table3[[#This Row],[Place_Id]],Table7[place_id],Table7[city3],"Not found")</f>
        <v>Bandung</v>
      </c>
      <c r="H244">
        <f>_xlfn.XLOOKUP(Table3[[#This Row],[City]],Table5[city_name],Table5[city_id],"Not found")</f>
        <v>22</v>
      </c>
      <c r="I244">
        <v>15000</v>
      </c>
      <c r="K244">
        <v>-6.9154546000000003</v>
      </c>
      <c r="L244">
        <v>107.64076900000001</v>
      </c>
    </row>
    <row r="245" spans="1:12" ht="45" x14ac:dyDescent="0.25">
      <c r="A245">
        <v>244</v>
      </c>
      <c r="B245" t="s">
        <v>537</v>
      </c>
      <c r="C245" s="3" t="s">
        <v>538</v>
      </c>
      <c r="D245" s="3" t="e" cm="1">
        <f t="array" aca="1" ref="D245" ca="1">TRANSLATE(Table3[[#This Row],[Description]],"id","en")</f>
        <v>#NAME?</v>
      </c>
      <c r="E245" t="s">
        <v>51</v>
      </c>
      <c r="F245">
        <f>_xlfn.XLOOKUP(Table3[[#This Row],[Category]],Table10[category],Table10[category_id],"Not found")</f>
        <v>5</v>
      </c>
      <c r="G245" t="str">
        <f>_xlfn.XLOOKUP(Table3[[#This Row],[Place_Id]],Table7[place_id],Table7[city3],"Not found")</f>
        <v>Bandung regency</v>
      </c>
      <c r="H245">
        <f>_xlfn.XLOOKUP(Table3[[#This Row],[City]],Table5[city_name],Table5[city_id],"Not found")</f>
        <v>23</v>
      </c>
      <c r="I245">
        <v>10000</v>
      </c>
      <c r="K245">
        <v>-7.0093633000000004</v>
      </c>
      <c r="L245">
        <v>107.6069444</v>
      </c>
    </row>
    <row r="246" spans="1:12" x14ac:dyDescent="0.25">
      <c r="A246">
        <v>245</v>
      </c>
      <c r="B246" t="s">
        <v>539</v>
      </c>
      <c r="C246" t="s">
        <v>540</v>
      </c>
      <c r="D246" t="e" cm="1">
        <f t="array" aca="1" ref="D246" ca="1">TRANSLATE(Table3[[#This Row],[Description]],"id","en")</f>
        <v>#NAME?</v>
      </c>
      <c r="E246" t="s">
        <v>51</v>
      </c>
      <c r="F246">
        <f>_xlfn.XLOOKUP(Table3[[#This Row],[Category]],Table10[category],Table10[category_id],"Not found")</f>
        <v>5</v>
      </c>
      <c r="G246" t="str">
        <f>_xlfn.XLOOKUP(Table3[[#This Row],[Place_Id]],Table7[place_id],Table7[city3],"Not found")</f>
        <v>West Bandung regency</v>
      </c>
      <c r="H246">
        <f>_xlfn.XLOOKUP(Table3[[#This Row],[City]],Table5[city_name],Table5[city_id],"Not found")</f>
        <v>33</v>
      </c>
      <c r="I246">
        <v>20000</v>
      </c>
      <c r="J246">
        <v>150</v>
      </c>
      <c r="K246">
        <v>-6.819604</v>
      </c>
      <c r="L246">
        <v>107.59645190000001</v>
      </c>
    </row>
    <row r="247" spans="1:12" x14ac:dyDescent="0.25">
      <c r="A247">
        <v>246</v>
      </c>
      <c r="B247" t="s">
        <v>541</v>
      </c>
      <c r="C247" t="s">
        <v>542</v>
      </c>
      <c r="D247" t="e" cm="1">
        <f t="array" aca="1" ref="D247" ca="1">TRANSLATE(Table3[[#This Row],[Description]],"id","en")</f>
        <v>#NAME?</v>
      </c>
      <c r="E247" t="s">
        <v>60</v>
      </c>
      <c r="F247">
        <f>_xlfn.XLOOKUP(Table3[[#This Row],[Category]],Table10[category],Table10[category_id],"Not found")</f>
        <v>3</v>
      </c>
      <c r="G247" t="str">
        <f>_xlfn.XLOOKUP(Table3[[#This Row],[Place_Id]],Table7[place_id],Table7[city3],"Not found")</f>
        <v>West Bandung regency</v>
      </c>
      <c r="H247">
        <f>_xlfn.XLOOKUP(Table3[[#This Row],[City]],Table5[city_name],Table5[city_id],"Not found")</f>
        <v>33</v>
      </c>
      <c r="I247">
        <v>10000</v>
      </c>
      <c r="J247">
        <v>120</v>
      </c>
      <c r="K247">
        <v>-6.7905692000000002</v>
      </c>
      <c r="L247">
        <v>107.5826388</v>
      </c>
    </row>
    <row r="248" spans="1:12" ht="60" x14ac:dyDescent="0.25">
      <c r="A248">
        <v>247</v>
      </c>
      <c r="B248" t="s">
        <v>543</v>
      </c>
      <c r="C248" s="3" t="s">
        <v>544</v>
      </c>
      <c r="D248" s="3" t="e" cm="1">
        <f t="array" aca="1" ref="D248" ca="1">TRANSLATE(Table3[[#This Row],[Description]],"id","en")</f>
        <v>#NAME?</v>
      </c>
      <c r="E248" t="s">
        <v>51</v>
      </c>
      <c r="F248">
        <f>_xlfn.XLOOKUP(Table3[[#This Row],[Category]],Table10[category],Table10[category_id],"Not found")</f>
        <v>5</v>
      </c>
      <c r="G248" t="str">
        <f>_xlfn.XLOOKUP(Table3[[#This Row],[Place_Id]],Table7[place_id],Table7[city3],"Not found")</f>
        <v>Bandung</v>
      </c>
      <c r="H248">
        <f>_xlfn.XLOOKUP(Table3[[#This Row],[City]],Table5[city_name],Table5[city_id],"Not found")</f>
        <v>22</v>
      </c>
      <c r="I248">
        <v>15000</v>
      </c>
      <c r="K248">
        <v>-6.9159458999999996</v>
      </c>
      <c r="L248">
        <v>107.6421462</v>
      </c>
    </row>
    <row r="249" spans="1:12" x14ac:dyDescent="0.25">
      <c r="A249">
        <v>248</v>
      </c>
      <c r="B249" t="s">
        <v>545</v>
      </c>
      <c r="C249" t="s">
        <v>546</v>
      </c>
      <c r="D249" t="e" cm="1">
        <f t="array" aca="1" ref="D249" ca="1">TRANSLATE(Table3[[#This Row],[Description]],"id","en")</f>
        <v>#NAME?</v>
      </c>
      <c r="E249" t="s">
        <v>51</v>
      </c>
      <c r="F249">
        <f>_xlfn.XLOOKUP(Table3[[#This Row],[Category]],Table10[category],Table10[category_id],"Not found")</f>
        <v>5</v>
      </c>
      <c r="G249" t="str">
        <f>_xlfn.XLOOKUP(Table3[[#This Row],[Place_Id]],Table7[place_id],Table7[city3],"Not found")</f>
        <v>Bandung</v>
      </c>
      <c r="H249">
        <f>_xlfn.XLOOKUP(Table3[[#This Row],[City]],Table5[city_name],Table5[city_id],"Not found")</f>
        <v>22</v>
      </c>
      <c r="I249">
        <v>50000</v>
      </c>
      <c r="K249">
        <v>-6.8778588999999997</v>
      </c>
      <c r="L249">
        <v>107.5720263</v>
      </c>
    </row>
    <row r="250" spans="1:12" ht="75" x14ac:dyDescent="0.25">
      <c r="A250">
        <v>249</v>
      </c>
      <c r="B250" t="s">
        <v>547</v>
      </c>
      <c r="C250" s="3" t="s">
        <v>548</v>
      </c>
      <c r="D250" s="3" t="e" cm="1">
        <f t="array" aca="1" ref="D250" ca="1">TRANSLATE(Table3[[#This Row],[Description]],"id","en")</f>
        <v>#NAME?</v>
      </c>
      <c r="E250" t="s">
        <v>51</v>
      </c>
      <c r="F250">
        <f>_xlfn.XLOOKUP(Table3[[#This Row],[Category]],Table10[category],Table10[category_id],"Not found")</f>
        <v>5</v>
      </c>
      <c r="G250" t="str">
        <f>_xlfn.XLOOKUP(Table3[[#This Row],[Place_Id]],Table7[place_id],Table7[city3],"Not found")</f>
        <v>Bandung</v>
      </c>
      <c r="H250">
        <f>_xlfn.XLOOKUP(Table3[[#This Row],[City]],Table5[city_name],Table5[city_id],"Not found")</f>
        <v>22</v>
      </c>
      <c r="I250">
        <v>100000</v>
      </c>
      <c r="J250">
        <v>30</v>
      </c>
      <c r="K250">
        <v>-6.8963000000000001</v>
      </c>
      <c r="L250">
        <v>107.617</v>
      </c>
    </row>
    <row r="251" spans="1:12" x14ac:dyDescent="0.25">
      <c r="A251">
        <v>250</v>
      </c>
      <c r="B251" t="s">
        <v>549</v>
      </c>
      <c r="C251" t="s">
        <v>550</v>
      </c>
      <c r="D251" t="e" cm="1">
        <f t="array" aca="1" ref="D251" ca="1">TRANSLATE(Table3[[#This Row],[Description]],"id","en")</f>
        <v>#NAME?</v>
      </c>
      <c r="E251" t="s">
        <v>51</v>
      </c>
      <c r="F251">
        <f>_xlfn.XLOOKUP(Table3[[#This Row],[Category]],Table10[category],Table10[category_id],"Not found")</f>
        <v>5</v>
      </c>
      <c r="G251" t="str">
        <f>_xlfn.XLOOKUP(Table3[[#This Row],[Place_Id]],Table7[place_id],Table7[city3],"Not found")</f>
        <v>Bandung regency</v>
      </c>
      <c r="H251">
        <f>_xlfn.XLOOKUP(Table3[[#This Row],[City]],Table5[city_name],Table5[city_id],"Not found")</f>
        <v>23</v>
      </c>
      <c r="I251">
        <v>50000</v>
      </c>
      <c r="K251">
        <v>-7.0409154000000003</v>
      </c>
      <c r="L251">
        <v>107.5269156</v>
      </c>
    </row>
    <row r="252" spans="1:12" x14ac:dyDescent="0.25">
      <c r="A252">
        <v>251</v>
      </c>
      <c r="B252" t="s">
        <v>551</v>
      </c>
      <c r="C252" t="s">
        <v>552</v>
      </c>
      <c r="D252" t="e" cm="1">
        <f t="array" aca="1" ref="D252" ca="1">TRANSLATE(Table3[[#This Row],[Description]],"id","en")</f>
        <v>#NAME?</v>
      </c>
      <c r="E252" t="s">
        <v>51</v>
      </c>
      <c r="F252">
        <f>_xlfn.XLOOKUP(Table3[[#This Row],[Category]],Table10[category],Table10[category_id],"Not found")</f>
        <v>5</v>
      </c>
      <c r="G252" t="str">
        <f>_xlfn.XLOOKUP(Table3[[#This Row],[Place_Id]],Table7[place_id],Table7[city3],"Not found")</f>
        <v>Bandung</v>
      </c>
      <c r="H252">
        <f>_xlfn.XLOOKUP(Table3[[#This Row],[City]],Table5[city_name],Table5[city_id],"Not found")</f>
        <v>22</v>
      </c>
      <c r="I252">
        <v>0</v>
      </c>
      <c r="K252">
        <v>-6.9021325999999998</v>
      </c>
      <c r="L252">
        <v>107.6209387</v>
      </c>
    </row>
    <row r="253" spans="1:12" x14ac:dyDescent="0.25">
      <c r="A253">
        <v>252</v>
      </c>
      <c r="B253" t="s">
        <v>553</v>
      </c>
      <c r="C253" t="s">
        <v>554</v>
      </c>
      <c r="D253" t="e" cm="1">
        <f t="array" aca="1" ref="D253" ca="1">TRANSLATE(Table3[[#This Row],[Description]],"id","en")</f>
        <v>#NAME?</v>
      </c>
      <c r="E253" t="s">
        <v>51</v>
      </c>
      <c r="F253">
        <f>_xlfn.XLOOKUP(Table3[[#This Row],[Category]],Table10[category],Table10[category_id],"Not found")</f>
        <v>5</v>
      </c>
      <c r="G253" t="str">
        <f>_xlfn.XLOOKUP(Table3[[#This Row],[Place_Id]],Table7[place_id],Table7[city3],"Not found")</f>
        <v>Bandung</v>
      </c>
      <c r="H253">
        <f>_xlfn.XLOOKUP(Table3[[#This Row],[City]],Table5[city_name],Table5[city_id],"Not found")</f>
        <v>22</v>
      </c>
      <c r="I253">
        <v>15000</v>
      </c>
      <c r="J253">
        <v>60</v>
      </c>
      <c r="K253">
        <v>-6.9631619999999996</v>
      </c>
      <c r="L253">
        <v>107.66195</v>
      </c>
    </row>
    <row r="254" spans="1:12" x14ac:dyDescent="0.25">
      <c r="A254">
        <v>253</v>
      </c>
      <c r="B254" t="s">
        <v>555</v>
      </c>
      <c r="C254" t="s">
        <v>556</v>
      </c>
      <c r="D254" t="e" cm="1">
        <f t="array" aca="1" ref="D254" ca="1">TRANSLATE(Table3[[#This Row],[Description]],"id","en")</f>
        <v>#NAME?</v>
      </c>
      <c r="E254" t="s">
        <v>51</v>
      </c>
      <c r="F254">
        <f>_xlfn.XLOOKUP(Table3[[#This Row],[Category]],Table10[category],Table10[category_id],"Not found")</f>
        <v>5</v>
      </c>
      <c r="G254" t="str">
        <f>_xlfn.XLOOKUP(Table3[[#This Row],[Place_Id]],Table7[place_id],Table7[city3],"Not found")</f>
        <v>Bandung regency</v>
      </c>
      <c r="H254">
        <f>_xlfn.XLOOKUP(Table3[[#This Row],[City]],Table5[city_name],Table5[city_id],"Not found")</f>
        <v>23</v>
      </c>
      <c r="I254">
        <v>25000</v>
      </c>
      <c r="K254">
        <v>-6.8585406000000004</v>
      </c>
      <c r="L254">
        <v>107.6365486</v>
      </c>
    </row>
    <row r="255" spans="1:12" x14ac:dyDescent="0.25">
      <c r="A255">
        <v>254</v>
      </c>
      <c r="B255" t="s">
        <v>557</v>
      </c>
      <c r="C255" t="s">
        <v>558</v>
      </c>
      <c r="D255" t="e" cm="1">
        <f t="array" aca="1" ref="D255" ca="1">TRANSLATE(Table3[[#This Row],[Description]],"id","en")</f>
        <v>#NAME?</v>
      </c>
      <c r="E255" t="s">
        <v>51</v>
      </c>
      <c r="F255">
        <f>_xlfn.XLOOKUP(Table3[[#This Row],[Category]],Table10[category],Table10[category_id],"Not found")</f>
        <v>5</v>
      </c>
      <c r="G255" t="str">
        <f>_xlfn.XLOOKUP(Table3[[#This Row],[Place_Id]],Table7[place_id],Table7[city3],"Not found")</f>
        <v>Bandung</v>
      </c>
      <c r="H255">
        <f>_xlfn.XLOOKUP(Table3[[#This Row],[City]],Table5[city_name],Table5[city_id],"Not found")</f>
        <v>22</v>
      </c>
      <c r="I255">
        <v>0</v>
      </c>
      <c r="J255">
        <v>60</v>
      </c>
      <c r="K255">
        <v>-6.8844199000000001</v>
      </c>
      <c r="L255">
        <v>107.6068344</v>
      </c>
    </row>
    <row r="256" spans="1:12" x14ac:dyDescent="0.25">
      <c r="A256">
        <v>255</v>
      </c>
      <c r="B256" t="s">
        <v>559</v>
      </c>
      <c r="C256" t="s">
        <v>560</v>
      </c>
      <c r="D256" t="e" cm="1">
        <f t="array" aca="1" ref="D256" ca="1">TRANSLATE(Table3[[#This Row],[Description]],"id","en")</f>
        <v>#NAME?</v>
      </c>
      <c r="E256" t="s">
        <v>45</v>
      </c>
      <c r="F256">
        <f>_xlfn.XLOOKUP(Table3[[#This Row],[Category]],Table10[category],Table10[category_id],"Not found")</f>
        <v>2</v>
      </c>
      <c r="G256" t="str">
        <f>_xlfn.XLOOKUP(Table3[[#This Row],[Place_Id]],Table7[place_id],Table7[city3],"Not found")</f>
        <v>Bandung</v>
      </c>
      <c r="H256">
        <f>_xlfn.XLOOKUP(Table3[[#This Row],[City]],Table5[city_name],Table5[city_id],"Not found")</f>
        <v>22</v>
      </c>
      <c r="I256">
        <v>15000</v>
      </c>
      <c r="J256">
        <v>180</v>
      </c>
      <c r="K256">
        <v>-6.8782386999999998</v>
      </c>
      <c r="L256">
        <v>107.58753489999999</v>
      </c>
    </row>
    <row r="257" spans="1:12" x14ac:dyDescent="0.25">
      <c r="A257">
        <v>256</v>
      </c>
      <c r="B257" t="s">
        <v>561</v>
      </c>
      <c r="C257" t="s">
        <v>562</v>
      </c>
      <c r="D257" t="e" cm="1">
        <f t="array" aca="1" ref="D257" ca="1">TRANSLATE(Table3[[#This Row],[Description]],"id","en")</f>
        <v>#NAME?</v>
      </c>
      <c r="E257" t="s">
        <v>60</v>
      </c>
      <c r="F257">
        <f>_xlfn.XLOOKUP(Table3[[#This Row],[Category]],Table10[category],Table10[category_id],"Not found")</f>
        <v>3</v>
      </c>
      <c r="G257" t="str">
        <f>_xlfn.XLOOKUP(Table3[[#This Row],[Place_Id]],Table7[place_id],Table7[city3],"Not found")</f>
        <v>Bandung regency</v>
      </c>
      <c r="H257">
        <f>_xlfn.XLOOKUP(Table3[[#This Row],[City]],Table5[city_name],Table5[city_id],"Not found")</f>
        <v>23</v>
      </c>
      <c r="I257">
        <v>10000</v>
      </c>
      <c r="K257">
        <v>-6.8936105999999997</v>
      </c>
      <c r="L257">
        <v>107.7447399</v>
      </c>
    </row>
    <row r="258" spans="1:12" ht="60" x14ac:dyDescent="0.25">
      <c r="A258">
        <v>257</v>
      </c>
      <c r="B258" t="s">
        <v>563</v>
      </c>
      <c r="C258" s="3" t="s">
        <v>564</v>
      </c>
      <c r="D258" s="3" t="e" cm="1">
        <f t="array" aca="1" ref="D258" ca="1">TRANSLATE(Table3[[#This Row],[Description]],"id","en")</f>
        <v>#NAME?</v>
      </c>
      <c r="E258" t="s">
        <v>45</v>
      </c>
      <c r="F258">
        <f>_xlfn.XLOOKUP(Table3[[#This Row],[Category]],Table10[category],Table10[category_id],"Not found")</f>
        <v>2</v>
      </c>
      <c r="G258" t="str">
        <f>_xlfn.XLOOKUP(Table3[[#This Row],[Place_Id]],Table7[place_id],Table7[city3],"Not found")</f>
        <v>Bandung</v>
      </c>
      <c r="H258">
        <f>_xlfn.XLOOKUP(Table3[[#This Row],[City]],Table5[city_name],Table5[city_id],"Not found")</f>
        <v>22</v>
      </c>
      <c r="I258">
        <v>0</v>
      </c>
      <c r="K258">
        <v>-6.9338496999999997</v>
      </c>
      <c r="L258">
        <v>107.60492499999999</v>
      </c>
    </row>
    <row r="259" spans="1:12" ht="45" x14ac:dyDescent="0.25">
      <c r="A259">
        <v>258</v>
      </c>
      <c r="B259" t="s">
        <v>565</v>
      </c>
      <c r="C259" s="3" t="s">
        <v>566</v>
      </c>
      <c r="D259" s="3" t="e" cm="1">
        <f t="array" aca="1" ref="D259" ca="1">TRANSLATE(Table3[[#This Row],[Description]],"id","en")</f>
        <v>#NAME?</v>
      </c>
      <c r="E259" t="s">
        <v>45</v>
      </c>
      <c r="F259">
        <f>_xlfn.XLOOKUP(Table3[[#This Row],[Category]],Table10[category],Table10[category_id],"Not found")</f>
        <v>2</v>
      </c>
      <c r="G259" t="str">
        <f>_xlfn.XLOOKUP(Table3[[#This Row],[Place_Id]],Table7[place_id],Table7[city3],"Not found")</f>
        <v>Bandung</v>
      </c>
      <c r="H259">
        <f>_xlfn.XLOOKUP(Table3[[#This Row],[City]],Table5[city_name],Table5[city_id],"Not found")</f>
        <v>22</v>
      </c>
      <c r="I259">
        <v>5000</v>
      </c>
      <c r="K259">
        <v>-6.9026379000000002</v>
      </c>
      <c r="L259">
        <v>107.619169</v>
      </c>
    </row>
    <row r="260" spans="1:12" x14ac:dyDescent="0.25">
      <c r="A260">
        <v>259</v>
      </c>
      <c r="B260" t="s">
        <v>567</v>
      </c>
      <c r="C260" t="s">
        <v>568</v>
      </c>
      <c r="D260" t="e" cm="1">
        <f t="array" aca="1" ref="D260" ca="1">TRANSLATE(Table3[[#This Row],[Description]],"id","en")</f>
        <v>#NAME?</v>
      </c>
      <c r="E260" t="s">
        <v>45</v>
      </c>
      <c r="F260">
        <f>_xlfn.XLOOKUP(Table3[[#This Row],[Category]],Table10[category],Table10[category_id],"Not found")</f>
        <v>2</v>
      </c>
      <c r="G260" t="str">
        <f>_xlfn.XLOOKUP(Table3[[#This Row],[Place_Id]],Table7[place_id],Table7[city3],"Not found")</f>
        <v>Bandung</v>
      </c>
      <c r="H260">
        <f>_xlfn.XLOOKUP(Table3[[#This Row],[City]],Table5[city_name],Table5[city_id],"Not found")</f>
        <v>22</v>
      </c>
      <c r="I260">
        <v>0</v>
      </c>
      <c r="J260">
        <v>45</v>
      </c>
      <c r="K260">
        <v>-6.8934327</v>
      </c>
      <c r="L260">
        <v>107.61855129999999</v>
      </c>
    </row>
    <row r="261" spans="1:12" ht="75" x14ac:dyDescent="0.25">
      <c r="A261">
        <v>260</v>
      </c>
      <c r="B261" t="s">
        <v>569</v>
      </c>
      <c r="C261" s="3" t="s">
        <v>570</v>
      </c>
      <c r="D261" s="3" t="e" cm="1">
        <f t="array" aca="1" ref="D261" ca="1">TRANSLATE(Table3[[#This Row],[Description]],"id","en")</f>
        <v>#NAME?</v>
      </c>
      <c r="E261" t="s">
        <v>45</v>
      </c>
      <c r="F261">
        <f>_xlfn.XLOOKUP(Table3[[#This Row],[Category]],Table10[category],Table10[category_id],"Not found")</f>
        <v>2</v>
      </c>
      <c r="G261" t="str">
        <f>_xlfn.XLOOKUP(Table3[[#This Row],[Place_Id]],Table7[place_id],Table7[city3],"Not found")</f>
        <v>Bandung</v>
      </c>
      <c r="H261">
        <f>_xlfn.XLOOKUP(Table3[[#This Row],[City]],Table5[city_name],Table5[city_id],"Not found")</f>
        <v>22</v>
      </c>
      <c r="I261">
        <v>0</v>
      </c>
      <c r="K261">
        <v>-6.9020130000000002</v>
      </c>
      <c r="L261">
        <v>107.6197787</v>
      </c>
    </row>
    <row r="262" spans="1:12" x14ac:dyDescent="0.25">
      <c r="A262">
        <v>261</v>
      </c>
      <c r="B262" t="s">
        <v>571</v>
      </c>
      <c r="C262" t="s">
        <v>572</v>
      </c>
      <c r="D262" t="e" cm="1">
        <f t="array" aca="1" ref="D262" ca="1">TRANSLATE(Table3[[#This Row],[Description]],"id","en")</f>
        <v>#NAME?</v>
      </c>
      <c r="E262" t="s">
        <v>60</v>
      </c>
      <c r="F262">
        <f>_xlfn.XLOOKUP(Table3[[#This Row],[Category]],Table10[category],Table10[category_id],"Not found")</f>
        <v>3</v>
      </c>
      <c r="G262" t="str">
        <f>_xlfn.XLOOKUP(Table3[[#This Row],[Place_Id]],Table7[place_id],Table7[city3],"Not found")</f>
        <v>West Bandung regency</v>
      </c>
      <c r="H262">
        <f>_xlfn.XLOOKUP(Table3[[#This Row],[City]],Table5[city_name],Table5[city_id],"Not found")</f>
        <v>33</v>
      </c>
      <c r="I262">
        <v>10000</v>
      </c>
      <c r="K262">
        <v>-6.7869390000000003</v>
      </c>
      <c r="L262">
        <v>107.5837331</v>
      </c>
    </row>
    <row r="263" spans="1:12" x14ac:dyDescent="0.25">
      <c r="A263">
        <v>262</v>
      </c>
      <c r="B263" t="s">
        <v>573</v>
      </c>
      <c r="C263" t="s">
        <v>574</v>
      </c>
      <c r="D263" t="e" cm="1">
        <f t="array" aca="1" ref="D263" ca="1">TRANSLATE(Table3[[#This Row],[Description]],"id","en")</f>
        <v>#NAME?</v>
      </c>
      <c r="E263" t="s">
        <v>60</v>
      </c>
      <c r="F263">
        <f>_xlfn.XLOOKUP(Table3[[#This Row],[Category]],Table10[category],Table10[category_id],"Not found")</f>
        <v>3</v>
      </c>
      <c r="G263" t="str">
        <f>_xlfn.XLOOKUP(Table3[[#This Row],[Place_Id]],Table7[place_id],Table7[city3],"Not found")</f>
        <v>Bandung regency</v>
      </c>
      <c r="H263">
        <f>_xlfn.XLOOKUP(Table3[[#This Row],[City]],Table5[city_name],Table5[city_id],"Not found")</f>
        <v>23</v>
      </c>
      <c r="I263">
        <v>50000</v>
      </c>
      <c r="K263">
        <v>-6.8597013000000002</v>
      </c>
      <c r="L263">
        <v>107.6360983</v>
      </c>
    </row>
    <row r="264" spans="1:12" x14ac:dyDescent="0.25">
      <c r="A264">
        <v>263</v>
      </c>
      <c r="B264" t="s">
        <v>575</v>
      </c>
      <c r="C264" t="s">
        <v>576</v>
      </c>
      <c r="D264" t="e" cm="1">
        <f t="array" aca="1" ref="D264" ca="1">TRANSLATE(Table3[[#This Row],[Description]],"id","en")</f>
        <v>#NAME?</v>
      </c>
      <c r="E264" t="s">
        <v>60</v>
      </c>
      <c r="F264">
        <f>_xlfn.XLOOKUP(Table3[[#This Row],[Category]],Table10[category],Table10[category_id],"Not found")</f>
        <v>3</v>
      </c>
      <c r="G264" t="str">
        <f>_xlfn.XLOOKUP(Table3[[#This Row],[Place_Id]],Table7[place_id],Table7[city3],"Not found")</f>
        <v>Bandung regency</v>
      </c>
      <c r="H264">
        <f>_xlfn.XLOOKUP(Table3[[#This Row],[City]],Table5[city_name],Table5[city_id],"Not found")</f>
        <v>23</v>
      </c>
      <c r="I264">
        <v>5000</v>
      </c>
      <c r="J264">
        <v>90</v>
      </c>
      <c r="K264">
        <v>-6.8743632999999997</v>
      </c>
      <c r="L264">
        <v>107.6844023</v>
      </c>
    </row>
    <row r="265" spans="1:12" x14ac:dyDescent="0.25">
      <c r="A265">
        <v>264</v>
      </c>
      <c r="B265" t="s">
        <v>577</v>
      </c>
      <c r="C265" t="s">
        <v>578</v>
      </c>
      <c r="D265" t="e" cm="1">
        <f t="array" aca="1" ref="D265" ca="1">TRANSLATE(Table3[[#This Row],[Description]],"id","en")</f>
        <v>#NAME?</v>
      </c>
      <c r="E265" t="s">
        <v>93</v>
      </c>
      <c r="F265">
        <f>_xlfn.XLOOKUP(Table3[[#This Row],[Category]],Table10[category],Table10[category_id],"Not found")</f>
        <v>6</v>
      </c>
      <c r="G265" t="str">
        <f>_xlfn.XLOOKUP(Table3[[#This Row],[Place_Id]],Table7[place_id],Table7[city3],"Not found")</f>
        <v>Bandung</v>
      </c>
      <c r="H265">
        <f>_xlfn.XLOOKUP(Table3[[#This Row],[City]],Table5[city_name],Table5[city_id],"Not found")</f>
        <v>22</v>
      </c>
      <c r="I265">
        <v>0</v>
      </c>
      <c r="K265">
        <v>-6.9148394</v>
      </c>
      <c r="L265">
        <v>107.6105511</v>
      </c>
    </row>
    <row r="266" spans="1:12" x14ac:dyDescent="0.25">
      <c r="A266">
        <v>265</v>
      </c>
      <c r="B266" t="s">
        <v>579</v>
      </c>
      <c r="C266" t="s">
        <v>580</v>
      </c>
      <c r="D266" t="e" cm="1">
        <f t="array" aca="1" ref="D266" ca="1">TRANSLATE(Table3[[#This Row],[Description]],"id","en")</f>
        <v>#NAME?</v>
      </c>
      <c r="E266" t="s">
        <v>45</v>
      </c>
      <c r="F266">
        <f>_xlfn.XLOOKUP(Table3[[#This Row],[Category]],Table10[category],Table10[category_id],"Not found")</f>
        <v>2</v>
      </c>
      <c r="G266" t="str">
        <f>_xlfn.XLOOKUP(Table3[[#This Row],[Place_Id]],Table7[place_id],Table7[city3],"Not found")</f>
        <v>Bandung</v>
      </c>
      <c r="H266">
        <f>_xlfn.XLOOKUP(Table3[[#This Row],[City]],Table5[city_name],Table5[city_id],"Not found")</f>
        <v>22</v>
      </c>
      <c r="I266">
        <v>0</v>
      </c>
      <c r="J266">
        <v>60</v>
      </c>
      <c r="K266">
        <v>-6.9173404999999999</v>
      </c>
      <c r="L266">
        <v>107.6112627</v>
      </c>
    </row>
    <row r="267" spans="1:12" x14ac:dyDescent="0.25">
      <c r="A267">
        <v>266</v>
      </c>
      <c r="B267" t="s">
        <v>581</v>
      </c>
      <c r="C267" t="s">
        <v>582</v>
      </c>
      <c r="D267" t="e" cm="1">
        <f t="array" aca="1" ref="D267" ca="1">TRANSLATE(Table3[[#This Row],[Description]],"id","en")</f>
        <v>#NAME?</v>
      </c>
      <c r="E267" t="s">
        <v>60</v>
      </c>
      <c r="F267">
        <f>_xlfn.XLOOKUP(Table3[[#This Row],[Category]],Table10[category],Table10[category_id],"Not found")</f>
        <v>3</v>
      </c>
      <c r="G267" t="str">
        <f>_xlfn.XLOOKUP(Table3[[#This Row],[Place_Id]],Table7[place_id],Table7[city3],"Not found")</f>
        <v>Bandung regency</v>
      </c>
      <c r="H267">
        <f>_xlfn.XLOOKUP(Table3[[#This Row],[City]],Table5[city_name],Table5[city_id],"Not found")</f>
        <v>23</v>
      </c>
      <c r="I267">
        <v>0</v>
      </c>
      <c r="K267">
        <v>-6.8580464000000001</v>
      </c>
      <c r="L267">
        <v>107.66470839999999</v>
      </c>
    </row>
    <row r="268" spans="1:12" x14ac:dyDescent="0.25">
      <c r="A268">
        <v>267</v>
      </c>
      <c r="B268" t="s">
        <v>583</v>
      </c>
      <c r="C268" t="s">
        <v>584</v>
      </c>
      <c r="D268" t="e" cm="1">
        <f t="array" aca="1" ref="D268" ca="1">TRANSLATE(Table3[[#This Row],[Description]],"id","en")</f>
        <v>#NAME?</v>
      </c>
      <c r="E268" t="s">
        <v>51</v>
      </c>
      <c r="F268">
        <f>_xlfn.XLOOKUP(Table3[[#This Row],[Category]],Table10[category],Table10[category_id],"Not found")</f>
        <v>5</v>
      </c>
      <c r="G268" t="str">
        <f>_xlfn.XLOOKUP(Table3[[#This Row],[Place_Id]],Table7[place_id],Table7[city3],"Not found")</f>
        <v>Bandung</v>
      </c>
      <c r="H268">
        <f>_xlfn.XLOOKUP(Table3[[#This Row],[City]],Table5[city_name],Table5[city_id],"Not found")</f>
        <v>22</v>
      </c>
      <c r="I268">
        <v>50000</v>
      </c>
      <c r="K268">
        <v>-6.9119767999999997</v>
      </c>
      <c r="L268">
        <v>107.56967400000001</v>
      </c>
    </row>
    <row r="269" spans="1:12" x14ac:dyDescent="0.25">
      <c r="A269">
        <v>268</v>
      </c>
      <c r="B269" t="s">
        <v>585</v>
      </c>
      <c r="C269" t="s">
        <v>586</v>
      </c>
      <c r="D269" t="e" cm="1">
        <f t="array" aca="1" ref="D269" ca="1">TRANSLATE(Table3[[#This Row],[Description]],"id","en")</f>
        <v>#NAME?</v>
      </c>
      <c r="E269" t="s">
        <v>51</v>
      </c>
      <c r="F269">
        <f>_xlfn.XLOOKUP(Table3[[#This Row],[Category]],Table10[category],Table10[category_id],"Not found")</f>
        <v>5</v>
      </c>
      <c r="G269" t="str">
        <f>_xlfn.XLOOKUP(Table3[[#This Row],[Place_Id]],Table7[place_id],Table7[city3],"Not found")</f>
        <v>West Bandung regency</v>
      </c>
      <c r="H269">
        <f>_xlfn.XLOOKUP(Table3[[#This Row],[City]],Table5[city_name],Table5[city_id],"Not found")</f>
        <v>33</v>
      </c>
      <c r="I269">
        <v>50000</v>
      </c>
      <c r="J269">
        <v>150</v>
      </c>
      <c r="K269">
        <v>-6.8423638000000002</v>
      </c>
      <c r="L269">
        <v>107.62324030000001</v>
      </c>
    </row>
    <row r="270" spans="1:12" x14ac:dyDescent="0.25">
      <c r="A270">
        <v>269</v>
      </c>
      <c r="B270" t="s">
        <v>587</v>
      </c>
      <c r="C270" t="s">
        <v>588</v>
      </c>
      <c r="D270" t="e" cm="1">
        <f t="array" aca="1" ref="D270" ca="1">TRANSLATE(Table3[[#This Row],[Description]],"id","en")</f>
        <v>#NAME?</v>
      </c>
      <c r="E270" t="s">
        <v>60</v>
      </c>
      <c r="F270">
        <f>_xlfn.XLOOKUP(Table3[[#This Row],[Category]],Table10[category],Table10[category_id],"Not found")</f>
        <v>3</v>
      </c>
      <c r="G270" t="str">
        <f>_xlfn.XLOOKUP(Table3[[#This Row],[Place_Id]],Table7[place_id],Table7[city3],"Not found")</f>
        <v>Bandung regency</v>
      </c>
      <c r="H270">
        <f>_xlfn.XLOOKUP(Table3[[#This Row],[City]],Table5[city_name],Table5[city_id],"Not found")</f>
        <v>23</v>
      </c>
      <c r="I270">
        <v>7500</v>
      </c>
      <c r="K270">
        <v>-6.8932172999999999</v>
      </c>
      <c r="L270">
        <v>107.7448856</v>
      </c>
    </row>
    <row r="271" spans="1:12" x14ac:dyDescent="0.25">
      <c r="A271">
        <v>270</v>
      </c>
      <c r="B271" t="s">
        <v>589</v>
      </c>
      <c r="C271" t="s">
        <v>590</v>
      </c>
      <c r="D271" t="e" cm="1">
        <f t="array" aca="1" ref="D271" ca="1">TRANSLATE(Table3[[#This Row],[Description]],"id","en")</f>
        <v>#NAME?</v>
      </c>
      <c r="E271" t="s">
        <v>60</v>
      </c>
      <c r="F271">
        <f>_xlfn.XLOOKUP(Table3[[#This Row],[Category]],Table10[category],Table10[category_id],"Not found")</f>
        <v>3</v>
      </c>
      <c r="G271" t="str">
        <f>_xlfn.XLOOKUP(Table3[[#This Row],[Place_Id]],Table7[place_id],Table7[city3],"Not found")</f>
        <v>Bandung regency</v>
      </c>
      <c r="H271">
        <f>_xlfn.XLOOKUP(Table3[[#This Row],[City]],Table5[city_name],Table5[city_id],"Not found")</f>
        <v>23</v>
      </c>
      <c r="I271">
        <v>25000</v>
      </c>
      <c r="K271">
        <v>-6.8417795000000003</v>
      </c>
      <c r="L271">
        <v>107.67685849999999</v>
      </c>
    </row>
    <row r="272" spans="1:12" x14ac:dyDescent="0.25">
      <c r="A272">
        <v>271</v>
      </c>
      <c r="B272" t="s">
        <v>591</v>
      </c>
      <c r="C272" t="s">
        <v>592</v>
      </c>
      <c r="D272" t="e" cm="1">
        <f t="array" aca="1" ref="D272" ca="1">TRANSLATE(Table3[[#This Row],[Description]],"id","en")</f>
        <v>#NAME?</v>
      </c>
      <c r="E272" t="s">
        <v>51</v>
      </c>
      <c r="F272">
        <f>_xlfn.XLOOKUP(Table3[[#This Row],[Category]],Table10[category],Table10[category_id],"Not found")</f>
        <v>5</v>
      </c>
      <c r="G272" t="str">
        <f>_xlfn.XLOOKUP(Table3[[#This Row],[Place_Id]],Table7[place_id],Table7[city3],"Not found")</f>
        <v>Bandung</v>
      </c>
      <c r="H272">
        <f>_xlfn.XLOOKUP(Table3[[#This Row],[City]],Table5[city_name],Table5[city_id],"Not found")</f>
        <v>22</v>
      </c>
      <c r="I272">
        <v>0</v>
      </c>
      <c r="J272">
        <v>45</v>
      </c>
      <c r="K272">
        <v>-6.9140477999999996</v>
      </c>
      <c r="L272">
        <v>107.61016840000001</v>
      </c>
    </row>
    <row r="273" spans="1:12" x14ac:dyDescent="0.25">
      <c r="A273">
        <v>272</v>
      </c>
      <c r="B273" t="s">
        <v>593</v>
      </c>
      <c r="C273" t="s">
        <v>594</v>
      </c>
      <c r="D273" t="e" cm="1">
        <f t="array" aca="1" ref="D273" ca="1">TRANSLATE(Table3[[#This Row],[Description]],"id","en")</f>
        <v>#NAME?</v>
      </c>
      <c r="E273" t="s">
        <v>45</v>
      </c>
      <c r="F273">
        <f>_xlfn.XLOOKUP(Table3[[#This Row],[Category]],Table10[category],Table10[category_id],"Not found")</f>
        <v>2</v>
      </c>
      <c r="G273" t="str">
        <f>_xlfn.XLOOKUP(Table3[[#This Row],[Place_Id]],Table7[place_id],Table7[city3],"Not found")</f>
        <v>Bandung</v>
      </c>
      <c r="H273">
        <f>_xlfn.XLOOKUP(Table3[[#This Row],[City]],Table5[city_name],Table5[city_id],"Not found")</f>
        <v>22</v>
      </c>
      <c r="I273">
        <v>0</v>
      </c>
      <c r="J273">
        <v>120</v>
      </c>
      <c r="K273">
        <v>-6.8700989999999997</v>
      </c>
      <c r="L273">
        <v>107.6164386</v>
      </c>
    </row>
    <row r="274" spans="1:12" x14ac:dyDescent="0.25">
      <c r="A274">
        <v>273</v>
      </c>
      <c r="B274" t="s">
        <v>595</v>
      </c>
      <c r="C274" t="s">
        <v>596</v>
      </c>
      <c r="D274" t="e" cm="1">
        <f t="array" aca="1" ref="D274" ca="1">TRANSLATE(Table3[[#This Row],[Description]],"id","en")</f>
        <v>#NAME?</v>
      </c>
      <c r="E274" t="s">
        <v>60</v>
      </c>
      <c r="F274">
        <f>_xlfn.XLOOKUP(Table3[[#This Row],[Category]],Table10[category],Table10[category_id],"Not found")</f>
        <v>3</v>
      </c>
      <c r="G274" t="str">
        <f>_xlfn.XLOOKUP(Table3[[#This Row],[Place_Id]],Table7[place_id],Table7[city3],"Not found")</f>
        <v>West Bandung regency</v>
      </c>
      <c r="H274">
        <f>_xlfn.XLOOKUP(Table3[[#This Row],[City]],Table5[city_name],Table5[city_id],"Not found")</f>
        <v>33</v>
      </c>
      <c r="I274">
        <v>7500</v>
      </c>
      <c r="J274">
        <v>120</v>
      </c>
      <c r="K274">
        <v>-6.7903890000000002</v>
      </c>
      <c r="L274">
        <v>107.57776320000001</v>
      </c>
    </row>
    <row r="275" spans="1:12" x14ac:dyDescent="0.25">
      <c r="A275">
        <v>274</v>
      </c>
      <c r="B275" t="s">
        <v>597</v>
      </c>
      <c r="C275" t="s">
        <v>598</v>
      </c>
      <c r="D275" t="e" cm="1">
        <f t="array" aca="1" ref="D275" ca="1">TRANSLATE(Table3[[#This Row],[Description]],"id","en")</f>
        <v>#NAME?</v>
      </c>
      <c r="E275" t="s">
        <v>60</v>
      </c>
      <c r="F275">
        <f>_xlfn.XLOOKUP(Table3[[#This Row],[Category]],Table10[category],Table10[category_id],"Not found")</f>
        <v>3</v>
      </c>
      <c r="G275" t="str">
        <f>_xlfn.XLOOKUP(Table3[[#This Row],[Place_Id]],Table7[place_id],Table7[city3],"Not found")</f>
        <v>Bandung</v>
      </c>
      <c r="H275">
        <f>_xlfn.XLOOKUP(Table3[[#This Row],[City]],Table5[city_name],Table5[city_id],"Not found")</f>
        <v>22</v>
      </c>
      <c r="I275">
        <v>0</v>
      </c>
      <c r="K275">
        <v>-6.8853745999999996</v>
      </c>
      <c r="L275">
        <v>107.6111899</v>
      </c>
    </row>
    <row r="276" spans="1:12" ht="60" x14ac:dyDescent="0.25">
      <c r="A276">
        <v>275</v>
      </c>
      <c r="B276" t="s">
        <v>599</v>
      </c>
      <c r="C276" s="3" t="s">
        <v>600</v>
      </c>
      <c r="D276" s="3" t="e" cm="1">
        <f t="array" aca="1" ref="D276" ca="1">TRANSLATE(Table3[[#This Row],[Description]],"id","en")</f>
        <v>#NAME?</v>
      </c>
      <c r="E276" t="s">
        <v>60</v>
      </c>
      <c r="F276">
        <f>_xlfn.XLOOKUP(Table3[[#This Row],[Category]],Table10[category],Table10[category_id],"Not found")</f>
        <v>3</v>
      </c>
      <c r="G276" t="str">
        <f>_xlfn.XLOOKUP(Table3[[#This Row],[Place_Id]],Table7[place_id],Table7[city3],"Not found")</f>
        <v>West Bandung regency</v>
      </c>
      <c r="H276">
        <f>_xlfn.XLOOKUP(Table3[[#This Row],[City]],Table5[city_name],Table5[city_id],"Not found")</f>
        <v>33</v>
      </c>
      <c r="I276">
        <v>20000</v>
      </c>
      <c r="J276">
        <v>180</v>
      </c>
      <c r="K276">
        <v>-6.7991957999999997</v>
      </c>
      <c r="L276">
        <v>107.59220879999999</v>
      </c>
    </row>
    <row r="277" spans="1:12" x14ac:dyDescent="0.25">
      <c r="A277">
        <v>276</v>
      </c>
      <c r="B277" t="s">
        <v>601</v>
      </c>
      <c r="C277" t="s">
        <v>602</v>
      </c>
      <c r="D277" t="e" cm="1">
        <f t="array" aca="1" ref="D277" ca="1">TRANSLATE(Table3[[#This Row],[Description]],"id","en")</f>
        <v>#NAME?</v>
      </c>
      <c r="E277" t="s">
        <v>51</v>
      </c>
      <c r="F277">
        <f>_xlfn.XLOOKUP(Table3[[#This Row],[Category]],Table10[category],Table10[category_id],"Not found")</f>
        <v>5</v>
      </c>
      <c r="G277" t="str">
        <f>_xlfn.XLOOKUP(Table3[[#This Row],[Place_Id]],Table7[place_id],Table7[city3],"Not found")</f>
        <v>Bandung</v>
      </c>
      <c r="H277">
        <f>_xlfn.XLOOKUP(Table3[[#This Row],[City]],Table5[city_name],Table5[city_id],"Not found")</f>
        <v>22</v>
      </c>
      <c r="I277">
        <v>10000</v>
      </c>
      <c r="J277">
        <v>30</v>
      </c>
      <c r="K277">
        <v>-6.8980549</v>
      </c>
      <c r="L277">
        <v>107.60946730000001</v>
      </c>
    </row>
    <row r="278" spans="1:12" x14ac:dyDescent="0.25">
      <c r="A278">
        <v>277</v>
      </c>
      <c r="B278" t="s">
        <v>603</v>
      </c>
      <c r="C278" t="s">
        <v>604</v>
      </c>
      <c r="D278" t="e" cm="1">
        <f t="array" aca="1" ref="D278" ca="1">TRANSLATE(Table3[[#This Row],[Description]],"id","en")</f>
        <v>#NAME?</v>
      </c>
      <c r="E278" t="s">
        <v>51</v>
      </c>
      <c r="F278">
        <f>_xlfn.XLOOKUP(Table3[[#This Row],[Category]],Table10[category],Table10[category_id],"Not found")</f>
        <v>5</v>
      </c>
      <c r="G278" t="str">
        <f>_xlfn.XLOOKUP(Table3[[#This Row],[Place_Id]],Table7[place_id],Table7[city3],"Not found")</f>
        <v>Bandung</v>
      </c>
      <c r="H278">
        <f>_xlfn.XLOOKUP(Table3[[#This Row],[City]],Table5[city_name],Table5[city_id],"Not found")</f>
        <v>22</v>
      </c>
      <c r="I278">
        <v>15000</v>
      </c>
      <c r="K278">
        <v>-6.9317951000000004</v>
      </c>
      <c r="L278">
        <v>107.58830260000001</v>
      </c>
    </row>
    <row r="279" spans="1:12" x14ac:dyDescent="0.25">
      <c r="A279">
        <v>278</v>
      </c>
      <c r="B279" t="s">
        <v>605</v>
      </c>
      <c r="C279" t="s">
        <v>606</v>
      </c>
      <c r="D279" t="e" cm="1">
        <f t="array" aca="1" ref="D279" ca="1">TRANSLATE(Table3[[#This Row],[Description]],"id","en")</f>
        <v>#NAME?</v>
      </c>
      <c r="E279" t="s">
        <v>93</v>
      </c>
      <c r="F279">
        <f>_xlfn.XLOOKUP(Table3[[#This Row],[Category]],Table10[category],Table10[category_id],"Not found")</f>
        <v>6</v>
      </c>
      <c r="G279" t="str">
        <f>_xlfn.XLOOKUP(Table3[[#This Row],[Place_Id]],Table7[place_id],Table7[city3],"Not found")</f>
        <v>Bandung</v>
      </c>
      <c r="H279">
        <f>_xlfn.XLOOKUP(Table3[[#This Row],[City]],Table5[city_name],Table5[city_id],"Not found")</f>
        <v>22</v>
      </c>
      <c r="I279">
        <v>0</v>
      </c>
      <c r="K279">
        <v>-6.8635270000000004</v>
      </c>
      <c r="L279">
        <v>107.5899194</v>
      </c>
    </row>
    <row r="280" spans="1:12" x14ac:dyDescent="0.25">
      <c r="A280">
        <v>279</v>
      </c>
      <c r="B280" t="s">
        <v>607</v>
      </c>
      <c r="C280" t="s">
        <v>608</v>
      </c>
      <c r="D280" t="e" cm="1">
        <f t="array" aca="1" ref="D280" ca="1">TRANSLATE(Table3[[#This Row],[Description]],"id","en")</f>
        <v>#NAME?</v>
      </c>
      <c r="E280" t="s">
        <v>93</v>
      </c>
      <c r="F280">
        <f>_xlfn.XLOOKUP(Table3[[#This Row],[Category]],Table10[category],Table10[category_id],"Not found")</f>
        <v>6</v>
      </c>
      <c r="G280" t="str">
        <f>_xlfn.XLOOKUP(Table3[[#This Row],[Place_Id]],Table7[place_id],Table7[city3],"Not found")</f>
        <v>Bandung</v>
      </c>
      <c r="H280">
        <f>_xlfn.XLOOKUP(Table3[[#This Row],[City]],Table5[city_name],Table5[city_id],"Not found")</f>
        <v>22</v>
      </c>
      <c r="I280">
        <v>0</v>
      </c>
      <c r="K280">
        <v>-6.9259634999999999</v>
      </c>
      <c r="L280">
        <v>107.6354278</v>
      </c>
    </row>
    <row r="281" spans="1:12" x14ac:dyDescent="0.25">
      <c r="A281">
        <v>280</v>
      </c>
      <c r="B281" t="s">
        <v>609</v>
      </c>
      <c r="C281" t="s">
        <v>610</v>
      </c>
      <c r="D281" t="e" cm="1">
        <f t="array" aca="1" ref="D281" ca="1">TRANSLATE(Table3[[#This Row],[Description]],"id","en")</f>
        <v>#NAME?</v>
      </c>
      <c r="E281" t="s">
        <v>93</v>
      </c>
      <c r="F281">
        <f>_xlfn.XLOOKUP(Table3[[#This Row],[Category]],Table10[category],Table10[category_id],"Not found")</f>
        <v>6</v>
      </c>
      <c r="G281" t="str">
        <f>_xlfn.XLOOKUP(Table3[[#This Row],[Place_Id]],Table7[place_id],Table7[city3],"Not found")</f>
        <v>Bandung</v>
      </c>
      <c r="H281">
        <f>_xlfn.XLOOKUP(Table3[[#This Row],[City]],Table5[city_name],Table5[city_id],"Not found")</f>
        <v>22</v>
      </c>
      <c r="I281">
        <v>0</v>
      </c>
      <c r="K281">
        <v>-6.9347697999999998</v>
      </c>
      <c r="L281">
        <v>107.62535130000001</v>
      </c>
    </row>
    <row r="282" spans="1:12" x14ac:dyDescent="0.25">
      <c r="A282">
        <v>281</v>
      </c>
      <c r="B282" t="s">
        <v>611</v>
      </c>
      <c r="C282" t="s">
        <v>612</v>
      </c>
      <c r="D282" t="e" cm="1">
        <f t="array" aca="1" ref="D282" ca="1">TRANSLATE(Table3[[#This Row],[Description]],"id","en")</f>
        <v>#NAME?</v>
      </c>
      <c r="E282" t="s">
        <v>51</v>
      </c>
      <c r="F282">
        <f>_xlfn.XLOOKUP(Table3[[#This Row],[Category]],Table10[category],Table10[category_id],"Not found")</f>
        <v>5</v>
      </c>
      <c r="G282" t="str">
        <f>_xlfn.XLOOKUP(Table3[[#This Row],[Place_Id]],Table7[place_id],Table7[city3],"Not found")</f>
        <v>Bandung regency</v>
      </c>
      <c r="H282">
        <f>_xlfn.XLOOKUP(Table3[[#This Row],[City]],Table5[city_name],Table5[city_id],"Not found")</f>
        <v>23</v>
      </c>
      <c r="I282">
        <v>60000</v>
      </c>
      <c r="K282">
        <v>-7.0096021999999998</v>
      </c>
      <c r="L282">
        <v>107.6062161</v>
      </c>
    </row>
    <row r="283" spans="1:12" x14ac:dyDescent="0.25">
      <c r="A283">
        <v>282</v>
      </c>
      <c r="B283" t="s">
        <v>613</v>
      </c>
      <c r="C283" t="s">
        <v>614</v>
      </c>
      <c r="D283" t="e" cm="1">
        <f t="array" aca="1" ref="D283" ca="1">TRANSLATE(Table3[[#This Row],[Description]],"id","en")</f>
        <v>#NAME?</v>
      </c>
      <c r="E283" t="s">
        <v>60</v>
      </c>
      <c r="F283">
        <f>_xlfn.XLOOKUP(Table3[[#This Row],[Category]],Table10[category],Table10[category_id],"Not found")</f>
        <v>3</v>
      </c>
      <c r="G283" t="str">
        <f>_xlfn.XLOOKUP(Table3[[#This Row],[Place_Id]],Table7[place_id],Table7[city3],"Not found")</f>
        <v>Bandung regency</v>
      </c>
      <c r="H283">
        <f>_xlfn.XLOOKUP(Table3[[#This Row],[City]],Table5[city_name],Table5[city_id],"Not found")</f>
        <v>23</v>
      </c>
      <c r="I283">
        <v>7500</v>
      </c>
      <c r="J283">
        <v>60</v>
      </c>
      <c r="K283">
        <v>-6.8908877000000004</v>
      </c>
      <c r="L283">
        <v>107.73070850000001</v>
      </c>
    </row>
    <row r="284" spans="1:12" ht="60" x14ac:dyDescent="0.25">
      <c r="A284">
        <v>283</v>
      </c>
      <c r="B284" t="s">
        <v>615</v>
      </c>
      <c r="C284" s="3" t="s">
        <v>616</v>
      </c>
      <c r="D284" s="3" t="e" cm="1">
        <f t="array" aca="1" ref="D284" ca="1">TRANSLATE(Table3[[#This Row],[Description]],"id","en")</f>
        <v>#NAME?</v>
      </c>
      <c r="E284" t="s">
        <v>51</v>
      </c>
      <c r="F284">
        <f>_xlfn.XLOOKUP(Table3[[#This Row],[Category]],Table10[category],Table10[category_id],"Not found")</f>
        <v>5</v>
      </c>
      <c r="G284" t="str">
        <f>_xlfn.XLOOKUP(Table3[[#This Row],[Place_Id]],Table7[place_id],Table7[city3],"Not found")</f>
        <v>Bandung</v>
      </c>
      <c r="H284">
        <f>_xlfn.XLOOKUP(Table3[[#This Row],[City]],Table5[city_name],Table5[city_id],"Not found")</f>
        <v>22</v>
      </c>
      <c r="I284">
        <v>0</v>
      </c>
      <c r="K284">
        <v>-6.9000987</v>
      </c>
      <c r="L284">
        <v>107.60467079999999</v>
      </c>
    </row>
    <row r="285" spans="1:12" x14ac:dyDescent="0.25">
      <c r="A285">
        <v>284</v>
      </c>
      <c r="B285" t="s">
        <v>617</v>
      </c>
      <c r="C285" t="s">
        <v>618</v>
      </c>
      <c r="D285" t="e" cm="1">
        <f t="array" aca="1" ref="D285" ca="1">TRANSLATE(Table3[[#This Row],[Description]],"id","en")</f>
        <v>#NAME?</v>
      </c>
      <c r="E285" t="s">
        <v>78</v>
      </c>
      <c r="F285">
        <f>_xlfn.XLOOKUP(Table3[[#This Row],[Category]],Table10[category],Table10[category_id],"Not found")</f>
        <v>4</v>
      </c>
      <c r="G285" t="str">
        <f>_xlfn.XLOOKUP(Table3[[#This Row],[Place_Id]],Table7[place_id],Table7[city3],"Not found")</f>
        <v>Bandung</v>
      </c>
      <c r="H285">
        <f>_xlfn.XLOOKUP(Table3[[#This Row],[City]],Table5[city_name],Table5[city_id],"Not found")</f>
        <v>22</v>
      </c>
      <c r="I285">
        <v>0</v>
      </c>
      <c r="K285">
        <v>-6.9177043999999999</v>
      </c>
      <c r="L285">
        <v>107.6036014</v>
      </c>
    </row>
    <row r="286" spans="1:12" x14ac:dyDescent="0.25">
      <c r="A286">
        <v>285</v>
      </c>
      <c r="B286" t="s">
        <v>619</v>
      </c>
      <c r="C286" t="s">
        <v>620</v>
      </c>
      <c r="D286" t="e" cm="1">
        <f t="array" aca="1" ref="D286" ca="1">TRANSLATE(Table3[[#This Row],[Description]],"id","en")</f>
        <v>#NAME?</v>
      </c>
      <c r="E286" t="s">
        <v>45</v>
      </c>
      <c r="F286">
        <f>_xlfn.XLOOKUP(Table3[[#This Row],[Category]],Table10[category],Table10[category_id],"Not found")</f>
        <v>2</v>
      </c>
      <c r="G286" t="str">
        <f>_xlfn.XLOOKUP(Table3[[#This Row],[Place_Id]],Table7[place_id],Table7[city3],"Not found")</f>
        <v>Bandung</v>
      </c>
      <c r="H286">
        <f>_xlfn.XLOOKUP(Table3[[#This Row],[City]],Table5[city_name],Table5[city_id],"Not found")</f>
        <v>22</v>
      </c>
      <c r="I286">
        <v>0</v>
      </c>
      <c r="J286">
        <v>45</v>
      </c>
      <c r="K286">
        <v>-6.9103085999999996</v>
      </c>
      <c r="L286">
        <v>107.6098619</v>
      </c>
    </row>
    <row r="287" spans="1:12" x14ac:dyDescent="0.25">
      <c r="A287">
        <v>286</v>
      </c>
      <c r="B287" t="s">
        <v>621</v>
      </c>
      <c r="C287" t="s">
        <v>622</v>
      </c>
      <c r="D287" t="e" cm="1">
        <f t="array" aca="1" ref="D287" ca="1">TRANSLATE(Table3[[#This Row],[Description]],"id","en")</f>
        <v>#NAME?</v>
      </c>
      <c r="E287" t="s">
        <v>45</v>
      </c>
      <c r="F287">
        <f>_xlfn.XLOOKUP(Table3[[#This Row],[Category]],Table10[category],Table10[category_id],"Not found")</f>
        <v>2</v>
      </c>
      <c r="G287" t="str">
        <f>_xlfn.XLOOKUP(Table3[[#This Row],[Place_Id]],Table7[place_id],Table7[city3],"Not found")</f>
        <v>Bandung</v>
      </c>
      <c r="H287">
        <f>_xlfn.XLOOKUP(Table3[[#This Row],[City]],Table5[city_name],Table5[city_id],"Not found")</f>
        <v>22</v>
      </c>
      <c r="I287">
        <v>0</v>
      </c>
      <c r="K287">
        <v>-6.9204173000000004</v>
      </c>
      <c r="L287">
        <v>107.5996425</v>
      </c>
    </row>
    <row r="288" spans="1:12" x14ac:dyDescent="0.25">
      <c r="A288">
        <v>287</v>
      </c>
      <c r="B288" t="s">
        <v>623</v>
      </c>
      <c r="C288" t="s">
        <v>624</v>
      </c>
      <c r="D288" t="e" cm="1">
        <f t="array" aca="1" ref="D288" ca="1">TRANSLATE(Table3[[#This Row],[Description]],"id","en")</f>
        <v>#NAME?</v>
      </c>
      <c r="E288" t="s">
        <v>51</v>
      </c>
      <c r="F288">
        <f>_xlfn.XLOOKUP(Table3[[#This Row],[Category]],Table10[category],Table10[category_id],"Not found")</f>
        <v>5</v>
      </c>
      <c r="G288" t="str">
        <f>_xlfn.XLOOKUP(Table3[[#This Row],[Place_Id]],Table7[place_id],Table7[city3],"Not found")</f>
        <v>West Bandung regency</v>
      </c>
      <c r="H288">
        <f>_xlfn.XLOOKUP(Table3[[#This Row],[City]],Table5[city_name],Table5[city_id],"Not found")</f>
        <v>33</v>
      </c>
      <c r="I288">
        <v>25000</v>
      </c>
      <c r="K288">
        <v>-6.8522080000000001</v>
      </c>
      <c r="L288">
        <v>107.493882</v>
      </c>
    </row>
    <row r="289" spans="1:12" x14ac:dyDescent="0.25">
      <c r="A289">
        <v>288</v>
      </c>
      <c r="B289" t="s">
        <v>625</v>
      </c>
      <c r="C289" t="s">
        <v>626</v>
      </c>
      <c r="D289" t="e" cm="1">
        <f t="array" aca="1" ref="D289" ca="1">TRANSLATE(Table3[[#This Row],[Description]],"id","en")</f>
        <v>#NAME?</v>
      </c>
      <c r="E289" t="s">
        <v>93</v>
      </c>
      <c r="F289">
        <f>_xlfn.XLOOKUP(Table3[[#This Row],[Category]],Table10[category],Table10[category_id],"Not found")</f>
        <v>6</v>
      </c>
      <c r="G289" t="str">
        <f>_xlfn.XLOOKUP(Table3[[#This Row],[Place_Id]],Table7[place_id],Table7[city3],"Not found")</f>
        <v>Bandung</v>
      </c>
      <c r="H289">
        <f>_xlfn.XLOOKUP(Table3[[#This Row],[City]],Table5[city_name],Table5[city_id],"Not found")</f>
        <v>22</v>
      </c>
      <c r="I289">
        <v>0</v>
      </c>
      <c r="K289">
        <v>-6.8936643000000002</v>
      </c>
      <c r="L289">
        <v>107.611271</v>
      </c>
    </row>
    <row r="290" spans="1:12" x14ac:dyDescent="0.25">
      <c r="A290">
        <v>289</v>
      </c>
      <c r="B290" t="s">
        <v>627</v>
      </c>
      <c r="C290" t="s">
        <v>628</v>
      </c>
      <c r="D290" t="e" cm="1">
        <f t="array" aca="1" ref="D290" ca="1">TRANSLATE(Table3[[#This Row],[Description]],"id","en")</f>
        <v>#NAME?</v>
      </c>
      <c r="E290" t="s">
        <v>60</v>
      </c>
      <c r="F290">
        <f>_xlfn.XLOOKUP(Table3[[#This Row],[Category]],Table10[category],Table10[category_id],"Not found")</f>
        <v>3</v>
      </c>
      <c r="G290" t="str">
        <f>_xlfn.XLOOKUP(Table3[[#This Row],[Place_Id]],Table7[place_id],Table7[city3],"Not found")</f>
        <v>West Bandung regency</v>
      </c>
      <c r="H290">
        <f>_xlfn.XLOOKUP(Table3[[#This Row],[City]],Table5[city_name],Table5[city_id],"Not found")</f>
        <v>33</v>
      </c>
      <c r="I290">
        <v>10000</v>
      </c>
      <c r="K290">
        <v>-6.7875652000000004</v>
      </c>
      <c r="L290">
        <v>107.58228440000001</v>
      </c>
    </row>
    <row r="291" spans="1:12" ht="90" x14ac:dyDescent="0.25">
      <c r="A291">
        <v>290</v>
      </c>
      <c r="B291" t="s">
        <v>629</v>
      </c>
      <c r="C291" s="3" t="s">
        <v>630</v>
      </c>
      <c r="D291" s="3" t="e" cm="1">
        <f t="array" aca="1" ref="D291" ca="1">TRANSLATE(Table3[[#This Row],[Description]],"id","en")</f>
        <v>#NAME?</v>
      </c>
      <c r="E291" t="s">
        <v>45</v>
      </c>
      <c r="F291">
        <f>_xlfn.XLOOKUP(Table3[[#This Row],[Category]],Table10[category],Table10[category_id],"Not found")</f>
        <v>2</v>
      </c>
      <c r="G291" t="str">
        <f>_xlfn.XLOOKUP(Table3[[#This Row],[Place_Id]],Table7[place_id],Table7[city3],"Not found")</f>
        <v>Bandung</v>
      </c>
      <c r="H291">
        <f>_xlfn.XLOOKUP(Table3[[#This Row],[City]],Table5[city_name],Table5[city_id],"Not found")</f>
        <v>22</v>
      </c>
      <c r="I291">
        <v>5000</v>
      </c>
      <c r="K291">
        <v>-6.8597473999999998</v>
      </c>
      <c r="L291">
        <v>107.5941693</v>
      </c>
    </row>
    <row r="292" spans="1:12" ht="30" x14ac:dyDescent="0.25">
      <c r="A292">
        <v>291</v>
      </c>
      <c r="B292" t="s">
        <v>631</v>
      </c>
      <c r="C292" s="3" t="s">
        <v>632</v>
      </c>
      <c r="D292" s="3" t="e" cm="1">
        <f t="array" aca="1" ref="D292" ca="1">TRANSLATE(Table3[[#This Row],[Description]],"id","en")</f>
        <v>#NAME?</v>
      </c>
      <c r="E292" t="s">
        <v>51</v>
      </c>
      <c r="F292">
        <f>_xlfn.XLOOKUP(Table3[[#This Row],[Category]],Table10[category],Table10[category_id],"Not found")</f>
        <v>5</v>
      </c>
      <c r="G292" t="str">
        <f>_xlfn.XLOOKUP(Table3[[#This Row],[Place_Id]],Table7[place_id],Table7[city3],"Not found")</f>
        <v>Bandung regency</v>
      </c>
      <c r="H292">
        <f>_xlfn.XLOOKUP(Table3[[#This Row],[City]],Table5[city_name],Table5[city_id],"Not found")</f>
        <v>23</v>
      </c>
      <c r="I292">
        <v>50000</v>
      </c>
      <c r="K292">
        <v>-6.9805807</v>
      </c>
      <c r="L292">
        <v>107.5856567</v>
      </c>
    </row>
    <row r="293" spans="1:12" x14ac:dyDescent="0.25">
      <c r="A293">
        <v>292</v>
      </c>
      <c r="B293" t="s">
        <v>633</v>
      </c>
      <c r="C293" t="s">
        <v>634</v>
      </c>
      <c r="D293" t="e" cm="1">
        <f t="array" aca="1" ref="D293" ca="1">TRANSLATE(Table3[[#This Row],[Description]],"id","en")</f>
        <v>#NAME?</v>
      </c>
      <c r="E293" t="s">
        <v>60</v>
      </c>
      <c r="F293">
        <f>_xlfn.XLOOKUP(Table3[[#This Row],[Category]],Table10[category],Table10[category_id],"Not found")</f>
        <v>3</v>
      </c>
      <c r="G293" t="str">
        <f>_xlfn.XLOOKUP(Table3[[#This Row],[Place_Id]],Table7[place_id],Table7[city3],"Not found")</f>
        <v>West Bandung regency</v>
      </c>
      <c r="H293">
        <f>_xlfn.XLOOKUP(Table3[[#This Row],[City]],Table5[city_name],Table5[city_id],"Not found")</f>
        <v>33</v>
      </c>
      <c r="I293">
        <v>0</v>
      </c>
      <c r="K293">
        <v>-6.8116009000000002</v>
      </c>
      <c r="L293">
        <v>107.56952130000001</v>
      </c>
    </row>
    <row r="294" spans="1:12" x14ac:dyDescent="0.25">
      <c r="A294">
        <v>293</v>
      </c>
      <c r="B294" t="s">
        <v>635</v>
      </c>
      <c r="C294" t="s">
        <v>636</v>
      </c>
      <c r="D294" t="e" cm="1">
        <f t="array" aca="1" ref="D294" ca="1">TRANSLATE(Table3[[#This Row],[Description]],"id","en")</f>
        <v>#NAME?</v>
      </c>
      <c r="E294" t="s">
        <v>51</v>
      </c>
      <c r="F294">
        <f>_xlfn.XLOOKUP(Table3[[#This Row],[Category]],Table10[category],Table10[category_id],"Not found")</f>
        <v>5</v>
      </c>
      <c r="G294" t="str">
        <f>_xlfn.XLOOKUP(Table3[[#This Row],[Place_Id]],Table7[place_id],Table7[city3],"Not found")</f>
        <v>Bandung</v>
      </c>
      <c r="H294">
        <f>_xlfn.XLOOKUP(Table3[[#This Row],[City]],Table5[city_name],Table5[city_id],"Not found")</f>
        <v>22</v>
      </c>
      <c r="I294">
        <v>0</v>
      </c>
      <c r="K294">
        <v>-6.9132752000000002</v>
      </c>
      <c r="L294">
        <v>107.6094908</v>
      </c>
    </row>
    <row r="295" spans="1:12" x14ac:dyDescent="0.25">
      <c r="A295">
        <v>294</v>
      </c>
      <c r="B295" t="s">
        <v>637</v>
      </c>
      <c r="C295" t="s">
        <v>638</v>
      </c>
      <c r="D295" t="e" cm="1">
        <f t="array" aca="1" ref="D295" ca="1">TRANSLATE(Table3[[#This Row],[Description]],"id","en")</f>
        <v>#NAME?</v>
      </c>
      <c r="E295" t="s">
        <v>45</v>
      </c>
      <c r="F295">
        <f>_xlfn.XLOOKUP(Table3[[#This Row],[Category]],Table10[category],Table10[category_id],"Not found")</f>
        <v>2</v>
      </c>
      <c r="G295" t="str">
        <f>_xlfn.XLOOKUP(Table3[[#This Row],[Place_Id]],Table7[place_id],Table7[city3],"Not found")</f>
        <v>Bandung</v>
      </c>
      <c r="H295">
        <f>_xlfn.XLOOKUP(Table3[[#This Row],[City]],Table5[city_name],Table5[city_id],"Not found")</f>
        <v>22</v>
      </c>
      <c r="I295">
        <v>0</v>
      </c>
      <c r="J295">
        <v>90</v>
      </c>
      <c r="K295">
        <v>-6.8986869000000004</v>
      </c>
      <c r="L295">
        <v>107.6077451</v>
      </c>
    </row>
    <row r="296" spans="1:12" x14ac:dyDescent="0.25">
      <c r="A296">
        <v>295</v>
      </c>
      <c r="B296" t="s">
        <v>639</v>
      </c>
      <c r="C296" t="s">
        <v>640</v>
      </c>
      <c r="D296" t="e" cm="1">
        <f t="array" aca="1" ref="D296" ca="1">TRANSLATE(Table3[[#This Row],[Description]],"id","en")</f>
        <v>#NAME?</v>
      </c>
      <c r="E296" t="s">
        <v>45</v>
      </c>
      <c r="F296">
        <f>_xlfn.XLOOKUP(Table3[[#This Row],[Category]],Table10[category],Table10[category_id],"Not found")</f>
        <v>2</v>
      </c>
      <c r="G296" t="str">
        <f>_xlfn.XLOOKUP(Table3[[#This Row],[Place_Id]],Table7[place_id],Table7[city3],"Not found")</f>
        <v>Bandung</v>
      </c>
      <c r="H296">
        <f>_xlfn.XLOOKUP(Table3[[#This Row],[City]],Table5[city_name],Table5[city_id],"Not found")</f>
        <v>22</v>
      </c>
      <c r="I296">
        <v>0</v>
      </c>
      <c r="K296">
        <v>-6.9406014999999996</v>
      </c>
      <c r="L296">
        <v>107.6725445</v>
      </c>
    </row>
    <row r="297" spans="1:12" ht="60" x14ac:dyDescent="0.25">
      <c r="A297">
        <v>296</v>
      </c>
      <c r="B297" t="s">
        <v>641</v>
      </c>
      <c r="C297" s="3" t="s">
        <v>642</v>
      </c>
      <c r="D297" s="3" t="e" cm="1">
        <f t="array" aca="1" ref="D297" ca="1">TRANSLATE(Table3[[#This Row],[Description]],"id","en")</f>
        <v>#NAME?</v>
      </c>
      <c r="E297" t="s">
        <v>51</v>
      </c>
      <c r="F297">
        <f>_xlfn.XLOOKUP(Table3[[#This Row],[Category]],Table10[category],Table10[category_id],"Not found")</f>
        <v>5</v>
      </c>
      <c r="G297" t="str">
        <f>_xlfn.XLOOKUP(Table3[[#This Row],[Place_Id]],Table7[place_id],Table7[city3],"Not found")</f>
        <v>Bandung</v>
      </c>
      <c r="H297">
        <f>_xlfn.XLOOKUP(Table3[[#This Row],[City]],Table5[city_name],Table5[city_id],"Not found")</f>
        <v>22</v>
      </c>
      <c r="I297">
        <v>70000</v>
      </c>
      <c r="K297">
        <v>-6.9632300000000003</v>
      </c>
      <c r="L297">
        <v>107.62641600000001</v>
      </c>
    </row>
    <row r="298" spans="1:12" x14ac:dyDescent="0.25">
      <c r="A298">
        <v>297</v>
      </c>
      <c r="B298" t="s">
        <v>643</v>
      </c>
      <c r="C298" t="s">
        <v>644</v>
      </c>
      <c r="D298" t="e" cm="1">
        <f t="array" aca="1" ref="D298" ca="1">TRANSLATE(Table3[[#This Row],[Description]],"id","en")</f>
        <v>#NAME?</v>
      </c>
      <c r="E298" t="s">
        <v>60</v>
      </c>
      <c r="F298">
        <f>_xlfn.XLOOKUP(Table3[[#This Row],[Category]],Table10[category],Table10[category_id],"Not found")</f>
        <v>3</v>
      </c>
      <c r="G298" t="str">
        <f>_xlfn.XLOOKUP(Table3[[#This Row],[Place_Id]],Table7[place_id],Table7[city3],"Not found")</f>
        <v>Bandung regency</v>
      </c>
      <c r="H298">
        <f>_xlfn.XLOOKUP(Table3[[#This Row],[City]],Table5[city_name],Table5[city_id],"Not found")</f>
        <v>23</v>
      </c>
      <c r="I298">
        <v>375000</v>
      </c>
      <c r="J298">
        <v>120</v>
      </c>
      <c r="K298">
        <v>-6.8629384</v>
      </c>
      <c r="L298">
        <v>107.64821910000001</v>
      </c>
    </row>
    <row r="299" spans="1:12" x14ac:dyDescent="0.25">
      <c r="A299">
        <v>298</v>
      </c>
      <c r="B299" t="s">
        <v>645</v>
      </c>
      <c r="C299" t="s">
        <v>646</v>
      </c>
      <c r="D299" t="e" cm="1">
        <f t="array" aca="1" ref="D299" ca="1">TRANSLATE(Table3[[#This Row],[Description]],"id","en")</f>
        <v>#NAME?</v>
      </c>
      <c r="E299" t="s">
        <v>60</v>
      </c>
      <c r="F299">
        <f>_xlfn.XLOOKUP(Table3[[#This Row],[Category]],Table10[category],Table10[category_id],"Not found")</f>
        <v>3</v>
      </c>
      <c r="G299" t="str">
        <f>_xlfn.XLOOKUP(Table3[[#This Row],[Place_Id]],Table7[place_id],Table7[city3],"Not found")</f>
        <v>West Bandung regency</v>
      </c>
      <c r="H299">
        <f>_xlfn.XLOOKUP(Table3[[#This Row],[City]],Table5[city_name],Table5[city_id],"Not found")</f>
        <v>33</v>
      </c>
      <c r="I299">
        <v>0</v>
      </c>
      <c r="K299">
        <v>-6.9580555999999998</v>
      </c>
      <c r="L299">
        <v>107.52055559999999</v>
      </c>
    </row>
    <row r="300" spans="1:12" x14ac:dyDescent="0.25">
      <c r="A300">
        <v>299</v>
      </c>
      <c r="B300" t="s">
        <v>647</v>
      </c>
      <c r="C300" t="s">
        <v>648</v>
      </c>
      <c r="D300" t="e" cm="1">
        <f t="array" aca="1" ref="D300" ca="1">TRANSLATE(Table3[[#This Row],[Description]],"id","en")</f>
        <v>#NAME?</v>
      </c>
      <c r="E300" t="s">
        <v>60</v>
      </c>
      <c r="F300">
        <f>_xlfn.XLOOKUP(Table3[[#This Row],[Category]],Table10[category],Table10[category_id],"Not found")</f>
        <v>3</v>
      </c>
      <c r="G300" t="str">
        <f>_xlfn.XLOOKUP(Table3[[#This Row],[Place_Id]],Table7[place_id],Table7[city3],"Not found")</f>
        <v>West Bandung regency</v>
      </c>
      <c r="H300">
        <f>_xlfn.XLOOKUP(Table3[[#This Row],[City]],Table5[city_name],Table5[city_id],"Not found")</f>
        <v>33</v>
      </c>
      <c r="I300">
        <v>10000</v>
      </c>
      <c r="J300">
        <v>120</v>
      </c>
      <c r="K300">
        <v>-6.7495267999999999</v>
      </c>
      <c r="L300">
        <v>107.478658</v>
      </c>
    </row>
    <row r="301" spans="1:12" ht="60" x14ac:dyDescent="0.25">
      <c r="A301">
        <v>300</v>
      </c>
      <c r="B301" t="s">
        <v>649</v>
      </c>
      <c r="C301" s="3" t="s">
        <v>650</v>
      </c>
      <c r="D301" s="3" t="e" cm="1">
        <f t="array" aca="1" ref="D301" ca="1">TRANSLATE(Table3[[#This Row],[Description]],"id","en")</f>
        <v>#NAME?</v>
      </c>
      <c r="E301" t="s">
        <v>60</v>
      </c>
      <c r="F301">
        <f>_xlfn.XLOOKUP(Table3[[#This Row],[Category]],Table10[category],Table10[category_id],"Not found")</f>
        <v>3</v>
      </c>
      <c r="G301" t="str">
        <f>_xlfn.XLOOKUP(Table3[[#This Row],[Place_Id]],Table7[place_id],Table7[city3],"Not found")</f>
        <v>West Bandung regency</v>
      </c>
      <c r="H301">
        <f>_xlfn.XLOOKUP(Table3[[#This Row],[City]],Table5[city_name],Table5[city_id],"Not found")</f>
        <v>33</v>
      </c>
      <c r="I301">
        <v>10000</v>
      </c>
      <c r="K301">
        <v>-6.8765131000000004</v>
      </c>
      <c r="L301">
        <v>107.3422183</v>
      </c>
    </row>
    <row r="302" spans="1:12" x14ac:dyDescent="0.25">
      <c r="A302">
        <v>301</v>
      </c>
      <c r="B302" t="s">
        <v>651</v>
      </c>
      <c r="C302" t="s">
        <v>652</v>
      </c>
      <c r="D302" t="e" cm="1">
        <f t="array" aca="1" ref="D302" ca="1">TRANSLATE(Table3[[#This Row],[Description]],"id","en")</f>
        <v>#NAME?</v>
      </c>
      <c r="E302" t="s">
        <v>60</v>
      </c>
      <c r="F302">
        <f>_xlfn.XLOOKUP(Table3[[#This Row],[Category]],Table10[category],Table10[category_id],"Not found")</f>
        <v>3</v>
      </c>
      <c r="G302" t="str">
        <f>_xlfn.XLOOKUP(Table3[[#This Row],[Place_Id]],Table7[place_id],Table7[city3],"Not found")</f>
        <v>West Bandung regency</v>
      </c>
      <c r="H302">
        <f>_xlfn.XLOOKUP(Table3[[#This Row],[City]],Table5[city_name],Table5[city_id],"Not found")</f>
        <v>33</v>
      </c>
      <c r="I302">
        <v>50000</v>
      </c>
      <c r="J302">
        <v>150</v>
      </c>
      <c r="K302">
        <v>-6.8425349999999998</v>
      </c>
      <c r="L302">
        <v>107.622698</v>
      </c>
    </row>
    <row r="303" spans="1:12" x14ac:dyDescent="0.25">
      <c r="A303">
        <v>302</v>
      </c>
      <c r="B303" t="s">
        <v>653</v>
      </c>
      <c r="C303" t="s">
        <v>654</v>
      </c>
      <c r="D303" t="e" cm="1">
        <f t="array" aca="1" ref="D303" ca="1">TRANSLATE(Table3[[#This Row],[Description]],"id","en")</f>
        <v>#NAME?</v>
      </c>
      <c r="E303" t="s">
        <v>93</v>
      </c>
      <c r="F303">
        <f>_xlfn.XLOOKUP(Table3[[#This Row],[Category]],Table10[category],Table10[category_id],"Not found")</f>
        <v>6</v>
      </c>
      <c r="G303" t="str">
        <f>_xlfn.XLOOKUP(Table3[[#This Row],[Place_Id]],Table7[place_id],Table7[city3],"Not found")</f>
        <v>Bandung</v>
      </c>
      <c r="H303">
        <f>_xlfn.XLOOKUP(Table3[[#This Row],[City]],Table5[city_name],Table5[city_id],"Not found")</f>
        <v>22</v>
      </c>
      <c r="I303">
        <v>0</v>
      </c>
      <c r="K303">
        <v>-6.9000671999999996</v>
      </c>
      <c r="L303">
        <v>107.62587000000001</v>
      </c>
    </row>
    <row r="304" spans="1:12" x14ac:dyDescent="0.25">
      <c r="A304">
        <v>303</v>
      </c>
      <c r="B304" t="s">
        <v>655</v>
      </c>
      <c r="C304" t="s">
        <v>656</v>
      </c>
      <c r="D304" t="e" cm="1">
        <f t="array" aca="1" ref="D304" ca="1">TRANSLATE(Table3[[#This Row],[Description]],"id","en")</f>
        <v>#NAME?</v>
      </c>
      <c r="E304" t="s">
        <v>93</v>
      </c>
      <c r="F304">
        <f>_xlfn.XLOOKUP(Table3[[#This Row],[Category]],Table10[category],Table10[category_id],"Not found")</f>
        <v>6</v>
      </c>
      <c r="G304" t="str">
        <f>_xlfn.XLOOKUP(Table3[[#This Row],[Place_Id]],Table7[place_id],Table7[city3],"Not found")</f>
        <v>Bandung</v>
      </c>
      <c r="H304">
        <f>_xlfn.XLOOKUP(Table3[[#This Row],[City]],Table5[city_name],Table5[city_id],"Not found")</f>
        <v>22</v>
      </c>
      <c r="I304">
        <v>0</v>
      </c>
      <c r="K304">
        <v>-6.9194250000000004</v>
      </c>
      <c r="L304">
        <v>107.6078639</v>
      </c>
    </row>
    <row r="305" spans="1:12" x14ac:dyDescent="0.25">
      <c r="A305">
        <v>304</v>
      </c>
      <c r="B305" t="s">
        <v>657</v>
      </c>
      <c r="C305" t="s">
        <v>658</v>
      </c>
      <c r="D305" t="e" cm="1">
        <f t="array" aca="1" ref="D305" ca="1">TRANSLATE(Table3[[#This Row],[Description]],"id","en")</f>
        <v>#NAME?</v>
      </c>
      <c r="E305" t="s">
        <v>60</v>
      </c>
      <c r="F305">
        <f>_xlfn.XLOOKUP(Table3[[#This Row],[Category]],Table10[category],Table10[category_id],"Not found")</f>
        <v>3</v>
      </c>
      <c r="G305" t="str">
        <f>_xlfn.XLOOKUP(Table3[[#This Row],[Place_Id]],Table7[place_id],Table7[city3],"Not found")</f>
        <v>Bandung regency</v>
      </c>
      <c r="H305">
        <f>_xlfn.XLOOKUP(Table3[[#This Row],[City]],Table5[city_name],Table5[city_id],"Not found")</f>
        <v>23</v>
      </c>
      <c r="I305">
        <v>2500</v>
      </c>
      <c r="K305">
        <v>-7.1923281000000001</v>
      </c>
      <c r="L305">
        <v>107.5510012</v>
      </c>
    </row>
    <row r="306" spans="1:12" x14ac:dyDescent="0.25">
      <c r="A306">
        <v>305</v>
      </c>
      <c r="B306" t="s">
        <v>659</v>
      </c>
      <c r="C306" t="s">
        <v>660</v>
      </c>
      <c r="D306" t="e" cm="1">
        <f t="array" aca="1" ref="D306" ca="1">TRANSLATE(Table3[[#This Row],[Description]],"id","en")</f>
        <v>#NAME?</v>
      </c>
      <c r="E306" t="s">
        <v>60</v>
      </c>
      <c r="F306">
        <f>_xlfn.XLOOKUP(Table3[[#This Row],[Category]],Table10[category],Table10[category_id],"Not found")</f>
        <v>3</v>
      </c>
      <c r="G306" t="str">
        <f>_xlfn.XLOOKUP(Table3[[#This Row],[Place_Id]],Table7[place_id],Table7[city3],"Not found")</f>
        <v>Bandung regency</v>
      </c>
      <c r="H306">
        <f>_xlfn.XLOOKUP(Table3[[#This Row],[City]],Table5[city_name],Table5[city_id],"Not found")</f>
        <v>23</v>
      </c>
      <c r="I306">
        <v>10000</v>
      </c>
      <c r="K306">
        <v>-7.233689</v>
      </c>
      <c r="L306">
        <v>107.5342933</v>
      </c>
    </row>
    <row r="307" spans="1:12" x14ac:dyDescent="0.25">
      <c r="A307">
        <v>306</v>
      </c>
      <c r="B307" t="s">
        <v>661</v>
      </c>
      <c r="C307" t="s">
        <v>662</v>
      </c>
      <c r="D307" t="e" cm="1">
        <f t="array" aca="1" ref="D307" ca="1">TRANSLATE(Table3[[#This Row],[Description]],"id","en")</f>
        <v>#NAME?</v>
      </c>
      <c r="E307" t="s">
        <v>60</v>
      </c>
      <c r="F307">
        <f>_xlfn.XLOOKUP(Table3[[#This Row],[Category]],Table10[category],Table10[category_id],"Not found")</f>
        <v>3</v>
      </c>
      <c r="G307" t="str">
        <f>_xlfn.XLOOKUP(Table3[[#This Row],[Place_Id]],Table7[place_id],Table7[city3],"Not found")</f>
        <v>Bandung regency</v>
      </c>
      <c r="H307">
        <f>_xlfn.XLOOKUP(Table3[[#This Row],[City]],Table5[city_name],Table5[city_id],"Not found")</f>
        <v>23</v>
      </c>
      <c r="I307">
        <v>150000</v>
      </c>
      <c r="K307">
        <v>-7.1965022999999997</v>
      </c>
      <c r="L307">
        <v>107.5454594</v>
      </c>
    </row>
    <row r="308" spans="1:12" x14ac:dyDescent="0.25">
      <c r="A308">
        <v>307</v>
      </c>
      <c r="B308" t="s">
        <v>663</v>
      </c>
      <c r="C308" t="s">
        <v>664</v>
      </c>
      <c r="D308" t="e" cm="1">
        <f t="array" aca="1" ref="D308" ca="1">TRANSLATE(Table3[[#This Row],[Description]],"id","en")</f>
        <v>#NAME?</v>
      </c>
      <c r="E308" t="s">
        <v>60</v>
      </c>
      <c r="F308">
        <f>_xlfn.XLOOKUP(Table3[[#This Row],[Category]],Table10[category],Table10[category_id],"Not found")</f>
        <v>3</v>
      </c>
      <c r="G308" t="str">
        <f>_xlfn.XLOOKUP(Table3[[#This Row],[Place_Id]],Table7[place_id],Table7[city3],"Not found")</f>
        <v>Bandung regency</v>
      </c>
      <c r="H308">
        <f>_xlfn.XLOOKUP(Table3[[#This Row],[City]],Table5[city_name],Table5[city_id],"Not found")</f>
        <v>23</v>
      </c>
      <c r="I308">
        <v>5000</v>
      </c>
      <c r="K308">
        <v>-7.2274463000000004</v>
      </c>
      <c r="L308">
        <v>107.6050805</v>
      </c>
    </row>
    <row r="309" spans="1:12" x14ac:dyDescent="0.25">
      <c r="A309">
        <v>308</v>
      </c>
      <c r="B309" t="s">
        <v>665</v>
      </c>
      <c r="C309" t="s">
        <v>666</v>
      </c>
      <c r="D309" t="e" cm="1">
        <f t="array" aca="1" ref="D309" ca="1">TRANSLATE(Table3[[#This Row],[Description]],"id","en")</f>
        <v>#NAME?</v>
      </c>
      <c r="E309" t="s">
        <v>60</v>
      </c>
      <c r="F309">
        <f>_xlfn.XLOOKUP(Table3[[#This Row],[Category]],Table10[category],Table10[category_id],"Not found")</f>
        <v>3</v>
      </c>
      <c r="G309" t="str">
        <f>_xlfn.XLOOKUP(Table3[[#This Row],[Place_Id]],Table7[place_id],Table7[city3],"Not found")</f>
        <v>Subang</v>
      </c>
      <c r="H309">
        <f>_xlfn.XLOOKUP(Table3[[#This Row],[City]],Table5[city_name],Table5[city_id],"Not found")</f>
        <v>32</v>
      </c>
      <c r="I309">
        <v>15000</v>
      </c>
      <c r="K309">
        <v>-6.7380852999999998</v>
      </c>
      <c r="L309">
        <v>107.65660920000001</v>
      </c>
    </row>
    <row r="310" spans="1:12" x14ac:dyDescent="0.25">
      <c r="A310">
        <v>309</v>
      </c>
      <c r="B310" t="s">
        <v>667</v>
      </c>
      <c r="C310" t="s">
        <v>668</v>
      </c>
      <c r="D310" t="e" cm="1">
        <f t="array" aca="1" ref="D310" ca="1">TRANSLATE(Table3[[#This Row],[Description]],"id","en")</f>
        <v>#NAME?</v>
      </c>
      <c r="E310" t="s">
        <v>60</v>
      </c>
      <c r="F310">
        <f>_xlfn.XLOOKUP(Table3[[#This Row],[Category]],Table10[category],Table10[category_id],"Not found")</f>
        <v>3</v>
      </c>
      <c r="G310" t="str">
        <f>_xlfn.XLOOKUP(Table3[[#This Row],[Place_Id]],Table7[place_id],Table7[city3],"Not found")</f>
        <v>West Bandung regency</v>
      </c>
      <c r="H310">
        <f>_xlfn.XLOOKUP(Table3[[#This Row],[City]],Table5[city_name],Table5[city_id],"Not found")</f>
        <v>33</v>
      </c>
      <c r="I310">
        <v>25000</v>
      </c>
      <c r="K310">
        <v>-6.8246311000000004</v>
      </c>
      <c r="L310">
        <v>107.6171106</v>
      </c>
    </row>
    <row r="311" spans="1:12" x14ac:dyDescent="0.25">
      <c r="A311">
        <v>310</v>
      </c>
      <c r="B311" t="s">
        <v>669</v>
      </c>
      <c r="C311" t="s">
        <v>670</v>
      </c>
      <c r="D311" t="e" cm="1">
        <f t="array" aca="1" ref="D311" ca="1">TRANSLATE(Table3[[#This Row],[Description]],"id","en")</f>
        <v>#NAME?</v>
      </c>
      <c r="E311" t="s">
        <v>60</v>
      </c>
      <c r="F311">
        <f>_xlfn.XLOOKUP(Table3[[#This Row],[Category]],Table10[category],Table10[category_id],"Not found")</f>
        <v>3</v>
      </c>
      <c r="G311" t="str">
        <f>_xlfn.XLOOKUP(Table3[[#This Row],[Place_Id]],Table7[place_id],Table7[city3],"Not found")</f>
        <v>West Bandung regency</v>
      </c>
      <c r="H311">
        <f>_xlfn.XLOOKUP(Table3[[#This Row],[City]],Table5[city_name],Table5[city_id],"Not found")</f>
        <v>33</v>
      </c>
      <c r="I311">
        <v>0</v>
      </c>
      <c r="J311">
        <v>45</v>
      </c>
      <c r="K311">
        <v>-6.8038882999999997</v>
      </c>
      <c r="L311">
        <v>107.58663129999999</v>
      </c>
    </row>
    <row r="312" spans="1:12" x14ac:dyDescent="0.25">
      <c r="A312">
        <v>311</v>
      </c>
      <c r="B312" t="s">
        <v>671</v>
      </c>
      <c r="C312" t="s">
        <v>672</v>
      </c>
      <c r="D312" t="e" cm="1">
        <f t="array" aca="1" ref="D312" ca="1">TRANSLATE(Table3[[#This Row],[Description]],"id","en")</f>
        <v>#NAME?</v>
      </c>
      <c r="E312" t="s">
        <v>60</v>
      </c>
      <c r="F312">
        <f>_xlfn.XLOOKUP(Table3[[#This Row],[Category]],Table10[category],Table10[category_id],"Not found")</f>
        <v>3</v>
      </c>
      <c r="G312" t="str">
        <f>_xlfn.XLOOKUP(Table3[[#This Row],[Place_Id]],Table7[place_id],Table7[city3],"Not found")</f>
        <v>West Bandung regency</v>
      </c>
      <c r="H312">
        <f>_xlfn.XLOOKUP(Table3[[#This Row],[City]],Table5[city_name],Table5[city_id],"Not found")</f>
        <v>33</v>
      </c>
      <c r="I312">
        <v>25000</v>
      </c>
      <c r="J312">
        <v>150</v>
      </c>
      <c r="K312">
        <v>-6.8294112</v>
      </c>
      <c r="L312">
        <v>107.68746659999999</v>
      </c>
    </row>
    <row r="313" spans="1:12" x14ac:dyDescent="0.25">
      <c r="A313">
        <v>312</v>
      </c>
      <c r="B313" t="s">
        <v>673</v>
      </c>
      <c r="C313" t="s">
        <v>674</v>
      </c>
      <c r="D313" t="e" cm="1">
        <f t="array" aca="1" ref="D313" ca="1">TRANSLATE(Table3[[#This Row],[Description]],"id","en")</f>
        <v>#NAME?</v>
      </c>
      <c r="E313" t="s">
        <v>60</v>
      </c>
      <c r="F313">
        <f>_xlfn.XLOOKUP(Table3[[#This Row],[Category]],Table10[category],Table10[category_id],"Not found")</f>
        <v>3</v>
      </c>
      <c r="G313" t="str">
        <f>_xlfn.XLOOKUP(Table3[[#This Row],[Place_Id]],Table7[place_id],Table7[city3],"Not found")</f>
        <v>West Bandung regency</v>
      </c>
      <c r="H313">
        <f>_xlfn.XLOOKUP(Table3[[#This Row],[City]],Table5[city_name],Table5[city_id],"Not found")</f>
        <v>33</v>
      </c>
      <c r="I313">
        <v>10000</v>
      </c>
      <c r="J313">
        <v>90</v>
      </c>
      <c r="K313">
        <v>-6.8260163</v>
      </c>
      <c r="L313">
        <v>107.63835640000001</v>
      </c>
    </row>
    <row r="314" spans="1:12" x14ac:dyDescent="0.25">
      <c r="A314">
        <v>313</v>
      </c>
      <c r="B314" t="s">
        <v>675</v>
      </c>
      <c r="C314" t="s">
        <v>676</v>
      </c>
      <c r="D314" t="e" cm="1">
        <f t="array" aca="1" ref="D314" ca="1">TRANSLATE(Table3[[#This Row],[Description]],"id","en")</f>
        <v>#NAME?</v>
      </c>
      <c r="E314" t="s">
        <v>60</v>
      </c>
      <c r="F314">
        <f>_xlfn.XLOOKUP(Table3[[#This Row],[Category]],Table10[category],Table10[category_id],"Not found")</f>
        <v>3</v>
      </c>
      <c r="G314" t="str">
        <f>_xlfn.XLOOKUP(Table3[[#This Row],[Place_Id]],Table7[place_id],Table7[city3],"Not found")</f>
        <v>West Bandung regency</v>
      </c>
      <c r="H314">
        <f>_xlfn.XLOOKUP(Table3[[#This Row],[City]],Table5[city_name],Table5[city_id],"Not found")</f>
        <v>33</v>
      </c>
      <c r="I314">
        <v>0</v>
      </c>
      <c r="J314">
        <v>180</v>
      </c>
      <c r="K314">
        <v>-6.8426445999999999</v>
      </c>
      <c r="L314">
        <v>107.62284080000001</v>
      </c>
    </row>
    <row r="315" spans="1:12" ht="45" x14ac:dyDescent="0.25">
      <c r="A315">
        <v>314</v>
      </c>
      <c r="B315" t="s">
        <v>677</v>
      </c>
      <c r="C315" s="3" t="s">
        <v>678</v>
      </c>
      <c r="D315" s="3" t="e" cm="1">
        <f t="array" aca="1" ref="D315" ca="1">TRANSLATE(Table3[[#This Row],[Description]],"id","en")</f>
        <v>#NAME?</v>
      </c>
      <c r="E315" t="s">
        <v>60</v>
      </c>
      <c r="F315">
        <f>_xlfn.XLOOKUP(Table3[[#This Row],[Category]],Table10[category],Table10[category_id],"Not found")</f>
        <v>3</v>
      </c>
      <c r="G315" t="str">
        <f>_xlfn.XLOOKUP(Table3[[#This Row],[Place_Id]],Table7[place_id],Table7[city3],"Not found")</f>
        <v>West Bandung regency</v>
      </c>
      <c r="H315">
        <f>_xlfn.XLOOKUP(Table3[[#This Row],[City]],Table5[city_name],Table5[city_id],"Not found")</f>
        <v>33</v>
      </c>
      <c r="I315">
        <v>5000</v>
      </c>
      <c r="K315">
        <v>-6.8131766999999996</v>
      </c>
      <c r="L315">
        <v>107.7136367</v>
      </c>
    </row>
    <row r="316" spans="1:12" ht="75" x14ac:dyDescent="0.25">
      <c r="A316">
        <v>315</v>
      </c>
      <c r="B316" t="s">
        <v>679</v>
      </c>
      <c r="C316" s="3" t="s">
        <v>680</v>
      </c>
      <c r="D316" s="3" t="e" cm="1">
        <f t="array" aca="1" ref="D316" ca="1">TRANSLATE(Table3[[#This Row],[Description]],"id","en")</f>
        <v>#NAME?</v>
      </c>
      <c r="E316" t="s">
        <v>60</v>
      </c>
      <c r="F316">
        <f>_xlfn.XLOOKUP(Table3[[#This Row],[Category]],Table10[category],Table10[category_id],"Not found")</f>
        <v>3</v>
      </c>
      <c r="G316" t="str">
        <f>_xlfn.XLOOKUP(Table3[[#This Row],[Place_Id]],Table7[place_id],Table7[city3],"Not found")</f>
        <v>West Bandung regency</v>
      </c>
      <c r="H316">
        <f>_xlfn.XLOOKUP(Table3[[#This Row],[City]],Table5[city_name],Table5[city_id],"Not found")</f>
        <v>33</v>
      </c>
      <c r="I316">
        <v>10000</v>
      </c>
      <c r="K316">
        <v>-7.0182386000000001</v>
      </c>
      <c r="L316">
        <v>107.20721450000001</v>
      </c>
    </row>
    <row r="317" spans="1:12" x14ac:dyDescent="0.25">
      <c r="A317">
        <v>316</v>
      </c>
      <c r="B317" t="s">
        <v>681</v>
      </c>
      <c r="C317" t="s">
        <v>682</v>
      </c>
      <c r="D317" t="e" cm="1">
        <f t="array" aca="1" ref="D317" ca="1">TRANSLATE(Table3[[#This Row],[Description]],"id","en")</f>
        <v>#NAME?</v>
      </c>
      <c r="E317" t="s">
        <v>60</v>
      </c>
      <c r="F317">
        <f>_xlfn.XLOOKUP(Table3[[#This Row],[Category]],Table10[category],Table10[category_id],"Not found")</f>
        <v>3</v>
      </c>
      <c r="G317" t="str">
        <f>_xlfn.XLOOKUP(Table3[[#This Row],[Place_Id]],Table7[place_id],Table7[city3],"Not found")</f>
        <v>West Bandung regency</v>
      </c>
      <c r="H317">
        <f>_xlfn.XLOOKUP(Table3[[#This Row],[City]],Table5[city_name],Table5[city_id],"Not found")</f>
        <v>33</v>
      </c>
      <c r="I317">
        <v>15000</v>
      </c>
      <c r="J317">
        <v>30</v>
      </c>
      <c r="K317">
        <v>-6.7977382999999998</v>
      </c>
      <c r="L317">
        <v>107.5783691</v>
      </c>
    </row>
    <row r="318" spans="1:12" x14ac:dyDescent="0.25">
      <c r="A318">
        <v>317</v>
      </c>
      <c r="B318" t="s">
        <v>683</v>
      </c>
      <c r="C318" t="s">
        <v>684</v>
      </c>
      <c r="D318" t="e" cm="1">
        <f t="array" aca="1" ref="D318" ca="1">TRANSLATE(Table3[[#This Row],[Description]],"id","en")</f>
        <v>#NAME?</v>
      </c>
      <c r="E318" t="s">
        <v>60</v>
      </c>
      <c r="F318">
        <f>_xlfn.XLOOKUP(Table3[[#This Row],[Category]],Table10[category],Table10[category_id],"Not found")</f>
        <v>3</v>
      </c>
      <c r="G318" t="str">
        <f>_xlfn.XLOOKUP(Table3[[#This Row],[Place_Id]],Table7[place_id],Table7[city3],"Not found")</f>
        <v>Bandung regency</v>
      </c>
      <c r="H318">
        <f>_xlfn.XLOOKUP(Table3[[#This Row],[City]],Table5[city_name],Table5[city_id],"Not found")</f>
        <v>23</v>
      </c>
      <c r="I318">
        <v>20000</v>
      </c>
      <c r="K318">
        <v>-7.1669649</v>
      </c>
      <c r="L318">
        <v>107.35753440000001</v>
      </c>
    </row>
    <row r="319" spans="1:12" x14ac:dyDescent="0.25">
      <c r="A319">
        <v>318</v>
      </c>
      <c r="B319" t="s">
        <v>685</v>
      </c>
      <c r="C319" t="s">
        <v>686</v>
      </c>
      <c r="D319" t="e" cm="1">
        <f t="array" aca="1" ref="D319" ca="1">TRANSLATE(Table3[[#This Row],[Description]],"id","en")</f>
        <v>#NAME?</v>
      </c>
      <c r="E319" t="s">
        <v>60</v>
      </c>
      <c r="F319">
        <f>_xlfn.XLOOKUP(Table3[[#This Row],[Category]],Table10[category],Table10[category_id],"Not found")</f>
        <v>3</v>
      </c>
      <c r="G319" t="str">
        <f>_xlfn.XLOOKUP(Table3[[#This Row],[Place_Id]],Table7[place_id],Table7[city3],"Not found")</f>
        <v>Bandung regency</v>
      </c>
      <c r="H319">
        <f>_xlfn.XLOOKUP(Table3[[#This Row],[City]],Table5[city_name],Table5[city_id],"Not found")</f>
        <v>23</v>
      </c>
      <c r="I319">
        <v>5000</v>
      </c>
      <c r="K319">
        <v>-7.1724126000000004</v>
      </c>
      <c r="L319">
        <v>107.3766656</v>
      </c>
    </row>
    <row r="320" spans="1:12" x14ac:dyDescent="0.25">
      <c r="A320">
        <v>319</v>
      </c>
      <c r="B320" t="s">
        <v>687</v>
      </c>
      <c r="C320" t="s">
        <v>688</v>
      </c>
      <c r="D320" t="e" cm="1">
        <f t="array" aca="1" ref="D320" ca="1">TRANSLATE(Table3[[#This Row],[Description]],"id","en")</f>
        <v>#NAME?</v>
      </c>
      <c r="E320" t="s">
        <v>60</v>
      </c>
      <c r="F320">
        <f>_xlfn.XLOOKUP(Table3[[#This Row],[Category]],Table10[category],Table10[category_id],"Not found")</f>
        <v>3</v>
      </c>
      <c r="G320" t="str">
        <f>_xlfn.XLOOKUP(Table3[[#This Row],[Place_Id]],Table7[place_id],Table7[city3],"Not found")</f>
        <v>Bandung regency</v>
      </c>
      <c r="H320">
        <f>_xlfn.XLOOKUP(Table3[[#This Row],[City]],Table5[city_name],Table5[city_id],"Not found")</f>
        <v>23</v>
      </c>
      <c r="I320">
        <v>23000</v>
      </c>
      <c r="J320">
        <v>60</v>
      </c>
      <c r="K320">
        <v>-7.1471529</v>
      </c>
      <c r="L320">
        <v>107.3901424</v>
      </c>
    </row>
    <row r="321" spans="1:12" x14ac:dyDescent="0.25">
      <c r="A321">
        <v>320</v>
      </c>
      <c r="B321" t="s">
        <v>689</v>
      </c>
      <c r="C321" t="s">
        <v>690</v>
      </c>
      <c r="D321" t="e" cm="1">
        <f t="array" aca="1" ref="D321" ca="1">TRANSLATE(Table3[[#This Row],[Description]],"id","en")</f>
        <v>#NAME?</v>
      </c>
      <c r="E321" t="s">
        <v>51</v>
      </c>
      <c r="F321">
        <f>_xlfn.XLOOKUP(Table3[[#This Row],[Category]],Table10[category],Table10[category_id],"Not found")</f>
        <v>5</v>
      </c>
      <c r="G321" t="str">
        <f>_xlfn.XLOOKUP(Table3[[#This Row],[Place_Id]],Table7[place_id],Table7[city3],"Not found")</f>
        <v>Bandung regency</v>
      </c>
      <c r="H321">
        <f>_xlfn.XLOOKUP(Table3[[#This Row],[City]],Table5[city_name],Table5[city_id],"Not found")</f>
        <v>23</v>
      </c>
      <c r="I321">
        <v>30000</v>
      </c>
      <c r="K321">
        <v>-7.1675908000000002</v>
      </c>
      <c r="L321">
        <v>107.3532419</v>
      </c>
    </row>
    <row r="322" spans="1:12" x14ac:dyDescent="0.25">
      <c r="A322">
        <v>321</v>
      </c>
      <c r="B322" t="s">
        <v>691</v>
      </c>
      <c r="C322" t="s">
        <v>692</v>
      </c>
      <c r="D322" t="e" cm="1">
        <f t="array" aca="1" ref="D322" ca="1">TRANSLATE(Table3[[#This Row],[Description]],"id","en")</f>
        <v>#NAME?</v>
      </c>
      <c r="E322" t="s">
        <v>60</v>
      </c>
      <c r="F322">
        <f>_xlfn.XLOOKUP(Table3[[#This Row],[Category]],Table10[category],Table10[category_id],"Not found")</f>
        <v>3</v>
      </c>
      <c r="G322" t="str">
        <f>_xlfn.XLOOKUP(Table3[[#This Row],[Place_Id]],Table7[place_id],Table7[city3],"Not found")</f>
        <v>Bandung regency</v>
      </c>
      <c r="H322">
        <f>_xlfn.XLOOKUP(Table3[[#This Row],[City]],Table5[city_name],Table5[city_id],"Not found")</f>
        <v>23</v>
      </c>
      <c r="I322">
        <v>0</v>
      </c>
      <c r="K322">
        <v>-7.1951102000000002</v>
      </c>
      <c r="L322">
        <v>107.43128110000001</v>
      </c>
    </row>
    <row r="323" spans="1:12" x14ac:dyDescent="0.25">
      <c r="A323">
        <v>322</v>
      </c>
      <c r="B323" t="s">
        <v>693</v>
      </c>
      <c r="C323" t="s">
        <v>694</v>
      </c>
      <c r="D323" t="e" cm="1">
        <f t="array" aca="1" ref="D323" ca="1">TRANSLATE(Table3[[#This Row],[Description]],"id","en")</f>
        <v>#NAME?</v>
      </c>
      <c r="E323" t="s">
        <v>60</v>
      </c>
      <c r="F323">
        <f>_xlfn.XLOOKUP(Table3[[#This Row],[Category]],Table10[category],Table10[category_id],"Not found")</f>
        <v>3</v>
      </c>
      <c r="G323" t="str">
        <f>_xlfn.XLOOKUP(Table3[[#This Row],[Place_Id]],Table7[place_id],Table7[city3],"Not found")</f>
        <v>Bandung regency</v>
      </c>
      <c r="H323">
        <f>_xlfn.XLOOKUP(Table3[[#This Row],[City]],Table5[city_name],Table5[city_id],"Not found")</f>
        <v>23</v>
      </c>
      <c r="I323">
        <v>0</v>
      </c>
      <c r="J323">
        <v>90</v>
      </c>
      <c r="K323">
        <v>-6.6013210000000004</v>
      </c>
      <c r="L323">
        <v>106.632734</v>
      </c>
    </row>
    <row r="324" spans="1:12" ht="45" x14ac:dyDescent="0.25">
      <c r="A324">
        <v>323</v>
      </c>
      <c r="B324" t="s">
        <v>695</v>
      </c>
      <c r="C324" s="3" t="s">
        <v>696</v>
      </c>
      <c r="D324" s="3" t="e" cm="1">
        <f t="array" aca="1" ref="D324" ca="1">TRANSLATE(Table3[[#This Row],[Description]],"id","en")</f>
        <v>#NAME?</v>
      </c>
      <c r="E324" t="s">
        <v>60</v>
      </c>
      <c r="F324">
        <f>_xlfn.XLOOKUP(Table3[[#This Row],[Category]],Table10[category],Table10[category_id],"Not found")</f>
        <v>3</v>
      </c>
      <c r="G324" t="str">
        <f>_xlfn.XLOOKUP(Table3[[#This Row],[Place_Id]],Table7[place_id],Table7[city3],"Not found")</f>
        <v>Bandung regency</v>
      </c>
      <c r="H324">
        <f>_xlfn.XLOOKUP(Table3[[#This Row],[City]],Table5[city_name],Table5[city_id],"Not found")</f>
        <v>23</v>
      </c>
      <c r="I324">
        <v>15000</v>
      </c>
      <c r="J324">
        <v>90</v>
      </c>
      <c r="K324">
        <v>-7.1147876999999999</v>
      </c>
      <c r="L324">
        <v>107.4380865</v>
      </c>
    </row>
    <row r="325" spans="1:12" x14ac:dyDescent="0.25">
      <c r="A325">
        <v>324</v>
      </c>
      <c r="B325" t="s">
        <v>697</v>
      </c>
      <c r="C325" t="s">
        <v>698</v>
      </c>
      <c r="D325" t="e" cm="1">
        <f t="array" aca="1" ref="D325" ca="1">TRANSLATE(Table3[[#This Row],[Description]],"id","en")</f>
        <v>#NAME?</v>
      </c>
      <c r="E325" t="s">
        <v>45</v>
      </c>
      <c r="F325">
        <f>_xlfn.XLOOKUP(Table3[[#This Row],[Category]],Table10[category],Table10[category_id],"Not found")</f>
        <v>2</v>
      </c>
      <c r="G325" t="str">
        <f>_xlfn.XLOOKUP(Table3[[#This Row],[Place_Id]],Table7[place_id],Table7[city3],"Not found")</f>
        <v>Bandung</v>
      </c>
      <c r="H325">
        <f>_xlfn.XLOOKUP(Table3[[#This Row],[City]],Table5[city_name],Table5[city_id],"Not found")</f>
        <v>22</v>
      </c>
      <c r="I325">
        <v>75000</v>
      </c>
      <c r="K325">
        <v>-6.8971362000000003</v>
      </c>
      <c r="L325">
        <v>107.6558466</v>
      </c>
    </row>
    <row r="326" spans="1:12" x14ac:dyDescent="0.25">
      <c r="A326">
        <v>325</v>
      </c>
      <c r="B326" t="s">
        <v>699</v>
      </c>
      <c r="C326" t="s">
        <v>700</v>
      </c>
      <c r="D326" t="e" cm="1">
        <f t="array" aca="1" ref="D326" ca="1">TRANSLATE(Table3[[#This Row],[Description]],"id","en")</f>
        <v>#NAME?</v>
      </c>
      <c r="E326" t="s">
        <v>60</v>
      </c>
      <c r="F326">
        <f>_xlfn.XLOOKUP(Table3[[#This Row],[Category]],Table10[category],Table10[category_id],"Not found")</f>
        <v>3</v>
      </c>
      <c r="G326" t="str">
        <f>_xlfn.XLOOKUP(Table3[[#This Row],[Place_Id]],Table7[place_id],Table7[city3],"Not found")</f>
        <v>West Bandung regency</v>
      </c>
      <c r="H326">
        <f>_xlfn.XLOOKUP(Table3[[#This Row],[City]],Table5[city_name],Table5[city_id],"Not found")</f>
        <v>33</v>
      </c>
      <c r="I326">
        <v>10000</v>
      </c>
      <c r="K326">
        <v>-6.8590046999999998</v>
      </c>
      <c r="L326">
        <v>107.56877900000001</v>
      </c>
    </row>
    <row r="327" spans="1:12" x14ac:dyDescent="0.25">
      <c r="A327">
        <v>326</v>
      </c>
      <c r="B327" t="s">
        <v>701</v>
      </c>
      <c r="C327" t="s">
        <v>702</v>
      </c>
      <c r="D327" t="e" cm="1">
        <f t="array" aca="1" ref="D327" ca="1">TRANSLATE(Table3[[#This Row],[Description]],"id","en")</f>
        <v>#NAME?</v>
      </c>
      <c r="E327" t="s">
        <v>51</v>
      </c>
      <c r="F327">
        <f>_xlfn.XLOOKUP(Table3[[#This Row],[Category]],Table10[category],Table10[category_id],"Not found")</f>
        <v>5</v>
      </c>
      <c r="G327" t="str">
        <f>_xlfn.XLOOKUP(Table3[[#This Row],[Place_Id]],Table7[place_id],Table7[city3],"Not found")</f>
        <v>West Bandung regency</v>
      </c>
      <c r="H327">
        <f>_xlfn.XLOOKUP(Table3[[#This Row],[City]],Table5[city_name],Table5[city_id],"Not found")</f>
        <v>33</v>
      </c>
      <c r="I327">
        <v>15000</v>
      </c>
      <c r="K327">
        <v>-6.8173269999999997</v>
      </c>
      <c r="L327">
        <v>107.61794</v>
      </c>
    </row>
    <row r="328" spans="1:12" ht="45" x14ac:dyDescent="0.25">
      <c r="A328">
        <v>327</v>
      </c>
      <c r="B328" t="s">
        <v>703</v>
      </c>
      <c r="C328" s="3" t="s">
        <v>704</v>
      </c>
      <c r="D328" s="3" t="e" cm="1">
        <f t="array" aca="1" ref="D328" ca="1">TRANSLATE(Table3[[#This Row],[Description]],"id","en")</f>
        <v>#NAME?</v>
      </c>
      <c r="E328" t="s">
        <v>60</v>
      </c>
      <c r="F328">
        <f>_xlfn.XLOOKUP(Table3[[#This Row],[Category]],Table10[category],Table10[category_id],"Not found")</f>
        <v>3</v>
      </c>
      <c r="G328" t="str">
        <f>_xlfn.XLOOKUP(Table3[[#This Row],[Place_Id]],Table7[place_id],Table7[city3],"Not found")</f>
        <v>West Bandung regency</v>
      </c>
      <c r="H328">
        <f>_xlfn.XLOOKUP(Table3[[#This Row],[City]],Table5[city_name],Table5[city_id],"Not found")</f>
        <v>33</v>
      </c>
      <c r="I328">
        <v>10000</v>
      </c>
      <c r="J328">
        <v>90</v>
      </c>
      <c r="K328">
        <v>-6.8231833000000002</v>
      </c>
      <c r="L328">
        <v>107.43716550000001</v>
      </c>
    </row>
    <row r="329" spans="1:12" x14ac:dyDescent="0.25">
      <c r="A329">
        <v>328</v>
      </c>
      <c r="B329" t="s">
        <v>705</v>
      </c>
      <c r="C329" t="s">
        <v>706</v>
      </c>
      <c r="D329" t="e" cm="1">
        <f t="array" aca="1" ref="D329" ca="1">TRANSLATE(Table3[[#This Row],[Description]],"id","en")</f>
        <v>#NAME?</v>
      </c>
      <c r="E329" t="s">
        <v>60</v>
      </c>
      <c r="F329">
        <f>_xlfn.XLOOKUP(Table3[[#This Row],[Category]],Table10[category],Table10[category_id],"Not found")</f>
        <v>3</v>
      </c>
      <c r="G329" t="str">
        <f>_xlfn.XLOOKUP(Table3[[#This Row],[Place_Id]],Table7[place_id],Table7[city3],"Not found")</f>
        <v>West Bandung regency</v>
      </c>
      <c r="H329">
        <f>_xlfn.XLOOKUP(Table3[[#This Row],[City]],Table5[city_name],Table5[city_id],"Not found")</f>
        <v>33</v>
      </c>
      <c r="I329">
        <v>0</v>
      </c>
      <c r="J329">
        <v>45</v>
      </c>
      <c r="K329">
        <v>-6.9588812000000004</v>
      </c>
      <c r="L329">
        <v>107.47131469999999</v>
      </c>
    </row>
    <row r="330" spans="1:12" x14ac:dyDescent="0.25">
      <c r="A330">
        <v>329</v>
      </c>
      <c r="B330" t="s">
        <v>707</v>
      </c>
      <c r="C330" t="s">
        <v>708</v>
      </c>
      <c r="D330" t="e" cm="1">
        <f t="array" aca="1" ref="D330" ca="1">TRANSLATE(Table3[[#This Row],[Description]],"id","en")</f>
        <v>#NAME?</v>
      </c>
      <c r="E330" t="s">
        <v>45</v>
      </c>
      <c r="F330">
        <f>_xlfn.XLOOKUP(Table3[[#This Row],[Category]],Table10[category],Table10[category_id],"Not found")</f>
        <v>2</v>
      </c>
      <c r="G330" t="str">
        <f>_xlfn.XLOOKUP(Table3[[#This Row],[Place_Id]],Table7[place_id],Table7[city3],"Not found")</f>
        <v>Bandung</v>
      </c>
      <c r="H330">
        <f>_xlfn.XLOOKUP(Table3[[#This Row],[City]],Table5[city_name],Table5[city_id],"Not found")</f>
        <v>22</v>
      </c>
      <c r="I330">
        <v>40000</v>
      </c>
      <c r="K330">
        <v>-6.9220816000000003</v>
      </c>
      <c r="L330">
        <v>107.60731819999999</v>
      </c>
    </row>
    <row r="331" spans="1:12" x14ac:dyDescent="0.25">
      <c r="A331">
        <v>330</v>
      </c>
      <c r="B331" t="s">
        <v>709</v>
      </c>
      <c r="C331" t="s">
        <v>710</v>
      </c>
      <c r="D331" t="e" cm="1">
        <f t="array" aca="1" ref="D331" ca="1">TRANSLATE(Table3[[#This Row],[Description]],"id","en")</f>
        <v>#NAME?</v>
      </c>
      <c r="E331" t="s">
        <v>45</v>
      </c>
      <c r="F331">
        <f>_xlfn.XLOOKUP(Table3[[#This Row],[Category]],Table10[category],Table10[category_id],"Not found")</f>
        <v>2</v>
      </c>
      <c r="G331" t="str">
        <f>_xlfn.XLOOKUP(Table3[[#This Row],[Place_Id]],Table7[place_id],Table7[city3],"Not found")</f>
        <v>West Bandung regency</v>
      </c>
      <c r="H331">
        <f>_xlfn.XLOOKUP(Table3[[#This Row],[City]],Table5[city_name],Table5[city_id],"Not found")</f>
        <v>33</v>
      </c>
      <c r="I331">
        <v>175000</v>
      </c>
      <c r="J331">
        <v>150</v>
      </c>
      <c r="K331">
        <v>-6.8198749999999997</v>
      </c>
      <c r="L331">
        <v>107.618707</v>
      </c>
    </row>
    <row r="332" spans="1:12" x14ac:dyDescent="0.25">
      <c r="A332">
        <v>331</v>
      </c>
      <c r="B332" t="s">
        <v>711</v>
      </c>
      <c r="C332" t="s">
        <v>712</v>
      </c>
      <c r="D332" t="e" cm="1">
        <f t="array" aca="1" ref="D332" ca="1">TRANSLATE(Table3[[#This Row],[Description]],"id","en")</f>
        <v>#NAME?</v>
      </c>
      <c r="E332" t="s">
        <v>60</v>
      </c>
      <c r="F332">
        <f>_xlfn.XLOOKUP(Table3[[#This Row],[Category]],Table10[category],Table10[category_id],"Not found")</f>
        <v>3</v>
      </c>
      <c r="G332" t="str">
        <f>_xlfn.XLOOKUP(Table3[[#This Row],[Place_Id]],Table7[place_id],Table7[city3],"Not found")</f>
        <v>Bandung regency</v>
      </c>
      <c r="H332">
        <f>_xlfn.XLOOKUP(Table3[[#This Row],[City]],Table5[city_name],Table5[city_id],"Not found")</f>
        <v>23</v>
      </c>
      <c r="I332">
        <v>20000</v>
      </c>
      <c r="J332">
        <v>90</v>
      </c>
      <c r="K332">
        <v>-6.8179514000000001</v>
      </c>
      <c r="L332">
        <v>107.618914</v>
      </c>
    </row>
    <row r="333" spans="1:12" x14ac:dyDescent="0.25">
      <c r="A333">
        <v>332</v>
      </c>
      <c r="B333" t="s">
        <v>713</v>
      </c>
      <c r="C333" t="s">
        <v>714</v>
      </c>
      <c r="D333" t="e" cm="1">
        <f t="array" aca="1" ref="D333" ca="1">TRANSLATE(Table3[[#This Row],[Description]],"id","en")</f>
        <v>#NAME?</v>
      </c>
      <c r="E333" t="s">
        <v>51</v>
      </c>
      <c r="F333">
        <f>_xlfn.XLOOKUP(Table3[[#This Row],[Category]],Table10[category],Table10[category_id],"Not found")</f>
        <v>5</v>
      </c>
      <c r="G333" t="str">
        <f>_xlfn.XLOOKUP(Table3[[#This Row],[Place_Id]],Table7[place_id],Table7[city3],"Not found")</f>
        <v>West Bandung regency</v>
      </c>
      <c r="H333">
        <f>_xlfn.XLOOKUP(Table3[[#This Row],[City]],Table5[city_name],Table5[city_id],"Not found")</f>
        <v>33</v>
      </c>
      <c r="I333">
        <v>20000</v>
      </c>
      <c r="K333">
        <v>-6.8186888000000003</v>
      </c>
      <c r="L333">
        <v>107.6169403</v>
      </c>
    </row>
    <row r="334" spans="1:12" ht="45" x14ac:dyDescent="0.25">
      <c r="A334">
        <v>333</v>
      </c>
      <c r="B334" t="s">
        <v>715</v>
      </c>
      <c r="C334" s="3" t="s">
        <v>716</v>
      </c>
      <c r="D334" s="3" t="e" cm="1">
        <f t="array" aca="1" ref="D334" ca="1">TRANSLATE(Table3[[#This Row],[Description]],"id","en")</f>
        <v>#NAME?</v>
      </c>
      <c r="E334" t="s">
        <v>51</v>
      </c>
      <c r="F334">
        <f>_xlfn.XLOOKUP(Table3[[#This Row],[Category]],Table10[category],Table10[category_id],"Not found")</f>
        <v>5</v>
      </c>
      <c r="G334" t="str">
        <f>_xlfn.XLOOKUP(Table3[[#This Row],[Place_Id]],Table7[place_id],Table7[city3],"Not found")</f>
        <v>Bandung</v>
      </c>
      <c r="H334">
        <f>_xlfn.XLOOKUP(Table3[[#This Row],[City]],Table5[city_name],Table5[city_id],"Not found")</f>
        <v>22</v>
      </c>
      <c r="I334">
        <v>50000</v>
      </c>
      <c r="K334">
        <v>-6.9012241000000003</v>
      </c>
      <c r="L334">
        <v>107.60998530000001</v>
      </c>
    </row>
    <row r="335" spans="1:12" x14ac:dyDescent="0.25">
      <c r="A335">
        <v>334</v>
      </c>
      <c r="B335" t="s">
        <v>717</v>
      </c>
      <c r="C335" t="s">
        <v>718</v>
      </c>
      <c r="D335" t="e" cm="1">
        <f t="array" aca="1" ref="D335" ca="1">TRANSLATE(Table3[[#This Row],[Description]],"id","en")</f>
        <v>#NAME?</v>
      </c>
      <c r="E335" t="s">
        <v>45</v>
      </c>
      <c r="F335">
        <f>_xlfn.XLOOKUP(Table3[[#This Row],[Category]],Table10[category],Table10[category_id],"Not found")</f>
        <v>2</v>
      </c>
      <c r="G335" t="str">
        <f>_xlfn.XLOOKUP(Table3[[#This Row],[Place_Id]],Table7[place_id],Table7[city3],"Not found")</f>
        <v>Semarang regency</v>
      </c>
      <c r="H335">
        <f>_xlfn.XLOOKUP(Table3[[#This Row],[City]],Table5[city_name],Table5[city_id],"Not found")</f>
        <v>6</v>
      </c>
      <c r="I335">
        <v>10000</v>
      </c>
      <c r="K335">
        <v>-7.2098867000000002</v>
      </c>
      <c r="L335">
        <v>110.34211190000001</v>
      </c>
    </row>
    <row r="336" spans="1:12" x14ac:dyDescent="0.25">
      <c r="A336">
        <v>335</v>
      </c>
      <c r="B336" t="s">
        <v>720</v>
      </c>
      <c r="C336" t="s">
        <v>721</v>
      </c>
      <c r="D336" t="e" cm="1">
        <f t="array" aca="1" ref="D336" ca="1">TRANSLATE(Table3[[#This Row],[Description]],"id","en")</f>
        <v>#NAME?</v>
      </c>
      <c r="E336" t="s">
        <v>51</v>
      </c>
      <c r="F336">
        <f>_xlfn.XLOOKUP(Table3[[#This Row],[Category]],Table10[category],Table10[category_id],"Not found")</f>
        <v>5</v>
      </c>
      <c r="G336" t="str">
        <f>_xlfn.XLOOKUP(Table3[[#This Row],[Place_Id]],Table7[place_id],Table7[city3],"Not found")</f>
        <v>Semarang</v>
      </c>
      <c r="H336">
        <f>_xlfn.XLOOKUP(Table3[[#This Row],[City]],Table5[city_name],Table5[city_id],"Not found")</f>
        <v>5</v>
      </c>
      <c r="I336">
        <v>15000</v>
      </c>
      <c r="K336">
        <v>-6.9605224999999997</v>
      </c>
      <c r="L336">
        <v>110.3863941</v>
      </c>
    </row>
    <row r="337" spans="1:12" x14ac:dyDescent="0.25">
      <c r="A337">
        <v>336</v>
      </c>
      <c r="B337" t="s">
        <v>722</v>
      </c>
      <c r="C337" t="s">
        <v>723</v>
      </c>
      <c r="D337" t="e" cm="1">
        <f t="array" aca="1" ref="D337" ca="1">TRANSLATE(Table3[[#This Row],[Description]],"id","en")</f>
        <v>#NAME?</v>
      </c>
      <c r="E337" t="s">
        <v>51</v>
      </c>
      <c r="F337">
        <f>_xlfn.XLOOKUP(Table3[[#This Row],[Category]],Table10[category],Table10[category_id],"Not found")</f>
        <v>5</v>
      </c>
      <c r="G337" t="str">
        <f>_xlfn.XLOOKUP(Table3[[#This Row],[Place_Id]],Table7[place_id],Table7[city3],"Not found")</f>
        <v>Semarang</v>
      </c>
      <c r="H337">
        <f>_xlfn.XLOOKUP(Table3[[#This Row],[City]],Table5[city_name],Table5[city_id],"Not found")</f>
        <v>5</v>
      </c>
      <c r="I337">
        <v>3000</v>
      </c>
      <c r="J337">
        <v>30</v>
      </c>
      <c r="K337">
        <v>-6.9888811999999998</v>
      </c>
      <c r="L337">
        <v>110.40837809999999</v>
      </c>
    </row>
    <row r="338" spans="1:12" x14ac:dyDescent="0.25">
      <c r="A338">
        <v>337</v>
      </c>
      <c r="B338" t="s">
        <v>724</v>
      </c>
      <c r="C338" t="s">
        <v>725</v>
      </c>
      <c r="D338" t="e" cm="1">
        <f t="array" aca="1" ref="D338" ca="1">TRANSLATE(Table3[[#This Row],[Description]],"id","en")</f>
        <v>#NAME?</v>
      </c>
      <c r="E338" t="s">
        <v>45</v>
      </c>
      <c r="F338">
        <f>_xlfn.XLOOKUP(Table3[[#This Row],[Category]],Table10[category],Table10[category_id],"Not found")</f>
        <v>2</v>
      </c>
      <c r="G338" t="str">
        <f>_xlfn.XLOOKUP(Table3[[#This Row],[Place_Id]],Table7[place_id],Table7[city3],"Not found")</f>
        <v>Semarang</v>
      </c>
      <c r="H338">
        <f>_xlfn.XLOOKUP(Table3[[#This Row],[City]],Table5[city_name],Table5[city_id],"Not found")</f>
        <v>5</v>
      </c>
      <c r="I338">
        <v>10000</v>
      </c>
      <c r="K338">
        <v>-6.9839098999999996</v>
      </c>
      <c r="L338">
        <v>110.4104342</v>
      </c>
    </row>
    <row r="339" spans="1:12" x14ac:dyDescent="0.25">
      <c r="A339">
        <v>338</v>
      </c>
      <c r="B339" t="s">
        <v>726</v>
      </c>
      <c r="C339" t="s">
        <v>727</v>
      </c>
      <c r="D339" t="e" cm="1">
        <f t="array" aca="1" ref="D339" ca="1">TRANSLATE(Table3[[#This Row],[Description]],"id","en")</f>
        <v>#NAME?</v>
      </c>
      <c r="E339" t="s">
        <v>45</v>
      </c>
      <c r="F339">
        <f>_xlfn.XLOOKUP(Table3[[#This Row],[Category]],Table10[category],Table10[category_id],"Not found")</f>
        <v>2</v>
      </c>
      <c r="G339" t="str">
        <f>_xlfn.XLOOKUP(Table3[[#This Row],[Place_Id]],Table7[place_id],Table7[city3],"Not found")</f>
        <v>Semarang</v>
      </c>
      <c r="H339">
        <f>_xlfn.XLOOKUP(Table3[[#This Row],[City]],Table5[city_name],Table5[city_id],"Not found")</f>
        <v>5</v>
      </c>
      <c r="I339">
        <v>35000</v>
      </c>
      <c r="K339">
        <v>-6.9962365999999996</v>
      </c>
      <c r="L339">
        <v>110.398122</v>
      </c>
    </row>
    <row r="340" spans="1:12" x14ac:dyDescent="0.25">
      <c r="A340">
        <v>339</v>
      </c>
      <c r="B340" t="s">
        <v>728</v>
      </c>
      <c r="C340" t="s">
        <v>729</v>
      </c>
      <c r="D340" t="e" cm="1">
        <f t="array" aca="1" ref="D340" ca="1">TRANSLATE(Table3[[#This Row],[Description]],"id","en")</f>
        <v>#NAME?</v>
      </c>
      <c r="E340" t="s">
        <v>51</v>
      </c>
      <c r="F340">
        <f>_xlfn.XLOOKUP(Table3[[#This Row],[Category]],Table10[category],Table10[category_id],"Not found")</f>
        <v>5</v>
      </c>
      <c r="G340" t="str">
        <f>_xlfn.XLOOKUP(Table3[[#This Row],[Place_Id]],Table7[place_id],Table7[city3],"Not found")</f>
        <v>Semarang</v>
      </c>
      <c r="H340">
        <f>_xlfn.XLOOKUP(Table3[[#This Row],[City]],Table5[city_name],Table5[city_id],"Not found")</f>
        <v>5</v>
      </c>
      <c r="I340">
        <v>0</v>
      </c>
      <c r="J340">
        <v>90</v>
      </c>
      <c r="K340">
        <v>-7.0205244999999996</v>
      </c>
      <c r="L340">
        <v>110.3754605</v>
      </c>
    </row>
    <row r="341" spans="1:12" x14ac:dyDescent="0.25">
      <c r="A341">
        <v>340</v>
      </c>
      <c r="B341" t="s">
        <v>730</v>
      </c>
      <c r="C341" t="s">
        <v>731</v>
      </c>
      <c r="D341" t="e" cm="1">
        <f t="array" aca="1" ref="D341" ca="1">TRANSLATE(Table3[[#This Row],[Description]],"id","en")</f>
        <v>#NAME?</v>
      </c>
      <c r="E341" t="s">
        <v>60</v>
      </c>
      <c r="F341">
        <f>_xlfn.XLOOKUP(Table3[[#This Row],[Category]],Table10[category],Table10[category_id],"Not found")</f>
        <v>3</v>
      </c>
      <c r="G341" t="str">
        <f>_xlfn.XLOOKUP(Table3[[#This Row],[Place_Id]],Table7[place_id],Table7[city3],"Not found")</f>
        <v>Semarang</v>
      </c>
      <c r="H341">
        <f>_xlfn.XLOOKUP(Table3[[#This Row],[City]],Table5[city_name],Table5[city_id],"Not found")</f>
        <v>5</v>
      </c>
      <c r="I341">
        <v>3000</v>
      </c>
      <c r="K341">
        <v>-7.0296836999999996</v>
      </c>
      <c r="L341">
        <v>110.3999611</v>
      </c>
    </row>
    <row r="342" spans="1:12" x14ac:dyDescent="0.25">
      <c r="A342">
        <v>341</v>
      </c>
      <c r="B342" t="s">
        <v>732</v>
      </c>
      <c r="C342" t="s">
        <v>733</v>
      </c>
      <c r="D342" t="e" cm="1">
        <f t="array" aca="1" ref="D342" ca="1">TRANSLATE(Table3[[#This Row],[Description]],"id","en")</f>
        <v>#NAME?</v>
      </c>
      <c r="E342" t="s">
        <v>51</v>
      </c>
      <c r="F342">
        <f>_xlfn.XLOOKUP(Table3[[#This Row],[Category]],Table10[category],Table10[category_id],"Not found")</f>
        <v>5</v>
      </c>
      <c r="G342" t="str">
        <f>_xlfn.XLOOKUP(Table3[[#This Row],[Place_Id]],Table7[place_id],Table7[city3],"Not found")</f>
        <v>Semarang</v>
      </c>
      <c r="H342">
        <f>_xlfn.XLOOKUP(Table3[[#This Row],[City]],Table5[city_name],Table5[city_id],"Not found")</f>
        <v>5</v>
      </c>
      <c r="I342">
        <v>3000</v>
      </c>
      <c r="J342">
        <v>90</v>
      </c>
      <c r="K342">
        <v>-6.9909404000000004</v>
      </c>
      <c r="L342">
        <v>110.4065932</v>
      </c>
    </row>
    <row r="343" spans="1:12" x14ac:dyDescent="0.25">
      <c r="A343">
        <v>342</v>
      </c>
      <c r="B343" t="s">
        <v>734</v>
      </c>
      <c r="C343" t="s">
        <v>735</v>
      </c>
      <c r="D343" t="e" cm="1">
        <f t="array" aca="1" ref="D343" ca="1">TRANSLATE(Table3[[#This Row],[Description]],"id","en")</f>
        <v>#NAME?</v>
      </c>
      <c r="E343" t="s">
        <v>65</v>
      </c>
      <c r="F343">
        <f>_xlfn.XLOOKUP(Table3[[#This Row],[Category]],Table10[category],Table10[category_id],"Not found")</f>
        <v>1</v>
      </c>
      <c r="G343" t="str">
        <f>_xlfn.XLOOKUP(Table3[[#This Row],[Place_Id]],Table7[place_id],Table7[city3],"Not found")</f>
        <v>Semarang</v>
      </c>
      <c r="H343">
        <f>_xlfn.XLOOKUP(Table3[[#This Row],[City]],Table5[city_name],Table5[city_id],"Not found")</f>
        <v>5</v>
      </c>
      <c r="I343">
        <v>3000</v>
      </c>
      <c r="K343">
        <v>-6.9451052000000004</v>
      </c>
      <c r="L343">
        <v>110.3982398</v>
      </c>
    </row>
    <row r="344" spans="1:12" ht="45" x14ac:dyDescent="0.25">
      <c r="A344">
        <v>343</v>
      </c>
      <c r="B344" t="s">
        <v>736</v>
      </c>
      <c r="C344" s="3" t="s">
        <v>737</v>
      </c>
      <c r="D344" s="3" t="e" cm="1">
        <f t="array" aca="1" ref="D344" ca="1">TRANSLATE(Table3[[#This Row],[Description]],"id","en")</f>
        <v>#NAME?</v>
      </c>
      <c r="E344" t="s">
        <v>65</v>
      </c>
      <c r="F344">
        <f>_xlfn.XLOOKUP(Table3[[#This Row],[Category]],Table10[category],Table10[category_id],"Not found")</f>
        <v>1</v>
      </c>
      <c r="G344" t="str">
        <f>_xlfn.XLOOKUP(Table3[[#This Row],[Place_Id]],Table7[place_id],Table7[city3],"Not found")</f>
        <v>Semarang</v>
      </c>
      <c r="H344">
        <f>_xlfn.XLOOKUP(Table3[[#This Row],[City]],Table5[city_name],Table5[city_id],"Not found")</f>
        <v>5</v>
      </c>
      <c r="I344">
        <v>3000</v>
      </c>
      <c r="K344">
        <v>-6.9488770000000004</v>
      </c>
      <c r="L344">
        <v>110.3893285</v>
      </c>
    </row>
    <row r="345" spans="1:12" x14ac:dyDescent="0.25">
      <c r="A345">
        <v>344</v>
      </c>
      <c r="B345" t="s">
        <v>738</v>
      </c>
      <c r="C345" t="s">
        <v>739</v>
      </c>
      <c r="D345" t="e" cm="1">
        <f t="array" aca="1" ref="D345" ca="1">TRANSLATE(Table3[[#This Row],[Description]],"id","en")</f>
        <v>#NAME?</v>
      </c>
      <c r="E345" t="s">
        <v>45</v>
      </c>
      <c r="F345">
        <f>_xlfn.XLOOKUP(Table3[[#This Row],[Category]],Table10[category],Table10[category_id],"Not found")</f>
        <v>2</v>
      </c>
      <c r="G345" t="str">
        <f>_xlfn.XLOOKUP(Table3[[#This Row],[Place_Id]],Table7[place_id],Table7[city3],"Not found")</f>
        <v>Semarang</v>
      </c>
      <c r="H345">
        <f>_xlfn.XLOOKUP(Table3[[#This Row],[City]],Table5[city_name],Table5[city_id],"Not found")</f>
        <v>5</v>
      </c>
      <c r="I345">
        <v>10000</v>
      </c>
      <c r="K345">
        <v>-6.9687730999999999</v>
      </c>
      <c r="L345">
        <v>110.4319505</v>
      </c>
    </row>
    <row r="346" spans="1:12" x14ac:dyDescent="0.25">
      <c r="A346">
        <v>345</v>
      </c>
      <c r="B346" t="s">
        <v>740</v>
      </c>
      <c r="C346" t="s">
        <v>741</v>
      </c>
      <c r="D346" t="e" cm="1">
        <f t="array" aca="1" ref="D346" ca="1">TRANSLATE(Table3[[#This Row],[Description]],"id","en")</f>
        <v>#NAME?</v>
      </c>
      <c r="E346" t="s">
        <v>51</v>
      </c>
      <c r="F346">
        <f>_xlfn.XLOOKUP(Table3[[#This Row],[Category]],Table10[category],Table10[category_id],"Not found")</f>
        <v>5</v>
      </c>
      <c r="G346" t="str">
        <f>_xlfn.XLOOKUP(Table3[[#This Row],[Place_Id]],Table7[place_id],Table7[city3],"Not found")</f>
        <v>Semarang</v>
      </c>
      <c r="H346">
        <f>_xlfn.XLOOKUP(Table3[[#This Row],[City]],Table5[city_name],Table5[city_id],"Not found")</f>
        <v>5</v>
      </c>
      <c r="I346">
        <v>0</v>
      </c>
      <c r="J346">
        <v>45</v>
      </c>
      <c r="K346">
        <v>-6.9923507000000003</v>
      </c>
      <c r="L346">
        <v>110.4201162</v>
      </c>
    </row>
    <row r="347" spans="1:12" x14ac:dyDescent="0.25">
      <c r="A347">
        <v>346</v>
      </c>
      <c r="B347" t="s">
        <v>742</v>
      </c>
      <c r="C347" t="s">
        <v>743</v>
      </c>
      <c r="D347" t="e" cm="1">
        <f t="array" aca="1" ref="D347" ca="1">TRANSLATE(Table3[[#This Row],[Description]],"id","en")</f>
        <v>#NAME?</v>
      </c>
      <c r="E347" t="s">
        <v>51</v>
      </c>
      <c r="F347">
        <f>_xlfn.XLOOKUP(Table3[[#This Row],[Category]],Table10[category],Table10[category_id],"Not found")</f>
        <v>5</v>
      </c>
      <c r="G347" t="str">
        <f>_xlfn.XLOOKUP(Table3[[#This Row],[Place_Id]],Table7[place_id],Table7[city3],"Not found")</f>
        <v>Semarang</v>
      </c>
      <c r="H347">
        <f>_xlfn.XLOOKUP(Table3[[#This Row],[City]],Table5[city_name],Table5[city_id],"Not found")</f>
        <v>5</v>
      </c>
      <c r="I347">
        <v>0</v>
      </c>
      <c r="J347">
        <v>45</v>
      </c>
      <c r="K347">
        <v>-6.9877935999999998</v>
      </c>
      <c r="L347">
        <v>110.4172262</v>
      </c>
    </row>
    <row r="348" spans="1:12" x14ac:dyDescent="0.25">
      <c r="A348">
        <v>347</v>
      </c>
      <c r="B348" t="s">
        <v>744</v>
      </c>
      <c r="C348" t="s">
        <v>745</v>
      </c>
      <c r="D348" t="e" cm="1">
        <f t="array" aca="1" ref="D348" ca="1">TRANSLATE(Table3[[#This Row],[Description]],"id","en")</f>
        <v>#NAME?</v>
      </c>
      <c r="E348" t="s">
        <v>45</v>
      </c>
      <c r="F348">
        <f>_xlfn.XLOOKUP(Table3[[#This Row],[Category]],Table10[category],Table10[category_id],"Not found")</f>
        <v>2</v>
      </c>
      <c r="G348" t="str">
        <f>_xlfn.XLOOKUP(Table3[[#This Row],[Place_Id]],Table7[place_id],Table7[city3],"Not found")</f>
        <v>Semarang</v>
      </c>
      <c r="H348">
        <f>_xlfn.XLOOKUP(Table3[[#This Row],[City]],Table5[city_name],Table5[city_id],"Not found")</f>
        <v>5</v>
      </c>
      <c r="I348">
        <v>20000</v>
      </c>
      <c r="K348">
        <v>-6.9984758999999999</v>
      </c>
      <c r="L348">
        <v>110.41064679999999</v>
      </c>
    </row>
    <row r="349" spans="1:12" x14ac:dyDescent="0.25">
      <c r="A349">
        <v>348</v>
      </c>
      <c r="B349" t="s">
        <v>746</v>
      </c>
      <c r="C349" t="s">
        <v>747</v>
      </c>
      <c r="D349" t="e" cm="1">
        <f t="array" aca="1" ref="D349" ca="1">TRANSLATE(Table3[[#This Row],[Description]],"id","en")</f>
        <v>#NAME?</v>
      </c>
      <c r="E349" t="s">
        <v>60</v>
      </c>
      <c r="F349">
        <f>_xlfn.XLOOKUP(Table3[[#This Row],[Category]],Table10[category],Table10[category_id],"Not found")</f>
        <v>3</v>
      </c>
      <c r="G349" t="str">
        <f>_xlfn.XLOOKUP(Table3[[#This Row],[Place_Id]],Table7[place_id],Table7[city3],"Not found")</f>
        <v>Semarang</v>
      </c>
      <c r="H349">
        <f>_xlfn.XLOOKUP(Table3[[#This Row],[City]],Table5[city_name],Table5[city_id],"Not found")</f>
        <v>5</v>
      </c>
      <c r="I349">
        <v>5000</v>
      </c>
      <c r="J349">
        <v>90</v>
      </c>
      <c r="K349">
        <v>-6.9685617999999998</v>
      </c>
      <c r="L349">
        <v>110.3459696</v>
      </c>
    </row>
    <row r="350" spans="1:12" ht="75" x14ac:dyDescent="0.25">
      <c r="A350">
        <v>349</v>
      </c>
      <c r="B350" t="s">
        <v>748</v>
      </c>
      <c r="C350" s="3" t="s">
        <v>749</v>
      </c>
      <c r="D350" s="3" t="e" cm="1">
        <f t="array" aca="1" ref="D350" ca="1">TRANSLATE(Table3[[#This Row],[Description]],"id","en")</f>
        <v>#NAME?</v>
      </c>
      <c r="E350" t="s">
        <v>65</v>
      </c>
      <c r="F350">
        <f>_xlfn.XLOOKUP(Table3[[#This Row],[Category]],Table10[category],Table10[category_id],"Not found")</f>
        <v>1</v>
      </c>
      <c r="G350" t="str">
        <f>_xlfn.XLOOKUP(Table3[[#This Row],[Place_Id]],Table7[place_id],Table7[city3],"Not found")</f>
        <v>Semarang</v>
      </c>
      <c r="H350">
        <f>_xlfn.XLOOKUP(Table3[[#This Row],[City]],Table5[city_name],Table5[city_id],"Not found")</f>
        <v>5</v>
      </c>
      <c r="I350">
        <v>5000</v>
      </c>
      <c r="J350">
        <v>90</v>
      </c>
      <c r="K350">
        <v>-6.9486401999999998</v>
      </c>
      <c r="L350">
        <v>110.41029229999999</v>
      </c>
    </row>
    <row r="351" spans="1:12" x14ac:dyDescent="0.25">
      <c r="A351">
        <v>350</v>
      </c>
      <c r="B351" t="s">
        <v>750</v>
      </c>
      <c r="C351" t="s">
        <v>751</v>
      </c>
      <c r="D351" t="e" cm="1">
        <f t="array" aca="1" ref="D351" ca="1">TRANSLATE(Table3[[#This Row],[Description]],"id","en")</f>
        <v>#NAME?</v>
      </c>
      <c r="E351" t="s">
        <v>45</v>
      </c>
      <c r="F351">
        <f>_xlfn.XLOOKUP(Table3[[#This Row],[Category]],Table10[category],Table10[category_id],"Not found")</f>
        <v>2</v>
      </c>
      <c r="G351" t="str">
        <f>_xlfn.XLOOKUP(Table3[[#This Row],[Place_Id]],Table7[place_id],Table7[city3],"Not found")</f>
        <v>Semarang</v>
      </c>
      <c r="H351">
        <f>_xlfn.XLOOKUP(Table3[[#This Row],[City]],Table5[city_name],Table5[city_id],"Not found")</f>
        <v>5</v>
      </c>
      <c r="I351">
        <v>50000</v>
      </c>
      <c r="K351">
        <v>-6.9684064000000001</v>
      </c>
      <c r="L351">
        <v>110.4261995</v>
      </c>
    </row>
    <row r="352" spans="1:12" ht="75" x14ac:dyDescent="0.25">
      <c r="A352">
        <v>351</v>
      </c>
      <c r="B352" t="s">
        <v>752</v>
      </c>
      <c r="C352" s="3" t="s">
        <v>753</v>
      </c>
      <c r="D352" s="3" t="e" cm="1">
        <f t="array" aca="1" ref="D352" ca="1">TRANSLATE(Table3[[#This Row],[Description]],"id","en")</f>
        <v>#NAME?</v>
      </c>
      <c r="E352" t="s">
        <v>93</v>
      </c>
      <c r="F352">
        <f>_xlfn.XLOOKUP(Table3[[#This Row],[Category]],Table10[category],Table10[category_id],"Not found")</f>
        <v>6</v>
      </c>
      <c r="G352" t="str">
        <f>_xlfn.XLOOKUP(Table3[[#This Row],[Place_Id]],Table7[place_id],Table7[city3],"Not found")</f>
        <v>Semarang</v>
      </c>
      <c r="H352">
        <f>_xlfn.XLOOKUP(Table3[[#This Row],[City]],Table5[city_name],Table5[city_id],"Not found")</f>
        <v>5</v>
      </c>
      <c r="I352">
        <v>0</v>
      </c>
      <c r="K352">
        <v>-6.9683488000000002</v>
      </c>
      <c r="L352">
        <v>110.4274767</v>
      </c>
    </row>
    <row r="353" spans="1:12" ht="75" x14ac:dyDescent="0.25">
      <c r="A353">
        <v>352</v>
      </c>
      <c r="B353" t="s">
        <v>754</v>
      </c>
      <c r="C353" s="3" t="s">
        <v>755</v>
      </c>
      <c r="D353" s="3" t="e" cm="1">
        <f t="array" aca="1" ref="D353" ca="1">TRANSLATE(Table3[[#This Row],[Description]],"id","en")</f>
        <v>#NAME?</v>
      </c>
      <c r="E353" t="s">
        <v>51</v>
      </c>
      <c r="F353">
        <f>_xlfn.XLOOKUP(Table3[[#This Row],[Category]],Table10[category],Table10[category_id],"Not found")</f>
        <v>5</v>
      </c>
      <c r="G353" t="str">
        <f>_xlfn.XLOOKUP(Table3[[#This Row],[Place_Id]],Table7[place_id],Table7[city3],"Not found")</f>
        <v>Semarang</v>
      </c>
      <c r="H353">
        <f>_xlfn.XLOOKUP(Table3[[#This Row],[City]],Table5[city_name],Table5[city_id],"Not found")</f>
        <v>5</v>
      </c>
      <c r="I353">
        <v>0</v>
      </c>
      <c r="K353">
        <v>-6.9681727999999996</v>
      </c>
      <c r="L353">
        <v>110.4278262</v>
      </c>
    </row>
    <row r="354" spans="1:12" x14ac:dyDescent="0.25">
      <c r="A354">
        <v>353</v>
      </c>
      <c r="B354" t="s">
        <v>756</v>
      </c>
      <c r="C354" t="s">
        <v>757</v>
      </c>
      <c r="D354" t="e" cm="1">
        <f t="array" aca="1" ref="D354" ca="1">TRANSLATE(Table3[[#This Row],[Description]],"id","en")</f>
        <v>#NAME?</v>
      </c>
      <c r="E354" t="s">
        <v>45</v>
      </c>
      <c r="F354">
        <f>_xlfn.XLOOKUP(Table3[[#This Row],[Category]],Table10[category],Table10[category_id],"Not found")</f>
        <v>2</v>
      </c>
      <c r="G354" t="str">
        <f>_xlfn.XLOOKUP(Table3[[#This Row],[Place_Id]],Table7[place_id],Table7[city3],"Not found")</f>
        <v>Semarang</v>
      </c>
      <c r="H354">
        <f>_xlfn.XLOOKUP(Table3[[#This Row],[City]],Table5[city_name],Table5[city_id],"Not found")</f>
        <v>5</v>
      </c>
      <c r="I354">
        <v>10000</v>
      </c>
      <c r="J354">
        <v>90</v>
      </c>
      <c r="K354">
        <v>-6.9675000000000002</v>
      </c>
      <c r="L354">
        <v>110.4282</v>
      </c>
    </row>
    <row r="355" spans="1:12" x14ac:dyDescent="0.25">
      <c r="A355">
        <v>354</v>
      </c>
      <c r="B355" t="s">
        <v>758</v>
      </c>
      <c r="C355" t="s">
        <v>759</v>
      </c>
      <c r="D355" t="e" cm="1">
        <f t="array" aca="1" ref="D355" ca="1">TRANSLATE(Table3[[#This Row],[Description]],"id","en")</f>
        <v>#NAME?</v>
      </c>
      <c r="E355" t="s">
        <v>60</v>
      </c>
      <c r="F355">
        <f>_xlfn.XLOOKUP(Table3[[#This Row],[Category]],Table10[category],Table10[category_id],"Not found")</f>
        <v>3</v>
      </c>
      <c r="G355" t="str">
        <f>_xlfn.XLOOKUP(Table3[[#This Row],[Place_Id]],Table7[place_id],Table7[city3],"Not found")</f>
        <v>Semarang regency</v>
      </c>
      <c r="H355">
        <f>_xlfn.XLOOKUP(Table3[[#This Row],[City]],Table5[city_name],Table5[city_id],"Not found")</f>
        <v>6</v>
      </c>
      <c r="I355">
        <v>75000</v>
      </c>
      <c r="K355">
        <v>-7.1945902999999998</v>
      </c>
      <c r="L355">
        <v>110.37335830000001</v>
      </c>
    </row>
    <row r="356" spans="1:12" x14ac:dyDescent="0.25">
      <c r="A356">
        <v>355</v>
      </c>
      <c r="B356" t="s">
        <v>760</v>
      </c>
      <c r="C356" t="s">
        <v>761</v>
      </c>
      <c r="D356" t="e" cm="1">
        <f t="array" aca="1" ref="D356" ca="1">TRANSLATE(Table3[[#This Row],[Description]],"id","en")</f>
        <v>#NAME?</v>
      </c>
      <c r="E356" t="s">
        <v>51</v>
      </c>
      <c r="F356">
        <f>_xlfn.XLOOKUP(Table3[[#This Row],[Category]],Table10[category],Table10[category_id],"Not found")</f>
        <v>5</v>
      </c>
      <c r="G356" t="str">
        <f>_xlfn.XLOOKUP(Table3[[#This Row],[Place_Id]],Table7[place_id],Table7[city3],"Not found")</f>
        <v>Semarang regency</v>
      </c>
      <c r="H356">
        <f>_xlfn.XLOOKUP(Table3[[#This Row],[City]],Table5[city_name],Table5[city_id],"Not found")</f>
        <v>6</v>
      </c>
      <c r="I356">
        <v>150000</v>
      </c>
      <c r="J356">
        <v>180</v>
      </c>
      <c r="K356">
        <v>-7.2807262000000001</v>
      </c>
      <c r="L356">
        <v>110.4595539</v>
      </c>
    </row>
    <row r="357" spans="1:12" x14ac:dyDescent="0.25">
      <c r="A357">
        <v>356</v>
      </c>
      <c r="B357" t="s">
        <v>762</v>
      </c>
      <c r="C357" t="s">
        <v>763</v>
      </c>
      <c r="D357" t="e" cm="1">
        <f t="array" aca="1" ref="D357" ca="1">TRANSLATE(Table3[[#This Row],[Description]],"id","en")</f>
        <v>#NAME?</v>
      </c>
      <c r="E357" t="s">
        <v>60</v>
      </c>
      <c r="F357">
        <f>_xlfn.XLOOKUP(Table3[[#This Row],[Category]],Table10[category],Table10[category_id],"Not found")</f>
        <v>3</v>
      </c>
      <c r="G357" t="str">
        <f>_xlfn.XLOOKUP(Table3[[#This Row],[Place_Id]],Table7[place_id],Table7[city3],"Not found")</f>
        <v>Semarang regency</v>
      </c>
      <c r="H357">
        <f>_xlfn.XLOOKUP(Table3[[#This Row],[City]],Table5[city_name],Table5[city_id],"Not found")</f>
        <v>6</v>
      </c>
      <c r="I357">
        <v>10000</v>
      </c>
      <c r="J357">
        <v>45</v>
      </c>
      <c r="K357">
        <v>-7.1157969000000003</v>
      </c>
      <c r="L357">
        <v>110.42179659999999</v>
      </c>
    </row>
    <row r="358" spans="1:12" x14ac:dyDescent="0.25">
      <c r="A358">
        <v>357</v>
      </c>
      <c r="B358" t="s">
        <v>764</v>
      </c>
      <c r="C358" t="s">
        <v>765</v>
      </c>
      <c r="D358" t="e" cm="1">
        <f t="array" aca="1" ref="D358" ca="1">TRANSLATE(Table3[[#This Row],[Description]],"id","en")</f>
        <v>#NAME?</v>
      </c>
      <c r="E358" t="s">
        <v>93</v>
      </c>
      <c r="F358">
        <f>_xlfn.XLOOKUP(Table3[[#This Row],[Category]],Table10[category],Table10[category_id],"Not found")</f>
        <v>6</v>
      </c>
      <c r="G358" t="str">
        <f>_xlfn.XLOOKUP(Table3[[#This Row],[Place_Id]],Table7[place_id],Table7[city3],"Not found")</f>
        <v>Semarang</v>
      </c>
      <c r="H358">
        <f>_xlfn.XLOOKUP(Table3[[#This Row],[City]],Table5[city_name],Table5[city_id],"Not found")</f>
        <v>5</v>
      </c>
      <c r="I358">
        <v>0</v>
      </c>
      <c r="K358">
        <v>-7.0187781999999999</v>
      </c>
      <c r="L358">
        <v>110.2937134</v>
      </c>
    </row>
    <row r="359" spans="1:12" x14ac:dyDescent="0.25">
      <c r="A359">
        <v>358</v>
      </c>
      <c r="B359" t="s">
        <v>766</v>
      </c>
      <c r="C359" t="s">
        <v>767</v>
      </c>
      <c r="D359" t="e" cm="1">
        <f t="array" aca="1" ref="D359" ca="1">TRANSLATE(Table3[[#This Row],[Description]],"id","en")</f>
        <v>#NAME?</v>
      </c>
      <c r="E359" t="s">
        <v>60</v>
      </c>
      <c r="F359">
        <f>_xlfn.XLOOKUP(Table3[[#This Row],[Category]],Table10[category],Table10[category_id],"Not found")</f>
        <v>3</v>
      </c>
      <c r="G359" t="str">
        <f>_xlfn.XLOOKUP(Table3[[#This Row],[Place_Id]],Table7[place_id],Table7[city3],"Not found")</f>
        <v>Semarang regency</v>
      </c>
      <c r="H359">
        <f>_xlfn.XLOOKUP(Table3[[#This Row],[City]],Table5[city_name],Table5[city_id],"Not found")</f>
        <v>6</v>
      </c>
      <c r="I359">
        <v>25000</v>
      </c>
      <c r="J359">
        <v>90</v>
      </c>
      <c r="K359">
        <v>-7.2255041000000002</v>
      </c>
      <c r="L359">
        <v>110.34631659999999</v>
      </c>
    </row>
    <row r="360" spans="1:12" x14ac:dyDescent="0.25">
      <c r="A360">
        <v>359</v>
      </c>
      <c r="B360" t="s">
        <v>768</v>
      </c>
      <c r="C360" t="s">
        <v>769</v>
      </c>
      <c r="D360" t="e" cm="1">
        <f t="array" aca="1" ref="D360" ca="1">TRANSLATE(Table3[[#This Row],[Description]],"id","en")</f>
        <v>#NAME?</v>
      </c>
      <c r="E360" t="s">
        <v>60</v>
      </c>
      <c r="F360">
        <f>_xlfn.XLOOKUP(Table3[[#This Row],[Category]],Table10[category],Table10[category_id],"Not found")</f>
        <v>3</v>
      </c>
      <c r="G360" t="str">
        <f>_xlfn.XLOOKUP(Table3[[#This Row],[Place_Id]],Table7[place_id],Table7[city3],"Not found")</f>
        <v>Semarang regency</v>
      </c>
      <c r="H360">
        <f>_xlfn.XLOOKUP(Table3[[#This Row],[City]],Table5[city_name],Table5[city_id],"Not found")</f>
        <v>6</v>
      </c>
      <c r="I360">
        <v>5000</v>
      </c>
      <c r="K360">
        <v>-7.3580962999999997</v>
      </c>
      <c r="L360">
        <v>110.4210681</v>
      </c>
    </row>
    <row r="361" spans="1:12" x14ac:dyDescent="0.25">
      <c r="A361">
        <v>360</v>
      </c>
      <c r="B361" t="s">
        <v>770</v>
      </c>
      <c r="C361" t="s">
        <v>771</v>
      </c>
      <c r="D361" t="e" cm="1">
        <f t="array" aca="1" ref="D361" ca="1">TRANSLATE(Table3[[#This Row],[Description]],"id","en")</f>
        <v>#NAME?</v>
      </c>
      <c r="E361" t="s">
        <v>51</v>
      </c>
      <c r="F361">
        <f>_xlfn.XLOOKUP(Table3[[#This Row],[Category]],Table10[category],Table10[category_id],"Not found")</f>
        <v>5</v>
      </c>
      <c r="G361" t="str">
        <f>_xlfn.XLOOKUP(Table3[[#This Row],[Place_Id]],Table7[place_id],Table7[city3],"Not found")</f>
        <v>Semarang regency</v>
      </c>
      <c r="H361">
        <f>_xlfn.XLOOKUP(Table3[[#This Row],[City]],Table5[city_name],Table5[city_id],"Not found")</f>
        <v>6</v>
      </c>
      <c r="I361">
        <v>10000</v>
      </c>
      <c r="K361">
        <v>-7.2141582</v>
      </c>
      <c r="L361">
        <v>110.37695410000001</v>
      </c>
    </row>
    <row r="362" spans="1:12" ht="45" x14ac:dyDescent="0.25">
      <c r="A362">
        <v>361</v>
      </c>
      <c r="B362" t="s">
        <v>772</v>
      </c>
      <c r="C362" s="3" t="s">
        <v>773</v>
      </c>
      <c r="D362" s="3" t="e" cm="1">
        <f t="array" aca="1" ref="D362" ca="1">TRANSLATE(Table3[[#This Row],[Description]],"id","en")</f>
        <v>#NAME?</v>
      </c>
      <c r="E362" t="s">
        <v>60</v>
      </c>
      <c r="F362">
        <f>_xlfn.XLOOKUP(Table3[[#This Row],[Category]],Table10[category],Table10[category_id],"Not found")</f>
        <v>3</v>
      </c>
      <c r="G362" t="str">
        <f>_xlfn.XLOOKUP(Table3[[#This Row],[Place_Id]],Table7[place_id],Table7[city3],"Not found")</f>
        <v>Semarang regency</v>
      </c>
      <c r="H362">
        <f>_xlfn.XLOOKUP(Table3[[#This Row],[City]],Table5[city_name],Table5[city_id],"Not found")</f>
        <v>6</v>
      </c>
      <c r="I362">
        <v>15000</v>
      </c>
      <c r="K362">
        <v>-7.2854929000000004</v>
      </c>
      <c r="L362">
        <v>110.4321671</v>
      </c>
    </row>
    <row r="363" spans="1:12" x14ac:dyDescent="0.25">
      <c r="A363">
        <v>362</v>
      </c>
      <c r="B363" t="s">
        <v>774</v>
      </c>
      <c r="C363" t="s">
        <v>775</v>
      </c>
      <c r="D363" t="e" cm="1">
        <f t="array" aca="1" ref="D363" ca="1">TRANSLATE(Table3[[#This Row],[Description]],"id","en")</f>
        <v>#NAME?</v>
      </c>
      <c r="E363" t="s">
        <v>65</v>
      </c>
      <c r="F363">
        <f>_xlfn.XLOOKUP(Table3[[#This Row],[Category]],Table10[category],Table10[category_id],"Not found")</f>
        <v>1</v>
      </c>
      <c r="G363" t="str">
        <f>_xlfn.XLOOKUP(Table3[[#This Row],[Place_Id]],Table7[place_id],Table7[city3],"Not found")</f>
        <v>Semarang</v>
      </c>
      <c r="H363">
        <f>_xlfn.XLOOKUP(Table3[[#This Row],[City]],Table5[city_name],Table5[city_id],"Not found")</f>
        <v>5</v>
      </c>
      <c r="I363">
        <v>5000</v>
      </c>
      <c r="K363">
        <v>-6.9545687000000003</v>
      </c>
      <c r="L363">
        <v>110.3600951</v>
      </c>
    </row>
    <row r="364" spans="1:12" x14ac:dyDescent="0.25">
      <c r="A364">
        <v>363</v>
      </c>
      <c r="B364" t="s">
        <v>776</v>
      </c>
      <c r="C364" t="s">
        <v>777</v>
      </c>
      <c r="D364" t="e" cm="1">
        <f t="array" aca="1" ref="D364" ca="1">TRANSLATE(Table3[[#This Row],[Description]],"id","en")</f>
        <v>#NAME?</v>
      </c>
      <c r="E364" t="s">
        <v>51</v>
      </c>
      <c r="F364">
        <f>_xlfn.XLOOKUP(Table3[[#This Row],[Category]],Table10[category],Table10[category_id],"Not found")</f>
        <v>5</v>
      </c>
      <c r="G364" t="str">
        <f>_xlfn.XLOOKUP(Table3[[#This Row],[Place_Id]],Table7[place_id],Table7[city3],"Not found")</f>
        <v>Semarang</v>
      </c>
      <c r="H364">
        <f>_xlfn.XLOOKUP(Table3[[#This Row],[City]],Table5[city_name],Table5[city_id],"Not found")</f>
        <v>5</v>
      </c>
      <c r="I364">
        <v>80000</v>
      </c>
      <c r="J364">
        <v>60</v>
      </c>
      <c r="K364">
        <v>-7.0218894000000001</v>
      </c>
      <c r="L364">
        <v>110.4383345</v>
      </c>
    </row>
    <row r="365" spans="1:12" x14ac:dyDescent="0.25">
      <c r="A365">
        <v>364</v>
      </c>
      <c r="B365" t="s">
        <v>778</v>
      </c>
      <c r="C365" t="s">
        <v>779</v>
      </c>
      <c r="D365" t="e" cm="1">
        <f t="array" aca="1" ref="D365" ca="1">TRANSLATE(Table3[[#This Row],[Description]],"id","en")</f>
        <v>#NAME?</v>
      </c>
      <c r="E365" t="s">
        <v>60</v>
      </c>
      <c r="F365">
        <f>_xlfn.XLOOKUP(Table3[[#This Row],[Category]],Table10[category],Table10[category_id],"Not found")</f>
        <v>3</v>
      </c>
      <c r="G365" t="str">
        <f>_xlfn.XLOOKUP(Table3[[#This Row],[Place_Id]],Table7[place_id],Table7[city3],"Not found")</f>
        <v>Semarang</v>
      </c>
      <c r="H365">
        <f>_xlfn.XLOOKUP(Table3[[#This Row],[City]],Table5[city_name],Table5[city_id],"Not found")</f>
        <v>5</v>
      </c>
      <c r="I365">
        <v>2500</v>
      </c>
      <c r="K365">
        <v>-7.0370499000000004</v>
      </c>
      <c r="L365">
        <v>110.34775860000001</v>
      </c>
    </row>
    <row r="366" spans="1:12" x14ac:dyDescent="0.25">
      <c r="A366">
        <v>365</v>
      </c>
      <c r="B366" t="s">
        <v>780</v>
      </c>
      <c r="C366" t="s">
        <v>781</v>
      </c>
      <c r="D366" t="e" cm="1">
        <f t="array" aca="1" ref="D366" ca="1">TRANSLATE(Table3[[#This Row],[Description]],"id","en")</f>
        <v>#NAME?</v>
      </c>
      <c r="E366" t="s">
        <v>51</v>
      </c>
      <c r="F366">
        <f>_xlfn.XLOOKUP(Table3[[#This Row],[Category]],Table10[category],Table10[category_id],"Not found")</f>
        <v>5</v>
      </c>
      <c r="G366" t="str">
        <f>_xlfn.XLOOKUP(Table3[[#This Row],[Place_Id]],Table7[place_id],Table7[city3],"Not found")</f>
        <v>Semarang regency</v>
      </c>
      <c r="H366">
        <f>_xlfn.XLOOKUP(Table3[[#This Row],[City]],Table5[city_name],Table5[city_id],"Not found")</f>
        <v>6</v>
      </c>
      <c r="I366">
        <v>20000</v>
      </c>
      <c r="J366">
        <v>150</v>
      </c>
      <c r="K366">
        <v>-7.1321060000000003</v>
      </c>
      <c r="L366">
        <v>110.39452300000001</v>
      </c>
    </row>
    <row r="367" spans="1:12" x14ac:dyDescent="0.25">
      <c r="A367">
        <v>366</v>
      </c>
      <c r="B367" t="s">
        <v>782</v>
      </c>
      <c r="C367" t="s">
        <v>783</v>
      </c>
      <c r="D367" t="e" cm="1">
        <f t="array" aca="1" ref="D367" ca="1">TRANSLATE(Table3[[#This Row],[Description]],"id","en")</f>
        <v>#NAME?</v>
      </c>
      <c r="E367" t="s">
        <v>60</v>
      </c>
      <c r="F367">
        <f>_xlfn.XLOOKUP(Table3[[#This Row],[Category]],Table10[category],Table10[category_id],"Not found")</f>
        <v>3</v>
      </c>
      <c r="G367" t="str">
        <f>_xlfn.XLOOKUP(Table3[[#This Row],[Place_Id]],Table7[place_id],Table7[city3],"Not found")</f>
        <v>Semarang regency</v>
      </c>
      <c r="H367">
        <f>_xlfn.XLOOKUP(Table3[[#This Row],[City]],Table5[city_name],Table5[city_id],"Not found")</f>
        <v>6</v>
      </c>
      <c r="I367">
        <v>7000</v>
      </c>
      <c r="K367">
        <v>-7.3126613000000003</v>
      </c>
      <c r="L367">
        <v>110.3746785</v>
      </c>
    </row>
    <row r="368" spans="1:12" x14ac:dyDescent="0.25">
      <c r="A368">
        <v>367</v>
      </c>
      <c r="B368" t="s">
        <v>784</v>
      </c>
      <c r="C368" t="s">
        <v>785</v>
      </c>
      <c r="D368" t="e" cm="1">
        <f t="array" aca="1" ref="D368" ca="1">TRANSLATE(Table3[[#This Row],[Description]],"id","en")</f>
        <v>#NAME?</v>
      </c>
      <c r="E368" t="s">
        <v>60</v>
      </c>
      <c r="F368">
        <f>_xlfn.XLOOKUP(Table3[[#This Row],[Category]],Table10[category],Table10[category_id],"Not found")</f>
        <v>3</v>
      </c>
      <c r="G368" t="str">
        <f>_xlfn.XLOOKUP(Table3[[#This Row],[Place_Id]],Table7[place_id],Table7[city3],"Not found")</f>
        <v>Semarang regency</v>
      </c>
      <c r="H368">
        <f>_xlfn.XLOOKUP(Table3[[#This Row],[City]],Table5[city_name],Table5[city_id],"Not found")</f>
        <v>6</v>
      </c>
      <c r="I368">
        <v>3000</v>
      </c>
      <c r="K368">
        <v>-7.2675390000000002</v>
      </c>
      <c r="L368">
        <v>110.418076</v>
      </c>
    </row>
    <row r="369" spans="1:12" ht="90" x14ac:dyDescent="0.25">
      <c r="A369">
        <v>368</v>
      </c>
      <c r="B369" t="s">
        <v>786</v>
      </c>
      <c r="C369" s="3" t="s">
        <v>787</v>
      </c>
      <c r="D369" s="3" t="e" cm="1">
        <f t="array" aca="1" ref="D369" ca="1">TRANSLATE(Table3[[#This Row],[Description]],"id","en")</f>
        <v>#NAME?</v>
      </c>
      <c r="E369" t="s">
        <v>45</v>
      </c>
      <c r="F369">
        <f>_xlfn.XLOOKUP(Table3[[#This Row],[Category]],Table10[category],Table10[category_id],"Not found")</f>
        <v>2</v>
      </c>
      <c r="G369" t="str">
        <f>_xlfn.XLOOKUP(Table3[[#This Row],[Place_Id]],Table7[place_id],Table7[city3],"Not found")</f>
        <v>Semarang regency</v>
      </c>
      <c r="H369">
        <f>_xlfn.XLOOKUP(Table3[[#This Row],[City]],Table5[city_name],Table5[city_id],"Not found")</f>
        <v>6</v>
      </c>
      <c r="I369">
        <v>7500</v>
      </c>
      <c r="J369">
        <v>20</v>
      </c>
      <c r="K369">
        <v>-7.2598861000000001</v>
      </c>
      <c r="L369">
        <v>110.4025602</v>
      </c>
    </row>
    <row r="370" spans="1:12" ht="60" x14ac:dyDescent="0.25">
      <c r="A370">
        <v>369</v>
      </c>
      <c r="B370" t="s">
        <v>788</v>
      </c>
      <c r="C370" s="3" t="s">
        <v>789</v>
      </c>
      <c r="D370" s="3" t="e" cm="1">
        <f t="array" aca="1" ref="D370" ca="1">TRANSLATE(Table3[[#This Row],[Description]],"id","en")</f>
        <v>#NAME?</v>
      </c>
      <c r="E370" t="s">
        <v>45</v>
      </c>
      <c r="F370">
        <f>_xlfn.XLOOKUP(Table3[[#This Row],[Category]],Table10[category],Table10[category_id],"Not found")</f>
        <v>2</v>
      </c>
      <c r="G370" t="str">
        <f>_xlfn.XLOOKUP(Table3[[#This Row],[Place_Id]],Table7[place_id],Table7[city3],"Not found")</f>
        <v>Cilacap</v>
      </c>
      <c r="H370">
        <f>_xlfn.XLOOKUP(Table3[[#This Row],[City]],Table5[city_name],Table5[city_id],"Not found")</f>
        <v>3</v>
      </c>
      <c r="I370">
        <v>5000</v>
      </c>
      <c r="J370">
        <v>60</v>
      </c>
      <c r="K370">
        <v>-7.2706461999999998</v>
      </c>
      <c r="L370">
        <v>110.4103291</v>
      </c>
    </row>
    <row r="371" spans="1:12" ht="60" x14ac:dyDescent="0.25">
      <c r="A371">
        <v>370</v>
      </c>
      <c r="B371" t="s">
        <v>790</v>
      </c>
      <c r="C371" s="3" t="s">
        <v>791</v>
      </c>
      <c r="D371" s="3" t="e" cm="1">
        <f t="array" aca="1" ref="D371" ca="1">TRANSLATE(Table3[[#This Row],[Description]],"id","en")</f>
        <v>#NAME?</v>
      </c>
      <c r="E371" t="s">
        <v>60</v>
      </c>
      <c r="F371">
        <f>_xlfn.XLOOKUP(Table3[[#This Row],[Category]],Table10[category],Table10[category_id],"Not found")</f>
        <v>3</v>
      </c>
      <c r="G371" t="str">
        <f>_xlfn.XLOOKUP(Table3[[#This Row],[Place_Id]],Table7[place_id],Table7[city3],"Not found")</f>
        <v>Semarang regency</v>
      </c>
      <c r="H371">
        <f>_xlfn.XLOOKUP(Table3[[#This Row],[City]],Table5[city_name],Table5[city_id],"Not found")</f>
        <v>6</v>
      </c>
      <c r="I371">
        <v>25000</v>
      </c>
      <c r="J371">
        <v>90</v>
      </c>
      <c r="K371">
        <v>-7.2531096000000002</v>
      </c>
      <c r="L371">
        <v>110.4264512</v>
      </c>
    </row>
    <row r="372" spans="1:12" x14ac:dyDescent="0.25">
      <c r="A372">
        <v>371</v>
      </c>
      <c r="B372" t="s">
        <v>792</v>
      </c>
      <c r="C372" t="s">
        <v>793</v>
      </c>
      <c r="D372" t="e" cm="1">
        <f t="array" aca="1" ref="D372" ca="1">TRANSLATE(Table3[[#This Row],[Description]],"id","en")</f>
        <v>#NAME?</v>
      </c>
      <c r="E372" t="s">
        <v>60</v>
      </c>
      <c r="F372">
        <f>_xlfn.XLOOKUP(Table3[[#This Row],[Category]],Table10[category],Table10[category_id],"Not found")</f>
        <v>3</v>
      </c>
      <c r="G372" t="str">
        <f>_xlfn.XLOOKUP(Table3[[#This Row],[Place_Id]],Table7[place_id],Table7[city3],"Not found")</f>
        <v>Semarang regency</v>
      </c>
      <c r="H372">
        <f>_xlfn.XLOOKUP(Table3[[#This Row],[City]],Table5[city_name],Table5[city_id],"Not found")</f>
        <v>6</v>
      </c>
      <c r="I372">
        <v>2000</v>
      </c>
      <c r="K372">
        <v>-7.2552364000000003</v>
      </c>
      <c r="L372">
        <v>110.39918969999999</v>
      </c>
    </row>
    <row r="373" spans="1:12" x14ac:dyDescent="0.25">
      <c r="A373">
        <v>372</v>
      </c>
      <c r="B373" t="s">
        <v>794</v>
      </c>
      <c r="C373" t="s">
        <v>795</v>
      </c>
      <c r="D373" t="e" cm="1">
        <f t="array" aca="1" ref="D373" ca="1">TRANSLATE(Table3[[#This Row],[Description]],"id","en")</f>
        <v>#NAME?</v>
      </c>
      <c r="E373" t="s">
        <v>45</v>
      </c>
      <c r="F373">
        <f>_xlfn.XLOOKUP(Table3[[#This Row],[Category]],Table10[category],Table10[category_id],"Not found")</f>
        <v>2</v>
      </c>
      <c r="G373" t="str">
        <f>_xlfn.XLOOKUP(Table3[[#This Row],[Place_Id]],Table7[place_id],Table7[city3],"Not found")</f>
        <v>Semarang regency</v>
      </c>
      <c r="H373">
        <f>_xlfn.XLOOKUP(Table3[[#This Row],[City]],Table5[city_name],Table5[city_id],"Not found")</f>
        <v>6</v>
      </c>
      <c r="I373">
        <v>10000</v>
      </c>
      <c r="J373">
        <v>60</v>
      </c>
      <c r="K373">
        <v>-7.2645989000000002</v>
      </c>
      <c r="L373">
        <v>110.4046017</v>
      </c>
    </row>
    <row r="374" spans="1:12" x14ac:dyDescent="0.25">
      <c r="A374">
        <v>373</v>
      </c>
      <c r="B374" t="s">
        <v>796</v>
      </c>
      <c r="C374" t="s">
        <v>797</v>
      </c>
      <c r="D374" t="e" cm="1">
        <f t="array" aca="1" ref="D374" ca="1">TRANSLATE(Table3[[#This Row],[Description]],"id","en")</f>
        <v>#NAME?</v>
      </c>
      <c r="E374" t="s">
        <v>60</v>
      </c>
      <c r="F374">
        <f>_xlfn.XLOOKUP(Table3[[#This Row],[Category]],Table10[category],Table10[category_id],"Not found")</f>
        <v>3</v>
      </c>
      <c r="G374" t="str">
        <f>_xlfn.XLOOKUP(Table3[[#This Row],[Place_Id]],Table7[place_id],Table7[city3],"Not found")</f>
        <v>Semarang regency</v>
      </c>
      <c r="H374">
        <f>_xlfn.XLOOKUP(Table3[[#This Row],[City]],Table5[city_name],Table5[city_id],"Not found")</f>
        <v>6</v>
      </c>
      <c r="I374">
        <v>6000</v>
      </c>
      <c r="K374">
        <v>-7.3956059999999999</v>
      </c>
      <c r="L374">
        <v>110.45177270000001</v>
      </c>
    </row>
    <row r="375" spans="1:12" x14ac:dyDescent="0.25">
      <c r="A375">
        <v>374</v>
      </c>
      <c r="B375" t="s">
        <v>798</v>
      </c>
      <c r="C375" t="s">
        <v>799</v>
      </c>
      <c r="D375" t="e" cm="1">
        <f t="array" aca="1" ref="D375" ca="1">TRANSLATE(Table3[[#This Row],[Description]],"id","en")</f>
        <v>#NAME?</v>
      </c>
      <c r="E375" t="s">
        <v>45</v>
      </c>
      <c r="F375">
        <f>_xlfn.XLOOKUP(Table3[[#This Row],[Category]],Table10[category],Table10[category_id],"Not found")</f>
        <v>2</v>
      </c>
      <c r="G375" t="str">
        <f>_xlfn.XLOOKUP(Table3[[#This Row],[Place_Id]],Table7[place_id],Table7[city3],"Not found")</f>
        <v>Semarang</v>
      </c>
      <c r="H375">
        <f>_xlfn.XLOOKUP(Table3[[#This Row],[City]],Table5[city_name],Table5[city_id],"Not found")</f>
        <v>5</v>
      </c>
      <c r="I375">
        <v>0</v>
      </c>
      <c r="J375">
        <v>90</v>
      </c>
      <c r="K375">
        <v>-6.9681398999999997</v>
      </c>
      <c r="L375">
        <v>110.4278611</v>
      </c>
    </row>
    <row r="376" spans="1:12" x14ac:dyDescent="0.25">
      <c r="A376">
        <v>375</v>
      </c>
      <c r="B376" t="s">
        <v>800</v>
      </c>
      <c r="C376" t="s">
        <v>801</v>
      </c>
      <c r="D376" t="e" cm="1">
        <f t="array" aca="1" ref="D376" ca="1">TRANSLATE(Table3[[#This Row],[Description]],"id","en")</f>
        <v>#NAME?</v>
      </c>
      <c r="E376" t="s">
        <v>45</v>
      </c>
      <c r="F376">
        <f>_xlfn.XLOOKUP(Table3[[#This Row],[Category]],Table10[category],Table10[category_id],"Not found")</f>
        <v>2</v>
      </c>
      <c r="G376" t="str">
        <f>_xlfn.XLOOKUP(Table3[[#This Row],[Place_Id]],Table7[place_id],Table7[city3],"Not found")</f>
        <v>Semarang</v>
      </c>
      <c r="H376">
        <f>_xlfn.XLOOKUP(Table3[[#This Row],[City]],Table5[city_name],Table5[city_id],"Not found")</f>
        <v>5</v>
      </c>
      <c r="I376">
        <v>30000</v>
      </c>
      <c r="J376">
        <v>30</v>
      </c>
      <c r="K376">
        <v>-6.9749923000000003</v>
      </c>
      <c r="L376">
        <v>110.424954</v>
      </c>
    </row>
    <row r="377" spans="1:12" x14ac:dyDescent="0.25">
      <c r="A377">
        <v>376</v>
      </c>
      <c r="B377" t="s">
        <v>802</v>
      </c>
      <c r="C377" t="s">
        <v>803</v>
      </c>
      <c r="D377" t="e" cm="1">
        <f t="array" aca="1" ref="D377" ca="1">TRANSLATE(Table3[[#This Row],[Description]],"id","en")</f>
        <v>#NAME?</v>
      </c>
      <c r="E377" t="s">
        <v>51</v>
      </c>
      <c r="F377">
        <f>_xlfn.XLOOKUP(Table3[[#This Row],[Category]],Table10[category],Table10[category_id],"Not found")</f>
        <v>5</v>
      </c>
      <c r="G377" t="str">
        <f>_xlfn.XLOOKUP(Table3[[#This Row],[Place_Id]],Table7[place_id],Table7[city3],"Not found")</f>
        <v>Semarang regency</v>
      </c>
      <c r="H377">
        <f>_xlfn.XLOOKUP(Table3[[#This Row],[City]],Table5[city_name],Table5[city_id],"Not found")</f>
        <v>6</v>
      </c>
      <c r="I377">
        <v>35000</v>
      </c>
      <c r="K377">
        <v>-7.2156922999999997</v>
      </c>
      <c r="L377">
        <v>110.36493919999999</v>
      </c>
    </row>
    <row r="378" spans="1:12" x14ac:dyDescent="0.25">
      <c r="A378">
        <v>377</v>
      </c>
      <c r="B378" t="s">
        <v>804</v>
      </c>
      <c r="C378" t="s">
        <v>805</v>
      </c>
      <c r="D378" t="e" cm="1">
        <f t="array" aca="1" ref="D378" ca="1">TRANSLATE(Table3[[#This Row],[Description]],"id","en")</f>
        <v>#NAME?</v>
      </c>
      <c r="E378" t="s">
        <v>51</v>
      </c>
      <c r="F378">
        <f>_xlfn.XLOOKUP(Table3[[#This Row],[Category]],Table10[category],Table10[category_id],"Not found")</f>
        <v>5</v>
      </c>
      <c r="G378" t="str">
        <f>_xlfn.XLOOKUP(Table3[[#This Row],[Place_Id]],Table7[place_id],Table7[city3],"Not found")</f>
        <v>Semarang regency</v>
      </c>
      <c r="H378">
        <f>_xlfn.XLOOKUP(Table3[[#This Row],[City]],Table5[city_name],Table5[city_id],"Not found")</f>
        <v>6</v>
      </c>
      <c r="I378">
        <v>0</v>
      </c>
      <c r="J378">
        <v>60</v>
      </c>
      <c r="K378">
        <v>-7.2678200999999998</v>
      </c>
      <c r="L378">
        <v>110.44832169999999</v>
      </c>
    </row>
    <row r="379" spans="1:12" x14ac:dyDescent="0.25">
      <c r="A379">
        <v>378</v>
      </c>
      <c r="B379" t="s">
        <v>806</v>
      </c>
      <c r="C379" t="s">
        <v>807</v>
      </c>
      <c r="D379" t="e" cm="1">
        <f t="array" aca="1" ref="D379" ca="1">TRANSLATE(Table3[[#This Row],[Description]],"id","en")</f>
        <v>#NAME?</v>
      </c>
      <c r="E379" t="s">
        <v>60</v>
      </c>
      <c r="F379">
        <f>_xlfn.XLOOKUP(Table3[[#This Row],[Category]],Table10[category],Table10[category_id],"Not found")</f>
        <v>3</v>
      </c>
      <c r="G379" t="str">
        <f>_xlfn.XLOOKUP(Table3[[#This Row],[Place_Id]],Table7[place_id],Table7[city3],"Not found")</f>
        <v>Semarang regency</v>
      </c>
      <c r="H379">
        <f>_xlfn.XLOOKUP(Table3[[#This Row],[City]],Table5[city_name],Table5[city_id],"Not found")</f>
        <v>6</v>
      </c>
      <c r="I379">
        <v>5000</v>
      </c>
      <c r="K379">
        <v>-7.2721621000000001</v>
      </c>
      <c r="L379">
        <v>110.46984569999999</v>
      </c>
    </row>
    <row r="380" spans="1:12" x14ac:dyDescent="0.25">
      <c r="A380">
        <v>379</v>
      </c>
      <c r="B380" t="s">
        <v>808</v>
      </c>
      <c r="C380" t="s">
        <v>809</v>
      </c>
      <c r="D380" t="e" cm="1">
        <f t="array" aca="1" ref="D380" ca="1">TRANSLATE(Table3[[#This Row],[Description]],"id","en")</f>
        <v>#NAME?</v>
      </c>
      <c r="E380" t="s">
        <v>93</v>
      </c>
      <c r="F380">
        <f>_xlfn.XLOOKUP(Table3[[#This Row],[Category]],Table10[category],Table10[category_id],"Not found")</f>
        <v>6</v>
      </c>
      <c r="G380" t="str">
        <f>_xlfn.XLOOKUP(Table3[[#This Row],[Place_Id]],Table7[place_id],Table7[city3],"Not found")</f>
        <v>Semarang regency</v>
      </c>
      <c r="H380">
        <f>_xlfn.XLOOKUP(Table3[[#This Row],[City]],Table5[city_name],Table5[city_id],"Not found")</f>
        <v>6</v>
      </c>
      <c r="I380">
        <v>0</v>
      </c>
      <c r="K380">
        <v>-7.1350705000000003</v>
      </c>
      <c r="L380">
        <v>110.4088131</v>
      </c>
    </row>
    <row r="381" spans="1:12" x14ac:dyDescent="0.25">
      <c r="A381">
        <v>380</v>
      </c>
      <c r="B381" t="s">
        <v>810</v>
      </c>
      <c r="C381" t="s">
        <v>811</v>
      </c>
      <c r="D381" t="e" cm="1">
        <f t="array" aca="1" ref="D381" ca="1">TRANSLATE(Table3[[#This Row],[Description]],"id","en")</f>
        <v>#NAME?</v>
      </c>
      <c r="E381" t="s">
        <v>45</v>
      </c>
      <c r="F381">
        <f>_xlfn.XLOOKUP(Table3[[#This Row],[Category]],Table10[category],Table10[category_id],"Not found")</f>
        <v>2</v>
      </c>
      <c r="G381" t="str">
        <f>_xlfn.XLOOKUP(Table3[[#This Row],[Place_Id]],Table7[place_id],Table7[city3],"Not found")</f>
        <v>Semarang</v>
      </c>
      <c r="H381">
        <f>_xlfn.XLOOKUP(Table3[[#This Row],[City]],Table5[city_name],Table5[city_id],"Not found")</f>
        <v>5</v>
      </c>
      <c r="I381">
        <v>0</v>
      </c>
      <c r="K381">
        <v>-6.9843485000000003</v>
      </c>
      <c r="L381">
        <v>110.40932069999999</v>
      </c>
    </row>
    <row r="382" spans="1:12" x14ac:dyDescent="0.25">
      <c r="A382">
        <v>381</v>
      </c>
      <c r="B382" t="s">
        <v>812</v>
      </c>
      <c r="C382" t="s">
        <v>813</v>
      </c>
      <c r="D382" t="e" cm="1">
        <f t="array" aca="1" ref="D382" ca="1">TRANSLATE(Table3[[#This Row],[Description]],"id","en")</f>
        <v>#NAME?</v>
      </c>
      <c r="E382" t="s">
        <v>51</v>
      </c>
      <c r="F382">
        <f>_xlfn.XLOOKUP(Table3[[#This Row],[Category]],Table10[category],Table10[category_id],"Not found")</f>
        <v>5</v>
      </c>
      <c r="G382" t="str">
        <f>_xlfn.XLOOKUP(Table3[[#This Row],[Place_Id]],Table7[place_id],Table7[city3],"Not found")</f>
        <v>Semarang regency</v>
      </c>
      <c r="H382">
        <f>_xlfn.XLOOKUP(Table3[[#This Row],[City]],Table5[city_name],Table5[city_id],"Not found")</f>
        <v>6</v>
      </c>
      <c r="I382">
        <v>200000</v>
      </c>
      <c r="J382">
        <v>90</v>
      </c>
      <c r="K382">
        <v>-7.2539005000000003</v>
      </c>
      <c r="L382">
        <v>110.4414953</v>
      </c>
    </row>
    <row r="383" spans="1:12" x14ac:dyDescent="0.25">
      <c r="A383">
        <v>382</v>
      </c>
      <c r="B383" t="s">
        <v>814</v>
      </c>
      <c r="C383" t="s">
        <v>815</v>
      </c>
      <c r="D383" t="e" cm="1">
        <f t="array" aca="1" ref="D383" ca="1">TRANSLATE(Table3[[#This Row],[Description]],"id","en")</f>
        <v>#NAME?</v>
      </c>
      <c r="E383" t="s">
        <v>51</v>
      </c>
      <c r="F383">
        <f>_xlfn.XLOOKUP(Table3[[#This Row],[Category]],Table10[category],Table10[category_id],"Not found")</f>
        <v>5</v>
      </c>
      <c r="G383" t="str">
        <f>_xlfn.XLOOKUP(Table3[[#This Row],[Place_Id]],Table7[place_id],Table7[city3],"Not found")</f>
        <v>Semarang</v>
      </c>
      <c r="H383">
        <f>_xlfn.XLOOKUP(Table3[[#This Row],[City]],Table5[city_name],Table5[city_id],"Not found")</f>
        <v>5</v>
      </c>
      <c r="I383">
        <v>0</v>
      </c>
      <c r="J383">
        <v>60</v>
      </c>
      <c r="K383">
        <v>-7.0388032000000003</v>
      </c>
      <c r="L383">
        <v>110.4215576</v>
      </c>
    </row>
    <row r="384" spans="1:12" x14ac:dyDescent="0.25">
      <c r="A384">
        <v>383</v>
      </c>
      <c r="B384" t="s">
        <v>816</v>
      </c>
      <c r="C384" t="s">
        <v>817</v>
      </c>
      <c r="D384" t="e" cm="1">
        <f t="array" aca="1" ref="D384" ca="1">TRANSLATE(Table3[[#This Row],[Description]],"id","en")</f>
        <v>#NAME?</v>
      </c>
      <c r="E384" t="s">
        <v>45</v>
      </c>
      <c r="F384">
        <f>_xlfn.XLOOKUP(Table3[[#This Row],[Category]],Table10[category],Table10[category_id],"Not found")</f>
        <v>2</v>
      </c>
      <c r="G384" t="str">
        <f>_xlfn.XLOOKUP(Table3[[#This Row],[Place_Id]],Table7[place_id],Table7[city3],"Not found")</f>
        <v>Semarang</v>
      </c>
      <c r="H384">
        <f>_xlfn.XLOOKUP(Table3[[#This Row],[City]],Table5[city_name],Table5[city_id],"Not found")</f>
        <v>5</v>
      </c>
      <c r="I384">
        <v>0</v>
      </c>
      <c r="J384">
        <v>90</v>
      </c>
      <c r="K384">
        <v>-7.0290974000000004</v>
      </c>
      <c r="L384">
        <v>110.3775382</v>
      </c>
    </row>
    <row r="385" spans="1:12" x14ac:dyDescent="0.25">
      <c r="A385">
        <v>384</v>
      </c>
      <c r="B385" t="s">
        <v>818</v>
      </c>
      <c r="C385" t="s">
        <v>819</v>
      </c>
      <c r="D385" t="e" cm="1">
        <f t="array" aca="1" ref="D385" ca="1">TRANSLATE(Table3[[#This Row],[Description]],"id","en")</f>
        <v>#NAME?</v>
      </c>
      <c r="E385" t="s">
        <v>45</v>
      </c>
      <c r="F385">
        <f>_xlfn.XLOOKUP(Table3[[#This Row],[Category]],Table10[category],Table10[category_id],"Not found")</f>
        <v>2</v>
      </c>
      <c r="G385" t="str">
        <f>_xlfn.XLOOKUP(Table3[[#This Row],[Place_Id]],Table7[place_id],Table7[city3],"Not found")</f>
        <v>Semarang</v>
      </c>
      <c r="H385">
        <f>_xlfn.XLOOKUP(Table3[[#This Row],[City]],Table5[city_name],Table5[city_id],"Not found")</f>
        <v>5</v>
      </c>
      <c r="I385">
        <v>0</v>
      </c>
      <c r="J385">
        <v>45</v>
      </c>
      <c r="K385">
        <v>-6.9688821000000001</v>
      </c>
      <c r="L385">
        <v>110.43186919999999</v>
      </c>
    </row>
    <row r="386" spans="1:12" x14ac:dyDescent="0.25">
      <c r="A386">
        <v>385</v>
      </c>
      <c r="B386" t="s">
        <v>820</v>
      </c>
      <c r="C386" t="s">
        <v>821</v>
      </c>
      <c r="D386" t="e" cm="1">
        <f t="array" aca="1" ref="D386" ca="1">TRANSLATE(Table3[[#This Row],[Description]],"id","en")</f>
        <v>#NAME?</v>
      </c>
      <c r="E386" t="s">
        <v>60</v>
      </c>
      <c r="F386">
        <f>_xlfn.XLOOKUP(Table3[[#This Row],[Category]],Table10[category],Table10[category_id],"Not found")</f>
        <v>3</v>
      </c>
      <c r="G386" t="str">
        <f>_xlfn.XLOOKUP(Table3[[#This Row],[Place_Id]],Table7[place_id],Table7[city3],"Not found")</f>
        <v>Semarang regency</v>
      </c>
      <c r="H386">
        <f>_xlfn.XLOOKUP(Table3[[#This Row],[City]],Table5[city_name],Table5[city_id],"Not found")</f>
        <v>6</v>
      </c>
      <c r="I386">
        <v>9000</v>
      </c>
      <c r="K386">
        <v>-7.1662971000000004</v>
      </c>
      <c r="L386">
        <v>110.381068</v>
      </c>
    </row>
    <row r="387" spans="1:12" x14ac:dyDescent="0.25">
      <c r="A387">
        <v>386</v>
      </c>
      <c r="B387" t="s">
        <v>822</v>
      </c>
      <c r="C387" t="s">
        <v>823</v>
      </c>
      <c r="D387" t="e" cm="1">
        <f t="array" aca="1" ref="D387" ca="1">TRANSLATE(Table3[[#This Row],[Description]],"id","en")</f>
        <v>#NAME?</v>
      </c>
      <c r="E387" t="s">
        <v>60</v>
      </c>
      <c r="F387">
        <f>_xlfn.XLOOKUP(Table3[[#This Row],[Category]],Table10[category],Table10[category_id],"Not found")</f>
        <v>3</v>
      </c>
      <c r="G387" t="str">
        <f>_xlfn.XLOOKUP(Table3[[#This Row],[Place_Id]],Table7[place_id],Table7[city3],"Not found")</f>
        <v>Semarang</v>
      </c>
      <c r="H387">
        <f>_xlfn.XLOOKUP(Table3[[#This Row],[City]],Table5[city_name],Table5[city_id],"Not found")</f>
        <v>5</v>
      </c>
      <c r="I387">
        <v>5500</v>
      </c>
      <c r="J387">
        <v>60</v>
      </c>
      <c r="K387">
        <v>-7.0372113000000001</v>
      </c>
      <c r="L387">
        <v>110.34761640000001</v>
      </c>
    </row>
    <row r="388" spans="1:12" x14ac:dyDescent="0.25">
      <c r="A388">
        <v>387</v>
      </c>
      <c r="B388" t="s">
        <v>824</v>
      </c>
      <c r="C388" t="s">
        <v>825</v>
      </c>
      <c r="D388" t="e" cm="1">
        <f t="array" aca="1" ref="D388" ca="1">TRANSLATE(Table3[[#This Row],[Description]],"id","en")</f>
        <v>#NAME?</v>
      </c>
      <c r="E388" t="s">
        <v>60</v>
      </c>
      <c r="F388">
        <f>_xlfn.XLOOKUP(Table3[[#This Row],[Category]],Table10[category],Table10[category_id],"Not found")</f>
        <v>3</v>
      </c>
      <c r="G388" t="str">
        <f>_xlfn.XLOOKUP(Table3[[#This Row],[Place_Id]],Table7[place_id],Table7[city3],"Not found")</f>
        <v>Semarang regency</v>
      </c>
      <c r="H388">
        <f>_xlfn.XLOOKUP(Table3[[#This Row],[City]],Table5[city_name],Table5[city_id],"Not found")</f>
        <v>6</v>
      </c>
      <c r="I388">
        <v>25000</v>
      </c>
      <c r="K388">
        <v>-7.1298066000000002</v>
      </c>
      <c r="L388">
        <v>110.38883199999999</v>
      </c>
    </row>
    <row r="389" spans="1:12" x14ac:dyDescent="0.25">
      <c r="A389">
        <v>388</v>
      </c>
      <c r="B389" t="s">
        <v>826</v>
      </c>
      <c r="C389" t="s">
        <v>827</v>
      </c>
      <c r="D389" t="e" cm="1">
        <f t="array" aca="1" ref="D389" ca="1">TRANSLATE(Table3[[#This Row],[Description]],"id","en")</f>
        <v>#NAME?</v>
      </c>
      <c r="E389" t="s">
        <v>60</v>
      </c>
      <c r="F389">
        <f>_xlfn.XLOOKUP(Table3[[#This Row],[Category]],Table10[category],Table10[category_id],"Not found")</f>
        <v>3</v>
      </c>
      <c r="G389" t="str">
        <f>_xlfn.XLOOKUP(Table3[[#This Row],[Place_Id]],Table7[place_id],Table7[city3],"Not found")</f>
        <v>Semarang</v>
      </c>
      <c r="H389">
        <f>_xlfn.XLOOKUP(Table3[[#This Row],[City]],Table5[city_name],Table5[city_id],"Not found")</f>
        <v>5</v>
      </c>
      <c r="I389">
        <v>0</v>
      </c>
      <c r="J389">
        <v>30</v>
      </c>
      <c r="K389">
        <v>-7.0565163999999996</v>
      </c>
      <c r="L389">
        <v>110.4862531</v>
      </c>
    </row>
    <row r="390" spans="1:12" x14ac:dyDescent="0.25">
      <c r="A390">
        <v>389</v>
      </c>
      <c r="B390" t="s">
        <v>828</v>
      </c>
      <c r="C390" t="s">
        <v>829</v>
      </c>
      <c r="D390" t="e" cm="1">
        <f t="array" aca="1" ref="D390" ca="1">TRANSLATE(Table3[[#This Row],[Description]],"id","en")</f>
        <v>#NAME?</v>
      </c>
      <c r="E390" t="s">
        <v>60</v>
      </c>
      <c r="F390">
        <f>_xlfn.XLOOKUP(Table3[[#This Row],[Category]],Table10[category],Table10[category_id],"Not found")</f>
        <v>3</v>
      </c>
      <c r="G390" t="str">
        <f>_xlfn.XLOOKUP(Table3[[#This Row],[Place_Id]],Table7[place_id],Table7[city3],"Not found")</f>
        <v>Semarang</v>
      </c>
      <c r="H390">
        <f>_xlfn.XLOOKUP(Table3[[#This Row],[City]],Table5[city_name],Table5[city_id],"Not found")</f>
        <v>5</v>
      </c>
      <c r="I390">
        <v>5000</v>
      </c>
      <c r="J390">
        <v>45</v>
      </c>
      <c r="K390">
        <v>-7.0967079000000002</v>
      </c>
      <c r="L390">
        <v>110.3900517</v>
      </c>
    </row>
    <row r="391" spans="1:12" x14ac:dyDescent="0.25">
      <c r="A391">
        <v>390</v>
      </c>
      <c r="B391" t="s">
        <v>830</v>
      </c>
      <c r="C391" t="s">
        <v>831</v>
      </c>
      <c r="D391" t="e" cm="1">
        <f t="array" aca="1" ref="D391" ca="1">TRANSLATE(Table3[[#This Row],[Description]],"id","en")</f>
        <v>#NAME?</v>
      </c>
      <c r="E391" t="s">
        <v>60</v>
      </c>
      <c r="F391">
        <f>_xlfn.XLOOKUP(Table3[[#This Row],[Category]],Table10[category],Table10[category_id],"Not found")</f>
        <v>3</v>
      </c>
      <c r="G391" t="str">
        <f>_xlfn.XLOOKUP(Table3[[#This Row],[Place_Id]],Table7[place_id],Table7[city3],"Not found")</f>
        <v>Semarang regency</v>
      </c>
      <c r="H391">
        <f>_xlfn.XLOOKUP(Table3[[#This Row],[City]],Table5[city_name],Table5[city_id],"Not found")</f>
        <v>6</v>
      </c>
      <c r="I391">
        <v>7500</v>
      </c>
      <c r="J391">
        <v>45</v>
      </c>
      <c r="K391">
        <v>-7.2241812999999997</v>
      </c>
      <c r="L391">
        <v>110.3782661</v>
      </c>
    </row>
    <row r="392" spans="1:12" ht="45" x14ac:dyDescent="0.25">
      <c r="A392">
        <v>391</v>
      </c>
      <c r="B392" t="s">
        <v>832</v>
      </c>
      <c r="C392" s="3" t="s">
        <v>833</v>
      </c>
      <c r="D392" s="3" t="e" cm="1">
        <f t="array" aca="1" ref="D392" ca="1">TRANSLATE(Table3[[#This Row],[Description]],"id","en")</f>
        <v>#NAME?</v>
      </c>
      <c r="E392" t="s">
        <v>60</v>
      </c>
      <c r="F392">
        <f>_xlfn.XLOOKUP(Table3[[#This Row],[Category]],Table10[category],Table10[category_id],"Not found")</f>
        <v>3</v>
      </c>
      <c r="G392" t="str">
        <f>_xlfn.XLOOKUP(Table3[[#This Row],[Place_Id]],Table7[place_id],Table7[city3],"Not found")</f>
        <v>Surabaya</v>
      </c>
      <c r="H392">
        <f>_xlfn.XLOOKUP(Table3[[#This Row],[City]],Table5[city_name],Table5[city_id],"Not found")</f>
        <v>19</v>
      </c>
      <c r="I392">
        <v>0</v>
      </c>
      <c r="J392">
        <v>60</v>
      </c>
      <c r="K392">
        <v>-7.3086482000000004</v>
      </c>
      <c r="L392">
        <v>112.82166220000001</v>
      </c>
    </row>
    <row r="393" spans="1:12" x14ac:dyDescent="0.25">
      <c r="A393">
        <v>392</v>
      </c>
      <c r="B393" t="s">
        <v>835</v>
      </c>
      <c r="C393" t="s">
        <v>836</v>
      </c>
      <c r="D393" t="e" cm="1">
        <f t="array" aca="1" ref="D393" ca="1">TRANSLATE(Table3[[#This Row],[Description]],"id","en")</f>
        <v>#NAME?</v>
      </c>
      <c r="E393" t="s">
        <v>60</v>
      </c>
      <c r="F393">
        <f>_xlfn.XLOOKUP(Table3[[#This Row],[Category]],Table10[category],Table10[category_id],"Not found")</f>
        <v>3</v>
      </c>
      <c r="G393" t="str">
        <f>_xlfn.XLOOKUP(Table3[[#This Row],[Place_Id]],Table7[place_id],Table7[city3],"Not found")</f>
        <v>Surabaya</v>
      </c>
      <c r="H393">
        <f>_xlfn.XLOOKUP(Table3[[#This Row],[City]],Table5[city_name],Table5[city_id],"Not found")</f>
        <v>19</v>
      </c>
      <c r="I393">
        <v>0</v>
      </c>
      <c r="J393">
        <v>60</v>
      </c>
      <c r="K393">
        <v>-7.2952211</v>
      </c>
      <c r="L393">
        <v>112.8035603</v>
      </c>
    </row>
    <row r="394" spans="1:12" x14ac:dyDescent="0.25">
      <c r="A394">
        <v>393</v>
      </c>
      <c r="B394" t="s">
        <v>837</v>
      </c>
      <c r="C394" t="s">
        <v>838</v>
      </c>
      <c r="D394" t="e" cm="1">
        <f t="array" aca="1" ref="D394" ca="1">TRANSLATE(Table3[[#This Row],[Description]],"id","en")</f>
        <v>#NAME?</v>
      </c>
      <c r="E394" t="s">
        <v>51</v>
      </c>
      <c r="F394">
        <f>_xlfn.XLOOKUP(Table3[[#This Row],[Category]],Table10[category],Table10[category_id],"Not found")</f>
        <v>5</v>
      </c>
      <c r="G394" t="str">
        <f>_xlfn.XLOOKUP(Table3[[#This Row],[Place_Id]],Table7[place_id],Table7[city3],"Not found")</f>
        <v>Surabaya</v>
      </c>
      <c r="H394">
        <f>_xlfn.XLOOKUP(Table3[[#This Row],[City]],Table5[city_name],Table5[city_id],"Not found")</f>
        <v>19</v>
      </c>
      <c r="I394">
        <v>35000</v>
      </c>
      <c r="J394">
        <v>45</v>
      </c>
      <c r="K394">
        <v>-7.2356933000000003</v>
      </c>
      <c r="L394">
        <v>112.79552339999999</v>
      </c>
    </row>
    <row r="395" spans="1:12" x14ac:dyDescent="0.25">
      <c r="A395">
        <v>394</v>
      </c>
      <c r="B395" t="s">
        <v>839</v>
      </c>
      <c r="C395" t="s">
        <v>840</v>
      </c>
      <c r="D395" t="e" cm="1">
        <f t="array" aca="1" ref="D395" ca="1">TRANSLATE(Table3[[#This Row],[Description]],"id","en")</f>
        <v>#NAME?</v>
      </c>
      <c r="E395" t="s">
        <v>51</v>
      </c>
      <c r="F395">
        <f>_xlfn.XLOOKUP(Table3[[#This Row],[Category]],Table10[category],Table10[category_id],"Not found")</f>
        <v>5</v>
      </c>
      <c r="G395" t="str">
        <f>_xlfn.XLOOKUP(Table3[[#This Row],[Place_Id]],Table7[place_id],Table7[city3],"Not found")</f>
        <v>Surabaya</v>
      </c>
      <c r="H395">
        <f>_xlfn.XLOOKUP(Table3[[#This Row],[City]],Table5[city_name],Table5[city_id],"Not found")</f>
        <v>19</v>
      </c>
      <c r="I395">
        <v>0</v>
      </c>
      <c r="K395">
        <v>-7.2614722</v>
      </c>
      <c r="L395">
        <v>112.74282839999999</v>
      </c>
    </row>
    <row r="396" spans="1:12" x14ac:dyDescent="0.25">
      <c r="A396">
        <v>395</v>
      </c>
      <c r="B396" t="s">
        <v>841</v>
      </c>
      <c r="C396" t="s">
        <v>842</v>
      </c>
      <c r="D396" t="e" cm="1">
        <f t="array" aca="1" ref="D396" ca="1">TRANSLATE(Table3[[#This Row],[Description]],"id","en")</f>
        <v>#NAME?</v>
      </c>
      <c r="E396" t="s">
        <v>45</v>
      </c>
      <c r="F396">
        <f>_xlfn.XLOOKUP(Table3[[#This Row],[Category]],Table10[category],Table10[category_id],"Not found")</f>
        <v>2</v>
      </c>
      <c r="G396" t="str">
        <f>_xlfn.XLOOKUP(Table3[[#This Row],[Place_Id]],Table7[place_id],Table7[city3],"Not found")</f>
        <v>Surabaya</v>
      </c>
      <c r="H396">
        <f>_xlfn.XLOOKUP(Table3[[#This Row],[City]],Table5[city_name],Table5[city_id],"Not found")</f>
        <v>19</v>
      </c>
      <c r="I396">
        <v>15000</v>
      </c>
      <c r="J396">
        <v>30</v>
      </c>
      <c r="K396">
        <v>-7.2654303999999996</v>
      </c>
      <c r="L396">
        <v>112.7503052</v>
      </c>
    </row>
    <row r="397" spans="1:12" x14ac:dyDescent="0.25">
      <c r="A397">
        <v>396</v>
      </c>
      <c r="B397" t="s">
        <v>843</v>
      </c>
      <c r="C397" t="s">
        <v>844</v>
      </c>
      <c r="D397" t="e" cm="1">
        <f t="array" aca="1" ref="D397" ca="1">TRANSLATE(Table3[[#This Row],[Description]],"id","en")</f>
        <v>#NAME?</v>
      </c>
      <c r="E397" t="s">
        <v>51</v>
      </c>
      <c r="F397">
        <f>_xlfn.XLOOKUP(Table3[[#This Row],[Category]],Table10[category],Table10[category_id],"Not found")</f>
        <v>5</v>
      </c>
      <c r="G397" t="str">
        <f>_xlfn.XLOOKUP(Table3[[#This Row],[Place_Id]],Table7[place_id],Table7[city3],"Not found")</f>
        <v>Surabaya</v>
      </c>
      <c r="H397">
        <f>_xlfn.XLOOKUP(Table3[[#This Row],[City]],Table5[city_name],Table5[city_id],"Not found")</f>
        <v>19</v>
      </c>
      <c r="I397">
        <v>0</v>
      </c>
      <c r="J397">
        <v>45</v>
      </c>
      <c r="K397">
        <v>-7.3182201999999998</v>
      </c>
      <c r="L397">
        <v>112.7842405</v>
      </c>
    </row>
    <row r="398" spans="1:12" x14ac:dyDescent="0.25">
      <c r="A398">
        <v>397</v>
      </c>
      <c r="B398" t="s">
        <v>845</v>
      </c>
      <c r="C398" t="s">
        <v>846</v>
      </c>
      <c r="D398" t="e" cm="1">
        <f t="array" aca="1" ref="D398" ca="1">TRANSLATE(Table3[[#This Row],[Description]],"id","en")</f>
        <v>#NAME?</v>
      </c>
      <c r="E398" t="s">
        <v>51</v>
      </c>
      <c r="F398">
        <f>_xlfn.XLOOKUP(Table3[[#This Row],[Category]],Table10[category],Table10[category_id],"Not found")</f>
        <v>5</v>
      </c>
      <c r="G398" t="str">
        <f>_xlfn.XLOOKUP(Table3[[#This Row],[Place_Id]],Table7[place_id],Table7[city3],"Not found")</f>
        <v>Surabaya</v>
      </c>
      <c r="H398">
        <f>_xlfn.XLOOKUP(Table3[[#This Row],[City]],Table5[city_name],Table5[city_id],"Not found")</f>
        <v>19</v>
      </c>
      <c r="I398">
        <v>0</v>
      </c>
      <c r="J398">
        <v>30</v>
      </c>
      <c r="K398">
        <v>-7.2662139000000003</v>
      </c>
      <c r="L398">
        <v>112.795281</v>
      </c>
    </row>
    <row r="399" spans="1:12" x14ac:dyDescent="0.25">
      <c r="A399">
        <v>398</v>
      </c>
      <c r="B399" t="s">
        <v>847</v>
      </c>
      <c r="C399" t="s">
        <v>848</v>
      </c>
      <c r="D399" t="e" cm="1">
        <f t="array" aca="1" ref="D399" ca="1">TRANSLATE(Table3[[#This Row],[Description]],"id","en")</f>
        <v>#NAME?</v>
      </c>
      <c r="E399" t="s">
        <v>51</v>
      </c>
      <c r="F399">
        <f>_xlfn.XLOOKUP(Table3[[#This Row],[Category]],Table10[category],Table10[category_id],"Not found")</f>
        <v>5</v>
      </c>
      <c r="G399" t="str">
        <f>_xlfn.XLOOKUP(Table3[[#This Row],[Place_Id]],Table7[place_id],Table7[city3],"Not found")</f>
        <v>Surabaya</v>
      </c>
      <c r="H399">
        <f>_xlfn.XLOOKUP(Table3[[#This Row],[City]],Table5[city_name],Table5[city_id],"Not found")</f>
        <v>19</v>
      </c>
      <c r="I399">
        <v>0</v>
      </c>
      <c r="J399">
        <v>20</v>
      </c>
      <c r="K399">
        <v>-7.3275604000000003</v>
      </c>
      <c r="L399">
        <v>112.7312242</v>
      </c>
    </row>
    <row r="400" spans="1:12" x14ac:dyDescent="0.25">
      <c r="A400">
        <v>399</v>
      </c>
      <c r="B400" t="s">
        <v>849</v>
      </c>
      <c r="C400" t="s">
        <v>850</v>
      </c>
      <c r="D400" t="e" cm="1">
        <f t="array" aca="1" ref="D400" ca="1">TRANSLATE(Table3[[#This Row],[Description]],"id","en")</f>
        <v>#NAME?</v>
      </c>
      <c r="E400" t="s">
        <v>60</v>
      </c>
      <c r="F400">
        <f>_xlfn.XLOOKUP(Table3[[#This Row],[Category]],Table10[category],Table10[category_id],"Not found")</f>
        <v>3</v>
      </c>
      <c r="G400" t="str">
        <f>_xlfn.XLOOKUP(Table3[[#This Row],[Place_Id]],Table7[place_id],Table7[city3],"Not found")</f>
        <v>Surabaya</v>
      </c>
      <c r="H400">
        <f>_xlfn.XLOOKUP(Table3[[#This Row],[City]],Table5[city_name],Table5[city_id],"Not found")</f>
        <v>19</v>
      </c>
      <c r="I400">
        <v>0</v>
      </c>
      <c r="J400">
        <v>25</v>
      </c>
      <c r="K400">
        <v>-7.2941909000000003</v>
      </c>
      <c r="L400">
        <v>112.8017238</v>
      </c>
    </row>
    <row r="401" spans="1:12" ht="75" x14ac:dyDescent="0.25">
      <c r="A401">
        <v>400</v>
      </c>
      <c r="B401" t="s">
        <v>851</v>
      </c>
      <c r="C401" s="3" t="s">
        <v>852</v>
      </c>
      <c r="D401" s="3" t="e" cm="1">
        <f t="array" aca="1" ref="D401" ca="1">TRANSLATE(Table3[[#This Row],[Description]],"id","en")</f>
        <v>#NAME?</v>
      </c>
      <c r="E401" t="s">
        <v>51</v>
      </c>
      <c r="F401">
        <f>_xlfn.XLOOKUP(Table3[[#This Row],[Category]],Table10[category],Table10[category_id],"Not found")</f>
        <v>5</v>
      </c>
      <c r="G401" t="str">
        <f>_xlfn.XLOOKUP(Table3[[#This Row],[Place_Id]],Table7[place_id],Table7[city3],"Not found")</f>
        <v>Surabaya</v>
      </c>
      <c r="H401">
        <f>_xlfn.XLOOKUP(Table3[[#This Row],[City]],Table5[city_name],Table5[city_id],"Not found")</f>
        <v>19</v>
      </c>
      <c r="I401">
        <v>0</v>
      </c>
      <c r="K401">
        <v>-7.2732153000000004</v>
      </c>
      <c r="L401">
        <v>112.744102</v>
      </c>
    </row>
    <row r="402" spans="1:12" x14ac:dyDescent="0.25">
      <c r="A402">
        <v>401</v>
      </c>
      <c r="B402" t="s">
        <v>853</v>
      </c>
      <c r="C402" t="s">
        <v>854</v>
      </c>
      <c r="D402" t="e" cm="1">
        <f t="array" aca="1" ref="D402" ca="1">TRANSLATE(Table3[[#This Row],[Description]],"id","en")</f>
        <v>#NAME?</v>
      </c>
      <c r="E402" t="s">
        <v>78</v>
      </c>
      <c r="F402">
        <f>_xlfn.XLOOKUP(Table3[[#This Row],[Category]],Table10[category],Table10[category_id],"Not found")</f>
        <v>4</v>
      </c>
      <c r="G402" t="str">
        <f>_xlfn.XLOOKUP(Table3[[#This Row],[Place_Id]],Table7[place_id],Table7[city3],"Not found")</f>
        <v>Surabaya</v>
      </c>
      <c r="H402">
        <f>_xlfn.XLOOKUP(Table3[[#This Row],[City]],Table5[city_name],Table5[city_id],"Not found")</f>
        <v>19</v>
      </c>
      <c r="I402">
        <v>0</v>
      </c>
      <c r="J402">
        <v>120</v>
      </c>
      <c r="K402">
        <v>-7.2510219999999999</v>
      </c>
      <c r="L402">
        <v>112.6620053</v>
      </c>
    </row>
    <row r="403" spans="1:12" x14ac:dyDescent="0.25">
      <c r="A403">
        <v>402</v>
      </c>
      <c r="B403" t="s">
        <v>855</v>
      </c>
      <c r="C403" t="s">
        <v>856</v>
      </c>
      <c r="D403" t="e" cm="1">
        <f t="array" aca="1" ref="D403" ca="1">TRANSLATE(Table3[[#This Row],[Description]],"id","en")</f>
        <v>#NAME?</v>
      </c>
      <c r="E403" t="s">
        <v>51</v>
      </c>
      <c r="F403">
        <f>_xlfn.XLOOKUP(Table3[[#This Row],[Category]],Table10[category],Table10[category_id],"Not found")</f>
        <v>5</v>
      </c>
      <c r="G403" t="str">
        <f>_xlfn.XLOOKUP(Table3[[#This Row],[Place_Id]],Table7[place_id],Table7[city3],"Not found")</f>
        <v>Surabaya</v>
      </c>
      <c r="H403">
        <f>_xlfn.XLOOKUP(Table3[[#This Row],[City]],Table5[city_name],Table5[city_id],"Not found")</f>
        <v>19</v>
      </c>
      <c r="I403">
        <v>0</v>
      </c>
      <c r="J403">
        <v>30</v>
      </c>
      <c r="K403">
        <v>-7.2220559</v>
      </c>
      <c r="L403">
        <v>112.7319967</v>
      </c>
    </row>
    <row r="404" spans="1:12" x14ac:dyDescent="0.25">
      <c r="A404">
        <v>403</v>
      </c>
      <c r="B404" t="s">
        <v>857</v>
      </c>
      <c r="C404" t="s">
        <v>858</v>
      </c>
      <c r="D404" t="e" cm="1">
        <f t="array" aca="1" ref="D404" ca="1">TRANSLATE(Table3[[#This Row],[Description]],"id","en")</f>
        <v>#NAME?</v>
      </c>
      <c r="E404" t="s">
        <v>51</v>
      </c>
      <c r="F404">
        <f>_xlfn.XLOOKUP(Table3[[#This Row],[Category]],Table10[category],Table10[category_id],"Not found")</f>
        <v>5</v>
      </c>
      <c r="G404" t="str">
        <f>_xlfn.XLOOKUP(Table3[[#This Row],[Place_Id]],Table7[place_id],Table7[city3],"Not found")</f>
        <v>Surabaya</v>
      </c>
      <c r="H404">
        <f>_xlfn.XLOOKUP(Table3[[#This Row],[City]],Table5[city_name],Table5[city_id],"Not found")</f>
        <v>19</v>
      </c>
      <c r="I404">
        <v>35000</v>
      </c>
      <c r="J404">
        <v>120</v>
      </c>
      <c r="K404">
        <v>-7.2522963999999996</v>
      </c>
      <c r="L404">
        <v>112.7966952</v>
      </c>
    </row>
    <row r="405" spans="1:12" x14ac:dyDescent="0.25">
      <c r="A405">
        <v>404</v>
      </c>
      <c r="B405" t="s">
        <v>859</v>
      </c>
      <c r="C405" t="s">
        <v>860</v>
      </c>
      <c r="D405" t="e" cm="1">
        <f t="array" aca="1" ref="D405" ca="1">TRANSLATE(Table3[[#This Row],[Description]],"id","en")</f>
        <v>#NAME?</v>
      </c>
      <c r="E405" t="s">
        <v>51</v>
      </c>
      <c r="F405">
        <f>_xlfn.XLOOKUP(Table3[[#This Row],[Category]],Table10[category],Table10[category_id],"Not found")</f>
        <v>5</v>
      </c>
      <c r="G405" t="str">
        <f>_xlfn.XLOOKUP(Table3[[#This Row],[Place_Id]],Table7[place_id],Table7[city3],"Not found")</f>
        <v>Surabaya</v>
      </c>
      <c r="H405">
        <f>_xlfn.XLOOKUP(Table3[[#This Row],[City]],Table5[city_name],Table5[city_id],"Not found")</f>
        <v>19</v>
      </c>
      <c r="I405">
        <v>50000</v>
      </c>
      <c r="K405">
        <v>-7.1968192999999996</v>
      </c>
      <c r="L405">
        <v>112.73245780000001</v>
      </c>
    </row>
    <row r="406" spans="1:12" x14ac:dyDescent="0.25">
      <c r="A406">
        <v>405</v>
      </c>
      <c r="B406" t="s">
        <v>861</v>
      </c>
      <c r="C406" t="s">
        <v>862</v>
      </c>
      <c r="D406" t="e" cm="1">
        <f t="array" aca="1" ref="D406" ca="1">TRANSLATE(Table3[[#This Row],[Description]],"id","en")</f>
        <v>#NAME?</v>
      </c>
      <c r="E406" t="s">
        <v>60</v>
      </c>
      <c r="F406">
        <f>_xlfn.XLOOKUP(Table3[[#This Row],[Category]],Table10[category],Table10[category_id],"Not found")</f>
        <v>3</v>
      </c>
      <c r="G406" t="str">
        <f>_xlfn.XLOOKUP(Table3[[#This Row],[Place_Id]],Table7[place_id],Table7[city3],"Not found")</f>
        <v>Surabaya</v>
      </c>
      <c r="H406">
        <f>_xlfn.XLOOKUP(Table3[[#This Row],[City]],Table5[city_name],Table5[city_id],"Not found")</f>
        <v>19</v>
      </c>
      <c r="I406">
        <v>0</v>
      </c>
      <c r="J406">
        <v>30</v>
      </c>
      <c r="K406">
        <v>-7.3123655000000003</v>
      </c>
      <c r="L406">
        <v>112.7889021</v>
      </c>
    </row>
    <row r="407" spans="1:12" x14ac:dyDescent="0.25">
      <c r="A407">
        <v>406</v>
      </c>
      <c r="B407" t="s">
        <v>863</v>
      </c>
      <c r="C407" t="s">
        <v>864</v>
      </c>
      <c r="D407" t="e" cm="1">
        <f t="array" aca="1" ref="D407" ca="1">TRANSLATE(Table3[[#This Row],[Description]],"id","en")</f>
        <v>#NAME?</v>
      </c>
      <c r="E407" t="s">
        <v>51</v>
      </c>
      <c r="F407">
        <f>_xlfn.XLOOKUP(Table3[[#This Row],[Category]],Table10[category],Table10[category_id],"Not found")</f>
        <v>5</v>
      </c>
      <c r="G407" t="str">
        <f>_xlfn.XLOOKUP(Table3[[#This Row],[Place_Id]],Table7[place_id],Table7[city3],"Not found")</f>
        <v>Surabaya</v>
      </c>
      <c r="H407">
        <f>_xlfn.XLOOKUP(Table3[[#This Row],[City]],Table5[city_name],Table5[city_id],"Not found")</f>
        <v>19</v>
      </c>
      <c r="I407">
        <v>0</v>
      </c>
      <c r="J407">
        <v>45</v>
      </c>
      <c r="K407">
        <v>-7.2573071999999996</v>
      </c>
      <c r="L407">
        <v>112.7437199</v>
      </c>
    </row>
    <row r="408" spans="1:12" ht="45" x14ac:dyDescent="0.25">
      <c r="A408">
        <v>407</v>
      </c>
      <c r="B408" t="s">
        <v>865</v>
      </c>
      <c r="C408" s="3" t="s">
        <v>866</v>
      </c>
      <c r="D408" s="3" t="e" cm="1">
        <f t="array" aca="1" ref="D408" ca="1">TRANSLATE(Table3[[#This Row],[Description]],"id","en")</f>
        <v>#NAME?</v>
      </c>
      <c r="E408" t="s">
        <v>60</v>
      </c>
      <c r="F408">
        <f>_xlfn.XLOOKUP(Table3[[#This Row],[Category]],Table10[category],Table10[category_id],"Not found")</f>
        <v>3</v>
      </c>
      <c r="G408" t="str">
        <f>_xlfn.XLOOKUP(Table3[[#This Row],[Place_Id]],Table7[place_id],Table7[city3],"Not found")</f>
        <v>Surabaya</v>
      </c>
      <c r="H408">
        <f>_xlfn.XLOOKUP(Table3[[#This Row],[City]],Table5[city_name],Table5[city_id],"Not found")</f>
        <v>19</v>
      </c>
      <c r="I408">
        <v>15000</v>
      </c>
      <c r="J408">
        <v>180</v>
      </c>
      <c r="K408">
        <v>-7.2959546</v>
      </c>
      <c r="L408">
        <v>112.73660940000001</v>
      </c>
    </row>
    <row r="409" spans="1:12" ht="75" x14ac:dyDescent="0.25">
      <c r="A409">
        <v>408</v>
      </c>
      <c r="B409" t="s">
        <v>867</v>
      </c>
      <c r="C409" s="3" t="s">
        <v>868</v>
      </c>
      <c r="D409" s="3" t="e" cm="1">
        <f t="array" aca="1" ref="D409" ca="1">TRANSLATE(Table3[[#This Row],[Description]],"id","en")</f>
        <v>#NAME?</v>
      </c>
      <c r="E409" t="s">
        <v>45</v>
      </c>
      <c r="F409">
        <f>_xlfn.XLOOKUP(Table3[[#This Row],[Category]],Table10[category],Table10[category_id],"Not found")</f>
        <v>2</v>
      </c>
      <c r="G409" t="str">
        <f>_xlfn.XLOOKUP(Table3[[#This Row],[Place_Id]],Table7[place_id],Table7[city3],"Not found")</f>
        <v>Surabaya</v>
      </c>
      <c r="H409">
        <f>_xlfn.XLOOKUP(Table3[[#This Row],[City]],Table5[city_name],Table5[city_id],"Not found")</f>
        <v>19</v>
      </c>
      <c r="I409">
        <v>0</v>
      </c>
      <c r="J409">
        <v>15</v>
      </c>
      <c r="K409">
        <v>-7.2787360000000003</v>
      </c>
      <c r="L409">
        <v>112.718453</v>
      </c>
    </row>
    <row r="410" spans="1:12" x14ac:dyDescent="0.25">
      <c r="A410">
        <v>409</v>
      </c>
      <c r="B410" t="s">
        <v>869</v>
      </c>
      <c r="C410" t="s">
        <v>870</v>
      </c>
      <c r="D410" t="e" cm="1">
        <f t="array" aca="1" ref="D410" ca="1">TRANSLATE(Table3[[#This Row],[Description]],"id","en")</f>
        <v>#NAME?</v>
      </c>
      <c r="E410" t="s">
        <v>51</v>
      </c>
      <c r="F410">
        <f>_xlfn.XLOOKUP(Table3[[#This Row],[Category]],Table10[category],Table10[category_id],"Not found")</f>
        <v>5</v>
      </c>
      <c r="G410" t="str">
        <f>_xlfn.XLOOKUP(Table3[[#This Row],[Place_Id]],Table7[place_id],Table7[city3],"Not found")</f>
        <v>Surabaya</v>
      </c>
      <c r="H410">
        <f>_xlfn.XLOOKUP(Table3[[#This Row],[City]],Table5[city_name],Table5[city_id],"Not found")</f>
        <v>19</v>
      </c>
      <c r="I410">
        <v>95000</v>
      </c>
      <c r="J410">
        <v>90</v>
      </c>
      <c r="K410">
        <v>-7.2861706999999996</v>
      </c>
      <c r="L410">
        <v>112.6333338</v>
      </c>
    </row>
    <row r="411" spans="1:12" x14ac:dyDescent="0.25">
      <c r="A411">
        <v>410</v>
      </c>
      <c r="B411" t="s">
        <v>871</v>
      </c>
      <c r="C411" t="s">
        <v>872</v>
      </c>
      <c r="D411" t="e" cm="1">
        <f t="array" aca="1" ref="D411" ca="1">TRANSLATE(Table3[[#This Row],[Description]],"id","en")</f>
        <v>#NAME?</v>
      </c>
      <c r="E411" t="s">
        <v>93</v>
      </c>
      <c r="F411">
        <f>_xlfn.XLOOKUP(Table3[[#This Row],[Category]],Table10[category],Table10[category_id],"Not found")</f>
        <v>6</v>
      </c>
      <c r="G411" t="str">
        <f>_xlfn.XLOOKUP(Table3[[#This Row],[Place_Id]],Table7[place_id],Table7[city3],"Not found")</f>
        <v>Surabaya</v>
      </c>
      <c r="H411">
        <f>_xlfn.XLOOKUP(Table3[[#This Row],[City]],Table5[city_name],Table5[city_id],"Not found")</f>
        <v>19</v>
      </c>
      <c r="I411">
        <v>0</v>
      </c>
      <c r="K411">
        <v>-7.2522754000000003</v>
      </c>
      <c r="L411">
        <v>112.7468796</v>
      </c>
    </row>
    <row r="412" spans="1:12" ht="75" x14ac:dyDescent="0.25">
      <c r="A412">
        <v>411</v>
      </c>
      <c r="B412" t="s">
        <v>873</v>
      </c>
      <c r="C412" s="3" t="s">
        <v>874</v>
      </c>
      <c r="D412" s="3" t="e" cm="1">
        <f t="array" aca="1" ref="D412" ca="1">TRANSLATE(Table3[[#This Row],[Description]],"id","en")</f>
        <v>#NAME?</v>
      </c>
      <c r="E412" t="s">
        <v>93</v>
      </c>
      <c r="F412">
        <f>_xlfn.XLOOKUP(Table3[[#This Row],[Category]],Table10[category],Table10[category_id],"Not found")</f>
        <v>6</v>
      </c>
      <c r="G412" t="str">
        <f>_xlfn.XLOOKUP(Table3[[#This Row],[Place_Id]],Table7[place_id],Table7[city3],"Not found")</f>
        <v>Surabaya</v>
      </c>
      <c r="H412">
        <f>_xlfn.XLOOKUP(Table3[[#This Row],[City]],Table5[city_name],Table5[city_id],"Not found")</f>
        <v>19</v>
      </c>
      <c r="I412">
        <v>0</v>
      </c>
      <c r="K412">
        <v>-7.3366141000000002</v>
      </c>
      <c r="L412">
        <v>112.7151806</v>
      </c>
    </row>
    <row r="413" spans="1:12" ht="90" x14ac:dyDescent="0.25">
      <c r="A413">
        <v>412</v>
      </c>
      <c r="B413" t="s">
        <v>875</v>
      </c>
      <c r="C413" s="3" t="s">
        <v>876</v>
      </c>
      <c r="D413" s="3" t="e" cm="1">
        <f t="array" aca="1" ref="D413" ca="1">TRANSLATE(Table3[[#This Row],[Description]],"id","en")</f>
        <v>#NAME?</v>
      </c>
      <c r="E413" t="s">
        <v>45</v>
      </c>
      <c r="F413">
        <f>_xlfn.XLOOKUP(Table3[[#This Row],[Category]],Table10[category],Table10[category_id],"Not found")</f>
        <v>2</v>
      </c>
      <c r="G413" t="str">
        <f>_xlfn.XLOOKUP(Table3[[#This Row],[Place_Id]],Table7[place_id],Table7[city3],"Not found")</f>
        <v>Surabaya</v>
      </c>
      <c r="H413">
        <f>_xlfn.XLOOKUP(Table3[[#This Row],[City]],Table5[city_name],Table5[city_id],"Not found")</f>
        <v>19</v>
      </c>
      <c r="I413">
        <v>2000</v>
      </c>
      <c r="K413">
        <v>-7.2271850000000004</v>
      </c>
      <c r="L413">
        <v>112.718997</v>
      </c>
    </row>
    <row r="414" spans="1:12" x14ac:dyDescent="0.25">
      <c r="A414">
        <v>413</v>
      </c>
      <c r="B414" t="s">
        <v>877</v>
      </c>
      <c r="C414" t="s">
        <v>878</v>
      </c>
      <c r="D414" t="e" cm="1">
        <f t="array" aca="1" ref="D414" ca="1">TRANSLATE(Table3[[#This Row],[Description]],"id","en")</f>
        <v>#NAME?</v>
      </c>
      <c r="E414" t="s">
        <v>45</v>
      </c>
      <c r="F414">
        <f>_xlfn.XLOOKUP(Table3[[#This Row],[Category]],Table10[category],Table10[category_id],"Not found")</f>
        <v>2</v>
      </c>
      <c r="G414" t="str">
        <f>_xlfn.XLOOKUP(Table3[[#This Row],[Place_Id]],Table7[place_id],Table7[city3],"Not found")</f>
        <v>Surabaya</v>
      </c>
      <c r="H414">
        <f>_xlfn.XLOOKUP(Table3[[#This Row],[City]],Table5[city_name],Table5[city_id],"Not found")</f>
        <v>19</v>
      </c>
      <c r="I414">
        <v>0</v>
      </c>
      <c r="J414">
        <v>30</v>
      </c>
      <c r="K414">
        <v>-7.2367447</v>
      </c>
      <c r="L414">
        <v>112.7383009</v>
      </c>
    </row>
    <row r="415" spans="1:12" x14ac:dyDescent="0.25">
      <c r="A415">
        <v>414</v>
      </c>
      <c r="B415" t="s">
        <v>879</v>
      </c>
      <c r="C415" t="s">
        <v>880</v>
      </c>
      <c r="D415" t="e" cm="1">
        <f t="array" aca="1" ref="D415" ca="1">TRANSLATE(Table3[[#This Row],[Description]],"id","en")</f>
        <v>#NAME?</v>
      </c>
      <c r="E415" t="s">
        <v>45</v>
      </c>
      <c r="F415">
        <f>_xlfn.XLOOKUP(Table3[[#This Row],[Category]],Table10[category],Table10[category_id],"Not found")</f>
        <v>2</v>
      </c>
      <c r="G415" t="str">
        <f>_xlfn.XLOOKUP(Table3[[#This Row],[Place_Id]],Table7[place_id],Table7[city3],"Not found")</f>
        <v>Surabaya</v>
      </c>
      <c r="H415">
        <f>_xlfn.XLOOKUP(Table3[[#This Row],[City]],Table5[city_name],Table5[city_id],"Not found")</f>
        <v>19</v>
      </c>
      <c r="I415">
        <v>5000</v>
      </c>
      <c r="J415">
        <v>60</v>
      </c>
      <c r="K415">
        <v>-7.2353939</v>
      </c>
      <c r="L415">
        <v>112.7367646</v>
      </c>
    </row>
    <row r="416" spans="1:12" x14ac:dyDescent="0.25">
      <c r="A416">
        <v>415</v>
      </c>
      <c r="B416" t="s">
        <v>881</v>
      </c>
      <c r="C416" t="s">
        <v>882</v>
      </c>
      <c r="D416" t="e" cm="1">
        <f t="array" aca="1" ref="D416" ca="1">TRANSLATE(Table3[[#This Row],[Description]],"id","en")</f>
        <v>#NAME?</v>
      </c>
      <c r="E416" t="s">
        <v>45</v>
      </c>
      <c r="F416">
        <f>_xlfn.XLOOKUP(Table3[[#This Row],[Category]],Table10[category],Table10[category_id],"Not found")</f>
        <v>2</v>
      </c>
      <c r="G416" t="str">
        <f>_xlfn.XLOOKUP(Table3[[#This Row],[Place_Id]],Table7[place_id],Table7[city3],"Not found")</f>
        <v>Surabaya</v>
      </c>
      <c r="H416">
        <f>_xlfn.XLOOKUP(Table3[[#This Row],[City]],Table5[city_name],Table5[city_id],"Not found")</f>
        <v>19</v>
      </c>
      <c r="I416">
        <v>0</v>
      </c>
      <c r="K416">
        <v>-7.2567553</v>
      </c>
      <c r="L416">
        <v>112.79422030000001</v>
      </c>
    </row>
    <row r="417" spans="1:12" x14ac:dyDescent="0.25">
      <c r="A417">
        <v>416</v>
      </c>
      <c r="B417" t="s">
        <v>883</v>
      </c>
      <c r="C417" t="s">
        <v>884</v>
      </c>
      <c r="D417" t="e" cm="1">
        <f t="array" aca="1" ref="D417" ca="1">TRANSLATE(Table3[[#This Row],[Description]],"id","en")</f>
        <v>#NAME?</v>
      </c>
      <c r="E417" t="s">
        <v>45</v>
      </c>
      <c r="F417">
        <f>_xlfn.XLOOKUP(Table3[[#This Row],[Category]],Table10[category],Table10[category_id],"Not found")</f>
        <v>2</v>
      </c>
      <c r="G417" t="str">
        <f>_xlfn.XLOOKUP(Table3[[#This Row],[Place_Id]],Table7[place_id],Table7[city3],"Not found")</f>
        <v>Surabaya</v>
      </c>
      <c r="H417">
        <f>_xlfn.XLOOKUP(Table3[[#This Row],[City]],Table5[city_name],Table5[city_id],"Not found")</f>
        <v>19</v>
      </c>
      <c r="I417">
        <v>10000</v>
      </c>
      <c r="K417">
        <v>-7.2469440000000001</v>
      </c>
      <c r="L417">
        <v>112.802222</v>
      </c>
    </row>
    <row r="418" spans="1:12" ht="45" x14ac:dyDescent="0.25">
      <c r="A418">
        <v>417</v>
      </c>
      <c r="B418" t="s">
        <v>885</v>
      </c>
      <c r="C418" s="3" t="s">
        <v>886</v>
      </c>
      <c r="D418" s="3" t="e" cm="1">
        <f t="array" aca="1" ref="D418" ca="1">TRANSLATE(Table3[[#This Row],[Description]],"id","en")</f>
        <v>#NAME?</v>
      </c>
      <c r="E418" t="s">
        <v>45</v>
      </c>
      <c r="F418">
        <f>_xlfn.XLOOKUP(Table3[[#This Row],[Category]],Table10[category],Table10[category_id],"Not found")</f>
        <v>2</v>
      </c>
      <c r="G418" t="str">
        <f>_xlfn.XLOOKUP(Table3[[#This Row],[Place_Id]],Table7[place_id],Table7[city3],"Not found")</f>
        <v>Surabaya</v>
      </c>
      <c r="H418">
        <f>_xlfn.XLOOKUP(Table3[[#This Row],[City]],Table5[city_name],Table5[city_id],"Not found")</f>
        <v>19</v>
      </c>
      <c r="I418">
        <v>5000</v>
      </c>
      <c r="K418">
        <v>-7.2454368999999996</v>
      </c>
      <c r="L418">
        <v>112.7378985</v>
      </c>
    </row>
    <row r="419" spans="1:12" x14ac:dyDescent="0.25">
      <c r="A419">
        <v>418</v>
      </c>
      <c r="B419" t="s">
        <v>887</v>
      </c>
      <c r="C419" t="s">
        <v>888</v>
      </c>
      <c r="D419" t="e" cm="1">
        <f t="array" aca="1" ref="D419" ca="1">TRANSLATE(Table3[[#This Row],[Description]],"id","en")</f>
        <v>#NAME?</v>
      </c>
      <c r="E419" t="s">
        <v>45</v>
      </c>
      <c r="F419">
        <f>_xlfn.XLOOKUP(Table3[[#This Row],[Category]],Table10[category],Table10[category_id],"Not found")</f>
        <v>2</v>
      </c>
      <c r="G419" t="str">
        <f>_xlfn.XLOOKUP(Table3[[#This Row],[Place_Id]],Table7[place_id],Table7[city3],"Not found")</f>
        <v>Surabaya</v>
      </c>
      <c r="H419">
        <f>_xlfn.XLOOKUP(Table3[[#This Row],[City]],Table5[city_name],Table5[city_id],"Not found")</f>
        <v>19</v>
      </c>
      <c r="I419">
        <v>0</v>
      </c>
      <c r="J419">
        <v>30</v>
      </c>
      <c r="K419">
        <v>-7.2469260000000002</v>
      </c>
      <c r="L419">
        <v>112.73781</v>
      </c>
    </row>
    <row r="420" spans="1:12" x14ac:dyDescent="0.25">
      <c r="A420">
        <v>419</v>
      </c>
      <c r="B420" t="s">
        <v>889</v>
      </c>
      <c r="C420" t="s">
        <v>890</v>
      </c>
      <c r="D420" t="e" cm="1">
        <f t="array" aca="1" ref="D420" ca="1">TRANSLATE(Table3[[#This Row],[Description]],"id","en")</f>
        <v>#NAME?</v>
      </c>
      <c r="E420" t="s">
        <v>45</v>
      </c>
      <c r="F420">
        <f>_xlfn.XLOOKUP(Table3[[#This Row],[Category]],Table10[category],Table10[category_id],"Not found")</f>
        <v>2</v>
      </c>
      <c r="G420" t="str">
        <f>_xlfn.XLOOKUP(Table3[[#This Row],[Place_Id]],Table7[place_id],Table7[city3],"Not found")</f>
        <v>Surabaya</v>
      </c>
      <c r="H420">
        <f>_xlfn.XLOOKUP(Table3[[#This Row],[City]],Table5[city_name],Table5[city_id],"Not found")</f>
        <v>19</v>
      </c>
      <c r="I420">
        <v>0</v>
      </c>
      <c r="J420">
        <v>45</v>
      </c>
      <c r="K420">
        <v>-7.2562971999999997</v>
      </c>
      <c r="L420">
        <v>112.7379955</v>
      </c>
    </row>
    <row r="421" spans="1:12" x14ac:dyDescent="0.25">
      <c r="A421">
        <v>420</v>
      </c>
      <c r="B421" t="s">
        <v>891</v>
      </c>
      <c r="C421" t="s">
        <v>892</v>
      </c>
      <c r="D421" t="e" cm="1">
        <f t="array" aca="1" ref="D421" ca="1">TRANSLATE(Table3[[#This Row],[Description]],"id","en")</f>
        <v>#NAME?</v>
      </c>
      <c r="E421" t="s">
        <v>45</v>
      </c>
      <c r="F421">
        <f>_xlfn.XLOOKUP(Table3[[#This Row],[Category]],Table10[category],Table10[category_id],"Not found")</f>
        <v>2</v>
      </c>
      <c r="G421" t="str">
        <f>_xlfn.XLOOKUP(Table3[[#This Row],[Place_Id]],Table7[place_id],Table7[city3],"Not found")</f>
        <v>Surabaya</v>
      </c>
      <c r="H421">
        <f>_xlfn.XLOOKUP(Table3[[#This Row],[City]],Table5[city_name],Table5[city_id],"Not found")</f>
        <v>19</v>
      </c>
      <c r="I421">
        <v>10000</v>
      </c>
      <c r="K421">
        <v>-7.2403279999999999</v>
      </c>
      <c r="L421">
        <v>112.731431</v>
      </c>
    </row>
    <row r="422" spans="1:12" x14ac:dyDescent="0.25">
      <c r="A422">
        <v>421</v>
      </c>
      <c r="B422" t="s">
        <v>893</v>
      </c>
      <c r="C422" t="s">
        <v>894</v>
      </c>
      <c r="D422" t="e" cm="1">
        <f t="array" aca="1" ref="D422" ca="1">TRANSLATE(Table3[[#This Row],[Description]],"id","en")</f>
        <v>#NAME?</v>
      </c>
      <c r="E422" t="s">
        <v>45</v>
      </c>
      <c r="F422">
        <f>_xlfn.XLOOKUP(Table3[[#This Row],[Category]],Table10[category],Table10[category_id],"Not found")</f>
        <v>2</v>
      </c>
      <c r="G422" t="str">
        <f>_xlfn.XLOOKUP(Table3[[#This Row],[Place_Id]],Table7[place_id],Table7[city3],"Not found")</f>
        <v>Surabaya</v>
      </c>
      <c r="H422">
        <f>_xlfn.XLOOKUP(Table3[[#This Row],[City]],Table5[city_name],Table5[city_id],"Not found")</f>
        <v>19</v>
      </c>
      <c r="I422">
        <v>0</v>
      </c>
      <c r="J422">
        <v>15</v>
      </c>
      <c r="K422">
        <v>-7.1954748000000004</v>
      </c>
      <c r="L422">
        <v>112.73952060000001</v>
      </c>
    </row>
    <row r="423" spans="1:12" x14ac:dyDescent="0.25">
      <c r="A423">
        <v>422</v>
      </c>
      <c r="B423" t="s">
        <v>895</v>
      </c>
      <c r="C423" t="s">
        <v>896</v>
      </c>
      <c r="D423" t="e" cm="1">
        <f t="array" aca="1" ref="D423" ca="1">TRANSLATE(Table3[[#This Row],[Description]],"id","en")</f>
        <v>#NAME?</v>
      </c>
      <c r="E423" t="s">
        <v>45</v>
      </c>
      <c r="F423">
        <f>_xlfn.XLOOKUP(Table3[[#This Row],[Category]],Table10[category],Table10[category_id],"Not found")</f>
        <v>2</v>
      </c>
      <c r="G423" t="str">
        <f>_xlfn.XLOOKUP(Table3[[#This Row],[Place_Id]],Table7[place_id],Table7[city3],"Not found")</f>
        <v>Surabaya</v>
      </c>
      <c r="H423">
        <f>_xlfn.XLOOKUP(Table3[[#This Row],[City]],Table5[city_name],Table5[city_id],"Not found")</f>
        <v>19</v>
      </c>
      <c r="I423">
        <v>0</v>
      </c>
      <c r="J423">
        <v>30</v>
      </c>
      <c r="K423">
        <v>-7.2960491999999997</v>
      </c>
      <c r="L423">
        <v>112.73870119999999</v>
      </c>
    </row>
    <row r="424" spans="1:12" x14ac:dyDescent="0.25">
      <c r="A424">
        <v>423</v>
      </c>
      <c r="B424" t="s">
        <v>897</v>
      </c>
      <c r="C424" t="s">
        <v>898</v>
      </c>
      <c r="D424" t="e" cm="1">
        <f t="array" aca="1" ref="D424" ca="1">TRANSLATE(Table3[[#This Row],[Description]],"id","en")</f>
        <v>#NAME?</v>
      </c>
      <c r="E424" t="s">
        <v>65</v>
      </c>
      <c r="F424">
        <f>_xlfn.XLOOKUP(Table3[[#This Row],[Category]],Table10[category],Table10[category_id],"Not found")</f>
        <v>1</v>
      </c>
      <c r="G424" t="str">
        <f>_xlfn.XLOOKUP(Table3[[#This Row],[Place_Id]],Table7[place_id],Table7[city3],"Not found")</f>
        <v>Surabaya</v>
      </c>
      <c r="H424">
        <f>_xlfn.XLOOKUP(Table3[[#This Row],[City]],Table5[city_name],Table5[city_id],"Not found")</f>
        <v>19</v>
      </c>
      <c r="I424">
        <v>15000</v>
      </c>
      <c r="J424">
        <v>45</v>
      </c>
      <c r="K424">
        <v>-7.2509164000000004</v>
      </c>
      <c r="L424">
        <v>112.8009332</v>
      </c>
    </row>
    <row r="425" spans="1:12" ht="45" x14ac:dyDescent="0.25">
      <c r="A425">
        <v>424</v>
      </c>
      <c r="B425" t="s">
        <v>899</v>
      </c>
      <c r="C425" s="3" t="s">
        <v>900</v>
      </c>
      <c r="D425" s="3" t="e" cm="1">
        <f t="array" aca="1" ref="D425" ca="1">TRANSLATE(Table3[[#This Row],[Description]],"id","en")</f>
        <v>#NAME?</v>
      </c>
      <c r="E425" t="s">
        <v>51</v>
      </c>
      <c r="F425">
        <f>_xlfn.XLOOKUP(Table3[[#This Row],[Category]],Table10[category],Table10[category_id],"Not found")</f>
        <v>5</v>
      </c>
      <c r="G425" t="str">
        <f>_xlfn.XLOOKUP(Table3[[#This Row],[Place_Id]],Table7[place_id],Table7[city3],"Not found")</f>
        <v>Surabaya</v>
      </c>
      <c r="H425">
        <f>_xlfn.XLOOKUP(Table3[[#This Row],[City]],Table5[city_name],Table5[city_id],"Not found")</f>
        <v>19</v>
      </c>
      <c r="I425">
        <v>35000</v>
      </c>
      <c r="K425">
        <v>-7.2477963000000001</v>
      </c>
      <c r="L425">
        <v>112.7998235</v>
      </c>
    </row>
    <row r="426" spans="1:12" x14ac:dyDescent="0.25">
      <c r="A426">
        <v>425</v>
      </c>
      <c r="B426" t="s">
        <v>901</v>
      </c>
      <c r="C426" t="s">
        <v>902</v>
      </c>
      <c r="D426" t="e" cm="1">
        <f t="array" aca="1" ref="D426" ca="1">TRANSLATE(Table3[[#This Row],[Description]],"id","en")</f>
        <v>#NAME?</v>
      </c>
      <c r="E426" t="s">
        <v>45</v>
      </c>
      <c r="F426">
        <f>_xlfn.XLOOKUP(Table3[[#This Row],[Category]],Table10[category],Table10[category_id],"Not found")</f>
        <v>2</v>
      </c>
      <c r="G426" t="str">
        <f>_xlfn.XLOOKUP(Table3[[#This Row],[Place_Id]],Table7[place_id],Table7[city3],"Not found")</f>
        <v>Surabaya</v>
      </c>
      <c r="H426">
        <f>_xlfn.XLOOKUP(Table3[[#This Row],[City]],Table5[city_name],Table5[city_id],"Not found")</f>
        <v>19</v>
      </c>
      <c r="I426">
        <v>0</v>
      </c>
      <c r="J426">
        <v>60</v>
      </c>
      <c r="K426">
        <v>-7.2592948000000002</v>
      </c>
      <c r="L426">
        <v>112.7470512</v>
      </c>
    </row>
    <row r="427" spans="1:12" x14ac:dyDescent="0.25">
      <c r="A427">
        <v>426</v>
      </c>
      <c r="B427" t="s">
        <v>903</v>
      </c>
      <c r="C427" t="s">
        <v>904</v>
      </c>
      <c r="D427" t="e" cm="1">
        <f t="array" aca="1" ref="D427" ca="1">TRANSLATE(Table3[[#This Row],[Description]],"id","en")</f>
        <v>#NAME?</v>
      </c>
      <c r="E427" t="s">
        <v>45</v>
      </c>
      <c r="F427">
        <f>_xlfn.XLOOKUP(Table3[[#This Row],[Category]],Table10[category],Table10[category_id],"Not found")</f>
        <v>2</v>
      </c>
      <c r="G427" t="str">
        <f>_xlfn.XLOOKUP(Table3[[#This Row],[Place_Id]],Table7[place_id],Table7[city3],"Not found")</f>
        <v>Surabaya</v>
      </c>
      <c r="H427">
        <f>_xlfn.XLOOKUP(Table3[[#This Row],[City]],Table5[city_name],Table5[city_id],"Not found")</f>
        <v>19</v>
      </c>
      <c r="I427">
        <v>0</v>
      </c>
      <c r="K427">
        <v>-7.2472840999999999</v>
      </c>
      <c r="L427">
        <v>112.8010814</v>
      </c>
    </row>
    <row r="428" spans="1:12" x14ac:dyDescent="0.25">
      <c r="A428">
        <v>427</v>
      </c>
      <c r="B428" t="s">
        <v>905</v>
      </c>
      <c r="C428" t="s">
        <v>906</v>
      </c>
      <c r="D428" t="e" cm="1">
        <f t="array" aca="1" ref="D428" ca="1">TRANSLATE(Table3[[#This Row],[Description]],"id","en")</f>
        <v>#NAME?</v>
      </c>
      <c r="E428" t="s">
        <v>45</v>
      </c>
      <c r="F428">
        <f>_xlfn.XLOOKUP(Table3[[#This Row],[Category]],Table10[category],Table10[category_id],"Not found")</f>
        <v>2</v>
      </c>
      <c r="G428" t="str">
        <f>_xlfn.XLOOKUP(Table3[[#This Row],[Place_Id]],Table7[place_id],Table7[city3],"Not found")</f>
        <v>Surabaya</v>
      </c>
      <c r="H428">
        <f>_xlfn.XLOOKUP(Table3[[#This Row],[City]],Table5[city_name],Table5[city_id],"Not found")</f>
        <v>19</v>
      </c>
      <c r="I428">
        <v>0</v>
      </c>
      <c r="J428">
        <v>15</v>
      </c>
      <c r="K428">
        <v>-7.2677754999999999</v>
      </c>
      <c r="L428">
        <v>112.74438979999999</v>
      </c>
    </row>
    <row r="429" spans="1:12" x14ac:dyDescent="0.25">
      <c r="A429">
        <v>428</v>
      </c>
      <c r="B429" t="s">
        <v>907</v>
      </c>
      <c r="C429" t="s">
        <v>908</v>
      </c>
      <c r="D429" t="e" cm="1">
        <f t="array" aca="1" ref="D429" ca="1">TRANSLATE(Table3[[#This Row],[Description]],"id","en")</f>
        <v>#NAME?</v>
      </c>
      <c r="E429" t="s">
        <v>45</v>
      </c>
      <c r="F429">
        <f>_xlfn.XLOOKUP(Table3[[#This Row],[Category]],Table10[category],Table10[category_id],"Not found")</f>
        <v>2</v>
      </c>
      <c r="G429" t="str">
        <f>_xlfn.XLOOKUP(Table3[[#This Row],[Place_Id]],Table7[place_id],Table7[city3],"Not found")</f>
        <v>Surabaya</v>
      </c>
      <c r="H429">
        <f>_xlfn.XLOOKUP(Table3[[#This Row],[City]],Table5[city_name],Table5[city_id],"Not found")</f>
        <v>19</v>
      </c>
      <c r="I429">
        <v>0</v>
      </c>
      <c r="J429">
        <v>30</v>
      </c>
      <c r="K429">
        <v>-7.2308173</v>
      </c>
      <c r="L429">
        <v>112.73423440000001</v>
      </c>
    </row>
    <row r="430" spans="1:12" x14ac:dyDescent="0.25">
      <c r="A430">
        <v>429</v>
      </c>
      <c r="B430" t="s">
        <v>909</v>
      </c>
      <c r="C430" t="s">
        <v>910</v>
      </c>
      <c r="D430" t="e" cm="1">
        <f t="array" aca="1" ref="D430" ca="1">TRANSLATE(Table3[[#This Row],[Description]],"id","en")</f>
        <v>#NAME?</v>
      </c>
      <c r="E430" t="s">
        <v>51</v>
      </c>
      <c r="F430">
        <f>_xlfn.XLOOKUP(Table3[[#This Row],[Category]],Table10[category],Table10[category_id],"Not found")</f>
        <v>5</v>
      </c>
      <c r="G430" t="str">
        <f>_xlfn.XLOOKUP(Table3[[#This Row],[Place_Id]],Table7[place_id],Table7[city3],"Not found")</f>
        <v>Surabaya</v>
      </c>
      <c r="H430">
        <f>_xlfn.XLOOKUP(Table3[[#This Row],[City]],Table5[city_name],Table5[city_id],"Not found")</f>
        <v>19</v>
      </c>
      <c r="I430">
        <v>125000</v>
      </c>
      <c r="J430">
        <v>120</v>
      </c>
      <c r="K430">
        <v>-7.2516189000000004</v>
      </c>
      <c r="L430">
        <v>112.8009694</v>
      </c>
    </row>
    <row r="431" spans="1:12" x14ac:dyDescent="0.25">
      <c r="A431">
        <v>430</v>
      </c>
      <c r="B431" t="s">
        <v>911</v>
      </c>
      <c r="C431" t="s">
        <v>912</v>
      </c>
      <c r="D431" t="e" cm="1">
        <f t="array" aca="1" ref="D431" ca="1">TRANSLATE(Table3[[#This Row],[Description]],"id","en")</f>
        <v>#NAME?</v>
      </c>
      <c r="E431" t="s">
        <v>51</v>
      </c>
      <c r="F431">
        <f>_xlfn.XLOOKUP(Table3[[#This Row],[Category]],Table10[category],Table10[category_id],"Not found")</f>
        <v>5</v>
      </c>
      <c r="G431" t="str">
        <f>_xlfn.XLOOKUP(Table3[[#This Row],[Place_Id]],Table7[place_id],Table7[city3],"Not found")</f>
        <v>Surabaya</v>
      </c>
      <c r="H431">
        <f>_xlfn.XLOOKUP(Table3[[#This Row],[City]],Table5[city_name],Table5[city_id],"Not found")</f>
        <v>19</v>
      </c>
      <c r="I431">
        <v>5000</v>
      </c>
      <c r="K431">
        <v>-7.2522909999999996</v>
      </c>
      <c r="L431">
        <v>112.7520012</v>
      </c>
    </row>
    <row r="432" spans="1:12" x14ac:dyDescent="0.25">
      <c r="A432">
        <v>431</v>
      </c>
      <c r="B432" t="s">
        <v>913</v>
      </c>
      <c r="C432" t="s">
        <v>914</v>
      </c>
      <c r="D432" t="e" cm="1">
        <f t="array" aca="1" ref="D432" ca="1">TRANSLATE(Table3[[#This Row],[Description]],"id","en")</f>
        <v>#NAME?</v>
      </c>
      <c r="E432" t="s">
        <v>51</v>
      </c>
      <c r="F432">
        <f>_xlfn.XLOOKUP(Table3[[#This Row],[Category]],Table10[category],Table10[category_id],"Not found")</f>
        <v>5</v>
      </c>
      <c r="G432" t="str">
        <f>_xlfn.XLOOKUP(Table3[[#This Row],[Place_Id]],Table7[place_id],Table7[city3],"Not found")</f>
        <v>Surabaya</v>
      </c>
      <c r="H432">
        <f>_xlfn.XLOOKUP(Table3[[#This Row],[City]],Table5[city_name],Table5[city_id],"Not found")</f>
        <v>19</v>
      </c>
      <c r="I432">
        <v>0</v>
      </c>
      <c r="J432">
        <v>30</v>
      </c>
      <c r="K432">
        <v>-7.2516046000000003</v>
      </c>
      <c r="L432">
        <v>112.7545983</v>
      </c>
    </row>
    <row r="433" spans="1:12" x14ac:dyDescent="0.25">
      <c r="A433">
        <v>432</v>
      </c>
      <c r="B433" t="s">
        <v>915</v>
      </c>
      <c r="C433" t="s">
        <v>916</v>
      </c>
      <c r="D433" t="e" cm="1">
        <f t="array" aca="1" ref="D433" ca="1">TRANSLATE(Table3[[#This Row],[Description]],"id","en")</f>
        <v>#NAME?</v>
      </c>
      <c r="E433" t="s">
        <v>45</v>
      </c>
      <c r="F433">
        <f>_xlfn.XLOOKUP(Table3[[#This Row],[Category]],Table10[category],Table10[category_id],"Not found")</f>
        <v>2</v>
      </c>
      <c r="G433" t="str">
        <f>_xlfn.XLOOKUP(Table3[[#This Row],[Place_Id]],Table7[place_id],Table7[city3],"Not found")</f>
        <v>Sidoarjo</v>
      </c>
      <c r="H433">
        <f>_xlfn.XLOOKUP(Table3[[#This Row],[City]],Table5[city_name],Table5[city_id],"Not found")</f>
        <v>18</v>
      </c>
      <c r="I433">
        <v>2000</v>
      </c>
      <c r="J433">
        <v>45</v>
      </c>
      <c r="K433">
        <v>-7.4338592999999999</v>
      </c>
      <c r="L433">
        <v>112.71990580000001</v>
      </c>
    </row>
    <row r="434" spans="1:12" x14ac:dyDescent="0.25">
      <c r="A434">
        <v>433</v>
      </c>
      <c r="B434" t="s">
        <v>917</v>
      </c>
      <c r="C434" t="s">
        <v>918</v>
      </c>
      <c r="D434" t="e" cm="1">
        <f t="array" aca="1" ref="D434" ca="1">TRANSLATE(Table3[[#This Row],[Description]],"id","en")</f>
        <v>#NAME?</v>
      </c>
      <c r="E434" t="s">
        <v>51</v>
      </c>
      <c r="F434">
        <f>_xlfn.XLOOKUP(Table3[[#This Row],[Category]],Table10[category],Table10[category_id],"Not found")</f>
        <v>5</v>
      </c>
      <c r="G434" t="str">
        <f>_xlfn.XLOOKUP(Table3[[#This Row],[Place_Id]],Table7[place_id],Table7[city3],"Not found")</f>
        <v>Surabaya</v>
      </c>
      <c r="H434">
        <f>_xlfn.XLOOKUP(Table3[[#This Row],[City]],Table5[city_name],Table5[city_id],"Not found")</f>
        <v>19</v>
      </c>
      <c r="I434">
        <v>0</v>
      </c>
      <c r="K434">
        <v>-7.2913468000000003</v>
      </c>
      <c r="L434">
        <v>112.7398218</v>
      </c>
    </row>
    <row r="435" spans="1:12" x14ac:dyDescent="0.25">
      <c r="A435">
        <v>434</v>
      </c>
      <c r="B435" t="s">
        <v>919</v>
      </c>
      <c r="C435" t="s">
        <v>920</v>
      </c>
      <c r="D435" t="e" cm="1">
        <f t="array" aca="1" ref="D435" ca="1">TRANSLATE(Table3[[#This Row],[Description]],"id","en")</f>
        <v>#NAME?</v>
      </c>
      <c r="E435" t="s">
        <v>51</v>
      </c>
      <c r="F435">
        <f>_xlfn.XLOOKUP(Table3[[#This Row],[Category]],Table10[category],Table10[category_id],"Not found")</f>
        <v>5</v>
      </c>
      <c r="G435" t="str">
        <f>_xlfn.XLOOKUP(Table3[[#This Row],[Place_Id]],Table7[place_id],Table7[city3],"Not found")</f>
        <v>Surabaya</v>
      </c>
      <c r="H435">
        <f>_xlfn.XLOOKUP(Table3[[#This Row],[City]],Table5[city_name],Table5[city_id],"Not found")</f>
        <v>19</v>
      </c>
      <c r="I435">
        <v>0</v>
      </c>
      <c r="J435">
        <v>45</v>
      </c>
      <c r="K435">
        <v>-7.2752955000000004</v>
      </c>
      <c r="L435">
        <v>112.7549381</v>
      </c>
    </row>
    <row r="436" spans="1:12" x14ac:dyDescent="0.25">
      <c r="A436">
        <v>435</v>
      </c>
      <c r="B436" t="s">
        <v>921</v>
      </c>
      <c r="C436" t="s">
        <v>922</v>
      </c>
      <c r="D436" t="e" cm="1">
        <f t="array" aca="1" ref="D436" ca="1">TRANSLATE(Table3[[#This Row],[Description]],"id","en")</f>
        <v>#NAME?</v>
      </c>
      <c r="E436" t="s">
        <v>51</v>
      </c>
      <c r="F436">
        <f>_xlfn.XLOOKUP(Table3[[#This Row],[Category]],Table10[category],Table10[category_id],"Not found")</f>
        <v>5</v>
      </c>
      <c r="G436" t="str">
        <f>_xlfn.XLOOKUP(Table3[[#This Row],[Place_Id]],Table7[place_id],Table7[city3],"Not found")</f>
        <v>Surabaya</v>
      </c>
      <c r="H436">
        <f>_xlfn.XLOOKUP(Table3[[#This Row],[City]],Table5[city_name],Table5[city_id],"Not found")</f>
        <v>19</v>
      </c>
      <c r="I436">
        <v>0</v>
      </c>
      <c r="K436">
        <v>-7.2943303000000004</v>
      </c>
      <c r="L436">
        <v>112.7617534</v>
      </c>
    </row>
    <row r="437" spans="1:12" ht="30" x14ac:dyDescent="0.25">
      <c r="A437">
        <v>436</v>
      </c>
      <c r="B437" t="s">
        <v>923</v>
      </c>
      <c r="C437" s="3" t="s">
        <v>924</v>
      </c>
      <c r="D437" s="3" t="e" cm="1">
        <f t="array" aca="1" ref="D437" ca="1">TRANSLATE(Table3[[#This Row],[Description]],"id","en")</f>
        <v>#NAME?</v>
      </c>
      <c r="E437" t="s">
        <v>93</v>
      </c>
      <c r="F437">
        <f>_xlfn.XLOOKUP(Table3[[#This Row],[Category]],Table10[category],Table10[category_id],"Not found")</f>
        <v>6</v>
      </c>
      <c r="G437" t="str">
        <f>_xlfn.XLOOKUP(Table3[[#This Row],[Place_Id]],Table7[place_id],Table7[city3],"Not found")</f>
        <v>Surabaya</v>
      </c>
      <c r="H437">
        <f>_xlfn.XLOOKUP(Table3[[#This Row],[City]],Table5[city_name],Table5[city_id],"Not found")</f>
        <v>19</v>
      </c>
      <c r="I437">
        <v>10000</v>
      </c>
      <c r="K437">
        <v>-7.2420758000000003</v>
      </c>
      <c r="L437">
        <v>112.7368158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14AF-DA0F-42CD-AE3F-6627F553FF28}">
  <dimension ref="A1:E10001"/>
  <sheetViews>
    <sheetView topLeftCell="A9906" workbookViewId="0">
      <selection activeCell="D9913" sqref="D9913"/>
    </sheetView>
  </sheetViews>
  <sheetFormatPr defaultRowHeight="15" x14ac:dyDescent="0.25"/>
  <sheetData>
    <row r="1" spans="1:3" x14ac:dyDescent="0.25">
      <c r="A1" t="s">
        <v>3</v>
      </c>
      <c r="B1" t="s">
        <v>34</v>
      </c>
      <c r="C1" t="s">
        <v>991</v>
      </c>
    </row>
    <row r="2" spans="1:3" x14ac:dyDescent="0.25">
      <c r="A2">
        <v>36</v>
      </c>
      <c r="B2">
        <v>1</v>
      </c>
      <c r="C2">
        <v>4</v>
      </c>
    </row>
    <row r="3" spans="1:3" x14ac:dyDescent="0.25">
      <c r="A3">
        <v>38</v>
      </c>
      <c r="B3">
        <v>1</v>
      </c>
      <c r="C3">
        <v>2</v>
      </c>
    </row>
    <row r="4" spans="1:3" x14ac:dyDescent="0.25">
      <c r="A4">
        <v>64</v>
      </c>
      <c r="B4">
        <v>1</v>
      </c>
      <c r="C4">
        <v>2</v>
      </c>
    </row>
    <row r="5" spans="1:3" x14ac:dyDescent="0.25">
      <c r="A5">
        <v>74</v>
      </c>
      <c r="B5">
        <v>1</v>
      </c>
      <c r="C5">
        <v>2</v>
      </c>
    </row>
    <row r="6" spans="1:3" x14ac:dyDescent="0.25">
      <c r="A6">
        <v>86</v>
      </c>
      <c r="B6">
        <v>1</v>
      </c>
      <c r="C6">
        <v>4</v>
      </c>
    </row>
    <row r="7" spans="1:3" x14ac:dyDescent="0.25">
      <c r="A7">
        <v>100</v>
      </c>
      <c r="B7">
        <v>1</v>
      </c>
      <c r="C7">
        <v>1</v>
      </c>
    </row>
    <row r="8" spans="1:3" x14ac:dyDescent="0.25">
      <c r="A8">
        <v>105</v>
      </c>
      <c r="B8">
        <v>1</v>
      </c>
      <c r="C8">
        <v>5</v>
      </c>
    </row>
    <row r="9" spans="1:3" x14ac:dyDescent="0.25">
      <c r="A9">
        <v>118</v>
      </c>
      <c r="B9">
        <v>1</v>
      </c>
      <c r="C9">
        <v>4</v>
      </c>
    </row>
    <row r="10" spans="1:3" x14ac:dyDescent="0.25">
      <c r="A10">
        <v>159</v>
      </c>
      <c r="B10">
        <v>1</v>
      </c>
      <c r="C10">
        <v>1</v>
      </c>
    </row>
    <row r="11" spans="1:3" x14ac:dyDescent="0.25">
      <c r="A11">
        <v>162</v>
      </c>
      <c r="B11">
        <v>1</v>
      </c>
      <c r="C11">
        <v>5</v>
      </c>
    </row>
    <row r="12" spans="1:3" x14ac:dyDescent="0.25">
      <c r="A12">
        <v>167</v>
      </c>
      <c r="B12">
        <v>1</v>
      </c>
      <c r="C12">
        <v>5</v>
      </c>
    </row>
    <row r="13" spans="1:3" x14ac:dyDescent="0.25">
      <c r="A13">
        <v>169</v>
      </c>
      <c r="B13">
        <v>1</v>
      </c>
      <c r="C13">
        <v>5</v>
      </c>
    </row>
    <row r="14" spans="1:3" x14ac:dyDescent="0.25">
      <c r="A14">
        <v>187</v>
      </c>
      <c r="B14">
        <v>1</v>
      </c>
      <c r="C14">
        <v>4</v>
      </c>
    </row>
    <row r="15" spans="1:3" x14ac:dyDescent="0.25">
      <c r="A15">
        <v>189</v>
      </c>
      <c r="B15">
        <v>1</v>
      </c>
      <c r="C15">
        <v>5</v>
      </c>
    </row>
    <row r="16" spans="1:3" x14ac:dyDescent="0.25">
      <c r="A16">
        <v>227</v>
      </c>
      <c r="B16">
        <v>1</v>
      </c>
      <c r="C16">
        <v>5</v>
      </c>
    </row>
    <row r="17" spans="1:3" x14ac:dyDescent="0.25">
      <c r="A17">
        <v>235</v>
      </c>
      <c r="B17">
        <v>1</v>
      </c>
      <c r="C17">
        <v>4</v>
      </c>
    </row>
    <row r="18" spans="1:3" x14ac:dyDescent="0.25">
      <c r="A18">
        <v>254</v>
      </c>
      <c r="B18">
        <v>1</v>
      </c>
      <c r="C18">
        <v>5</v>
      </c>
    </row>
    <row r="19" spans="1:3" x14ac:dyDescent="0.25">
      <c r="A19">
        <v>265</v>
      </c>
      <c r="B19">
        <v>1</v>
      </c>
      <c r="C19">
        <v>4</v>
      </c>
    </row>
    <row r="20" spans="1:3" x14ac:dyDescent="0.25">
      <c r="A20">
        <v>2</v>
      </c>
      <c r="B20">
        <v>2</v>
      </c>
      <c r="C20">
        <v>5</v>
      </c>
    </row>
    <row r="21" spans="1:3" x14ac:dyDescent="0.25">
      <c r="A21">
        <v>17</v>
      </c>
      <c r="B21">
        <v>2</v>
      </c>
      <c r="C21">
        <v>3</v>
      </c>
    </row>
    <row r="22" spans="1:3" x14ac:dyDescent="0.25">
      <c r="A22">
        <v>30</v>
      </c>
      <c r="B22">
        <v>2</v>
      </c>
      <c r="C22">
        <v>2</v>
      </c>
    </row>
    <row r="23" spans="1:3" x14ac:dyDescent="0.25">
      <c r="A23">
        <v>43</v>
      </c>
      <c r="B23">
        <v>2</v>
      </c>
      <c r="C23">
        <v>3</v>
      </c>
    </row>
    <row r="24" spans="1:3" x14ac:dyDescent="0.25">
      <c r="A24">
        <v>46</v>
      </c>
      <c r="B24">
        <v>2</v>
      </c>
      <c r="C24">
        <v>5</v>
      </c>
    </row>
    <row r="25" spans="1:3" x14ac:dyDescent="0.25">
      <c r="A25">
        <v>56</v>
      </c>
      <c r="B25">
        <v>2</v>
      </c>
      <c r="C25">
        <v>2</v>
      </c>
    </row>
    <row r="26" spans="1:3" x14ac:dyDescent="0.25">
      <c r="A26">
        <v>57</v>
      </c>
      <c r="B26">
        <v>2</v>
      </c>
      <c r="C26">
        <v>4</v>
      </c>
    </row>
    <row r="27" spans="1:3" x14ac:dyDescent="0.25">
      <c r="A27">
        <v>59</v>
      </c>
      <c r="B27">
        <v>2</v>
      </c>
      <c r="C27">
        <v>1</v>
      </c>
    </row>
    <row r="28" spans="1:3" x14ac:dyDescent="0.25">
      <c r="A28">
        <v>75</v>
      </c>
      <c r="B28">
        <v>2</v>
      </c>
      <c r="C28">
        <v>5</v>
      </c>
    </row>
    <row r="29" spans="1:3" x14ac:dyDescent="0.25">
      <c r="A29">
        <v>94</v>
      </c>
      <c r="B29">
        <v>2</v>
      </c>
      <c r="C29">
        <v>5</v>
      </c>
    </row>
    <row r="30" spans="1:3" x14ac:dyDescent="0.25">
      <c r="A30">
        <v>98</v>
      </c>
      <c r="B30">
        <v>2</v>
      </c>
      <c r="C30">
        <v>3</v>
      </c>
    </row>
    <row r="31" spans="1:3" x14ac:dyDescent="0.25">
      <c r="A31">
        <v>110</v>
      </c>
      <c r="B31">
        <v>2</v>
      </c>
      <c r="C31">
        <v>2</v>
      </c>
    </row>
    <row r="32" spans="1:3" x14ac:dyDescent="0.25">
      <c r="A32">
        <v>134</v>
      </c>
      <c r="B32">
        <v>2</v>
      </c>
      <c r="C32">
        <v>3</v>
      </c>
    </row>
    <row r="33" spans="1:3" x14ac:dyDescent="0.25">
      <c r="A33">
        <v>137</v>
      </c>
      <c r="B33">
        <v>2</v>
      </c>
      <c r="C33">
        <v>1</v>
      </c>
    </row>
    <row r="34" spans="1:3" x14ac:dyDescent="0.25">
      <c r="A34">
        <v>154</v>
      </c>
      <c r="B34">
        <v>2</v>
      </c>
      <c r="C34">
        <v>3</v>
      </c>
    </row>
    <row r="35" spans="1:3" x14ac:dyDescent="0.25">
      <c r="A35">
        <v>160</v>
      </c>
      <c r="B35">
        <v>2</v>
      </c>
      <c r="C35">
        <v>2</v>
      </c>
    </row>
    <row r="36" spans="1:3" x14ac:dyDescent="0.25">
      <c r="A36">
        <v>160</v>
      </c>
      <c r="B36">
        <v>2</v>
      </c>
      <c r="C36">
        <v>3</v>
      </c>
    </row>
    <row r="37" spans="1:3" x14ac:dyDescent="0.25">
      <c r="A37">
        <v>175</v>
      </c>
      <c r="B37">
        <v>2</v>
      </c>
      <c r="C37">
        <v>1</v>
      </c>
    </row>
    <row r="38" spans="1:3" x14ac:dyDescent="0.25">
      <c r="A38">
        <v>188</v>
      </c>
      <c r="B38">
        <v>2</v>
      </c>
      <c r="C38">
        <v>1</v>
      </c>
    </row>
    <row r="39" spans="1:3" x14ac:dyDescent="0.25">
      <c r="A39">
        <v>203</v>
      </c>
      <c r="B39">
        <v>2</v>
      </c>
      <c r="C39">
        <v>3</v>
      </c>
    </row>
    <row r="40" spans="1:3" x14ac:dyDescent="0.25">
      <c r="A40">
        <v>217</v>
      </c>
      <c r="B40">
        <v>2</v>
      </c>
      <c r="C40">
        <v>3</v>
      </c>
    </row>
    <row r="41" spans="1:3" x14ac:dyDescent="0.25">
      <c r="A41">
        <v>227</v>
      </c>
      <c r="B41">
        <v>2</v>
      </c>
      <c r="C41">
        <v>5</v>
      </c>
    </row>
    <row r="42" spans="1:3" x14ac:dyDescent="0.25">
      <c r="A42">
        <v>231</v>
      </c>
      <c r="B42">
        <v>2</v>
      </c>
      <c r="C42">
        <v>1</v>
      </c>
    </row>
    <row r="43" spans="1:3" x14ac:dyDescent="0.25">
      <c r="A43">
        <v>292</v>
      </c>
      <c r="B43">
        <v>2</v>
      </c>
      <c r="C43">
        <v>3</v>
      </c>
    </row>
    <row r="44" spans="1:3" x14ac:dyDescent="0.25">
      <c r="A44">
        <v>295</v>
      </c>
      <c r="B44">
        <v>2</v>
      </c>
      <c r="C44">
        <v>2</v>
      </c>
    </row>
    <row r="45" spans="1:3" x14ac:dyDescent="0.25">
      <c r="A45">
        <v>17</v>
      </c>
      <c r="B45">
        <v>3</v>
      </c>
      <c r="C45">
        <v>2</v>
      </c>
    </row>
    <row r="46" spans="1:3" x14ac:dyDescent="0.25">
      <c r="A46">
        <v>55</v>
      </c>
      <c r="B46">
        <v>3</v>
      </c>
      <c r="C46">
        <v>4</v>
      </c>
    </row>
    <row r="47" spans="1:3" x14ac:dyDescent="0.25">
      <c r="A47">
        <v>74</v>
      </c>
      <c r="B47">
        <v>3</v>
      </c>
      <c r="C47">
        <v>3</v>
      </c>
    </row>
    <row r="48" spans="1:3" x14ac:dyDescent="0.25">
      <c r="A48">
        <v>97</v>
      </c>
      <c r="B48">
        <v>3</v>
      </c>
      <c r="C48">
        <v>1</v>
      </c>
    </row>
    <row r="49" spans="1:3" x14ac:dyDescent="0.25">
      <c r="A49">
        <v>105</v>
      </c>
      <c r="B49">
        <v>3</v>
      </c>
      <c r="C49">
        <v>5</v>
      </c>
    </row>
    <row r="50" spans="1:3" x14ac:dyDescent="0.25">
      <c r="A50">
        <v>185</v>
      </c>
      <c r="B50">
        <v>3</v>
      </c>
      <c r="C50">
        <v>1</v>
      </c>
    </row>
    <row r="51" spans="1:3" x14ac:dyDescent="0.25">
      <c r="A51">
        <v>189</v>
      </c>
      <c r="B51">
        <v>3</v>
      </c>
      <c r="C51">
        <v>4</v>
      </c>
    </row>
    <row r="52" spans="1:3" x14ac:dyDescent="0.25">
      <c r="A52">
        <v>190</v>
      </c>
      <c r="B52">
        <v>3</v>
      </c>
      <c r="C52">
        <v>1</v>
      </c>
    </row>
    <row r="53" spans="1:3" x14ac:dyDescent="0.25">
      <c r="A53">
        <v>206</v>
      </c>
      <c r="B53">
        <v>3</v>
      </c>
      <c r="C53">
        <v>1</v>
      </c>
    </row>
    <row r="54" spans="1:3" x14ac:dyDescent="0.25">
      <c r="A54">
        <v>220</v>
      </c>
      <c r="B54">
        <v>3</v>
      </c>
      <c r="C54">
        <v>1</v>
      </c>
    </row>
    <row r="55" spans="1:3" x14ac:dyDescent="0.25">
      <c r="A55">
        <v>231</v>
      </c>
      <c r="B55">
        <v>3</v>
      </c>
      <c r="C55">
        <v>2</v>
      </c>
    </row>
    <row r="56" spans="1:3" x14ac:dyDescent="0.25">
      <c r="A56">
        <v>240</v>
      </c>
      <c r="B56">
        <v>3</v>
      </c>
      <c r="C56">
        <v>3</v>
      </c>
    </row>
    <row r="57" spans="1:3" x14ac:dyDescent="0.25">
      <c r="A57">
        <v>242</v>
      </c>
      <c r="B57">
        <v>3</v>
      </c>
      <c r="C57">
        <v>4</v>
      </c>
    </row>
    <row r="58" spans="1:3" x14ac:dyDescent="0.25">
      <c r="A58">
        <v>255</v>
      </c>
      <c r="B58">
        <v>3</v>
      </c>
      <c r="C58">
        <v>1</v>
      </c>
    </row>
    <row r="59" spans="1:3" x14ac:dyDescent="0.25">
      <c r="A59">
        <v>267</v>
      </c>
      <c r="B59">
        <v>3</v>
      </c>
      <c r="C59">
        <v>4</v>
      </c>
    </row>
    <row r="60" spans="1:3" x14ac:dyDescent="0.25">
      <c r="A60">
        <v>280</v>
      </c>
      <c r="B60">
        <v>3</v>
      </c>
      <c r="C60">
        <v>1</v>
      </c>
    </row>
    <row r="61" spans="1:3" x14ac:dyDescent="0.25">
      <c r="A61">
        <v>285</v>
      </c>
      <c r="B61">
        <v>3</v>
      </c>
      <c r="C61">
        <v>5</v>
      </c>
    </row>
    <row r="62" spans="1:3" x14ac:dyDescent="0.25">
      <c r="A62">
        <v>285</v>
      </c>
      <c r="B62">
        <v>3</v>
      </c>
      <c r="C62">
        <v>4</v>
      </c>
    </row>
    <row r="63" spans="1:3" x14ac:dyDescent="0.25">
      <c r="A63">
        <v>295</v>
      </c>
      <c r="B63">
        <v>3</v>
      </c>
      <c r="C63">
        <v>1</v>
      </c>
    </row>
    <row r="64" spans="1:3" x14ac:dyDescent="0.25">
      <c r="A64">
        <v>4</v>
      </c>
      <c r="B64">
        <v>4</v>
      </c>
      <c r="C64">
        <v>4</v>
      </c>
    </row>
    <row r="65" spans="1:3" x14ac:dyDescent="0.25">
      <c r="A65">
        <v>5</v>
      </c>
      <c r="B65">
        <v>4</v>
      </c>
      <c r="C65">
        <v>3</v>
      </c>
    </row>
    <row r="66" spans="1:3" x14ac:dyDescent="0.25">
      <c r="A66">
        <v>6</v>
      </c>
      <c r="B66">
        <v>4</v>
      </c>
      <c r="C66">
        <v>4</v>
      </c>
    </row>
    <row r="67" spans="1:3" x14ac:dyDescent="0.25">
      <c r="A67">
        <v>26</v>
      </c>
      <c r="B67">
        <v>4</v>
      </c>
      <c r="C67">
        <v>3</v>
      </c>
    </row>
    <row r="68" spans="1:3" x14ac:dyDescent="0.25">
      <c r="A68">
        <v>36</v>
      </c>
      <c r="B68">
        <v>4</v>
      </c>
      <c r="C68">
        <v>2</v>
      </c>
    </row>
    <row r="69" spans="1:3" x14ac:dyDescent="0.25">
      <c r="A69">
        <v>38</v>
      </c>
      <c r="B69">
        <v>4</v>
      </c>
      <c r="C69">
        <v>4</v>
      </c>
    </row>
    <row r="70" spans="1:3" x14ac:dyDescent="0.25">
      <c r="A70">
        <v>53</v>
      </c>
      <c r="B70">
        <v>4</v>
      </c>
      <c r="C70">
        <v>2</v>
      </c>
    </row>
    <row r="71" spans="1:3" x14ac:dyDescent="0.25">
      <c r="A71">
        <v>91</v>
      </c>
      <c r="B71">
        <v>4</v>
      </c>
      <c r="C71">
        <v>1</v>
      </c>
    </row>
    <row r="72" spans="1:3" x14ac:dyDescent="0.25">
      <c r="A72">
        <v>108</v>
      </c>
      <c r="B72">
        <v>4</v>
      </c>
      <c r="C72">
        <v>1</v>
      </c>
    </row>
    <row r="73" spans="1:3" x14ac:dyDescent="0.25">
      <c r="A73">
        <v>111</v>
      </c>
      <c r="B73">
        <v>4</v>
      </c>
      <c r="C73">
        <v>3</v>
      </c>
    </row>
    <row r="74" spans="1:3" x14ac:dyDescent="0.25">
      <c r="A74">
        <v>113</v>
      </c>
      <c r="B74">
        <v>4</v>
      </c>
      <c r="C74">
        <v>5</v>
      </c>
    </row>
    <row r="75" spans="1:3" x14ac:dyDescent="0.25">
      <c r="A75">
        <v>127</v>
      </c>
      <c r="B75">
        <v>4</v>
      </c>
      <c r="C75">
        <v>4</v>
      </c>
    </row>
    <row r="76" spans="1:3" x14ac:dyDescent="0.25">
      <c r="A76">
        <v>143</v>
      </c>
      <c r="B76">
        <v>4</v>
      </c>
      <c r="C76">
        <v>5</v>
      </c>
    </row>
    <row r="77" spans="1:3" x14ac:dyDescent="0.25">
      <c r="A77">
        <v>150</v>
      </c>
      <c r="B77">
        <v>4</v>
      </c>
      <c r="C77">
        <v>4</v>
      </c>
    </row>
    <row r="78" spans="1:3" x14ac:dyDescent="0.25">
      <c r="A78">
        <v>171</v>
      </c>
      <c r="B78">
        <v>4</v>
      </c>
      <c r="C78">
        <v>1</v>
      </c>
    </row>
    <row r="79" spans="1:3" x14ac:dyDescent="0.25">
      <c r="A79">
        <v>205</v>
      </c>
      <c r="B79">
        <v>4</v>
      </c>
      <c r="C79">
        <v>2</v>
      </c>
    </row>
    <row r="80" spans="1:3" x14ac:dyDescent="0.25">
      <c r="A80">
        <v>220</v>
      </c>
      <c r="B80">
        <v>4</v>
      </c>
      <c r="C80">
        <v>4</v>
      </c>
    </row>
    <row r="81" spans="1:3" x14ac:dyDescent="0.25">
      <c r="A81">
        <v>247</v>
      </c>
      <c r="B81">
        <v>4</v>
      </c>
      <c r="C81">
        <v>5</v>
      </c>
    </row>
    <row r="82" spans="1:3" x14ac:dyDescent="0.25">
      <c r="A82">
        <v>276</v>
      </c>
      <c r="B82">
        <v>4</v>
      </c>
      <c r="C82">
        <v>1</v>
      </c>
    </row>
    <row r="83" spans="1:3" x14ac:dyDescent="0.25">
      <c r="A83">
        <v>288</v>
      </c>
      <c r="B83">
        <v>4</v>
      </c>
      <c r="C83">
        <v>1</v>
      </c>
    </row>
    <row r="84" spans="1:3" x14ac:dyDescent="0.25">
      <c r="A84">
        <v>290</v>
      </c>
      <c r="B84">
        <v>4</v>
      </c>
      <c r="C84">
        <v>1</v>
      </c>
    </row>
    <row r="85" spans="1:3" x14ac:dyDescent="0.25">
      <c r="A85">
        <v>1</v>
      </c>
      <c r="B85">
        <v>5</v>
      </c>
      <c r="C85">
        <v>5</v>
      </c>
    </row>
    <row r="86" spans="1:3" x14ac:dyDescent="0.25">
      <c r="A86">
        <v>4</v>
      </c>
      <c r="B86">
        <v>5</v>
      </c>
      <c r="C86">
        <v>5</v>
      </c>
    </row>
    <row r="87" spans="1:3" x14ac:dyDescent="0.25">
      <c r="A87">
        <v>11</v>
      </c>
      <c r="B87">
        <v>5</v>
      </c>
      <c r="C87">
        <v>5</v>
      </c>
    </row>
    <row r="88" spans="1:3" x14ac:dyDescent="0.25">
      <c r="A88">
        <v>12</v>
      </c>
      <c r="B88">
        <v>5</v>
      </c>
      <c r="C88">
        <v>5</v>
      </c>
    </row>
    <row r="89" spans="1:3" x14ac:dyDescent="0.25">
      <c r="A89">
        <v>35</v>
      </c>
      <c r="B89">
        <v>5</v>
      </c>
      <c r="C89">
        <v>4</v>
      </c>
    </row>
    <row r="90" spans="1:3" x14ac:dyDescent="0.25">
      <c r="A90">
        <v>53</v>
      </c>
      <c r="B90">
        <v>5</v>
      </c>
      <c r="C90">
        <v>4</v>
      </c>
    </row>
    <row r="91" spans="1:3" x14ac:dyDescent="0.25">
      <c r="A91">
        <v>87</v>
      </c>
      <c r="B91">
        <v>5</v>
      </c>
      <c r="C91">
        <v>4</v>
      </c>
    </row>
    <row r="92" spans="1:3" x14ac:dyDescent="0.25">
      <c r="A92">
        <v>87</v>
      </c>
      <c r="B92">
        <v>5</v>
      </c>
      <c r="C92">
        <v>3</v>
      </c>
    </row>
    <row r="93" spans="1:3" x14ac:dyDescent="0.25">
      <c r="A93">
        <v>87</v>
      </c>
      <c r="B93">
        <v>5</v>
      </c>
      <c r="C93">
        <v>5</v>
      </c>
    </row>
    <row r="94" spans="1:3" x14ac:dyDescent="0.25">
      <c r="A94">
        <v>92</v>
      </c>
      <c r="B94">
        <v>5</v>
      </c>
      <c r="C94">
        <v>3</v>
      </c>
    </row>
    <row r="95" spans="1:3" x14ac:dyDescent="0.25">
      <c r="A95">
        <v>103</v>
      </c>
      <c r="B95">
        <v>5</v>
      </c>
      <c r="C95">
        <v>2</v>
      </c>
    </row>
    <row r="96" spans="1:3" x14ac:dyDescent="0.25">
      <c r="A96">
        <v>106</v>
      </c>
      <c r="B96">
        <v>5</v>
      </c>
      <c r="C96">
        <v>2</v>
      </c>
    </row>
    <row r="97" spans="1:3" x14ac:dyDescent="0.25">
      <c r="A97">
        <v>109</v>
      </c>
      <c r="B97">
        <v>5</v>
      </c>
      <c r="C97">
        <v>5</v>
      </c>
    </row>
    <row r="98" spans="1:3" x14ac:dyDescent="0.25">
      <c r="A98">
        <v>116</v>
      </c>
      <c r="B98">
        <v>5</v>
      </c>
      <c r="C98">
        <v>2</v>
      </c>
    </row>
    <row r="99" spans="1:3" x14ac:dyDescent="0.25">
      <c r="A99">
        <v>120</v>
      </c>
      <c r="B99">
        <v>5</v>
      </c>
      <c r="C99">
        <v>1</v>
      </c>
    </row>
    <row r="100" spans="1:3" x14ac:dyDescent="0.25">
      <c r="A100">
        <v>127</v>
      </c>
      <c r="B100">
        <v>5</v>
      </c>
      <c r="C100">
        <v>2</v>
      </c>
    </row>
    <row r="101" spans="1:3" x14ac:dyDescent="0.25">
      <c r="A101">
        <v>139</v>
      </c>
      <c r="B101">
        <v>5</v>
      </c>
      <c r="C101">
        <v>5</v>
      </c>
    </row>
    <row r="102" spans="1:3" x14ac:dyDescent="0.25">
      <c r="A102">
        <v>179</v>
      </c>
      <c r="B102">
        <v>5</v>
      </c>
      <c r="C102">
        <v>5</v>
      </c>
    </row>
    <row r="103" spans="1:3" x14ac:dyDescent="0.25">
      <c r="A103">
        <v>183</v>
      </c>
      <c r="B103">
        <v>5</v>
      </c>
      <c r="C103">
        <v>2</v>
      </c>
    </row>
    <row r="104" spans="1:3" x14ac:dyDescent="0.25">
      <c r="A104">
        <v>212</v>
      </c>
      <c r="B104">
        <v>5</v>
      </c>
      <c r="C104">
        <v>3</v>
      </c>
    </row>
    <row r="105" spans="1:3" x14ac:dyDescent="0.25">
      <c r="A105">
        <v>222</v>
      </c>
      <c r="B105">
        <v>5</v>
      </c>
      <c r="C105">
        <v>4</v>
      </c>
    </row>
    <row r="106" spans="1:3" x14ac:dyDescent="0.25">
      <c r="A106">
        <v>226</v>
      </c>
      <c r="B106">
        <v>5</v>
      </c>
      <c r="C106">
        <v>2</v>
      </c>
    </row>
    <row r="107" spans="1:3" x14ac:dyDescent="0.25">
      <c r="A107">
        <v>227</v>
      </c>
      <c r="B107">
        <v>5</v>
      </c>
      <c r="C107">
        <v>4</v>
      </c>
    </row>
    <row r="108" spans="1:3" x14ac:dyDescent="0.25">
      <c r="A108">
        <v>232</v>
      </c>
      <c r="B108">
        <v>5</v>
      </c>
      <c r="C108">
        <v>4</v>
      </c>
    </row>
    <row r="109" spans="1:3" x14ac:dyDescent="0.25">
      <c r="A109">
        <v>238</v>
      </c>
      <c r="B109">
        <v>5</v>
      </c>
      <c r="C109">
        <v>2</v>
      </c>
    </row>
    <row r="110" spans="1:3" x14ac:dyDescent="0.25">
      <c r="A110">
        <v>11</v>
      </c>
      <c r="B110">
        <v>6</v>
      </c>
      <c r="C110">
        <v>5</v>
      </c>
    </row>
    <row r="111" spans="1:3" x14ac:dyDescent="0.25">
      <c r="A111">
        <v>11</v>
      </c>
      <c r="B111">
        <v>6</v>
      </c>
      <c r="C111">
        <v>2</v>
      </c>
    </row>
    <row r="112" spans="1:3" x14ac:dyDescent="0.25">
      <c r="A112">
        <v>23</v>
      </c>
      <c r="B112">
        <v>6</v>
      </c>
      <c r="C112">
        <v>2</v>
      </c>
    </row>
    <row r="113" spans="1:3" x14ac:dyDescent="0.25">
      <c r="A113">
        <v>31</v>
      </c>
      <c r="B113">
        <v>6</v>
      </c>
      <c r="C113">
        <v>2</v>
      </c>
    </row>
    <row r="114" spans="1:3" x14ac:dyDescent="0.25">
      <c r="A114">
        <v>43</v>
      </c>
      <c r="B114">
        <v>6</v>
      </c>
      <c r="C114">
        <v>3</v>
      </c>
    </row>
    <row r="115" spans="1:3" x14ac:dyDescent="0.25">
      <c r="A115">
        <v>65</v>
      </c>
      <c r="B115">
        <v>6</v>
      </c>
      <c r="C115">
        <v>5</v>
      </c>
    </row>
    <row r="116" spans="1:3" x14ac:dyDescent="0.25">
      <c r="A116">
        <v>68</v>
      </c>
      <c r="B116">
        <v>6</v>
      </c>
      <c r="C116">
        <v>1</v>
      </c>
    </row>
    <row r="117" spans="1:3" x14ac:dyDescent="0.25">
      <c r="A117">
        <v>81</v>
      </c>
      <c r="B117">
        <v>6</v>
      </c>
      <c r="C117">
        <v>2</v>
      </c>
    </row>
    <row r="118" spans="1:3" x14ac:dyDescent="0.25">
      <c r="A118">
        <v>90</v>
      </c>
      <c r="B118">
        <v>6</v>
      </c>
      <c r="C118">
        <v>1</v>
      </c>
    </row>
    <row r="119" spans="1:3" x14ac:dyDescent="0.25">
      <c r="A119">
        <v>95</v>
      </c>
      <c r="B119">
        <v>6</v>
      </c>
      <c r="C119">
        <v>2</v>
      </c>
    </row>
    <row r="120" spans="1:3" x14ac:dyDescent="0.25">
      <c r="A120">
        <v>104</v>
      </c>
      <c r="B120">
        <v>6</v>
      </c>
      <c r="C120">
        <v>5</v>
      </c>
    </row>
    <row r="121" spans="1:3" x14ac:dyDescent="0.25">
      <c r="A121">
        <v>129</v>
      </c>
      <c r="B121">
        <v>6</v>
      </c>
      <c r="C121">
        <v>3</v>
      </c>
    </row>
    <row r="122" spans="1:3" x14ac:dyDescent="0.25">
      <c r="A122">
        <v>156</v>
      </c>
      <c r="B122">
        <v>6</v>
      </c>
      <c r="C122">
        <v>5</v>
      </c>
    </row>
    <row r="123" spans="1:3" x14ac:dyDescent="0.25">
      <c r="A123">
        <v>161</v>
      </c>
      <c r="B123">
        <v>6</v>
      </c>
      <c r="C123">
        <v>5</v>
      </c>
    </row>
    <row r="124" spans="1:3" x14ac:dyDescent="0.25">
      <c r="A124">
        <v>170</v>
      </c>
      <c r="B124">
        <v>6</v>
      </c>
      <c r="C124">
        <v>1</v>
      </c>
    </row>
    <row r="125" spans="1:3" x14ac:dyDescent="0.25">
      <c r="A125">
        <v>182</v>
      </c>
      <c r="B125">
        <v>6</v>
      </c>
      <c r="C125">
        <v>2</v>
      </c>
    </row>
    <row r="126" spans="1:3" x14ac:dyDescent="0.25">
      <c r="A126">
        <v>184</v>
      </c>
      <c r="B126">
        <v>6</v>
      </c>
      <c r="C126">
        <v>5</v>
      </c>
    </row>
    <row r="127" spans="1:3" x14ac:dyDescent="0.25">
      <c r="A127">
        <v>258</v>
      </c>
      <c r="B127">
        <v>6</v>
      </c>
      <c r="C127">
        <v>4</v>
      </c>
    </row>
    <row r="128" spans="1:3" x14ac:dyDescent="0.25">
      <c r="A128">
        <v>264</v>
      </c>
      <c r="B128">
        <v>6</v>
      </c>
      <c r="C128">
        <v>1</v>
      </c>
    </row>
    <row r="129" spans="1:3" x14ac:dyDescent="0.25">
      <c r="A129">
        <v>280</v>
      </c>
      <c r="B129">
        <v>6</v>
      </c>
      <c r="C129">
        <v>1</v>
      </c>
    </row>
    <row r="130" spans="1:3" x14ac:dyDescent="0.25">
      <c r="A130">
        <v>294</v>
      </c>
      <c r="B130">
        <v>6</v>
      </c>
      <c r="C130">
        <v>5</v>
      </c>
    </row>
    <row r="131" spans="1:3" x14ac:dyDescent="0.25">
      <c r="A131">
        <v>295</v>
      </c>
      <c r="B131">
        <v>6</v>
      </c>
      <c r="C131">
        <v>1</v>
      </c>
    </row>
    <row r="132" spans="1:3" x14ac:dyDescent="0.25">
      <c r="A132">
        <v>296</v>
      </c>
      <c r="B132">
        <v>6</v>
      </c>
      <c r="C132">
        <v>5</v>
      </c>
    </row>
    <row r="133" spans="1:3" x14ac:dyDescent="0.25">
      <c r="A133">
        <v>296</v>
      </c>
      <c r="B133">
        <v>6</v>
      </c>
      <c r="C133">
        <v>3</v>
      </c>
    </row>
    <row r="134" spans="1:3" x14ac:dyDescent="0.25">
      <c r="A134">
        <v>78</v>
      </c>
      <c r="B134">
        <v>7</v>
      </c>
      <c r="C134">
        <v>4</v>
      </c>
    </row>
    <row r="135" spans="1:3" x14ac:dyDescent="0.25">
      <c r="A135">
        <v>78</v>
      </c>
      <c r="B135">
        <v>7</v>
      </c>
      <c r="C135">
        <v>2</v>
      </c>
    </row>
    <row r="136" spans="1:3" x14ac:dyDescent="0.25">
      <c r="A136">
        <v>101</v>
      </c>
      <c r="B136">
        <v>7</v>
      </c>
      <c r="C136">
        <v>3</v>
      </c>
    </row>
    <row r="137" spans="1:3" x14ac:dyDescent="0.25">
      <c r="A137">
        <v>107</v>
      </c>
      <c r="B137">
        <v>7</v>
      </c>
      <c r="C137">
        <v>2</v>
      </c>
    </row>
    <row r="138" spans="1:3" x14ac:dyDescent="0.25">
      <c r="A138">
        <v>113</v>
      </c>
      <c r="B138">
        <v>7</v>
      </c>
      <c r="C138">
        <v>3</v>
      </c>
    </row>
    <row r="139" spans="1:3" x14ac:dyDescent="0.25">
      <c r="A139">
        <v>123</v>
      </c>
      <c r="B139">
        <v>7</v>
      </c>
      <c r="C139">
        <v>4</v>
      </c>
    </row>
    <row r="140" spans="1:3" x14ac:dyDescent="0.25">
      <c r="A140">
        <v>126</v>
      </c>
      <c r="B140">
        <v>7</v>
      </c>
      <c r="C140">
        <v>4</v>
      </c>
    </row>
    <row r="141" spans="1:3" x14ac:dyDescent="0.25">
      <c r="A141">
        <v>129</v>
      </c>
      <c r="B141">
        <v>7</v>
      </c>
      <c r="C141">
        <v>3</v>
      </c>
    </row>
    <row r="142" spans="1:3" x14ac:dyDescent="0.25">
      <c r="A142">
        <v>134</v>
      </c>
      <c r="B142">
        <v>7</v>
      </c>
      <c r="C142">
        <v>5</v>
      </c>
    </row>
    <row r="143" spans="1:3" x14ac:dyDescent="0.25">
      <c r="A143">
        <v>142</v>
      </c>
      <c r="B143">
        <v>7</v>
      </c>
      <c r="C143">
        <v>3</v>
      </c>
    </row>
    <row r="144" spans="1:3" x14ac:dyDescent="0.25">
      <c r="A144">
        <v>146</v>
      </c>
      <c r="B144">
        <v>7</v>
      </c>
      <c r="C144">
        <v>2</v>
      </c>
    </row>
    <row r="145" spans="1:3" x14ac:dyDescent="0.25">
      <c r="A145">
        <v>148</v>
      </c>
      <c r="B145">
        <v>7</v>
      </c>
      <c r="C145">
        <v>3</v>
      </c>
    </row>
    <row r="146" spans="1:3" x14ac:dyDescent="0.25">
      <c r="A146">
        <v>161</v>
      </c>
      <c r="B146">
        <v>7</v>
      </c>
      <c r="C146">
        <v>1</v>
      </c>
    </row>
    <row r="147" spans="1:3" x14ac:dyDescent="0.25">
      <c r="A147">
        <v>164</v>
      </c>
      <c r="B147">
        <v>7</v>
      </c>
      <c r="C147">
        <v>4</v>
      </c>
    </row>
    <row r="148" spans="1:3" x14ac:dyDescent="0.25">
      <c r="A148">
        <v>169</v>
      </c>
      <c r="B148">
        <v>7</v>
      </c>
      <c r="C148">
        <v>1</v>
      </c>
    </row>
    <row r="149" spans="1:3" x14ac:dyDescent="0.25">
      <c r="A149">
        <v>196</v>
      </c>
      <c r="B149">
        <v>7</v>
      </c>
      <c r="C149">
        <v>2</v>
      </c>
    </row>
    <row r="150" spans="1:3" x14ac:dyDescent="0.25">
      <c r="A150">
        <v>201</v>
      </c>
      <c r="B150">
        <v>7</v>
      </c>
      <c r="C150">
        <v>3</v>
      </c>
    </row>
    <row r="151" spans="1:3" x14ac:dyDescent="0.25">
      <c r="A151">
        <v>250</v>
      </c>
      <c r="B151">
        <v>7</v>
      </c>
      <c r="C151">
        <v>4</v>
      </c>
    </row>
    <row r="152" spans="1:3" x14ac:dyDescent="0.25">
      <c r="A152">
        <v>277</v>
      </c>
      <c r="B152">
        <v>7</v>
      </c>
      <c r="C152">
        <v>5</v>
      </c>
    </row>
    <row r="153" spans="1:3" x14ac:dyDescent="0.25">
      <c r="A153">
        <v>278</v>
      </c>
      <c r="B153">
        <v>7</v>
      </c>
      <c r="C153">
        <v>1</v>
      </c>
    </row>
    <row r="154" spans="1:3" x14ac:dyDescent="0.25">
      <c r="A154">
        <v>278</v>
      </c>
      <c r="B154">
        <v>7</v>
      </c>
      <c r="C154">
        <v>1</v>
      </c>
    </row>
    <row r="155" spans="1:3" x14ac:dyDescent="0.25">
      <c r="A155">
        <v>297</v>
      </c>
      <c r="B155">
        <v>7</v>
      </c>
      <c r="C155">
        <v>5</v>
      </c>
    </row>
    <row r="156" spans="1:3" x14ac:dyDescent="0.25">
      <c r="A156">
        <v>14</v>
      </c>
      <c r="B156">
        <v>8</v>
      </c>
      <c r="C156">
        <v>4</v>
      </c>
    </row>
    <row r="157" spans="1:3" x14ac:dyDescent="0.25">
      <c r="A157">
        <v>18</v>
      </c>
      <c r="B157">
        <v>8</v>
      </c>
      <c r="C157">
        <v>3</v>
      </c>
    </row>
    <row r="158" spans="1:3" x14ac:dyDescent="0.25">
      <c r="A158">
        <v>33</v>
      </c>
      <c r="B158">
        <v>8</v>
      </c>
      <c r="C158">
        <v>4</v>
      </c>
    </row>
    <row r="159" spans="1:3" x14ac:dyDescent="0.25">
      <c r="A159">
        <v>47</v>
      </c>
      <c r="B159">
        <v>8</v>
      </c>
      <c r="C159">
        <v>5</v>
      </c>
    </row>
    <row r="160" spans="1:3" x14ac:dyDescent="0.25">
      <c r="A160">
        <v>50</v>
      </c>
      <c r="B160">
        <v>8</v>
      </c>
      <c r="C160">
        <v>3</v>
      </c>
    </row>
    <row r="161" spans="1:3" x14ac:dyDescent="0.25">
      <c r="A161">
        <v>65</v>
      </c>
      <c r="B161">
        <v>8</v>
      </c>
      <c r="C161">
        <v>1</v>
      </c>
    </row>
    <row r="162" spans="1:3" x14ac:dyDescent="0.25">
      <c r="A162">
        <v>91</v>
      </c>
      <c r="B162">
        <v>8</v>
      </c>
      <c r="C162">
        <v>5</v>
      </c>
    </row>
    <row r="163" spans="1:3" x14ac:dyDescent="0.25">
      <c r="A163">
        <v>92</v>
      </c>
      <c r="B163">
        <v>8</v>
      </c>
      <c r="C163">
        <v>5</v>
      </c>
    </row>
    <row r="164" spans="1:3" x14ac:dyDescent="0.25">
      <c r="A164">
        <v>112</v>
      </c>
      <c r="B164">
        <v>8</v>
      </c>
      <c r="C164">
        <v>4</v>
      </c>
    </row>
    <row r="165" spans="1:3" x14ac:dyDescent="0.25">
      <c r="A165">
        <v>118</v>
      </c>
      <c r="B165">
        <v>8</v>
      </c>
      <c r="C165">
        <v>2</v>
      </c>
    </row>
    <row r="166" spans="1:3" x14ac:dyDescent="0.25">
      <c r="A166">
        <v>148</v>
      </c>
      <c r="B166">
        <v>8</v>
      </c>
      <c r="C166">
        <v>1</v>
      </c>
    </row>
    <row r="167" spans="1:3" x14ac:dyDescent="0.25">
      <c r="A167">
        <v>156</v>
      </c>
      <c r="B167">
        <v>8</v>
      </c>
      <c r="C167">
        <v>5</v>
      </c>
    </row>
    <row r="168" spans="1:3" x14ac:dyDescent="0.25">
      <c r="A168">
        <v>160</v>
      </c>
      <c r="B168">
        <v>8</v>
      </c>
      <c r="C168">
        <v>3</v>
      </c>
    </row>
    <row r="169" spans="1:3" x14ac:dyDescent="0.25">
      <c r="A169">
        <v>170</v>
      </c>
      <c r="B169">
        <v>8</v>
      </c>
      <c r="C169">
        <v>3</v>
      </c>
    </row>
    <row r="170" spans="1:3" x14ac:dyDescent="0.25">
      <c r="A170">
        <v>175</v>
      </c>
      <c r="B170">
        <v>8</v>
      </c>
      <c r="C170">
        <v>2</v>
      </c>
    </row>
    <row r="171" spans="1:3" x14ac:dyDescent="0.25">
      <c r="A171">
        <v>181</v>
      </c>
      <c r="B171">
        <v>8</v>
      </c>
      <c r="C171">
        <v>5</v>
      </c>
    </row>
    <row r="172" spans="1:3" x14ac:dyDescent="0.25">
      <c r="A172">
        <v>185</v>
      </c>
      <c r="B172">
        <v>8</v>
      </c>
      <c r="C172">
        <v>2</v>
      </c>
    </row>
    <row r="173" spans="1:3" x14ac:dyDescent="0.25">
      <c r="A173">
        <v>195</v>
      </c>
      <c r="B173">
        <v>8</v>
      </c>
      <c r="C173">
        <v>4</v>
      </c>
    </row>
    <row r="174" spans="1:3" x14ac:dyDescent="0.25">
      <c r="A174">
        <v>195</v>
      </c>
      <c r="B174">
        <v>8</v>
      </c>
      <c r="C174">
        <v>5</v>
      </c>
    </row>
    <row r="175" spans="1:3" x14ac:dyDescent="0.25">
      <c r="A175">
        <v>201</v>
      </c>
      <c r="B175">
        <v>8</v>
      </c>
      <c r="C175">
        <v>5</v>
      </c>
    </row>
    <row r="176" spans="1:3" x14ac:dyDescent="0.25">
      <c r="A176">
        <v>222</v>
      </c>
      <c r="B176">
        <v>8</v>
      </c>
      <c r="C176">
        <v>1</v>
      </c>
    </row>
    <row r="177" spans="1:3" x14ac:dyDescent="0.25">
      <c r="A177">
        <v>242</v>
      </c>
      <c r="B177">
        <v>8</v>
      </c>
      <c r="C177">
        <v>1</v>
      </c>
    </row>
    <row r="178" spans="1:3" x14ac:dyDescent="0.25">
      <c r="A178">
        <v>247</v>
      </c>
      <c r="B178">
        <v>8</v>
      </c>
      <c r="C178">
        <v>2</v>
      </c>
    </row>
    <row r="179" spans="1:3" x14ac:dyDescent="0.25">
      <c r="A179">
        <v>248</v>
      </c>
      <c r="B179">
        <v>8</v>
      </c>
      <c r="C179">
        <v>2</v>
      </c>
    </row>
    <row r="180" spans="1:3" x14ac:dyDescent="0.25">
      <c r="A180">
        <v>253</v>
      </c>
      <c r="B180">
        <v>8</v>
      </c>
      <c r="C180">
        <v>3</v>
      </c>
    </row>
    <row r="181" spans="1:3" x14ac:dyDescent="0.25">
      <c r="A181">
        <v>259</v>
      </c>
      <c r="B181">
        <v>8</v>
      </c>
      <c r="C181">
        <v>2</v>
      </c>
    </row>
    <row r="182" spans="1:3" x14ac:dyDescent="0.25">
      <c r="A182">
        <v>262</v>
      </c>
      <c r="B182">
        <v>8</v>
      </c>
      <c r="C182">
        <v>5</v>
      </c>
    </row>
    <row r="183" spans="1:3" x14ac:dyDescent="0.25">
      <c r="A183">
        <v>271</v>
      </c>
      <c r="B183">
        <v>8</v>
      </c>
      <c r="C183">
        <v>2</v>
      </c>
    </row>
    <row r="184" spans="1:3" x14ac:dyDescent="0.25">
      <c r="A184">
        <v>299</v>
      </c>
      <c r="B184">
        <v>8</v>
      </c>
      <c r="C184">
        <v>4</v>
      </c>
    </row>
    <row r="185" spans="1:3" x14ac:dyDescent="0.25">
      <c r="A185">
        <v>300</v>
      </c>
      <c r="B185">
        <v>8</v>
      </c>
      <c r="C185">
        <v>1</v>
      </c>
    </row>
    <row r="186" spans="1:3" x14ac:dyDescent="0.25">
      <c r="A186">
        <v>5</v>
      </c>
      <c r="B186">
        <v>9</v>
      </c>
      <c r="C186">
        <v>5</v>
      </c>
    </row>
    <row r="187" spans="1:3" x14ac:dyDescent="0.25">
      <c r="A187">
        <v>15</v>
      </c>
      <c r="B187">
        <v>9</v>
      </c>
      <c r="C187">
        <v>4</v>
      </c>
    </row>
    <row r="188" spans="1:3" x14ac:dyDescent="0.25">
      <c r="A188">
        <v>19</v>
      </c>
      <c r="B188">
        <v>9</v>
      </c>
      <c r="C188">
        <v>3</v>
      </c>
    </row>
    <row r="189" spans="1:3" x14ac:dyDescent="0.25">
      <c r="A189">
        <v>20</v>
      </c>
      <c r="B189">
        <v>9</v>
      </c>
      <c r="C189">
        <v>2</v>
      </c>
    </row>
    <row r="190" spans="1:3" x14ac:dyDescent="0.25">
      <c r="A190">
        <v>61</v>
      </c>
      <c r="B190">
        <v>9</v>
      </c>
      <c r="C190">
        <v>3</v>
      </c>
    </row>
    <row r="191" spans="1:3" x14ac:dyDescent="0.25">
      <c r="A191">
        <v>64</v>
      </c>
      <c r="B191">
        <v>9</v>
      </c>
      <c r="C191">
        <v>1</v>
      </c>
    </row>
    <row r="192" spans="1:3" x14ac:dyDescent="0.25">
      <c r="A192">
        <v>106</v>
      </c>
      <c r="B192">
        <v>9</v>
      </c>
      <c r="C192">
        <v>1</v>
      </c>
    </row>
    <row r="193" spans="1:3" x14ac:dyDescent="0.25">
      <c r="A193">
        <v>117</v>
      </c>
      <c r="B193">
        <v>9</v>
      </c>
      <c r="C193">
        <v>2</v>
      </c>
    </row>
    <row r="194" spans="1:3" x14ac:dyDescent="0.25">
      <c r="A194">
        <v>124</v>
      </c>
      <c r="B194">
        <v>9</v>
      </c>
      <c r="C194">
        <v>5</v>
      </c>
    </row>
    <row r="195" spans="1:3" x14ac:dyDescent="0.25">
      <c r="A195">
        <v>127</v>
      </c>
      <c r="B195">
        <v>9</v>
      </c>
      <c r="C195">
        <v>4</v>
      </c>
    </row>
    <row r="196" spans="1:3" x14ac:dyDescent="0.25">
      <c r="A196">
        <v>140</v>
      </c>
      <c r="B196">
        <v>9</v>
      </c>
      <c r="C196">
        <v>1</v>
      </c>
    </row>
    <row r="197" spans="1:3" x14ac:dyDescent="0.25">
      <c r="A197">
        <v>156</v>
      </c>
      <c r="B197">
        <v>9</v>
      </c>
      <c r="C197">
        <v>1</v>
      </c>
    </row>
    <row r="198" spans="1:3" x14ac:dyDescent="0.25">
      <c r="A198">
        <v>201</v>
      </c>
      <c r="B198">
        <v>9</v>
      </c>
      <c r="C198">
        <v>1</v>
      </c>
    </row>
    <row r="199" spans="1:3" x14ac:dyDescent="0.25">
      <c r="A199">
        <v>211</v>
      </c>
      <c r="B199">
        <v>9</v>
      </c>
      <c r="C199">
        <v>3</v>
      </c>
    </row>
    <row r="200" spans="1:3" x14ac:dyDescent="0.25">
      <c r="A200">
        <v>237</v>
      </c>
      <c r="B200">
        <v>9</v>
      </c>
      <c r="C200">
        <v>2</v>
      </c>
    </row>
    <row r="201" spans="1:3" x14ac:dyDescent="0.25">
      <c r="A201">
        <v>267</v>
      </c>
      <c r="B201">
        <v>9</v>
      </c>
      <c r="C201">
        <v>2</v>
      </c>
    </row>
    <row r="202" spans="1:3" x14ac:dyDescent="0.25">
      <c r="A202">
        <v>269</v>
      </c>
      <c r="B202">
        <v>9</v>
      </c>
      <c r="C202">
        <v>5</v>
      </c>
    </row>
    <row r="203" spans="1:3" x14ac:dyDescent="0.25">
      <c r="A203">
        <v>271</v>
      </c>
      <c r="B203">
        <v>9</v>
      </c>
      <c r="C203">
        <v>2</v>
      </c>
    </row>
    <row r="204" spans="1:3" x14ac:dyDescent="0.25">
      <c r="A204">
        <v>281</v>
      </c>
      <c r="B204">
        <v>9</v>
      </c>
      <c r="C204">
        <v>2</v>
      </c>
    </row>
    <row r="205" spans="1:3" x14ac:dyDescent="0.25">
      <c r="A205">
        <v>75</v>
      </c>
      <c r="B205">
        <v>10</v>
      </c>
      <c r="C205">
        <v>2</v>
      </c>
    </row>
    <row r="206" spans="1:3" x14ac:dyDescent="0.25">
      <c r="A206">
        <v>94</v>
      </c>
      <c r="B206">
        <v>10</v>
      </c>
      <c r="C206">
        <v>4</v>
      </c>
    </row>
    <row r="207" spans="1:3" x14ac:dyDescent="0.25">
      <c r="A207">
        <v>107</v>
      </c>
      <c r="B207">
        <v>10</v>
      </c>
      <c r="C207">
        <v>2</v>
      </c>
    </row>
    <row r="208" spans="1:3" x14ac:dyDescent="0.25">
      <c r="A208">
        <v>121</v>
      </c>
      <c r="B208">
        <v>10</v>
      </c>
      <c r="C208">
        <v>3</v>
      </c>
    </row>
    <row r="209" spans="1:3" x14ac:dyDescent="0.25">
      <c r="A209">
        <v>122</v>
      </c>
      <c r="B209">
        <v>10</v>
      </c>
      <c r="C209">
        <v>3</v>
      </c>
    </row>
    <row r="210" spans="1:3" x14ac:dyDescent="0.25">
      <c r="A210">
        <v>126</v>
      </c>
      <c r="B210">
        <v>10</v>
      </c>
      <c r="C210">
        <v>5</v>
      </c>
    </row>
    <row r="211" spans="1:3" x14ac:dyDescent="0.25">
      <c r="A211">
        <v>136</v>
      </c>
      <c r="B211">
        <v>10</v>
      </c>
      <c r="C211">
        <v>2</v>
      </c>
    </row>
    <row r="212" spans="1:3" x14ac:dyDescent="0.25">
      <c r="A212">
        <v>174</v>
      </c>
      <c r="B212">
        <v>10</v>
      </c>
      <c r="C212">
        <v>1</v>
      </c>
    </row>
    <row r="213" spans="1:3" x14ac:dyDescent="0.25">
      <c r="A213">
        <v>175</v>
      </c>
      <c r="B213">
        <v>10</v>
      </c>
      <c r="C213">
        <v>4</v>
      </c>
    </row>
    <row r="214" spans="1:3" x14ac:dyDescent="0.25">
      <c r="A214">
        <v>247</v>
      </c>
      <c r="B214">
        <v>10</v>
      </c>
      <c r="C214">
        <v>2</v>
      </c>
    </row>
    <row r="215" spans="1:3" x14ac:dyDescent="0.25">
      <c r="A215">
        <v>258</v>
      </c>
      <c r="B215">
        <v>10</v>
      </c>
      <c r="C215">
        <v>2</v>
      </c>
    </row>
    <row r="216" spans="1:3" x14ac:dyDescent="0.25">
      <c r="A216">
        <v>265</v>
      </c>
      <c r="B216">
        <v>10</v>
      </c>
      <c r="C216">
        <v>3</v>
      </c>
    </row>
    <row r="217" spans="1:3" x14ac:dyDescent="0.25">
      <c r="A217">
        <v>283</v>
      </c>
      <c r="B217">
        <v>10</v>
      </c>
      <c r="C217">
        <v>2</v>
      </c>
    </row>
    <row r="218" spans="1:3" x14ac:dyDescent="0.25">
      <c r="A218">
        <v>290</v>
      </c>
      <c r="B218">
        <v>10</v>
      </c>
      <c r="C218">
        <v>3</v>
      </c>
    </row>
    <row r="219" spans="1:3" x14ac:dyDescent="0.25">
      <c r="A219">
        <v>11</v>
      </c>
      <c r="B219">
        <v>11</v>
      </c>
      <c r="C219">
        <v>3</v>
      </c>
    </row>
    <row r="220" spans="1:3" x14ac:dyDescent="0.25">
      <c r="A220">
        <v>14</v>
      </c>
      <c r="B220">
        <v>11</v>
      </c>
      <c r="C220">
        <v>2</v>
      </c>
    </row>
    <row r="221" spans="1:3" x14ac:dyDescent="0.25">
      <c r="A221">
        <v>17</v>
      </c>
      <c r="B221">
        <v>11</v>
      </c>
      <c r="C221">
        <v>3</v>
      </c>
    </row>
    <row r="222" spans="1:3" x14ac:dyDescent="0.25">
      <c r="A222">
        <v>56</v>
      </c>
      <c r="B222">
        <v>11</v>
      </c>
      <c r="C222">
        <v>2</v>
      </c>
    </row>
    <row r="223" spans="1:3" x14ac:dyDescent="0.25">
      <c r="A223">
        <v>74</v>
      </c>
      <c r="B223">
        <v>11</v>
      </c>
      <c r="C223">
        <v>1</v>
      </c>
    </row>
    <row r="224" spans="1:3" x14ac:dyDescent="0.25">
      <c r="A224">
        <v>78</v>
      </c>
      <c r="B224">
        <v>11</v>
      </c>
      <c r="C224">
        <v>2</v>
      </c>
    </row>
    <row r="225" spans="1:3" x14ac:dyDescent="0.25">
      <c r="A225">
        <v>86</v>
      </c>
      <c r="B225">
        <v>11</v>
      </c>
      <c r="C225">
        <v>5</v>
      </c>
    </row>
    <row r="226" spans="1:3" x14ac:dyDescent="0.25">
      <c r="A226">
        <v>107</v>
      </c>
      <c r="B226">
        <v>11</v>
      </c>
      <c r="C226">
        <v>2</v>
      </c>
    </row>
    <row r="227" spans="1:3" x14ac:dyDescent="0.25">
      <c r="A227">
        <v>120</v>
      </c>
      <c r="B227">
        <v>11</v>
      </c>
      <c r="C227">
        <v>2</v>
      </c>
    </row>
    <row r="228" spans="1:3" x14ac:dyDescent="0.25">
      <c r="A228">
        <v>135</v>
      </c>
      <c r="B228">
        <v>11</v>
      </c>
      <c r="C228">
        <v>2</v>
      </c>
    </row>
    <row r="229" spans="1:3" x14ac:dyDescent="0.25">
      <c r="A229">
        <v>149</v>
      </c>
      <c r="B229">
        <v>11</v>
      </c>
      <c r="C229">
        <v>1</v>
      </c>
    </row>
    <row r="230" spans="1:3" x14ac:dyDescent="0.25">
      <c r="A230">
        <v>170</v>
      </c>
      <c r="B230">
        <v>11</v>
      </c>
      <c r="C230">
        <v>4</v>
      </c>
    </row>
    <row r="231" spans="1:3" x14ac:dyDescent="0.25">
      <c r="A231">
        <v>184</v>
      </c>
      <c r="B231">
        <v>11</v>
      </c>
      <c r="C231">
        <v>1</v>
      </c>
    </row>
    <row r="232" spans="1:3" x14ac:dyDescent="0.25">
      <c r="A232">
        <v>194</v>
      </c>
      <c r="B232">
        <v>11</v>
      </c>
      <c r="C232">
        <v>1</v>
      </c>
    </row>
    <row r="233" spans="1:3" x14ac:dyDescent="0.25">
      <c r="A233">
        <v>213</v>
      </c>
      <c r="B233">
        <v>11</v>
      </c>
      <c r="C233">
        <v>2</v>
      </c>
    </row>
    <row r="234" spans="1:3" x14ac:dyDescent="0.25">
      <c r="A234">
        <v>223</v>
      </c>
      <c r="B234">
        <v>11</v>
      </c>
      <c r="C234">
        <v>4</v>
      </c>
    </row>
    <row r="235" spans="1:3" x14ac:dyDescent="0.25">
      <c r="A235">
        <v>238</v>
      </c>
      <c r="B235">
        <v>11</v>
      </c>
      <c r="C235">
        <v>3</v>
      </c>
    </row>
    <row r="236" spans="1:3" x14ac:dyDescent="0.25">
      <c r="A236">
        <v>247</v>
      </c>
      <c r="B236">
        <v>11</v>
      </c>
      <c r="C236">
        <v>3</v>
      </c>
    </row>
    <row r="237" spans="1:3" x14ac:dyDescent="0.25">
      <c r="A237">
        <v>249</v>
      </c>
      <c r="B237">
        <v>11</v>
      </c>
      <c r="C237">
        <v>1</v>
      </c>
    </row>
    <row r="238" spans="1:3" x14ac:dyDescent="0.25">
      <c r="A238">
        <v>262</v>
      </c>
      <c r="B238">
        <v>11</v>
      </c>
      <c r="C238">
        <v>5</v>
      </c>
    </row>
    <row r="239" spans="1:3" x14ac:dyDescent="0.25">
      <c r="A239">
        <v>263</v>
      </c>
      <c r="B239">
        <v>11</v>
      </c>
      <c r="C239">
        <v>1</v>
      </c>
    </row>
    <row r="240" spans="1:3" x14ac:dyDescent="0.25">
      <c r="A240">
        <v>279</v>
      </c>
      <c r="B240">
        <v>11</v>
      </c>
      <c r="C240">
        <v>5</v>
      </c>
    </row>
    <row r="241" spans="1:3" x14ac:dyDescent="0.25">
      <c r="A241">
        <v>282</v>
      </c>
      <c r="B241">
        <v>11</v>
      </c>
      <c r="C241">
        <v>3</v>
      </c>
    </row>
    <row r="242" spans="1:3" x14ac:dyDescent="0.25">
      <c r="A242">
        <v>294</v>
      </c>
      <c r="B242">
        <v>11</v>
      </c>
      <c r="C242">
        <v>4</v>
      </c>
    </row>
    <row r="243" spans="1:3" x14ac:dyDescent="0.25">
      <c r="A243">
        <v>10</v>
      </c>
      <c r="B243">
        <v>12</v>
      </c>
      <c r="C243">
        <v>2</v>
      </c>
    </row>
    <row r="244" spans="1:3" x14ac:dyDescent="0.25">
      <c r="A244">
        <v>61</v>
      </c>
      <c r="B244">
        <v>12</v>
      </c>
      <c r="C244">
        <v>4</v>
      </c>
    </row>
    <row r="245" spans="1:3" x14ac:dyDescent="0.25">
      <c r="A245">
        <v>79</v>
      </c>
      <c r="B245">
        <v>12</v>
      </c>
      <c r="C245">
        <v>2</v>
      </c>
    </row>
    <row r="246" spans="1:3" x14ac:dyDescent="0.25">
      <c r="A246">
        <v>88</v>
      </c>
      <c r="B246">
        <v>12</v>
      </c>
      <c r="C246">
        <v>4</v>
      </c>
    </row>
    <row r="247" spans="1:3" x14ac:dyDescent="0.25">
      <c r="A247">
        <v>169</v>
      </c>
      <c r="B247">
        <v>12</v>
      </c>
      <c r="C247">
        <v>1</v>
      </c>
    </row>
    <row r="248" spans="1:3" x14ac:dyDescent="0.25">
      <c r="A248">
        <v>184</v>
      </c>
      <c r="B248">
        <v>12</v>
      </c>
      <c r="C248">
        <v>4</v>
      </c>
    </row>
    <row r="249" spans="1:3" x14ac:dyDescent="0.25">
      <c r="A249">
        <v>195</v>
      </c>
      <c r="B249">
        <v>12</v>
      </c>
      <c r="C249">
        <v>1</v>
      </c>
    </row>
    <row r="250" spans="1:3" x14ac:dyDescent="0.25">
      <c r="A250">
        <v>198</v>
      </c>
      <c r="B250">
        <v>12</v>
      </c>
      <c r="C250">
        <v>1</v>
      </c>
    </row>
    <row r="251" spans="1:3" x14ac:dyDescent="0.25">
      <c r="A251">
        <v>205</v>
      </c>
      <c r="B251">
        <v>12</v>
      </c>
      <c r="C251">
        <v>4</v>
      </c>
    </row>
    <row r="252" spans="1:3" x14ac:dyDescent="0.25">
      <c r="A252">
        <v>216</v>
      </c>
      <c r="B252">
        <v>12</v>
      </c>
      <c r="C252">
        <v>5</v>
      </c>
    </row>
    <row r="253" spans="1:3" x14ac:dyDescent="0.25">
      <c r="A253">
        <v>217</v>
      </c>
      <c r="B253">
        <v>12</v>
      </c>
      <c r="C253">
        <v>4</v>
      </c>
    </row>
    <row r="254" spans="1:3" x14ac:dyDescent="0.25">
      <c r="A254">
        <v>222</v>
      </c>
      <c r="B254">
        <v>12</v>
      </c>
      <c r="C254">
        <v>4</v>
      </c>
    </row>
    <row r="255" spans="1:3" x14ac:dyDescent="0.25">
      <c r="A255">
        <v>223</v>
      </c>
      <c r="B255">
        <v>12</v>
      </c>
      <c r="C255">
        <v>1</v>
      </c>
    </row>
    <row r="256" spans="1:3" x14ac:dyDescent="0.25">
      <c r="A256">
        <v>245</v>
      </c>
      <c r="B256">
        <v>12</v>
      </c>
      <c r="C256">
        <v>2</v>
      </c>
    </row>
    <row r="257" spans="1:3" x14ac:dyDescent="0.25">
      <c r="A257">
        <v>299</v>
      </c>
      <c r="B257">
        <v>12</v>
      </c>
      <c r="C257">
        <v>3</v>
      </c>
    </row>
    <row r="258" spans="1:3" x14ac:dyDescent="0.25">
      <c r="A258">
        <v>7</v>
      </c>
      <c r="B258">
        <v>13</v>
      </c>
      <c r="C258">
        <v>2</v>
      </c>
    </row>
    <row r="259" spans="1:3" x14ac:dyDescent="0.25">
      <c r="A259">
        <v>52</v>
      </c>
      <c r="B259">
        <v>13</v>
      </c>
      <c r="C259">
        <v>1</v>
      </c>
    </row>
    <row r="260" spans="1:3" x14ac:dyDescent="0.25">
      <c r="A260">
        <v>58</v>
      </c>
      <c r="B260">
        <v>13</v>
      </c>
      <c r="C260">
        <v>1</v>
      </c>
    </row>
    <row r="261" spans="1:3" x14ac:dyDescent="0.25">
      <c r="A261">
        <v>75</v>
      </c>
      <c r="B261">
        <v>13</v>
      </c>
      <c r="C261">
        <v>5</v>
      </c>
    </row>
    <row r="262" spans="1:3" x14ac:dyDescent="0.25">
      <c r="A262">
        <v>79</v>
      </c>
      <c r="B262">
        <v>13</v>
      </c>
      <c r="C262">
        <v>5</v>
      </c>
    </row>
    <row r="263" spans="1:3" x14ac:dyDescent="0.25">
      <c r="A263">
        <v>83</v>
      </c>
      <c r="B263">
        <v>13</v>
      </c>
      <c r="C263">
        <v>2</v>
      </c>
    </row>
    <row r="264" spans="1:3" x14ac:dyDescent="0.25">
      <c r="A264">
        <v>88</v>
      </c>
      <c r="B264">
        <v>13</v>
      </c>
      <c r="C264">
        <v>1</v>
      </c>
    </row>
    <row r="265" spans="1:3" x14ac:dyDescent="0.25">
      <c r="A265">
        <v>91</v>
      </c>
      <c r="B265">
        <v>13</v>
      </c>
      <c r="C265">
        <v>5</v>
      </c>
    </row>
    <row r="266" spans="1:3" x14ac:dyDescent="0.25">
      <c r="A266">
        <v>125</v>
      </c>
      <c r="B266">
        <v>13</v>
      </c>
      <c r="C266">
        <v>1</v>
      </c>
    </row>
    <row r="267" spans="1:3" x14ac:dyDescent="0.25">
      <c r="A267">
        <v>130</v>
      </c>
      <c r="B267">
        <v>13</v>
      </c>
      <c r="C267">
        <v>5</v>
      </c>
    </row>
    <row r="268" spans="1:3" x14ac:dyDescent="0.25">
      <c r="A268">
        <v>140</v>
      </c>
      <c r="B268">
        <v>13</v>
      </c>
      <c r="C268">
        <v>4</v>
      </c>
    </row>
    <row r="269" spans="1:3" x14ac:dyDescent="0.25">
      <c r="A269">
        <v>146</v>
      </c>
      <c r="B269">
        <v>13</v>
      </c>
      <c r="C269">
        <v>1</v>
      </c>
    </row>
    <row r="270" spans="1:3" x14ac:dyDescent="0.25">
      <c r="A270">
        <v>162</v>
      </c>
      <c r="B270">
        <v>13</v>
      </c>
      <c r="C270">
        <v>4</v>
      </c>
    </row>
    <row r="271" spans="1:3" x14ac:dyDescent="0.25">
      <c r="A271">
        <v>168</v>
      </c>
      <c r="B271">
        <v>13</v>
      </c>
      <c r="C271">
        <v>5</v>
      </c>
    </row>
    <row r="272" spans="1:3" x14ac:dyDescent="0.25">
      <c r="A272">
        <v>170</v>
      </c>
      <c r="B272">
        <v>13</v>
      </c>
      <c r="C272">
        <v>3</v>
      </c>
    </row>
    <row r="273" spans="1:3" x14ac:dyDescent="0.25">
      <c r="A273">
        <v>196</v>
      </c>
      <c r="B273">
        <v>13</v>
      </c>
      <c r="C273">
        <v>1</v>
      </c>
    </row>
    <row r="274" spans="1:3" x14ac:dyDescent="0.25">
      <c r="A274">
        <v>198</v>
      </c>
      <c r="B274">
        <v>13</v>
      </c>
      <c r="C274">
        <v>3</v>
      </c>
    </row>
    <row r="275" spans="1:3" x14ac:dyDescent="0.25">
      <c r="A275">
        <v>211</v>
      </c>
      <c r="B275">
        <v>13</v>
      </c>
      <c r="C275">
        <v>2</v>
      </c>
    </row>
    <row r="276" spans="1:3" x14ac:dyDescent="0.25">
      <c r="A276">
        <v>223</v>
      </c>
      <c r="B276">
        <v>13</v>
      </c>
      <c r="C276">
        <v>4</v>
      </c>
    </row>
    <row r="277" spans="1:3" x14ac:dyDescent="0.25">
      <c r="A277">
        <v>238</v>
      </c>
      <c r="B277">
        <v>13</v>
      </c>
      <c r="C277">
        <v>1</v>
      </c>
    </row>
    <row r="278" spans="1:3" x14ac:dyDescent="0.25">
      <c r="A278">
        <v>239</v>
      </c>
      <c r="B278">
        <v>13</v>
      </c>
      <c r="C278">
        <v>5</v>
      </c>
    </row>
    <row r="279" spans="1:3" x14ac:dyDescent="0.25">
      <c r="A279">
        <v>250</v>
      </c>
      <c r="B279">
        <v>13</v>
      </c>
      <c r="C279">
        <v>2</v>
      </c>
    </row>
    <row r="280" spans="1:3" x14ac:dyDescent="0.25">
      <c r="A280">
        <v>250</v>
      </c>
      <c r="B280">
        <v>13</v>
      </c>
      <c r="C280">
        <v>1</v>
      </c>
    </row>
    <row r="281" spans="1:3" x14ac:dyDescent="0.25">
      <c r="A281">
        <v>296</v>
      </c>
      <c r="B281">
        <v>13</v>
      </c>
      <c r="C281">
        <v>2</v>
      </c>
    </row>
    <row r="282" spans="1:3" x14ac:dyDescent="0.25">
      <c r="A282">
        <v>299</v>
      </c>
      <c r="B282">
        <v>13</v>
      </c>
      <c r="C282">
        <v>1</v>
      </c>
    </row>
    <row r="283" spans="1:3" x14ac:dyDescent="0.25">
      <c r="A283">
        <v>4</v>
      </c>
      <c r="B283">
        <v>14</v>
      </c>
      <c r="C283">
        <v>5</v>
      </c>
    </row>
    <row r="284" spans="1:3" x14ac:dyDescent="0.25">
      <c r="A284">
        <v>25</v>
      </c>
      <c r="B284">
        <v>14</v>
      </c>
      <c r="C284">
        <v>5</v>
      </c>
    </row>
    <row r="285" spans="1:3" x14ac:dyDescent="0.25">
      <c r="A285">
        <v>26</v>
      </c>
      <c r="B285">
        <v>14</v>
      </c>
      <c r="C285">
        <v>5</v>
      </c>
    </row>
    <row r="286" spans="1:3" x14ac:dyDescent="0.25">
      <c r="A286">
        <v>44</v>
      </c>
      <c r="B286">
        <v>14</v>
      </c>
      <c r="C286">
        <v>4</v>
      </c>
    </row>
    <row r="287" spans="1:3" x14ac:dyDescent="0.25">
      <c r="A287">
        <v>79</v>
      </c>
      <c r="B287">
        <v>14</v>
      </c>
      <c r="C287">
        <v>3</v>
      </c>
    </row>
    <row r="288" spans="1:3" x14ac:dyDescent="0.25">
      <c r="A288">
        <v>113</v>
      </c>
      <c r="B288">
        <v>14</v>
      </c>
      <c r="C288">
        <v>4</v>
      </c>
    </row>
    <row r="289" spans="1:3" x14ac:dyDescent="0.25">
      <c r="A289">
        <v>119</v>
      </c>
      <c r="B289">
        <v>14</v>
      </c>
      <c r="C289">
        <v>1</v>
      </c>
    </row>
    <row r="290" spans="1:3" x14ac:dyDescent="0.25">
      <c r="A290">
        <v>150</v>
      </c>
      <c r="B290">
        <v>14</v>
      </c>
      <c r="C290">
        <v>4</v>
      </c>
    </row>
    <row r="291" spans="1:3" x14ac:dyDescent="0.25">
      <c r="A291">
        <v>151</v>
      </c>
      <c r="B291">
        <v>14</v>
      </c>
      <c r="C291">
        <v>5</v>
      </c>
    </row>
    <row r="292" spans="1:3" x14ac:dyDescent="0.25">
      <c r="A292">
        <v>187</v>
      </c>
      <c r="B292">
        <v>14</v>
      </c>
      <c r="C292">
        <v>1</v>
      </c>
    </row>
    <row r="293" spans="1:3" x14ac:dyDescent="0.25">
      <c r="A293">
        <v>202</v>
      </c>
      <c r="B293">
        <v>14</v>
      </c>
      <c r="C293">
        <v>4</v>
      </c>
    </row>
    <row r="294" spans="1:3" x14ac:dyDescent="0.25">
      <c r="A294">
        <v>204</v>
      </c>
      <c r="B294">
        <v>14</v>
      </c>
      <c r="C294">
        <v>4</v>
      </c>
    </row>
    <row r="295" spans="1:3" x14ac:dyDescent="0.25">
      <c r="A295">
        <v>217</v>
      </c>
      <c r="B295">
        <v>14</v>
      </c>
      <c r="C295">
        <v>2</v>
      </c>
    </row>
    <row r="296" spans="1:3" x14ac:dyDescent="0.25">
      <c r="A296">
        <v>226</v>
      </c>
      <c r="B296">
        <v>14</v>
      </c>
      <c r="C296">
        <v>2</v>
      </c>
    </row>
    <row r="297" spans="1:3" x14ac:dyDescent="0.25">
      <c r="A297">
        <v>229</v>
      </c>
      <c r="B297">
        <v>14</v>
      </c>
      <c r="C297">
        <v>4</v>
      </c>
    </row>
    <row r="298" spans="1:3" x14ac:dyDescent="0.25">
      <c r="A298">
        <v>251</v>
      </c>
      <c r="B298">
        <v>14</v>
      </c>
      <c r="C298">
        <v>3</v>
      </c>
    </row>
    <row r="299" spans="1:3" x14ac:dyDescent="0.25">
      <c r="A299">
        <v>264</v>
      </c>
      <c r="B299">
        <v>14</v>
      </c>
      <c r="C299">
        <v>1</v>
      </c>
    </row>
    <row r="300" spans="1:3" x14ac:dyDescent="0.25">
      <c r="A300">
        <v>288</v>
      </c>
      <c r="B300">
        <v>14</v>
      </c>
      <c r="C300">
        <v>5</v>
      </c>
    </row>
    <row r="301" spans="1:3" x14ac:dyDescent="0.25">
      <c r="A301">
        <v>1</v>
      </c>
      <c r="B301">
        <v>15</v>
      </c>
      <c r="C301">
        <v>3</v>
      </c>
    </row>
    <row r="302" spans="1:3" x14ac:dyDescent="0.25">
      <c r="A302">
        <v>4</v>
      </c>
      <c r="B302">
        <v>15</v>
      </c>
      <c r="C302">
        <v>4</v>
      </c>
    </row>
    <row r="303" spans="1:3" x14ac:dyDescent="0.25">
      <c r="A303">
        <v>19</v>
      </c>
      <c r="B303">
        <v>15</v>
      </c>
      <c r="C303">
        <v>4</v>
      </c>
    </row>
    <row r="304" spans="1:3" x14ac:dyDescent="0.25">
      <c r="A304">
        <v>26</v>
      </c>
      <c r="B304">
        <v>15</v>
      </c>
      <c r="C304">
        <v>2</v>
      </c>
    </row>
    <row r="305" spans="1:3" x14ac:dyDescent="0.25">
      <c r="A305">
        <v>26</v>
      </c>
      <c r="B305">
        <v>15</v>
      </c>
      <c r="C305">
        <v>2</v>
      </c>
    </row>
    <row r="306" spans="1:3" x14ac:dyDescent="0.25">
      <c r="A306">
        <v>47</v>
      </c>
      <c r="B306">
        <v>15</v>
      </c>
      <c r="C306">
        <v>2</v>
      </c>
    </row>
    <row r="307" spans="1:3" x14ac:dyDescent="0.25">
      <c r="A307">
        <v>63</v>
      </c>
      <c r="B307">
        <v>15</v>
      </c>
      <c r="C307">
        <v>1</v>
      </c>
    </row>
    <row r="308" spans="1:3" x14ac:dyDescent="0.25">
      <c r="A308">
        <v>64</v>
      </c>
      <c r="B308">
        <v>15</v>
      </c>
      <c r="C308">
        <v>5</v>
      </c>
    </row>
    <row r="309" spans="1:3" x14ac:dyDescent="0.25">
      <c r="A309">
        <v>71</v>
      </c>
      <c r="B309">
        <v>15</v>
      </c>
      <c r="C309">
        <v>2</v>
      </c>
    </row>
    <row r="310" spans="1:3" x14ac:dyDescent="0.25">
      <c r="A310">
        <v>93</v>
      </c>
      <c r="B310">
        <v>15</v>
      </c>
      <c r="C310">
        <v>2</v>
      </c>
    </row>
    <row r="311" spans="1:3" x14ac:dyDescent="0.25">
      <c r="A311">
        <v>98</v>
      </c>
      <c r="B311">
        <v>15</v>
      </c>
      <c r="C311">
        <v>4</v>
      </c>
    </row>
    <row r="312" spans="1:3" x14ac:dyDescent="0.25">
      <c r="A312">
        <v>120</v>
      </c>
      <c r="B312">
        <v>15</v>
      </c>
      <c r="C312">
        <v>1</v>
      </c>
    </row>
    <row r="313" spans="1:3" x14ac:dyDescent="0.25">
      <c r="A313">
        <v>131</v>
      </c>
      <c r="B313">
        <v>15</v>
      </c>
      <c r="C313">
        <v>1</v>
      </c>
    </row>
    <row r="314" spans="1:3" x14ac:dyDescent="0.25">
      <c r="A314">
        <v>142</v>
      </c>
      <c r="B314">
        <v>15</v>
      </c>
      <c r="C314">
        <v>2</v>
      </c>
    </row>
    <row r="315" spans="1:3" x14ac:dyDescent="0.25">
      <c r="A315">
        <v>147</v>
      </c>
      <c r="B315">
        <v>15</v>
      </c>
      <c r="C315">
        <v>1</v>
      </c>
    </row>
    <row r="316" spans="1:3" x14ac:dyDescent="0.25">
      <c r="A316">
        <v>162</v>
      </c>
      <c r="B316">
        <v>15</v>
      </c>
      <c r="C316">
        <v>4</v>
      </c>
    </row>
    <row r="317" spans="1:3" x14ac:dyDescent="0.25">
      <c r="A317">
        <v>194</v>
      </c>
      <c r="B317">
        <v>15</v>
      </c>
      <c r="C317">
        <v>3</v>
      </c>
    </row>
    <row r="318" spans="1:3" x14ac:dyDescent="0.25">
      <c r="A318">
        <v>238</v>
      </c>
      <c r="B318">
        <v>15</v>
      </c>
      <c r="C318">
        <v>4</v>
      </c>
    </row>
    <row r="319" spans="1:3" x14ac:dyDescent="0.25">
      <c r="A319">
        <v>240</v>
      </c>
      <c r="B319">
        <v>15</v>
      </c>
      <c r="C319">
        <v>3</v>
      </c>
    </row>
    <row r="320" spans="1:3" x14ac:dyDescent="0.25">
      <c r="A320">
        <v>244</v>
      </c>
      <c r="B320">
        <v>15</v>
      </c>
      <c r="C320">
        <v>1</v>
      </c>
    </row>
    <row r="321" spans="1:3" x14ac:dyDescent="0.25">
      <c r="A321">
        <v>245</v>
      </c>
      <c r="B321">
        <v>15</v>
      </c>
      <c r="C321">
        <v>5</v>
      </c>
    </row>
    <row r="322" spans="1:3" x14ac:dyDescent="0.25">
      <c r="A322">
        <v>256</v>
      </c>
      <c r="B322">
        <v>15</v>
      </c>
      <c r="C322">
        <v>4</v>
      </c>
    </row>
    <row r="323" spans="1:3" x14ac:dyDescent="0.25">
      <c r="A323">
        <v>262</v>
      </c>
      <c r="B323">
        <v>15</v>
      </c>
      <c r="C323">
        <v>1</v>
      </c>
    </row>
    <row r="324" spans="1:3" x14ac:dyDescent="0.25">
      <c r="A324">
        <v>297</v>
      </c>
      <c r="B324">
        <v>15</v>
      </c>
      <c r="C324">
        <v>1</v>
      </c>
    </row>
    <row r="325" spans="1:3" x14ac:dyDescent="0.25">
      <c r="A325">
        <v>298</v>
      </c>
      <c r="B325">
        <v>15</v>
      </c>
      <c r="C325">
        <v>5</v>
      </c>
    </row>
    <row r="326" spans="1:3" x14ac:dyDescent="0.25">
      <c r="A326">
        <v>17</v>
      </c>
      <c r="B326">
        <v>16</v>
      </c>
      <c r="C326">
        <v>4</v>
      </c>
    </row>
    <row r="327" spans="1:3" x14ac:dyDescent="0.25">
      <c r="A327">
        <v>28</v>
      </c>
      <c r="B327">
        <v>16</v>
      </c>
      <c r="C327">
        <v>4</v>
      </c>
    </row>
    <row r="328" spans="1:3" x14ac:dyDescent="0.25">
      <c r="A328">
        <v>34</v>
      </c>
      <c r="B328">
        <v>16</v>
      </c>
      <c r="C328">
        <v>5</v>
      </c>
    </row>
    <row r="329" spans="1:3" x14ac:dyDescent="0.25">
      <c r="A329">
        <v>34</v>
      </c>
      <c r="B329">
        <v>16</v>
      </c>
      <c r="C329">
        <v>5</v>
      </c>
    </row>
    <row r="330" spans="1:3" x14ac:dyDescent="0.25">
      <c r="A330">
        <v>51</v>
      </c>
      <c r="B330">
        <v>16</v>
      </c>
      <c r="C330">
        <v>1</v>
      </c>
    </row>
    <row r="331" spans="1:3" x14ac:dyDescent="0.25">
      <c r="A331">
        <v>54</v>
      </c>
      <c r="B331">
        <v>16</v>
      </c>
      <c r="C331">
        <v>3</v>
      </c>
    </row>
    <row r="332" spans="1:3" x14ac:dyDescent="0.25">
      <c r="A332">
        <v>54</v>
      </c>
      <c r="B332">
        <v>16</v>
      </c>
      <c r="C332">
        <v>1</v>
      </c>
    </row>
    <row r="333" spans="1:3" x14ac:dyDescent="0.25">
      <c r="A333">
        <v>58</v>
      </c>
      <c r="B333">
        <v>16</v>
      </c>
      <c r="C333">
        <v>4</v>
      </c>
    </row>
    <row r="334" spans="1:3" x14ac:dyDescent="0.25">
      <c r="A334">
        <v>113</v>
      </c>
      <c r="B334">
        <v>16</v>
      </c>
      <c r="C334">
        <v>3</v>
      </c>
    </row>
    <row r="335" spans="1:3" x14ac:dyDescent="0.25">
      <c r="A335">
        <v>120</v>
      </c>
      <c r="B335">
        <v>16</v>
      </c>
      <c r="C335">
        <v>2</v>
      </c>
    </row>
    <row r="336" spans="1:3" x14ac:dyDescent="0.25">
      <c r="A336">
        <v>121</v>
      </c>
      <c r="B336">
        <v>16</v>
      </c>
      <c r="C336">
        <v>3</v>
      </c>
    </row>
    <row r="337" spans="1:3" x14ac:dyDescent="0.25">
      <c r="A337">
        <v>134</v>
      </c>
      <c r="B337">
        <v>16</v>
      </c>
      <c r="C337">
        <v>4</v>
      </c>
    </row>
    <row r="338" spans="1:3" x14ac:dyDescent="0.25">
      <c r="A338">
        <v>153</v>
      </c>
      <c r="B338">
        <v>16</v>
      </c>
      <c r="C338">
        <v>1</v>
      </c>
    </row>
    <row r="339" spans="1:3" x14ac:dyDescent="0.25">
      <c r="A339">
        <v>177</v>
      </c>
      <c r="B339">
        <v>16</v>
      </c>
      <c r="C339">
        <v>5</v>
      </c>
    </row>
    <row r="340" spans="1:3" x14ac:dyDescent="0.25">
      <c r="A340">
        <v>182</v>
      </c>
      <c r="B340">
        <v>16</v>
      </c>
      <c r="C340">
        <v>1</v>
      </c>
    </row>
    <row r="341" spans="1:3" x14ac:dyDescent="0.25">
      <c r="A341">
        <v>197</v>
      </c>
      <c r="B341">
        <v>16</v>
      </c>
      <c r="C341">
        <v>4</v>
      </c>
    </row>
    <row r="342" spans="1:3" x14ac:dyDescent="0.25">
      <c r="A342">
        <v>212</v>
      </c>
      <c r="B342">
        <v>16</v>
      </c>
      <c r="C342">
        <v>1</v>
      </c>
    </row>
    <row r="343" spans="1:3" x14ac:dyDescent="0.25">
      <c r="A343">
        <v>239</v>
      </c>
      <c r="B343">
        <v>16</v>
      </c>
      <c r="C343">
        <v>3</v>
      </c>
    </row>
    <row r="344" spans="1:3" x14ac:dyDescent="0.25">
      <c r="A344">
        <v>266</v>
      </c>
      <c r="B344">
        <v>16</v>
      </c>
      <c r="C344">
        <v>4</v>
      </c>
    </row>
    <row r="345" spans="1:3" x14ac:dyDescent="0.25">
      <c r="A345">
        <v>286</v>
      </c>
      <c r="B345">
        <v>16</v>
      </c>
      <c r="C345">
        <v>5</v>
      </c>
    </row>
    <row r="346" spans="1:3" x14ac:dyDescent="0.25">
      <c r="A346">
        <v>294</v>
      </c>
      <c r="B346">
        <v>16</v>
      </c>
      <c r="C346">
        <v>2</v>
      </c>
    </row>
    <row r="347" spans="1:3" x14ac:dyDescent="0.25">
      <c r="A347">
        <v>3</v>
      </c>
      <c r="B347">
        <v>17</v>
      </c>
      <c r="C347">
        <v>5</v>
      </c>
    </row>
    <row r="348" spans="1:3" x14ac:dyDescent="0.25">
      <c r="A348">
        <v>22</v>
      </c>
      <c r="B348">
        <v>17</v>
      </c>
      <c r="C348">
        <v>3</v>
      </c>
    </row>
    <row r="349" spans="1:3" x14ac:dyDescent="0.25">
      <c r="A349">
        <v>38</v>
      </c>
      <c r="B349">
        <v>17</v>
      </c>
      <c r="C349">
        <v>3</v>
      </c>
    </row>
    <row r="350" spans="1:3" x14ac:dyDescent="0.25">
      <c r="A350">
        <v>57</v>
      </c>
      <c r="B350">
        <v>17</v>
      </c>
      <c r="C350">
        <v>1</v>
      </c>
    </row>
    <row r="351" spans="1:3" x14ac:dyDescent="0.25">
      <c r="A351">
        <v>74</v>
      </c>
      <c r="B351">
        <v>17</v>
      </c>
      <c r="C351">
        <v>1</v>
      </c>
    </row>
    <row r="352" spans="1:3" x14ac:dyDescent="0.25">
      <c r="A352">
        <v>93</v>
      </c>
      <c r="B352">
        <v>17</v>
      </c>
      <c r="C352">
        <v>3</v>
      </c>
    </row>
    <row r="353" spans="1:3" x14ac:dyDescent="0.25">
      <c r="A353">
        <v>95</v>
      </c>
      <c r="B353">
        <v>17</v>
      </c>
      <c r="C353">
        <v>3</v>
      </c>
    </row>
    <row r="354" spans="1:3" x14ac:dyDescent="0.25">
      <c r="A354">
        <v>110</v>
      </c>
      <c r="B354">
        <v>17</v>
      </c>
      <c r="C354">
        <v>3</v>
      </c>
    </row>
    <row r="355" spans="1:3" x14ac:dyDescent="0.25">
      <c r="A355">
        <v>119</v>
      </c>
      <c r="B355">
        <v>17</v>
      </c>
      <c r="C355">
        <v>2</v>
      </c>
    </row>
    <row r="356" spans="1:3" x14ac:dyDescent="0.25">
      <c r="A356">
        <v>123</v>
      </c>
      <c r="B356">
        <v>17</v>
      </c>
      <c r="C356">
        <v>4</v>
      </c>
    </row>
    <row r="357" spans="1:3" x14ac:dyDescent="0.25">
      <c r="A357">
        <v>152</v>
      </c>
      <c r="B357">
        <v>17</v>
      </c>
      <c r="C357">
        <v>4</v>
      </c>
    </row>
    <row r="358" spans="1:3" x14ac:dyDescent="0.25">
      <c r="A358">
        <v>155</v>
      </c>
      <c r="B358">
        <v>17</v>
      </c>
      <c r="C358">
        <v>5</v>
      </c>
    </row>
    <row r="359" spans="1:3" x14ac:dyDescent="0.25">
      <c r="A359">
        <v>168</v>
      </c>
      <c r="B359">
        <v>17</v>
      </c>
      <c r="C359">
        <v>5</v>
      </c>
    </row>
    <row r="360" spans="1:3" x14ac:dyDescent="0.25">
      <c r="A360">
        <v>174</v>
      </c>
      <c r="B360">
        <v>17</v>
      </c>
      <c r="C360">
        <v>1</v>
      </c>
    </row>
    <row r="361" spans="1:3" x14ac:dyDescent="0.25">
      <c r="A361">
        <v>184</v>
      </c>
      <c r="B361">
        <v>17</v>
      </c>
      <c r="C361">
        <v>2</v>
      </c>
    </row>
    <row r="362" spans="1:3" x14ac:dyDescent="0.25">
      <c r="A362">
        <v>186</v>
      </c>
      <c r="B362">
        <v>17</v>
      </c>
      <c r="C362">
        <v>1</v>
      </c>
    </row>
    <row r="363" spans="1:3" x14ac:dyDescent="0.25">
      <c r="A363">
        <v>215</v>
      </c>
      <c r="B363">
        <v>17</v>
      </c>
      <c r="C363">
        <v>2</v>
      </c>
    </row>
    <row r="364" spans="1:3" x14ac:dyDescent="0.25">
      <c r="A364">
        <v>216</v>
      </c>
      <c r="B364">
        <v>17</v>
      </c>
      <c r="C364">
        <v>2</v>
      </c>
    </row>
    <row r="365" spans="1:3" x14ac:dyDescent="0.25">
      <c r="A365">
        <v>234</v>
      </c>
      <c r="B365">
        <v>17</v>
      </c>
      <c r="C365">
        <v>2</v>
      </c>
    </row>
    <row r="366" spans="1:3" x14ac:dyDescent="0.25">
      <c r="A366">
        <v>236</v>
      </c>
      <c r="B366">
        <v>17</v>
      </c>
      <c r="C366">
        <v>2</v>
      </c>
    </row>
    <row r="367" spans="1:3" x14ac:dyDescent="0.25">
      <c r="A367">
        <v>236</v>
      </c>
      <c r="B367">
        <v>17</v>
      </c>
      <c r="C367">
        <v>5</v>
      </c>
    </row>
    <row r="368" spans="1:3" x14ac:dyDescent="0.25">
      <c r="A368">
        <v>240</v>
      </c>
      <c r="B368">
        <v>17</v>
      </c>
      <c r="C368">
        <v>3</v>
      </c>
    </row>
    <row r="369" spans="1:3" x14ac:dyDescent="0.25">
      <c r="A369">
        <v>242</v>
      </c>
      <c r="B369">
        <v>17</v>
      </c>
      <c r="C369">
        <v>2</v>
      </c>
    </row>
    <row r="370" spans="1:3" x14ac:dyDescent="0.25">
      <c r="A370">
        <v>248</v>
      </c>
      <c r="B370">
        <v>17</v>
      </c>
      <c r="C370">
        <v>3</v>
      </c>
    </row>
    <row r="371" spans="1:3" x14ac:dyDescent="0.25">
      <c r="A371">
        <v>267</v>
      </c>
      <c r="B371">
        <v>17</v>
      </c>
      <c r="C371">
        <v>5</v>
      </c>
    </row>
    <row r="372" spans="1:3" x14ac:dyDescent="0.25">
      <c r="A372">
        <v>270</v>
      </c>
      <c r="B372">
        <v>17</v>
      </c>
      <c r="C372">
        <v>5</v>
      </c>
    </row>
    <row r="373" spans="1:3" x14ac:dyDescent="0.25">
      <c r="A373">
        <v>272</v>
      </c>
      <c r="B373">
        <v>17</v>
      </c>
      <c r="C373">
        <v>4</v>
      </c>
    </row>
    <row r="374" spans="1:3" x14ac:dyDescent="0.25">
      <c r="A374">
        <v>287</v>
      </c>
      <c r="B374">
        <v>17</v>
      </c>
      <c r="C374">
        <v>5</v>
      </c>
    </row>
    <row r="375" spans="1:3" x14ac:dyDescent="0.25">
      <c r="A375">
        <v>2</v>
      </c>
      <c r="B375">
        <v>18</v>
      </c>
      <c r="C375">
        <v>5</v>
      </c>
    </row>
    <row r="376" spans="1:3" x14ac:dyDescent="0.25">
      <c r="A376">
        <v>10</v>
      </c>
      <c r="B376">
        <v>18</v>
      </c>
      <c r="C376">
        <v>5</v>
      </c>
    </row>
    <row r="377" spans="1:3" x14ac:dyDescent="0.25">
      <c r="A377">
        <v>22</v>
      </c>
      <c r="B377">
        <v>18</v>
      </c>
      <c r="C377">
        <v>5</v>
      </c>
    </row>
    <row r="378" spans="1:3" x14ac:dyDescent="0.25">
      <c r="A378">
        <v>23</v>
      </c>
      <c r="B378">
        <v>18</v>
      </c>
      <c r="C378">
        <v>4</v>
      </c>
    </row>
    <row r="379" spans="1:3" x14ac:dyDescent="0.25">
      <c r="A379">
        <v>58</v>
      </c>
      <c r="B379">
        <v>18</v>
      </c>
      <c r="C379">
        <v>1</v>
      </c>
    </row>
    <row r="380" spans="1:3" x14ac:dyDescent="0.25">
      <c r="A380">
        <v>65</v>
      </c>
      <c r="B380">
        <v>18</v>
      </c>
      <c r="C380">
        <v>4</v>
      </c>
    </row>
    <row r="381" spans="1:3" x14ac:dyDescent="0.25">
      <c r="A381">
        <v>69</v>
      </c>
      <c r="B381">
        <v>18</v>
      </c>
      <c r="C381">
        <v>1</v>
      </c>
    </row>
    <row r="382" spans="1:3" x14ac:dyDescent="0.25">
      <c r="A382">
        <v>98</v>
      </c>
      <c r="B382">
        <v>18</v>
      </c>
      <c r="C382">
        <v>1</v>
      </c>
    </row>
    <row r="383" spans="1:3" x14ac:dyDescent="0.25">
      <c r="A383">
        <v>115</v>
      </c>
      <c r="B383">
        <v>18</v>
      </c>
      <c r="C383">
        <v>5</v>
      </c>
    </row>
    <row r="384" spans="1:3" x14ac:dyDescent="0.25">
      <c r="A384">
        <v>138</v>
      </c>
      <c r="B384">
        <v>18</v>
      </c>
      <c r="C384">
        <v>3</v>
      </c>
    </row>
    <row r="385" spans="1:3" x14ac:dyDescent="0.25">
      <c r="A385">
        <v>153</v>
      </c>
      <c r="B385">
        <v>18</v>
      </c>
      <c r="C385">
        <v>2</v>
      </c>
    </row>
    <row r="386" spans="1:3" x14ac:dyDescent="0.25">
      <c r="A386">
        <v>163</v>
      </c>
      <c r="B386">
        <v>18</v>
      </c>
      <c r="C386">
        <v>3</v>
      </c>
    </row>
    <row r="387" spans="1:3" x14ac:dyDescent="0.25">
      <c r="A387">
        <v>185</v>
      </c>
      <c r="B387">
        <v>18</v>
      </c>
      <c r="C387">
        <v>4</v>
      </c>
    </row>
    <row r="388" spans="1:3" x14ac:dyDescent="0.25">
      <c r="A388">
        <v>186</v>
      </c>
      <c r="B388">
        <v>18</v>
      </c>
      <c r="C388">
        <v>4</v>
      </c>
    </row>
    <row r="389" spans="1:3" x14ac:dyDescent="0.25">
      <c r="A389">
        <v>207</v>
      </c>
      <c r="B389">
        <v>18</v>
      </c>
      <c r="C389">
        <v>3</v>
      </c>
    </row>
    <row r="390" spans="1:3" x14ac:dyDescent="0.25">
      <c r="A390">
        <v>211</v>
      </c>
      <c r="B390">
        <v>18</v>
      </c>
      <c r="C390">
        <v>4</v>
      </c>
    </row>
    <row r="391" spans="1:3" x14ac:dyDescent="0.25">
      <c r="A391">
        <v>218</v>
      </c>
      <c r="B391">
        <v>18</v>
      </c>
      <c r="C391">
        <v>4</v>
      </c>
    </row>
    <row r="392" spans="1:3" x14ac:dyDescent="0.25">
      <c r="A392">
        <v>251</v>
      </c>
      <c r="B392">
        <v>18</v>
      </c>
      <c r="C392">
        <v>3</v>
      </c>
    </row>
    <row r="393" spans="1:3" x14ac:dyDescent="0.25">
      <c r="A393">
        <v>279</v>
      </c>
      <c r="B393">
        <v>18</v>
      </c>
      <c r="C393">
        <v>5</v>
      </c>
    </row>
    <row r="394" spans="1:3" x14ac:dyDescent="0.25">
      <c r="A394">
        <v>291</v>
      </c>
      <c r="B394">
        <v>18</v>
      </c>
      <c r="C394">
        <v>2</v>
      </c>
    </row>
    <row r="395" spans="1:3" x14ac:dyDescent="0.25">
      <c r="A395">
        <v>296</v>
      </c>
      <c r="B395">
        <v>18</v>
      </c>
      <c r="C395">
        <v>4</v>
      </c>
    </row>
    <row r="396" spans="1:3" x14ac:dyDescent="0.25">
      <c r="A396">
        <v>17</v>
      </c>
      <c r="B396">
        <v>19</v>
      </c>
      <c r="C396">
        <v>2</v>
      </c>
    </row>
    <row r="397" spans="1:3" x14ac:dyDescent="0.25">
      <c r="A397">
        <v>29</v>
      </c>
      <c r="B397">
        <v>19</v>
      </c>
      <c r="C397">
        <v>3</v>
      </c>
    </row>
    <row r="398" spans="1:3" x14ac:dyDescent="0.25">
      <c r="A398">
        <v>51</v>
      </c>
      <c r="B398">
        <v>19</v>
      </c>
      <c r="C398">
        <v>1</v>
      </c>
    </row>
    <row r="399" spans="1:3" x14ac:dyDescent="0.25">
      <c r="A399">
        <v>56</v>
      </c>
      <c r="B399">
        <v>19</v>
      </c>
      <c r="C399">
        <v>5</v>
      </c>
    </row>
    <row r="400" spans="1:3" x14ac:dyDescent="0.25">
      <c r="A400">
        <v>59</v>
      </c>
      <c r="B400">
        <v>19</v>
      </c>
      <c r="C400">
        <v>4</v>
      </c>
    </row>
    <row r="401" spans="1:3" x14ac:dyDescent="0.25">
      <c r="A401">
        <v>66</v>
      </c>
      <c r="B401">
        <v>19</v>
      </c>
      <c r="C401">
        <v>1</v>
      </c>
    </row>
    <row r="402" spans="1:3" x14ac:dyDescent="0.25">
      <c r="A402">
        <v>103</v>
      </c>
      <c r="B402">
        <v>19</v>
      </c>
      <c r="C402">
        <v>5</v>
      </c>
    </row>
    <row r="403" spans="1:3" x14ac:dyDescent="0.25">
      <c r="A403">
        <v>123</v>
      </c>
      <c r="B403">
        <v>19</v>
      </c>
      <c r="C403">
        <v>1</v>
      </c>
    </row>
    <row r="404" spans="1:3" x14ac:dyDescent="0.25">
      <c r="A404">
        <v>131</v>
      </c>
      <c r="B404">
        <v>19</v>
      </c>
      <c r="C404">
        <v>1</v>
      </c>
    </row>
    <row r="405" spans="1:3" x14ac:dyDescent="0.25">
      <c r="A405">
        <v>142</v>
      </c>
      <c r="B405">
        <v>19</v>
      </c>
      <c r="C405">
        <v>1</v>
      </c>
    </row>
    <row r="406" spans="1:3" x14ac:dyDescent="0.25">
      <c r="A406">
        <v>142</v>
      </c>
      <c r="B406">
        <v>19</v>
      </c>
      <c r="C406">
        <v>3</v>
      </c>
    </row>
    <row r="407" spans="1:3" x14ac:dyDescent="0.25">
      <c r="A407">
        <v>151</v>
      </c>
      <c r="B407">
        <v>19</v>
      </c>
      <c r="C407">
        <v>1</v>
      </c>
    </row>
    <row r="408" spans="1:3" x14ac:dyDescent="0.25">
      <c r="A408">
        <v>192</v>
      </c>
      <c r="B408">
        <v>19</v>
      </c>
      <c r="C408">
        <v>5</v>
      </c>
    </row>
    <row r="409" spans="1:3" x14ac:dyDescent="0.25">
      <c r="A409">
        <v>196</v>
      </c>
      <c r="B409">
        <v>19</v>
      </c>
      <c r="C409">
        <v>2</v>
      </c>
    </row>
    <row r="410" spans="1:3" x14ac:dyDescent="0.25">
      <c r="A410">
        <v>223</v>
      </c>
      <c r="B410">
        <v>19</v>
      </c>
      <c r="C410">
        <v>5</v>
      </c>
    </row>
    <row r="411" spans="1:3" x14ac:dyDescent="0.25">
      <c r="A411">
        <v>229</v>
      </c>
      <c r="B411">
        <v>19</v>
      </c>
      <c r="C411">
        <v>3</v>
      </c>
    </row>
    <row r="412" spans="1:3" x14ac:dyDescent="0.25">
      <c r="A412">
        <v>229</v>
      </c>
      <c r="B412">
        <v>19</v>
      </c>
      <c r="C412">
        <v>4</v>
      </c>
    </row>
    <row r="413" spans="1:3" x14ac:dyDescent="0.25">
      <c r="A413">
        <v>229</v>
      </c>
      <c r="B413">
        <v>19</v>
      </c>
      <c r="C413">
        <v>2</v>
      </c>
    </row>
    <row r="414" spans="1:3" x14ac:dyDescent="0.25">
      <c r="A414">
        <v>239</v>
      </c>
      <c r="B414">
        <v>19</v>
      </c>
      <c r="C414">
        <v>1</v>
      </c>
    </row>
    <row r="415" spans="1:3" x14ac:dyDescent="0.25">
      <c r="A415">
        <v>240</v>
      </c>
      <c r="B415">
        <v>19</v>
      </c>
      <c r="C415">
        <v>1</v>
      </c>
    </row>
    <row r="416" spans="1:3" x14ac:dyDescent="0.25">
      <c r="A416">
        <v>280</v>
      </c>
      <c r="B416">
        <v>19</v>
      </c>
      <c r="C416">
        <v>2</v>
      </c>
    </row>
    <row r="417" spans="1:3" x14ac:dyDescent="0.25">
      <c r="A417">
        <v>1</v>
      </c>
      <c r="B417">
        <v>20</v>
      </c>
      <c r="C417">
        <v>4</v>
      </c>
    </row>
    <row r="418" spans="1:3" x14ac:dyDescent="0.25">
      <c r="A418">
        <v>13</v>
      </c>
      <c r="B418">
        <v>20</v>
      </c>
      <c r="C418">
        <v>2</v>
      </c>
    </row>
    <row r="419" spans="1:3" x14ac:dyDescent="0.25">
      <c r="A419">
        <v>45</v>
      </c>
      <c r="B419">
        <v>20</v>
      </c>
      <c r="C419">
        <v>5</v>
      </c>
    </row>
    <row r="420" spans="1:3" x14ac:dyDescent="0.25">
      <c r="A420">
        <v>47</v>
      </c>
      <c r="B420">
        <v>20</v>
      </c>
      <c r="C420">
        <v>1</v>
      </c>
    </row>
    <row r="421" spans="1:3" x14ac:dyDescent="0.25">
      <c r="A421">
        <v>61</v>
      </c>
      <c r="B421">
        <v>20</v>
      </c>
      <c r="C421">
        <v>4</v>
      </c>
    </row>
    <row r="422" spans="1:3" x14ac:dyDescent="0.25">
      <c r="A422">
        <v>73</v>
      </c>
      <c r="B422">
        <v>20</v>
      </c>
      <c r="C422">
        <v>2</v>
      </c>
    </row>
    <row r="423" spans="1:3" x14ac:dyDescent="0.25">
      <c r="A423">
        <v>74</v>
      </c>
      <c r="B423">
        <v>20</v>
      </c>
      <c r="C423">
        <v>1</v>
      </c>
    </row>
    <row r="424" spans="1:3" x14ac:dyDescent="0.25">
      <c r="A424">
        <v>107</v>
      </c>
      <c r="B424">
        <v>20</v>
      </c>
      <c r="C424">
        <v>4</v>
      </c>
    </row>
    <row r="425" spans="1:3" x14ac:dyDescent="0.25">
      <c r="A425">
        <v>136</v>
      </c>
      <c r="B425">
        <v>20</v>
      </c>
      <c r="C425">
        <v>4</v>
      </c>
    </row>
    <row r="426" spans="1:3" x14ac:dyDescent="0.25">
      <c r="A426">
        <v>153</v>
      </c>
      <c r="B426">
        <v>20</v>
      </c>
      <c r="C426">
        <v>4</v>
      </c>
    </row>
    <row r="427" spans="1:3" x14ac:dyDescent="0.25">
      <c r="A427">
        <v>165</v>
      </c>
      <c r="B427">
        <v>20</v>
      </c>
      <c r="C427">
        <v>5</v>
      </c>
    </row>
    <row r="428" spans="1:3" x14ac:dyDescent="0.25">
      <c r="A428">
        <v>173</v>
      </c>
      <c r="B428">
        <v>20</v>
      </c>
      <c r="C428">
        <v>4</v>
      </c>
    </row>
    <row r="429" spans="1:3" x14ac:dyDescent="0.25">
      <c r="A429">
        <v>176</v>
      </c>
      <c r="B429">
        <v>20</v>
      </c>
      <c r="C429">
        <v>1</v>
      </c>
    </row>
    <row r="430" spans="1:3" x14ac:dyDescent="0.25">
      <c r="A430">
        <v>208</v>
      </c>
      <c r="B430">
        <v>20</v>
      </c>
      <c r="C430">
        <v>5</v>
      </c>
    </row>
    <row r="431" spans="1:3" x14ac:dyDescent="0.25">
      <c r="A431">
        <v>234</v>
      </c>
      <c r="B431">
        <v>20</v>
      </c>
      <c r="C431">
        <v>1</v>
      </c>
    </row>
    <row r="432" spans="1:3" x14ac:dyDescent="0.25">
      <c r="A432">
        <v>243</v>
      </c>
      <c r="B432">
        <v>20</v>
      </c>
      <c r="C432">
        <v>1</v>
      </c>
    </row>
    <row r="433" spans="1:3" x14ac:dyDescent="0.25">
      <c r="A433">
        <v>258</v>
      </c>
      <c r="B433">
        <v>20</v>
      </c>
      <c r="C433">
        <v>1</v>
      </c>
    </row>
    <row r="434" spans="1:3" x14ac:dyDescent="0.25">
      <c r="A434">
        <v>261</v>
      </c>
      <c r="B434">
        <v>20</v>
      </c>
      <c r="C434">
        <v>4</v>
      </c>
    </row>
    <row r="435" spans="1:3" x14ac:dyDescent="0.25">
      <c r="A435">
        <v>291</v>
      </c>
      <c r="B435">
        <v>20</v>
      </c>
      <c r="C435">
        <v>4</v>
      </c>
    </row>
    <row r="436" spans="1:3" x14ac:dyDescent="0.25">
      <c r="A436">
        <v>1</v>
      </c>
      <c r="B436">
        <v>21</v>
      </c>
      <c r="C436">
        <v>2</v>
      </c>
    </row>
    <row r="437" spans="1:3" x14ac:dyDescent="0.25">
      <c r="A437">
        <v>15</v>
      </c>
      <c r="B437">
        <v>21</v>
      </c>
      <c r="C437">
        <v>2</v>
      </c>
    </row>
    <row r="438" spans="1:3" x14ac:dyDescent="0.25">
      <c r="A438">
        <v>20</v>
      </c>
      <c r="B438">
        <v>21</v>
      </c>
      <c r="C438">
        <v>3</v>
      </c>
    </row>
    <row r="439" spans="1:3" x14ac:dyDescent="0.25">
      <c r="A439">
        <v>40</v>
      </c>
      <c r="B439">
        <v>21</v>
      </c>
      <c r="C439">
        <v>4</v>
      </c>
    </row>
    <row r="440" spans="1:3" x14ac:dyDescent="0.25">
      <c r="A440">
        <v>44</v>
      </c>
      <c r="B440">
        <v>21</v>
      </c>
      <c r="C440">
        <v>4</v>
      </c>
    </row>
    <row r="441" spans="1:3" x14ac:dyDescent="0.25">
      <c r="A441">
        <v>63</v>
      </c>
      <c r="B441">
        <v>21</v>
      </c>
      <c r="C441">
        <v>4</v>
      </c>
    </row>
    <row r="442" spans="1:3" x14ac:dyDescent="0.25">
      <c r="A442">
        <v>66</v>
      </c>
      <c r="B442">
        <v>21</v>
      </c>
      <c r="C442">
        <v>1</v>
      </c>
    </row>
    <row r="443" spans="1:3" x14ac:dyDescent="0.25">
      <c r="A443">
        <v>101</v>
      </c>
      <c r="B443">
        <v>21</v>
      </c>
      <c r="C443">
        <v>2</v>
      </c>
    </row>
    <row r="444" spans="1:3" x14ac:dyDescent="0.25">
      <c r="A444">
        <v>116</v>
      </c>
      <c r="B444">
        <v>21</v>
      </c>
      <c r="C444">
        <v>1</v>
      </c>
    </row>
    <row r="445" spans="1:3" x14ac:dyDescent="0.25">
      <c r="A445">
        <v>118</v>
      </c>
      <c r="B445">
        <v>21</v>
      </c>
      <c r="C445">
        <v>4</v>
      </c>
    </row>
    <row r="446" spans="1:3" x14ac:dyDescent="0.25">
      <c r="A446">
        <v>125</v>
      </c>
      <c r="B446">
        <v>21</v>
      </c>
      <c r="C446">
        <v>2</v>
      </c>
    </row>
    <row r="447" spans="1:3" x14ac:dyDescent="0.25">
      <c r="A447">
        <v>137</v>
      </c>
      <c r="B447">
        <v>21</v>
      </c>
      <c r="C447">
        <v>4</v>
      </c>
    </row>
    <row r="448" spans="1:3" x14ac:dyDescent="0.25">
      <c r="A448">
        <v>169</v>
      </c>
      <c r="B448">
        <v>21</v>
      </c>
      <c r="C448">
        <v>5</v>
      </c>
    </row>
    <row r="449" spans="1:3" x14ac:dyDescent="0.25">
      <c r="A449">
        <v>176</v>
      </c>
      <c r="B449">
        <v>21</v>
      </c>
      <c r="C449">
        <v>5</v>
      </c>
    </row>
    <row r="450" spans="1:3" x14ac:dyDescent="0.25">
      <c r="A450">
        <v>193</v>
      </c>
      <c r="B450">
        <v>21</v>
      </c>
      <c r="C450">
        <v>2</v>
      </c>
    </row>
    <row r="451" spans="1:3" x14ac:dyDescent="0.25">
      <c r="A451">
        <v>221</v>
      </c>
      <c r="B451">
        <v>21</v>
      </c>
      <c r="C451">
        <v>4</v>
      </c>
    </row>
    <row r="452" spans="1:3" x14ac:dyDescent="0.25">
      <c r="A452">
        <v>232</v>
      </c>
      <c r="B452">
        <v>21</v>
      </c>
      <c r="C452">
        <v>1</v>
      </c>
    </row>
    <row r="453" spans="1:3" x14ac:dyDescent="0.25">
      <c r="A453">
        <v>237</v>
      </c>
      <c r="B453">
        <v>21</v>
      </c>
      <c r="C453">
        <v>4</v>
      </c>
    </row>
    <row r="454" spans="1:3" x14ac:dyDescent="0.25">
      <c r="A454">
        <v>239</v>
      </c>
      <c r="B454">
        <v>21</v>
      </c>
      <c r="C454">
        <v>4</v>
      </c>
    </row>
    <row r="455" spans="1:3" x14ac:dyDescent="0.25">
      <c r="A455">
        <v>264</v>
      </c>
      <c r="B455">
        <v>21</v>
      </c>
      <c r="C455">
        <v>4</v>
      </c>
    </row>
    <row r="456" spans="1:3" x14ac:dyDescent="0.25">
      <c r="A456">
        <v>269</v>
      </c>
      <c r="B456">
        <v>21</v>
      </c>
      <c r="C456">
        <v>4</v>
      </c>
    </row>
    <row r="457" spans="1:3" x14ac:dyDescent="0.25">
      <c r="A457">
        <v>283</v>
      </c>
      <c r="B457">
        <v>21</v>
      </c>
      <c r="C457">
        <v>4</v>
      </c>
    </row>
    <row r="458" spans="1:3" x14ac:dyDescent="0.25">
      <c r="A458">
        <v>290</v>
      </c>
      <c r="B458">
        <v>21</v>
      </c>
      <c r="C458">
        <v>3</v>
      </c>
    </row>
    <row r="459" spans="1:3" x14ac:dyDescent="0.25">
      <c r="A459">
        <v>296</v>
      </c>
      <c r="B459">
        <v>21</v>
      </c>
      <c r="C459">
        <v>3</v>
      </c>
    </row>
    <row r="460" spans="1:3" x14ac:dyDescent="0.25">
      <c r="A460">
        <v>299</v>
      </c>
      <c r="B460">
        <v>21</v>
      </c>
      <c r="C460">
        <v>5</v>
      </c>
    </row>
    <row r="461" spans="1:3" x14ac:dyDescent="0.25">
      <c r="A461">
        <v>20</v>
      </c>
      <c r="B461">
        <v>22</v>
      </c>
      <c r="C461">
        <v>3</v>
      </c>
    </row>
    <row r="462" spans="1:3" x14ac:dyDescent="0.25">
      <c r="A462">
        <v>44</v>
      </c>
      <c r="B462">
        <v>22</v>
      </c>
      <c r="C462">
        <v>4</v>
      </c>
    </row>
    <row r="463" spans="1:3" x14ac:dyDescent="0.25">
      <c r="A463">
        <v>63</v>
      </c>
      <c r="B463">
        <v>22</v>
      </c>
      <c r="C463">
        <v>3</v>
      </c>
    </row>
    <row r="464" spans="1:3" x14ac:dyDescent="0.25">
      <c r="A464">
        <v>72</v>
      </c>
      <c r="B464">
        <v>22</v>
      </c>
      <c r="C464">
        <v>3</v>
      </c>
    </row>
    <row r="465" spans="1:3" x14ac:dyDescent="0.25">
      <c r="A465">
        <v>73</v>
      </c>
      <c r="B465">
        <v>22</v>
      </c>
      <c r="C465">
        <v>2</v>
      </c>
    </row>
    <row r="466" spans="1:3" x14ac:dyDescent="0.25">
      <c r="A466">
        <v>112</v>
      </c>
      <c r="B466">
        <v>22</v>
      </c>
      <c r="C466">
        <v>1</v>
      </c>
    </row>
    <row r="467" spans="1:3" x14ac:dyDescent="0.25">
      <c r="A467">
        <v>131</v>
      </c>
      <c r="B467">
        <v>22</v>
      </c>
      <c r="C467">
        <v>2</v>
      </c>
    </row>
    <row r="468" spans="1:3" x14ac:dyDescent="0.25">
      <c r="A468">
        <v>135</v>
      </c>
      <c r="B468">
        <v>22</v>
      </c>
      <c r="C468">
        <v>5</v>
      </c>
    </row>
    <row r="469" spans="1:3" x14ac:dyDescent="0.25">
      <c r="A469">
        <v>158</v>
      </c>
      <c r="B469">
        <v>22</v>
      </c>
      <c r="C469">
        <v>1</v>
      </c>
    </row>
    <row r="470" spans="1:3" x14ac:dyDescent="0.25">
      <c r="A470">
        <v>163</v>
      </c>
      <c r="B470">
        <v>22</v>
      </c>
      <c r="C470">
        <v>1</v>
      </c>
    </row>
    <row r="471" spans="1:3" x14ac:dyDescent="0.25">
      <c r="A471">
        <v>172</v>
      </c>
      <c r="B471">
        <v>22</v>
      </c>
      <c r="C471">
        <v>3</v>
      </c>
    </row>
    <row r="472" spans="1:3" x14ac:dyDescent="0.25">
      <c r="A472">
        <v>180</v>
      </c>
      <c r="B472">
        <v>22</v>
      </c>
      <c r="C472">
        <v>5</v>
      </c>
    </row>
    <row r="473" spans="1:3" x14ac:dyDescent="0.25">
      <c r="A473">
        <v>188</v>
      </c>
      <c r="B473">
        <v>22</v>
      </c>
      <c r="C473">
        <v>3</v>
      </c>
    </row>
    <row r="474" spans="1:3" x14ac:dyDescent="0.25">
      <c r="A474">
        <v>188</v>
      </c>
      <c r="B474">
        <v>22</v>
      </c>
      <c r="C474">
        <v>3</v>
      </c>
    </row>
    <row r="475" spans="1:3" x14ac:dyDescent="0.25">
      <c r="A475">
        <v>196</v>
      </c>
      <c r="B475">
        <v>22</v>
      </c>
      <c r="C475">
        <v>5</v>
      </c>
    </row>
    <row r="476" spans="1:3" x14ac:dyDescent="0.25">
      <c r="A476">
        <v>206</v>
      </c>
      <c r="B476">
        <v>22</v>
      </c>
      <c r="C476">
        <v>1</v>
      </c>
    </row>
    <row r="477" spans="1:3" x14ac:dyDescent="0.25">
      <c r="A477">
        <v>232</v>
      </c>
      <c r="B477">
        <v>22</v>
      </c>
      <c r="C477">
        <v>1</v>
      </c>
    </row>
    <row r="478" spans="1:3" x14ac:dyDescent="0.25">
      <c r="A478">
        <v>258</v>
      </c>
      <c r="B478">
        <v>22</v>
      </c>
      <c r="C478">
        <v>4</v>
      </c>
    </row>
    <row r="479" spans="1:3" x14ac:dyDescent="0.25">
      <c r="A479">
        <v>263</v>
      </c>
      <c r="B479">
        <v>22</v>
      </c>
      <c r="C479">
        <v>2</v>
      </c>
    </row>
    <row r="480" spans="1:3" x14ac:dyDescent="0.25">
      <c r="A480">
        <v>282</v>
      </c>
      <c r="B480">
        <v>22</v>
      </c>
      <c r="C480">
        <v>5</v>
      </c>
    </row>
    <row r="481" spans="1:3" x14ac:dyDescent="0.25">
      <c r="A481">
        <v>290</v>
      </c>
      <c r="B481">
        <v>22</v>
      </c>
      <c r="C481">
        <v>4</v>
      </c>
    </row>
    <row r="482" spans="1:3" x14ac:dyDescent="0.25">
      <c r="A482">
        <v>2</v>
      </c>
      <c r="B482">
        <v>23</v>
      </c>
      <c r="C482">
        <v>3</v>
      </c>
    </row>
    <row r="483" spans="1:3" x14ac:dyDescent="0.25">
      <c r="A483">
        <v>10</v>
      </c>
      <c r="B483">
        <v>23</v>
      </c>
      <c r="C483">
        <v>2</v>
      </c>
    </row>
    <row r="484" spans="1:3" x14ac:dyDescent="0.25">
      <c r="A484">
        <v>15</v>
      </c>
      <c r="B484">
        <v>23</v>
      </c>
      <c r="C484">
        <v>5</v>
      </c>
    </row>
    <row r="485" spans="1:3" x14ac:dyDescent="0.25">
      <c r="A485">
        <v>33</v>
      </c>
      <c r="B485">
        <v>23</v>
      </c>
      <c r="C485">
        <v>3</v>
      </c>
    </row>
    <row r="486" spans="1:3" x14ac:dyDescent="0.25">
      <c r="A486">
        <v>36</v>
      </c>
      <c r="B486">
        <v>23</v>
      </c>
      <c r="C486">
        <v>5</v>
      </c>
    </row>
    <row r="487" spans="1:3" x14ac:dyDescent="0.25">
      <c r="A487">
        <v>45</v>
      </c>
      <c r="B487">
        <v>23</v>
      </c>
      <c r="C487">
        <v>4</v>
      </c>
    </row>
    <row r="488" spans="1:3" x14ac:dyDescent="0.25">
      <c r="A488">
        <v>53</v>
      </c>
      <c r="B488">
        <v>23</v>
      </c>
      <c r="C488">
        <v>1</v>
      </c>
    </row>
    <row r="489" spans="1:3" x14ac:dyDescent="0.25">
      <c r="A489">
        <v>57</v>
      </c>
      <c r="B489">
        <v>23</v>
      </c>
      <c r="C489">
        <v>3</v>
      </c>
    </row>
    <row r="490" spans="1:3" x14ac:dyDescent="0.25">
      <c r="A490">
        <v>60</v>
      </c>
      <c r="B490">
        <v>23</v>
      </c>
      <c r="C490">
        <v>1</v>
      </c>
    </row>
    <row r="491" spans="1:3" x14ac:dyDescent="0.25">
      <c r="A491">
        <v>66</v>
      </c>
      <c r="B491">
        <v>23</v>
      </c>
      <c r="C491">
        <v>2</v>
      </c>
    </row>
    <row r="492" spans="1:3" x14ac:dyDescent="0.25">
      <c r="A492">
        <v>67</v>
      </c>
      <c r="B492">
        <v>23</v>
      </c>
      <c r="C492">
        <v>2</v>
      </c>
    </row>
    <row r="493" spans="1:3" x14ac:dyDescent="0.25">
      <c r="A493">
        <v>91</v>
      </c>
      <c r="B493">
        <v>23</v>
      </c>
      <c r="C493">
        <v>1</v>
      </c>
    </row>
    <row r="494" spans="1:3" x14ac:dyDescent="0.25">
      <c r="A494">
        <v>107</v>
      </c>
      <c r="B494">
        <v>23</v>
      </c>
      <c r="C494">
        <v>4</v>
      </c>
    </row>
    <row r="495" spans="1:3" x14ac:dyDescent="0.25">
      <c r="A495">
        <v>115</v>
      </c>
      <c r="B495">
        <v>23</v>
      </c>
      <c r="C495">
        <v>5</v>
      </c>
    </row>
    <row r="496" spans="1:3" x14ac:dyDescent="0.25">
      <c r="A496">
        <v>155</v>
      </c>
      <c r="B496">
        <v>23</v>
      </c>
      <c r="C496">
        <v>2</v>
      </c>
    </row>
    <row r="497" spans="1:3" x14ac:dyDescent="0.25">
      <c r="A497">
        <v>162</v>
      </c>
      <c r="B497">
        <v>23</v>
      </c>
      <c r="C497">
        <v>2</v>
      </c>
    </row>
    <row r="498" spans="1:3" x14ac:dyDescent="0.25">
      <c r="A498">
        <v>181</v>
      </c>
      <c r="B498">
        <v>23</v>
      </c>
      <c r="C498">
        <v>4</v>
      </c>
    </row>
    <row r="499" spans="1:3" x14ac:dyDescent="0.25">
      <c r="A499">
        <v>185</v>
      </c>
      <c r="B499">
        <v>23</v>
      </c>
      <c r="C499">
        <v>4</v>
      </c>
    </row>
    <row r="500" spans="1:3" x14ac:dyDescent="0.25">
      <c r="A500">
        <v>195</v>
      </c>
      <c r="B500">
        <v>23</v>
      </c>
      <c r="C500">
        <v>2</v>
      </c>
    </row>
    <row r="501" spans="1:3" x14ac:dyDescent="0.25">
      <c r="A501">
        <v>237</v>
      </c>
      <c r="B501">
        <v>23</v>
      </c>
      <c r="C501">
        <v>1</v>
      </c>
    </row>
    <row r="502" spans="1:3" x14ac:dyDescent="0.25">
      <c r="A502">
        <v>265</v>
      </c>
      <c r="B502">
        <v>23</v>
      </c>
      <c r="C502">
        <v>2</v>
      </c>
    </row>
    <row r="503" spans="1:3" x14ac:dyDescent="0.25">
      <c r="A503">
        <v>285</v>
      </c>
      <c r="B503">
        <v>23</v>
      </c>
      <c r="C503">
        <v>3</v>
      </c>
    </row>
    <row r="504" spans="1:3" x14ac:dyDescent="0.25">
      <c r="A504">
        <v>297</v>
      </c>
      <c r="B504">
        <v>23</v>
      </c>
      <c r="C504">
        <v>1</v>
      </c>
    </row>
    <row r="505" spans="1:3" x14ac:dyDescent="0.25">
      <c r="A505">
        <v>3</v>
      </c>
      <c r="B505">
        <v>24</v>
      </c>
      <c r="C505">
        <v>4</v>
      </c>
    </row>
    <row r="506" spans="1:3" x14ac:dyDescent="0.25">
      <c r="A506">
        <v>22</v>
      </c>
      <c r="B506">
        <v>24</v>
      </c>
      <c r="C506">
        <v>5</v>
      </c>
    </row>
    <row r="507" spans="1:3" x14ac:dyDescent="0.25">
      <c r="A507">
        <v>24</v>
      </c>
      <c r="B507">
        <v>24</v>
      </c>
      <c r="C507">
        <v>2</v>
      </c>
    </row>
    <row r="508" spans="1:3" x14ac:dyDescent="0.25">
      <c r="A508">
        <v>34</v>
      </c>
      <c r="B508">
        <v>24</v>
      </c>
      <c r="C508">
        <v>4</v>
      </c>
    </row>
    <row r="509" spans="1:3" x14ac:dyDescent="0.25">
      <c r="A509">
        <v>36</v>
      </c>
      <c r="B509">
        <v>24</v>
      </c>
      <c r="C509">
        <v>3</v>
      </c>
    </row>
    <row r="510" spans="1:3" x14ac:dyDescent="0.25">
      <c r="A510">
        <v>40</v>
      </c>
      <c r="B510">
        <v>24</v>
      </c>
      <c r="C510">
        <v>5</v>
      </c>
    </row>
    <row r="511" spans="1:3" x14ac:dyDescent="0.25">
      <c r="A511">
        <v>47</v>
      </c>
      <c r="B511">
        <v>24</v>
      </c>
      <c r="C511">
        <v>2</v>
      </c>
    </row>
    <row r="512" spans="1:3" x14ac:dyDescent="0.25">
      <c r="A512">
        <v>49</v>
      </c>
      <c r="B512">
        <v>24</v>
      </c>
      <c r="C512">
        <v>3</v>
      </c>
    </row>
    <row r="513" spans="1:3" x14ac:dyDescent="0.25">
      <c r="A513">
        <v>54</v>
      </c>
      <c r="B513">
        <v>24</v>
      </c>
      <c r="C513">
        <v>4</v>
      </c>
    </row>
    <row r="514" spans="1:3" x14ac:dyDescent="0.25">
      <c r="A514">
        <v>54</v>
      </c>
      <c r="B514">
        <v>24</v>
      </c>
      <c r="C514">
        <v>2</v>
      </c>
    </row>
    <row r="515" spans="1:3" x14ac:dyDescent="0.25">
      <c r="A515">
        <v>66</v>
      </c>
      <c r="B515">
        <v>24</v>
      </c>
      <c r="C515">
        <v>4</v>
      </c>
    </row>
    <row r="516" spans="1:3" x14ac:dyDescent="0.25">
      <c r="A516">
        <v>119</v>
      </c>
      <c r="B516">
        <v>24</v>
      </c>
      <c r="C516">
        <v>3</v>
      </c>
    </row>
    <row r="517" spans="1:3" x14ac:dyDescent="0.25">
      <c r="A517">
        <v>132</v>
      </c>
      <c r="B517">
        <v>24</v>
      </c>
      <c r="C517">
        <v>3</v>
      </c>
    </row>
    <row r="518" spans="1:3" x14ac:dyDescent="0.25">
      <c r="A518">
        <v>163</v>
      </c>
      <c r="B518">
        <v>24</v>
      </c>
      <c r="C518">
        <v>4</v>
      </c>
    </row>
    <row r="519" spans="1:3" x14ac:dyDescent="0.25">
      <c r="A519">
        <v>164</v>
      </c>
      <c r="B519">
        <v>24</v>
      </c>
      <c r="C519">
        <v>5</v>
      </c>
    </row>
    <row r="520" spans="1:3" x14ac:dyDescent="0.25">
      <c r="A520">
        <v>182</v>
      </c>
      <c r="B520">
        <v>24</v>
      </c>
      <c r="C520">
        <v>3</v>
      </c>
    </row>
    <row r="521" spans="1:3" x14ac:dyDescent="0.25">
      <c r="A521">
        <v>188</v>
      </c>
      <c r="B521">
        <v>24</v>
      </c>
      <c r="C521">
        <v>1</v>
      </c>
    </row>
    <row r="522" spans="1:3" x14ac:dyDescent="0.25">
      <c r="A522">
        <v>196</v>
      </c>
      <c r="B522">
        <v>24</v>
      </c>
      <c r="C522">
        <v>4</v>
      </c>
    </row>
    <row r="523" spans="1:3" x14ac:dyDescent="0.25">
      <c r="A523">
        <v>196</v>
      </c>
      <c r="B523">
        <v>24</v>
      </c>
      <c r="C523">
        <v>4</v>
      </c>
    </row>
    <row r="524" spans="1:3" x14ac:dyDescent="0.25">
      <c r="A524">
        <v>245</v>
      </c>
      <c r="B524">
        <v>24</v>
      </c>
      <c r="C524">
        <v>2</v>
      </c>
    </row>
    <row r="525" spans="1:3" x14ac:dyDescent="0.25">
      <c r="A525">
        <v>254</v>
      </c>
      <c r="B525">
        <v>24</v>
      </c>
      <c r="C525">
        <v>1</v>
      </c>
    </row>
    <row r="526" spans="1:3" x14ac:dyDescent="0.25">
      <c r="A526">
        <v>270</v>
      </c>
      <c r="B526">
        <v>24</v>
      </c>
      <c r="C526">
        <v>5</v>
      </c>
    </row>
    <row r="527" spans="1:3" x14ac:dyDescent="0.25">
      <c r="A527">
        <v>274</v>
      </c>
      <c r="B527">
        <v>24</v>
      </c>
      <c r="C527">
        <v>4</v>
      </c>
    </row>
    <row r="528" spans="1:3" x14ac:dyDescent="0.25">
      <c r="A528">
        <v>281</v>
      </c>
      <c r="B528">
        <v>24</v>
      </c>
      <c r="C528">
        <v>1</v>
      </c>
    </row>
    <row r="529" spans="1:3" x14ac:dyDescent="0.25">
      <c r="A529">
        <v>288</v>
      </c>
      <c r="B529">
        <v>24</v>
      </c>
      <c r="C529">
        <v>3</v>
      </c>
    </row>
    <row r="530" spans="1:3" x14ac:dyDescent="0.25">
      <c r="A530">
        <v>8</v>
      </c>
      <c r="B530">
        <v>25</v>
      </c>
      <c r="C530">
        <v>5</v>
      </c>
    </row>
    <row r="531" spans="1:3" x14ac:dyDescent="0.25">
      <c r="A531">
        <v>61</v>
      </c>
      <c r="B531">
        <v>25</v>
      </c>
      <c r="C531">
        <v>2</v>
      </c>
    </row>
    <row r="532" spans="1:3" x14ac:dyDescent="0.25">
      <c r="A532">
        <v>65</v>
      </c>
      <c r="B532">
        <v>25</v>
      </c>
      <c r="C532">
        <v>1</v>
      </c>
    </row>
    <row r="533" spans="1:3" x14ac:dyDescent="0.25">
      <c r="A533">
        <v>65</v>
      </c>
      <c r="B533">
        <v>25</v>
      </c>
      <c r="C533">
        <v>5</v>
      </c>
    </row>
    <row r="534" spans="1:3" x14ac:dyDescent="0.25">
      <c r="A534">
        <v>88</v>
      </c>
      <c r="B534">
        <v>25</v>
      </c>
      <c r="C534">
        <v>2</v>
      </c>
    </row>
    <row r="535" spans="1:3" x14ac:dyDescent="0.25">
      <c r="A535">
        <v>91</v>
      </c>
      <c r="B535">
        <v>25</v>
      </c>
      <c r="C535">
        <v>1</v>
      </c>
    </row>
    <row r="536" spans="1:3" x14ac:dyDescent="0.25">
      <c r="A536">
        <v>97</v>
      </c>
      <c r="B536">
        <v>25</v>
      </c>
      <c r="C536">
        <v>2</v>
      </c>
    </row>
    <row r="537" spans="1:3" x14ac:dyDescent="0.25">
      <c r="A537">
        <v>111</v>
      </c>
      <c r="B537">
        <v>25</v>
      </c>
      <c r="C537">
        <v>3</v>
      </c>
    </row>
    <row r="538" spans="1:3" x14ac:dyDescent="0.25">
      <c r="A538">
        <v>116</v>
      </c>
      <c r="B538">
        <v>25</v>
      </c>
      <c r="C538">
        <v>5</v>
      </c>
    </row>
    <row r="539" spans="1:3" x14ac:dyDescent="0.25">
      <c r="A539">
        <v>131</v>
      </c>
      <c r="B539">
        <v>25</v>
      </c>
      <c r="C539">
        <v>1</v>
      </c>
    </row>
    <row r="540" spans="1:3" x14ac:dyDescent="0.25">
      <c r="A540">
        <v>136</v>
      </c>
      <c r="B540">
        <v>25</v>
      </c>
      <c r="C540">
        <v>1</v>
      </c>
    </row>
    <row r="541" spans="1:3" x14ac:dyDescent="0.25">
      <c r="A541">
        <v>146</v>
      </c>
      <c r="B541">
        <v>25</v>
      </c>
      <c r="C541">
        <v>1</v>
      </c>
    </row>
    <row r="542" spans="1:3" x14ac:dyDescent="0.25">
      <c r="A542">
        <v>175</v>
      </c>
      <c r="B542">
        <v>25</v>
      </c>
      <c r="C542">
        <v>3</v>
      </c>
    </row>
    <row r="543" spans="1:3" x14ac:dyDescent="0.25">
      <c r="A543">
        <v>182</v>
      </c>
      <c r="B543">
        <v>25</v>
      </c>
      <c r="C543">
        <v>1</v>
      </c>
    </row>
    <row r="544" spans="1:3" x14ac:dyDescent="0.25">
      <c r="A544">
        <v>191</v>
      </c>
      <c r="B544">
        <v>25</v>
      </c>
      <c r="C544">
        <v>3</v>
      </c>
    </row>
    <row r="545" spans="1:3" x14ac:dyDescent="0.25">
      <c r="A545">
        <v>198</v>
      </c>
      <c r="B545">
        <v>25</v>
      </c>
      <c r="C545">
        <v>2</v>
      </c>
    </row>
    <row r="546" spans="1:3" x14ac:dyDescent="0.25">
      <c r="A546">
        <v>205</v>
      </c>
      <c r="B546">
        <v>25</v>
      </c>
      <c r="C546">
        <v>1</v>
      </c>
    </row>
    <row r="547" spans="1:3" x14ac:dyDescent="0.25">
      <c r="A547">
        <v>214</v>
      </c>
      <c r="B547">
        <v>25</v>
      </c>
      <c r="C547">
        <v>3</v>
      </c>
    </row>
    <row r="548" spans="1:3" x14ac:dyDescent="0.25">
      <c r="A548">
        <v>218</v>
      </c>
      <c r="B548">
        <v>25</v>
      </c>
      <c r="C548">
        <v>1</v>
      </c>
    </row>
    <row r="549" spans="1:3" x14ac:dyDescent="0.25">
      <c r="A549">
        <v>222</v>
      </c>
      <c r="B549">
        <v>25</v>
      </c>
      <c r="C549">
        <v>1</v>
      </c>
    </row>
    <row r="550" spans="1:3" x14ac:dyDescent="0.25">
      <c r="A550">
        <v>224</v>
      </c>
      <c r="B550">
        <v>25</v>
      </c>
      <c r="C550">
        <v>1</v>
      </c>
    </row>
    <row r="551" spans="1:3" x14ac:dyDescent="0.25">
      <c r="A551">
        <v>237</v>
      </c>
      <c r="B551">
        <v>25</v>
      </c>
      <c r="C551">
        <v>1</v>
      </c>
    </row>
    <row r="552" spans="1:3" x14ac:dyDescent="0.25">
      <c r="A552">
        <v>241</v>
      </c>
      <c r="B552">
        <v>25</v>
      </c>
      <c r="C552">
        <v>4</v>
      </c>
    </row>
    <row r="553" spans="1:3" x14ac:dyDescent="0.25">
      <c r="A553">
        <v>255</v>
      </c>
      <c r="B553">
        <v>25</v>
      </c>
      <c r="C553">
        <v>4</v>
      </c>
    </row>
    <row r="554" spans="1:3" x14ac:dyDescent="0.25">
      <c r="A554">
        <v>258</v>
      </c>
      <c r="B554">
        <v>25</v>
      </c>
      <c r="C554">
        <v>3</v>
      </c>
    </row>
    <row r="555" spans="1:3" x14ac:dyDescent="0.25">
      <c r="A555">
        <v>299</v>
      </c>
      <c r="B555">
        <v>25</v>
      </c>
      <c r="C555">
        <v>2</v>
      </c>
    </row>
    <row r="556" spans="1:3" x14ac:dyDescent="0.25">
      <c r="A556">
        <v>16</v>
      </c>
      <c r="B556">
        <v>26</v>
      </c>
      <c r="C556">
        <v>2</v>
      </c>
    </row>
    <row r="557" spans="1:3" x14ac:dyDescent="0.25">
      <c r="A557">
        <v>43</v>
      </c>
      <c r="B557">
        <v>26</v>
      </c>
      <c r="C557">
        <v>2</v>
      </c>
    </row>
    <row r="558" spans="1:3" x14ac:dyDescent="0.25">
      <c r="A558">
        <v>61</v>
      </c>
      <c r="B558">
        <v>26</v>
      </c>
      <c r="C558">
        <v>2</v>
      </c>
    </row>
    <row r="559" spans="1:3" x14ac:dyDescent="0.25">
      <c r="A559">
        <v>62</v>
      </c>
      <c r="B559">
        <v>26</v>
      </c>
      <c r="C559">
        <v>5</v>
      </c>
    </row>
    <row r="560" spans="1:3" x14ac:dyDescent="0.25">
      <c r="A560">
        <v>64</v>
      </c>
      <c r="B560">
        <v>26</v>
      </c>
      <c r="C560">
        <v>1</v>
      </c>
    </row>
    <row r="561" spans="1:3" x14ac:dyDescent="0.25">
      <c r="A561">
        <v>80</v>
      </c>
      <c r="B561">
        <v>26</v>
      </c>
      <c r="C561">
        <v>1</v>
      </c>
    </row>
    <row r="562" spans="1:3" x14ac:dyDescent="0.25">
      <c r="A562">
        <v>84</v>
      </c>
      <c r="B562">
        <v>26</v>
      </c>
      <c r="C562">
        <v>3</v>
      </c>
    </row>
    <row r="563" spans="1:3" x14ac:dyDescent="0.25">
      <c r="A563">
        <v>97</v>
      </c>
      <c r="B563">
        <v>26</v>
      </c>
      <c r="C563">
        <v>3</v>
      </c>
    </row>
    <row r="564" spans="1:3" x14ac:dyDescent="0.25">
      <c r="A564">
        <v>105</v>
      </c>
      <c r="B564">
        <v>26</v>
      </c>
      <c r="C564">
        <v>4</v>
      </c>
    </row>
    <row r="565" spans="1:3" x14ac:dyDescent="0.25">
      <c r="A565">
        <v>108</v>
      </c>
      <c r="B565">
        <v>26</v>
      </c>
      <c r="C565">
        <v>4</v>
      </c>
    </row>
    <row r="566" spans="1:3" x14ac:dyDescent="0.25">
      <c r="A566">
        <v>112</v>
      </c>
      <c r="B566">
        <v>26</v>
      </c>
      <c r="C566">
        <v>3</v>
      </c>
    </row>
    <row r="567" spans="1:3" x14ac:dyDescent="0.25">
      <c r="A567">
        <v>131</v>
      </c>
      <c r="B567">
        <v>26</v>
      </c>
      <c r="C567">
        <v>1</v>
      </c>
    </row>
    <row r="568" spans="1:3" x14ac:dyDescent="0.25">
      <c r="A568">
        <v>142</v>
      </c>
      <c r="B568">
        <v>26</v>
      </c>
      <c r="C568">
        <v>3</v>
      </c>
    </row>
    <row r="569" spans="1:3" x14ac:dyDescent="0.25">
      <c r="A569">
        <v>148</v>
      </c>
      <c r="B569">
        <v>26</v>
      </c>
      <c r="C569">
        <v>2</v>
      </c>
    </row>
    <row r="570" spans="1:3" x14ac:dyDescent="0.25">
      <c r="A570">
        <v>164</v>
      </c>
      <c r="B570">
        <v>26</v>
      </c>
      <c r="C570">
        <v>4</v>
      </c>
    </row>
    <row r="571" spans="1:3" x14ac:dyDescent="0.25">
      <c r="A571">
        <v>184</v>
      </c>
      <c r="B571">
        <v>26</v>
      </c>
      <c r="C571">
        <v>5</v>
      </c>
    </row>
    <row r="572" spans="1:3" x14ac:dyDescent="0.25">
      <c r="A572">
        <v>202</v>
      </c>
      <c r="B572">
        <v>26</v>
      </c>
      <c r="C572">
        <v>2</v>
      </c>
    </row>
    <row r="573" spans="1:3" x14ac:dyDescent="0.25">
      <c r="A573">
        <v>207</v>
      </c>
      <c r="B573">
        <v>26</v>
      </c>
      <c r="C573">
        <v>4</v>
      </c>
    </row>
    <row r="574" spans="1:3" x14ac:dyDescent="0.25">
      <c r="A574">
        <v>213</v>
      </c>
      <c r="B574">
        <v>26</v>
      </c>
      <c r="C574">
        <v>3</v>
      </c>
    </row>
    <row r="575" spans="1:3" x14ac:dyDescent="0.25">
      <c r="A575">
        <v>216</v>
      </c>
      <c r="B575">
        <v>26</v>
      </c>
      <c r="C575">
        <v>2</v>
      </c>
    </row>
    <row r="576" spans="1:3" x14ac:dyDescent="0.25">
      <c r="A576">
        <v>221</v>
      </c>
      <c r="B576">
        <v>26</v>
      </c>
      <c r="C576">
        <v>2</v>
      </c>
    </row>
    <row r="577" spans="1:3" x14ac:dyDescent="0.25">
      <c r="A577">
        <v>250</v>
      </c>
      <c r="B577">
        <v>26</v>
      </c>
      <c r="C577">
        <v>4</v>
      </c>
    </row>
    <row r="578" spans="1:3" x14ac:dyDescent="0.25">
      <c r="A578">
        <v>264</v>
      </c>
      <c r="B578">
        <v>26</v>
      </c>
      <c r="C578">
        <v>2</v>
      </c>
    </row>
    <row r="579" spans="1:3" x14ac:dyDescent="0.25">
      <c r="A579">
        <v>267</v>
      </c>
      <c r="B579">
        <v>26</v>
      </c>
      <c r="C579">
        <v>1</v>
      </c>
    </row>
    <row r="580" spans="1:3" x14ac:dyDescent="0.25">
      <c r="A580">
        <v>5</v>
      </c>
      <c r="B580">
        <v>27</v>
      </c>
      <c r="C580">
        <v>2</v>
      </c>
    </row>
    <row r="581" spans="1:3" x14ac:dyDescent="0.25">
      <c r="A581">
        <v>12</v>
      </c>
      <c r="B581">
        <v>27</v>
      </c>
      <c r="C581">
        <v>2</v>
      </c>
    </row>
    <row r="582" spans="1:3" x14ac:dyDescent="0.25">
      <c r="A582">
        <v>12</v>
      </c>
      <c r="B582">
        <v>27</v>
      </c>
      <c r="C582">
        <v>3</v>
      </c>
    </row>
    <row r="583" spans="1:3" x14ac:dyDescent="0.25">
      <c r="A583">
        <v>15</v>
      </c>
      <c r="B583">
        <v>27</v>
      </c>
      <c r="C583">
        <v>3</v>
      </c>
    </row>
    <row r="584" spans="1:3" x14ac:dyDescent="0.25">
      <c r="A584">
        <v>17</v>
      </c>
      <c r="B584">
        <v>27</v>
      </c>
      <c r="C584">
        <v>4</v>
      </c>
    </row>
    <row r="585" spans="1:3" x14ac:dyDescent="0.25">
      <c r="A585">
        <v>42</v>
      </c>
      <c r="B585">
        <v>27</v>
      </c>
      <c r="C585">
        <v>3</v>
      </c>
    </row>
    <row r="586" spans="1:3" x14ac:dyDescent="0.25">
      <c r="A586">
        <v>50</v>
      </c>
      <c r="B586">
        <v>27</v>
      </c>
      <c r="C586">
        <v>3</v>
      </c>
    </row>
    <row r="587" spans="1:3" x14ac:dyDescent="0.25">
      <c r="A587">
        <v>63</v>
      </c>
      <c r="B587">
        <v>27</v>
      </c>
      <c r="C587">
        <v>3</v>
      </c>
    </row>
    <row r="588" spans="1:3" x14ac:dyDescent="0.25">
      <c r="A588">
        <v>86</v>
      </c>
      <c r="B588">
        <v>27</v>
      </c>
      <c r="C588">
        <v>5</v>
      </c>
    </row>
    <row r="589" spans="1:3" x14ac:dyDescent="0.25">
      <c r="A589">
        <v>104</v>
      </c>
      <c r="B589">
        <v>27</v>
      </c>
      <c r="C589">
        <v>3</v>
      </c>
    </row>
    <row r="590" spans="1:3" x14ac:dyDescent="0.25">
      <c r="A590">
        <v>106</v>
      </c>
      <c r="B590">
        <v>27</v>
      </c>
      <c r="C590">
        <v>1</v>
      </c>
    </row>
    <row r="591" spans="1:3" x14ac:dyDescent="0.25">
      <c r="A591">
        <v>112</v>
      </c>
      <c r="B591">
        <v>27</v>
      </c>
      <c r="C591">
        <v>2</v>
      </c>
    </row>
    <row r="592" spans="1:3" x14ac:dyDescent="0.25">
      <c r="A592">
        <v>137</v>
      </c>
      <c r="B592">
        <v>27</v>
      </c>
      <c r="C592">
        <v>5</v>
      </c>
    </row>
    <row r="593" spans="1:3" x14ac:dyDescent="0.25">
      <c r="A593">
        <v>137</v>
      </c>
      <c r="B593">
        <v>27</v>
      </c>
      <c r="C593">
        <v>5</v>
      </c>
    </row>
    <row r="594" spans="1:3" x14ac:dyDescent="0.25">
      <c r="A594">
        <v>144</v>
      </c>
      <c r="B594">
        <v>27</v>
      </c>
      <c r="C594">
        <v>5</v>
      </c>
    </row>
    <row r="595" spans="1:3" x14ac:dyDescent="0.25">
      <c r="A595">
        <v>145</v>
      </c>
      <c r="B595">
        <v>27</v>
      </c>
      <c r="C595">
        <v>4</v>
      </c>
    </row>
    <row r="596" spans="1:3" x14ac:dyDescent="0.25">
      <c r="A596">
        <v>168</v>
      </c>
      <c r="B596">
        <v>27</v>
      </c>
      <c r="C596">
        <v>5</v>
      </c>
    </row>
    <row r="597" spans="1:3" x14ac:dyDescent="0.25">
      <c r="A597">
        <v>187</v>
      </c>
      <c r="B597">
        <v>27</v>
      </c>
      <c r="C597">
        <v>4</v>
      </c>
    </row>
    <row r="598" spans="1:3" x14ac:dyDescent="0.25">
      <c r="A598">
        <v>196</v>
      </c>
      <c r="B598">
        <v>27</v>
      </c>
      <c r="C598">
        <v>1</v>
      </c>
    </row>
    <row r="599" spans="1:3" x14ac:dyDescent="0.25">
      <c r="A599">
        <v>237</v>
      </c>
      <c r="B599">
        <v>27</v>
      </c>
      <c r="C599">
        <v>1</v>
      </c>
    </row>
    <row r="600" spans="1:3" x14ac:dyDescent="0.25">
      <c r="A600">
        <v>242</v>
      </c>
      <c r="B600">
        <v>27</v>
      </c>
      <c r="C600">
        <v>4</v>
      </c>
    </row>
    <row r="601" spans="1:3" x14ac:dyDescent="0.25">
      <c r="A601">
        <v>248</v>
      </c>
      <c r="B601">
        <v>27</v>
      </c>
      <c r="C601">
        <v>2</v>
      </c>
    </row>
    <row r="602" spans="1:3" x14ac:dyDescent="0.25">
      <c r="A602">
        <v>257</v>
      </c>
      <c r="B602">
        <v>27</v>
      </c>
      <c r="C602">
        <v>4</v>
      </c>
    </row>
    <row r="603" spans="1:3" x14ac:dyDescent="0.25">
      <c r="A603">
        <v>295</v>
      </c>
      <c r="B603">
        <v>27</v>
      </c>
      <c r="C603">
        <v>5</v>
      </c>
    </row>
    <row r="604" spans="1:3" x14ac:dyDescent="0.25">
      <c r="A604">
        <v>9</v>
      </c>
      <c r="B604">
        <v>28</v>
      </c>
      <c r="C604">
        <v>5</v>
      </c>
    </row>
    <row r="605" spans="1:3" x14ac:dyDescent="0.25">
      <c r="A605">
        <v>28</v>
      </c>
      <c r="B605">
        <v>28</v>
      </c>
      <c r="C605">
        <v>2</v>
      </c>
    </row>
    <row r="606" spans="1:3" x14ac:dyDescent="0.25">
      <c r="A606">
        <v>29</v>
      </c>
      <c r="B606">
        <v>28</v>
      </c>
      <c r="C606">
        <v>2</v>
      </c>
    </row>
    <row r="607" spans="1:3" x14ac:dyDescent="0.25">
      <c r="A607">
        <v>50</v>
      </c>
      <c r="B607">
        <v>28</v>
      </c>
      <c r="C607">
        <v>3</v>
      </c>
    </row>
    <row r="608" spans="1:3" x14ac:dyDescent="0.25">
      <c r="A608">
        <v>53</v>
      </c>
      <c r="B608">
        <v>28</v>
      </c>
      <c r="C608">
        <v>5</v>
      </c>
    </row>
    <row r="609" spans="1:3" x14ac:dyDescent="0.25">
      <c r="A609">
        <v>67</v>
      </c>
      <c r="B609">
        <v>28</v>
      </c>
      <c r="C609">
        <v>2</v>
      </c>
    </row>
    <row r="610" spans="1:3" x14ac:dyDescent="0.25">
      <c r="A610">
        <v>85</v>
      </c>
      <c r="B610">
        <v>28</v>
      </c>
      <c r="C610">
        <v>1</v>
      </c>
    </row>
    <row r="611" spans="1:3" x14ac:dyDescent="0.25">
      <c r="A611">
        <v>120</v>
      </c>
      <c r="B611">
        <v>28</v>
      </c>
      <c r="C611">
        <v>5</v>
      </c>
    </row>
    <row r="612" spans="1:3" x14ac:dyDescent="0.25">
      <c r="A612">
        <v>121</v>
      </c>
      <c r="B612">
        <v>28</v>
      </c>
      <c r="C612">
        <v>4</v>
      </c>
    </row>
    <row r="613" spans="1:3" x14ac:dyDescent="0.25">
      <c r="A613">
        <v>128</v>
      </c>
      <c r="B613">
        <v>28</v>
      </c>
      <c r="C613">
        <v>5</v>
      </c>
    </row>
    <row r="614" spans="1:3" x14ac:dyDescent="0.25">
      <c r="A614">
        <v>150</v>
      </c>
      <c r="B614">
        <v>28</v>
      </c>
      <c r="C614">
        <v>4</v>
      </c>
    </row>
    <row r="615" spans="1:3" x14ac:dyDescent="0.25">
      <c r="A615">
        <v>150</v>
      </c>
      <c r="B615">
        <v>28</v>
      </c>
      <c r="C615">
        <v>4</v>
      </c>
    </row>
    <row r="616" spans="1:3" x14ac:dyDescent="0.25">
      <c r="A616">
        <v>177</v>
      </c>
      <c r="B616">
        <v>28</v>
      </c>
      <c r="C616">
        <v>4</v>
      </c>
    </row>
    <row r="617" spans="1:3" x14ac:dyDescent="0.25">
      <c r="A617">
        <v>182</v>
      </c>
      <c r="B617">
        <v>28</v>
      </c>
      <c r="C617">
        <v>3</v>
      </c>
    </row>
    <row r="618" spans="1:3" x14ac:dyDescent="0.25">
      <c r="A618">
        <v>185</v>
      </c>
      <c r="B618">
        <v>28</v>
      </c>
      <c r="C618">
        <v>5</v>
      </c>
    </row>
    <row r="619" spans="1:3" x14ac:dyDescent="0.25">
      <c r="A619">
        <v>210</v>
      </c>
      <c r="B619">
        <v>28</v>
      </c>
      <c r="C619">
        <v>4</v>
      </c>
    </row>
    <row r="620" spans="1:3" x14ac:dyDescent="0.25">
      <c r="A620">
        <v>283</v>
      </c>
      <c r="B620">
        <v>28</v>
      </c>
      <c r="C620">
        <v>5</v>
      </c>
    </row>
    <row r="621" spans="1:3" x14ac:dyDescent="0.25">
      <c r="A621">
        <v>299</v>
      </c>
      <c r="B621">
        <v>28</v>
      </c>
      <c r="C621">
        <v>2</v>
      </c>
    </row>
    <row r="622" spans="1:3" x14ac:dyDescent="0.25">
      <c r="A622">
        <v>23</v>
      </c>
      <c r="B622">
        <v>29</v>
      </c>
      <c r="C622">
        <v>2</v>
      </c>
    </row>
    <row r="623" spans="1:3" x14ac:dyDescent="0.25">
      <c r="A623">
        <v>24</v>
      </c>
      <c r="B623">
        <v>29</v>
      </c>
      <c r="C623">
        <v>3</v>
      </c>
    </row>
    <row r="624" spans="1:3" x14ac:dyDescent="0.25">
      <c r="A624">
        <v>47</v>
      </c>
      <c r="B624">
        <v>29</v>
      </c>
      <c r="C624">
        <v>1</v>
      </c>
    </row>
    <row r="625" spans="1:3" x14ac:dyDescent="0.25">
      <c r="A625">
        <v>71</v>
      </c>
      <c r="B625">
        <v>29</v>
      </c>
      <c r="C625">
        <v>2</v>
      </c>
    </row>
    <row r="626" spans="1:3" x14ac:dyDescent="0.25">
      <c r="A626">
        <v>90</v>
      </c>
      <c r="B626">
        <v>29</v>
      </c>
      <c r="C626">
        <v>4</v>
      </c>
    </row>
    <row r="627" spans="1:3" x14ac:dyDescent="0.25">
      <c r="A627">
        <v>93</v>
      </c>
      <c r="B627">
        <v>29</v>
      </c>
      <c r="C627">
        <v>2</v>
      </c>
    </row>
    <row r="628" spans="1:3" x14ac:dyDescent="0.25">
      <c r="A628">
        <v>103</v>
      </c>
      <c r="B628">
        <v>29</v>
      </c>
      <c r="C628">
        <v>1</v>
      </c>
    </row>
    <row r="629" spans="1:3" x14ac:dyDescent="0.25">
      <c r="A629">
        <v>110</v>
      </c>
      <c r="B629">
        <v>29</v>
      </c>
      <c r="C629">
        <v>1</v>
      </c>
    </row>
    <row r="630" spans="1:3" x14ac:dyDescent="0.25">
      <c r="A630">
        <v>110</v>
      </c>
      <c r="B630">
        <v>29</v>
      </c>
      <c r="C630">
        <v>3</v>
      </c>
    </row>
    <row r="631" spans="1:3" x14ac:dyDescent="0.25">
      <c r="A631">
        <v>117</v>
      </c>
      <c r="B631">
        <v>29</v>
      </c>
      <c r="C631">
        <v>1</v>
      </c>
    </row>
    <row r="632" spans="1:3" x14ac:dyDescent="0.25">
      <c r="A632">
        <v>128</v>
      </c>
      <c r="B632">
        <v>29</v>
      </c>
      <c r="C632">
        <v>3</v>
      </c>
    </row>
    <row r="633" spans="1:3" x14ac:dyDescent="0.25">
      <c r="A633">
        <v>129</v>
      </c>
      <c r="B633">
        <v>29</v>
      </c>
      <c r="C633">
        <v>3</v>
      </c>
    </row>
    <row r="634" spans="1:3" x14ac:dyDescent="0.25">
      <c r="A634">
        <v>135</v>
      </c>
      <c r="B634">
        <v>29</v>
      </c>
      <c r="C634">
        <v>4</v>
      </c>
    </row>
    <row r="635" spans="1:3" x14ac:dyDescent="0.25">
      <c r="A635">
        <v>147</v>
      </c>
      <c r="B635">
        <v>29</v>
      </c>
      <c r="C635">
        <v>2</v>
      </c>
    </row>
    <row r="636" spans="1:3" x14ac:dyDescent="0.25">
      <c r="A636">
        <v>149</v>
      </c>
      <c r="B636">
        <v>29</v>
      </c>
      <c r="C636">
        <v>5</v>
      </c>
    </row>
    <row r="637" spans="1:3" x14ac:dyDescent="0.25">
      <c r="A637">
        <v>172</v>
      </c>
      <c r="B637">
        <v>29</v>
      </c>
      <c r="C637">
        <v>2</v>
      </c>
    </row>
    <row r="638" spans="1:3" x14ac:dyDescent="0.25">
      <c r="A638">
        <v>184</v>
      </c>
      <c r="B638">
        <v>29</v>
      </c>
      <c r="C638">
        <v>2</v>
      </c>
    </row>
    <row r="639" spans="1:3" x14ac:dyDescent="0.25">
      <c r="A639">
        <v>186</v>
      </c>
      <c r="B639">
        <v>29</v>
      </c>
      <c r="C639">
        <v>2</v>
      </c>
    </row>
    <row r="640" spans="1:3" x14ac:dyDescent="0.25">
      <c r="A640">
        <v>204</v>
      </c>
      <c r="B640">
        <v>29</v>
      </c>
      <c r="C640">
        <v>3</v>
      </c>
    </row>
    <row r="641" spans="1:3" x14ac:dyDescent="0.25">
      <c r="A641">
        <v>226</v>
      </c>
      <c r="B641">
        <v>29</v>
      </c>
      <c r="C641">
        <v>4</v>
      </c>
    </row>
    <row r="642" spans="1:3" x14ac:dyDescent="0.25">
      <c r="A642">
        <v>228</v>
      </c>
      <c r="B642">
        <v>29</v>
      </c>
      <c r="C642">
        <v>1</v>
      </c>
    </row>
    <row r="643" spans="1:3" x14ac:dyDescent="0.25">
      <c r="A643">
        <v>228</v>
      </c>
      <c r="B643">
        <v>29</v>
      </c>
      <c r="C643">
        <v>4</v>
      </c>
    </row>
    <row r="644" spans="1:3" x14ac:dyDescent="0.25">
      <c r="A644">
        <v>229</v>
      </c>
      <c r="B644">
        <v>29</v>
      </c>
      <c r="C644">
        <v>3</v>
      </c>
    </row>
    <row r="645" spans="1:3" x14ac:dyDescent="0.25">
      <c r="A645">
        <v>233</v>
      </c>
      <c r="B645">
        <v>29</v>
      </c>
      <c r="C645">
        <v>3</v>
      </c>
    </row>
    <row r="646" spans="1:3" x14ac:dyDescent="0.25">
      <c r="A646">
        <v>246</v>
      </c>
      <c r="B646">
        <v>29</v>
      </c>
      <c r="C646">
        <v>1</v>
      </c>
    </row>
    <row r="647" spans="1:3" x14ac:dyDescent="0.25">
      <c r="A647">
        <v>249</v>
      </c>
      <c r="B647">
        <v>29</v>
      </c>
      <c r="C647">
        <v>4</v>
      </c>
    </row>
    <row r="648" spans="1:3" x14ac:dyDescent="0.25">
      <c r="A648">
        <v>267</v>
      </c>
      <c r="B648">
        <v>29</v>
      </c>
      <c r="C648">
        <v>1</v>
      </c>
    </row>
    <row r="649" spans="1:3" x14ac:dyDescent="0.25">
      <c r="A649">
        <v>268</v>
      </c>
      <c r="B649">
        <v>29</v>
      </c>
      <c r="C649">
        <v>4</v>
      </c>
    </row>
    <row r="650" spans="1:3" x14ac:dyDescent="0.25">
      <c r="A650">
        <v>276</v>
      </c>
      <c r="B650">
        <v>29</v>
      </c>
      <c r="C650">
        <v>4</v>
      </c>
    </row>
    <row r="651" spans="1:3" x14ac:dyDescent="0.25">
      <c r="A651">
        <v>283</v>
      </c>
      <c r="B651">
        <v>29</v>
      </c>
      <c r="C651">
        <v>5</v>
      </c>
    </row>
    <row r="652" spans="1:3" x14ac:dyDescent="0.25">
      <c r="A652">
        <v>288</v>
      </c>
      <c r="B652">
        <v>29</v>
      </c>
      <c r="C652">
        <v>1</v>
      </c>
    </row>
    <row r="653" spans="1:3" x14ac:dyDescent="0.25">
      <c r="A653">
        <v>290</v>
      </c>
      <c r="B653">
        <v>29</v>
      </c>
      <c r="C653">
        <v>4</v>
      </c>
    </row>
    <row r="654" spans="1:3" x14ac:dyDescent="0.25">
      <c r="A654">
        <v>296</v>
      </c>
      <c r="B654">
        <v>29</v>
      </c>
      <c r="C654">
        <v>2</v>
      </c>
    </row>
    <row r="655" spans="1:3" x14ac:dyDescent="0.25">
      <c r="A655">
        <v>8</v>
      </c>
      <c r="B655">
        <v>30</v>
      </c>
      <c r="C655">
        <v>3</v>
      </c>
    </row>
    <row r="656" spans="1:3" x14ac:dyDescent="0.25">
      <c r="A656">
        <v>9</v>
      </c>
      <c r="B656">
        <v>30</v>
      </c>
      <c r="C656">
        <v>3</v>
      </c>
    </row>
    <row r="657" spans="1:3" x14ac:dyDescent="0.25">
      <c r="A657">
        <v>9</v>
      </c>
      <c r="B657">
        <v>30</v>
      </c>
      <c r="C657">
        <v>2</v>
      </c>
    </row>
    <row r="658" spans="1:3" x14ac:dyDescent="0.25">
      <c r="A658">
        <v>12</v>
      </c>
      <c r="B658">
        <v>30</v>
      </c>
      <c r="C658">
        <v>5</v>
      </c>
    </row>
    <row r="659" spans="1:3" x14ac:dyDescent="0.25">
      <c r="A659">
        <v>16</v>
      </c>
      <c r="B659">
        <v>30</v>
      </c>
      <c r="C659">
        <v>4</v>
      </c>
    </row>
    <row r="660" spans="1:3" x14ac:dyDescent="0.25">
      <c r="A660">
        <v>49</v>
      </c>
      <c r="B660">
        <v>30</v>
      </c>
      <c r="C660">
        <v>5</v>
      </c>
    </row>
    <row r="661" spans="1:3" x14ac:dyDescent="0.25">
      <c r="A661">
        <v>68</v>
      </c>
      <c r="B661">
        <v>30</v>
      </c>
      <c r="C661">
        <v>4</v>
      </c>
    </row>
    <row r="662" spans="1:3" x14ac:dyDescent="0.25">
      <c r="A662">
        <v>88</v>
      </c>
      <c r="B662">
        <v>30</v>
      </c>
      <c r="C662">
        <v>1</v>
      </c>
    </row>
    <row r="663" spans="1:3" x14ac:dyDescent="0.25">
      <c r="A663">
        <v>89</v>
      </c>
      <c r="B663">
        <v>30</v>
      </c>
      <c r="C663">
        <v>1</v>
      </c>
    </row>
    <row r="664" spans="1:3" x14ac:dyDescent="0.25">
      <c r="A664">
        <v>116</v>
      </c>
      <c r="B664">
        <v>30</v>
      </c>
      <c r="C664">
        <v>3</v>
      </c>
    </row>
    <row r="665" spans="1:3" x14ac:dyDescent="0.25">
      <c r="A665">
        <v>153</v>
      </c>
      <c r="B665">
        <v>30</v>
      </c>
      <c r="C665">
        <v>4</v>
      </c>
    </row>
    <row r="666" spans="1:3" x14ac:dyDescent="0.25">
      <c r="A666">
        <v>161</v>
      </c>
      <c r="B666">
        <v>30</v>
      </c>
      <c r="C666">
        <v>4</v>
      </c>
    </row>
    <row r="667" spans="1:3" x14ac:dyDescent="0.25">
      <c r="A667">
        <v>163</v>
      </c>
      <c r="B667">
        <v>30</v>
      </c>
      <c r="C667">
        <v>5</v>
      </c>
    </row>
    <row r="668" spans="1:3" x14ac:dyDescent="0.25">
      <c r="A668">
        <v>170</v>
      </c>
      <c r="B668">
        <v>30</v>
      </c>
      <c r="C668">
        <v>1</v>
      </c>
    </row>
    <row r="669" spans="1:3" x14ac:dyDescent="0.25">
      <c r="A669">
        <v>172</v>
      </c>
      <c r="B669">
        <v>30</v>
      </c>
      <c r="C669">
        <v>2</v>
      </c>
    </row>
    <row r="670" spans="1:3" x14ac:dyDescent="0.25">
      <c r="A670">
        <v>180</v>
      </c>
      <c r="B670">
        <v>30</v>
      </c>
      <c r="C670">
        <v>3</v>
      </c>
    </row>
    <row r="671" spans="1:3" x14ac:dyDescent="0.25">
      <c r="A671">
        <v>201</v>
      </c>
      <c r="B671">
        <v>30</v>
      </c>
      <c r="C671">
        <v>2</v>
      </c>
    </row>
    <row r="672" spans="1:3" x14ac:dyDescent="0.25">
      <c r="A672">
        <v>224</v>
      </c>
      <c r="B672">
        <v>30</v>
      </c>
      <c r="C672">
        <v>5</v>
      </c>
    </row>
    <row r="673" spans="1:3" x14ac:dyDescent="0.25">
      <c r="A673">
        <v>225</v>
      </c>
      <c r="B673">
        <v>30</v>
      </c>
      <c r="C673">
        <v>5</v>
      </c>
    </row>
    <row r="674" spans="1:3" x14ac:dyDescent="0.25">
      <c r="A674">
        <v>242</v>
      </c>
      <c r="B674">
        <v>30</v>
      </c>
      <c r="C674">
        <v>3</v>
      </c>
    </row>
    <row r="675" spans="1:3" x14ac:dyDescent="0.25">
      <c r="A675">
        <v>274</v>
      </c>
      <c r="B675">
        <v>30</v>
      </c>
      <c r="C675">
        <v>3</v>
      </c>
    </row>
    <row r="676" spans="1:3" x14ac:dyDescent="0.25">
      <c r="A676">
        <v>279</v>
      </c>
      <c r="B676">
        <v>30</v>
      </c>
      <c r="C676">
        <v>2</v>
      </c>
    </row>
    <row r="677" spans="1:3" x14ac:dyDescent="0.25">
      <c r="A677">
        <v>7</v>
      </c>
      <c r="B677">
        <v>31</v>
      </c>
      <c r="C677">
        <v>3</v>
      </c>
    </row>
    <row r="678" spans="1:3" x14ac:dyDescent="0.25">
      <c r="A678">
        <v>46</v>
      </c>
      <c r="B678">
        <v>31</v>
      </c>
      <c r="C678">
        <v>2</v>
      </c>
    </row>
    <row r="679" spans="1:3" x14ac:dyDescent="0.25">
      <c r="A679">
        <v>49</v>
      </c>
      <c r="B679">
        <v>31</v>
      </c>
      <c r="C679">
        <v>2</v>
      </c>
    </row>
    <row r="680" spans="1:3" x14ac:dyDescent="0.25">
      <c r="A680">
        <v>70</v>
      </c>
      <c r="B680">
        <v>31</v>
      </c>
      <c r="C680">
        <v>5</v>
      </c>
    </row>
    <row r="681" spans="1:3" x14ac:dyDescent="0.25">
      <c r="A681">
        <v>89</v>
      </c>
      <c r="B681">
        <v>31</v>
      </c>
      <c r="C681">
        <v>3</v>
      </c>
    </row>
    <row r="682" spans="1:3" x14ac:dyDescent="0.25">
      <c r="A682">
        <v>97</v>
      </c>
      <c r="B682">
        <v>31</v>
      </c>
      <c r="C682">
        <v>3</v>
      </c>
    </row>
    <row r="683" spans="1:3" x14ac:dyDescent="0.25">
      <c r="A683">
        <v>105</v>
      </c>
      <c r="B683">
        <v>31</v>
      </c>
      <c r="C683">
        <v>1</v>
      </c>
    </row>
    <row r="684" spans="1:3" x14ac:dyDescent="0.25">
      <c r="A684">
        <v>111</v>
      </c>
      <c r="B684">
        <v>31</v>
      </c>
      <c r="C684">
        <v>4</v>
      </c>
    </row>
    <row r="685" spans="1:3" x14ac:dyDescent="0.25">
      <c r="A685">
        <v>164</v>
      </c>
      <c r="B685">
        <v>31</v>
      </c>
      <c r="C685">
        <v>1</v>
      </c>
    </row>
    <row r="686" spans="1:3" x14ac:dyDescent="0.25">
      <c r="A686">
        <v>185</v>
      </c>
      <c r="B686">
        <v>31</v>
      </c>
      <c r="C686">
        <v>5</v>
      </c>
    </row>
    <row r="687" spans="1:3" x14ac:dyDescent="0.25">
      <c r="A687">
        <v>187</v>
      </c>
      <c r="B687">
        <v>31</v>
      </c>
      <c r="C687">
        <v>3</v>
      </c>
    </row>
    <row r="688" spans="1:3" x14ac:dyDescent="0.25">
      <c r="A688">
        <v>211</v>
      </c>
      <c r="B688">
        <v>31</v>
      </c>
      <c r="C688">
        <v>5</v>
      </c>
    </row>
    <row r="689" spans="1:3" x14ac:dyDescent="0.25">
      <c r="A689">
        <v>219</v>
      </c>
      <c r="B689">
        <v>31</v>
      </c>
      <c r="C689">
        <v>5</v>
      </c>
    </row>
    <row r="690" spans="1:3" x14ac:dyDescent="0.25">
      <c r="A690">
        <v>249</v>
      </c>
      <c r="B690">
        <v>31</v>
      </c>
      <c r="C690">
        <v>4</v>
      </c>
    </row>
    <row r="691" spans="1:3" x14ac:dyDescent="0.25">
      <c r="A691">
        <v>292</v>
      </c>
      <c r="B691">
        <v>31</v>
      </c>
      <c r="C691">
        <v>5</v>
      </c>
    </row>
    <row r="692" spans="1:3" x14ac:dyDescent="0.25">
      <c r="A692">
        <v>293</v>
      </c>
      <c r="B692">
        <v>31</v>
      </c>
      <c r="C692">
        <v>3</v>
      </c>
    </row>
    <row r="693" spans="1:3" x14ac:dyDescent="0.25">
      <c r="A693">
        <v>17</v>
      </c>
      <c r="B693">
        <v>32</v>
      </c>
      <c r="C693">
        <v>2</v>
      </c>
    </row>
    <row r="694" spans="1:3" x14ac:dyDescent="0.25">
      <c r="A694">
        <v>29</v>
      </c>
      <c r="B694">
        <v>32</v>
      </c>
      <c r="C694">
        <v>3</v>
      </c>
    </row>
    <row r="695" spans="1:3" x14ac:dyDescent="0.25">
      <c r="A695">
        <v>36</v>
      </c>
      <c r="B695">
        <v>32</v>
      </c>
      <c r="C695">
        <v>5</v>
      </c>
    </row>
    <row r="696" spans="1:3" x14ac:dyDescent="0.25">
      <c r="A696">
        <v>49</v>
      </c>
      <c r="B696">
        <v>32</v>
      </c>
      <c r="C696">
        <v>4</v>
      </c>
    </row>
    <row r="697" spans="1:3" x14ac:dyDescent="0.25">
      <c r="A697">
        <v>65</v>
      </c>
      <c r="B697">
        <v>32</v>
      </c>
      <c r="C697">
        <v>5</v>
      </c>
    </row>
    <row r="698" spans="1:3" x14ac:dyDescent="0.25">
      <c r="A698">
        <v>77</v>
      </c>
      <c r="B698">
        <v>32</v>
      </c>
      <c r="C698">
        <v>4</v>
      </c>
    </row>
    <row r="699" spans="1:3" x14ac:dyDescent="0.25">
      <c r="A699">
        <v>89</v>
      </c>
      <c r="B699">
        <v>32</v>
      </c>
      <c r="C699">
        <v>3</v>
      </c>
    </row>
    <row r="700" spans="1:3" x14ac:dyDescent="0.25">
      <c r="A700">
        <v>90</v>
      </c>
      <c r="B700">
        <v>32</v>
      </c>
      <c r="C700">
        <v>2</v>
      </c>
    </row>
    <row r="701" spans="1:3" x14ac:dyDescent="0.25">
      <c r="A701">
        <v>154</v>
      </c>
      <c r="B701">
        <v>32</v>
      </c>
      <c r="C701">
        <v>4</v>
      </c>
    </row>
    <row r="702" spans="1:3" x14ac:dyDescent="0.25">
      <c r="A702">
        <v>226</v>
      </c>
      <c r="B702">
        <v>32</v>
      </c>
      <c r="C702">
        <v>1</v>
      </c>
    </row>
    <row r="703" spans="1:3" x14ac:dyDescent="0.25">
      <c r="A703">
        <v>238</v>
      </c>
      <c r="B703">
        <v>32</v>
      </c>
      <c r="C703">
        <v>4</v>
      </c>
    </row>
    <row r="704" spans="1:3" x14ac:dyDescent="0.25">
      <c r="A704">
        <v>258</v>
      </c>
      <c r="B704">
        <v>32</v>
      </c>
      <c r="C704">
        <v>5</v>
      </c>
    </row>
    <row r="705" spans="1:3" x14ac:dyDescent="0.25">
      <c r="A705">
        <v>259</v>
      </c>
      <c r="B705">
        <v>32</v>
      </c>
      <c r="C705">
        <v>3</v>
      </c>
    </row>
    <row r="706" spans="1:3" x14ac:dyDescent="0.25">
      <c r="A706">
        <v>266</v>
      </c>
      <c r="B706">
        <v>32</v>
      </c>
      <c r="C706">
        <v>4</v>
      </c>
    </row>
    <row r="707" spans="1:3" x14ac:dyDescent="0.25">
      <c r="A707">
        <v>280</v>
      </c>
      <c r="B707">
        <v>32</v>
      </c>
      <c r="C707">
        <v>2</v>
      </c>
    </row>
    <row r="708" spans="1:3" x14ac:dyDescent="0.25">
      <c r="A708">
        <v>3</v>
      </c>
      <c r="B708">
        <v>33</v>
      </c>
      <c r="C708">
        <v>4</v>
      </c>
    </row>
    <row r="709" spans="1:3" x14ac:dyDescent="0.25">
      <c r="A709">
        <v>17</v>
      </c>
      <c r="B709">
        <v>33</v>
      </c>
      <c r="C709">
        <v>5</v>
      </c>
    </row>
    <row r="710" spans="1:3" x14ac:dyDescent="0.25">
      <c r="A710">
        <v>24</v>
      </c>
      <c r="B710">
        <v>33</v>
      </c>
      <c r="C710">
        <v>2</v>
      </c>
    </row>
    <row r="711" spans="1:3" x14ac:dyDescent="0.25">
      <c r="A711">
        <v>25</v>
      </c>
      <c r="B711">
        <v>33</v>
      </c>
      <c r="C711">
        <v>4</v>
      </c>
    </row>
    <row r="712" spans="1:3" x14ac:dyDescent="0.25">
      <c r="A712">
        <v>51</v>
      </c>
      <c r="B712">
        <v>33</v>
      </c>
      <c r="C712">
        <v>3</v>
      </c>
    </row>
    <row r="713" spans="1:3" x14ac:dyDescent="0.25">
      <c r="A713">
        <v>57</v>
      </c>
      <c r="B713">
        <v>33</v>
      </c>
      <c r="C713">
        <v>3</v>
      </c>
    </row>
    <row r="714" spans="1:3" x14ac:dyDescent="0.25">
      <c r="A714">
        <v>66</v>
      </c>
      <c r="B714">
        <v>33</v>
      </c>
      <c r="C714">
        <v>4</v>
      </c>
    </row>
    <row r="715" spans="1:3" x14ac:dyDescent="0.25">
      <c r="A715">
        <v>67</v>
      </c>
      <c r="B715">
        <v>33</v>
      </c>
      <c r="C715">
        <v>2</v>
      </c>
    </row>
    <row r="716" spans="1:3" x14ac:dyDescent="0.25">
      <c r="A716">
        <v>79</v>
      </c>
      <c r="B716">
        <v>33</v>
      </c>
      <c r="C716">
        <v>2</v>
      </c>
    </row>
    <row r="717" spans="1:3" x14ac:dyDescent="0.25">
      <c r="A717">
        <v>82</v>
      </c>
      <c r="B717">
        <v>33</v>
      </c>
      <c r="C717">
        <v>4</v>
      </c>
    </row>
    <row r="718" spans="1:3" x14ac:dyDescent="0.25">
      <c r="A718">
        <v>85</v>
      </c>
      <c r="B718">
        <v>33</v>
      </c>
      <c r="C718">
        <v>4</v>
      </c>
    </row>
    <row r="719" spans="1:3" x14ac:dyDescent="0.25">
      <c r="A719">
        <v>91</v>
      </c>
      <c r="B719">
        <v>33</v>
      </c>
      <c r="C719">
        <v>4</v>
      </c>
    </row>
    <row r="720" spans="1:3" x14ac:dyDescent="0.25">
      <c r="A720">
        <v>104</v>
      </c>
      <c r="B720">
        <v>33</v>
      </c>
      <c r="C720">
        <v>3</v>
      </c>
    </row>
    <row r="721" spans="1:3" x14ac:dyDescent="0.25">
      <c r="A721">
        <v>112</v>
      </c>
      <c r="B721">
        <v>33</v>
      </c>
      <c r="C721">
        <v>2</v>
      </c>
    </row>
    <row r="722" spans="1:3" x14ac:dyDescent="0.25">
      <c r="A722">
        <v>127</v>
      </c>
      <c r="B722">
        <v>33</v>
      </c>
      <c r="C722">
        <v>3</v>
      </c>
    </row>
    <row r="723" spans="1:3" x14ac:dyDescent="0.25">
      <c r="A723">
        <v>143</v>
      </c>
      <c r="B723">
        <v>33</v>
      </c>
      <c r="C723">
        <v>2</v>
      </c>
    </row>
    <row r="724" spans="1:3" x14ac:dyDescent="0.25">
      <c r="A724">
        <v>157</v>
      </c>
      <c r="B724">
        <v>33</v>
      </c>
      <c r="C724">
        <v>3</v>
      </c>
    </row>
    <row r="725" spans="1:3" x14ac:dyDescent="0.25">
      <c r="A725">
        <v>168</v>
      </c>
      <c r="B725">
        <v>33</v>
      </c>
      <c r="C725">
        <v>2</v>
      </c>
    </row>
    <row r="726" spans="1:3" x14ac:dyDescent="0.25">
      <c r="A726">
        <v>185</v>
      </c>
      <c r="B726">
        <v>33</v>
      </c>
      <c r="C726">
        <v>2</v>
      </c>
    </row>
    <row r="727" spans="1:3" x14ac:dyDescent="0.25">
      <c r="A727">
        <v>192</v>
      </c>
      <c r="B727">
        <v>33</v>
      </c>
      <c r="C727">
        <v>5</v>
      </c>
    </row>
    <row r="728" spans="1:3" x14ac:dyDescent="0.25">
      <c r="A728">
        <v>226</v>
      </c>
      <c r="B728">
        <v>33</v>
      </c>
      <c r="C728">
        <v>2</v>
      </c>
    </row>
    <row r="729" spans="1:3" x14ac:dyDescent="0.25">
      <c r="A729">
        <v>243</v>
      </c>
      <c r="B729">
        <v>33</v>
      </c>
      <c r="C729">
        <v>1</v>
      </c>
    </row>
    <row r="730" spans="1:3" x14ac:dyDescent="0.25">
      <c r="A730">
        <v>273</v>
      </c>
      <c r="B730">
        <v>33</v>
      </c>
      <c r="C730">
        <v>3</v>
      </c>
    </row>
    <row r="731" spans="1:3" x14ac:dyDescent="0.25">
      <c r="A731">
        <v>278</v>
      </c>
      <c r="B731">
        <v>33</v>
      </c>
      <c r="C731">
        <v>2</v>
      </c>
    </row>
    <row r="732" spans="1:3" x14ac:dyDescent="0.25">
      <c r="A732">
        <v>280</v>
      </c>
      <c r="B732">
        <v>33</v>
      </c>
      <c r="C732">
        <v>2</v>
      </c>
    </row>
    <row r="733" spans="1:3" x14ac:dyDescent="0.25">
      <c r="A733">
        <v>294</v>
      </c>
      <c r="B733">
        <v>33</v>
      </c>
      <c r="C733">
        <v>4</v>
      </c>
    </row>
    <row r="734" spans="1:3" x14ac:dyDescent="0.25">
      <c r="A734">
        <v>19</v>
      </c>
      <c r="B734">
        <v>34</v>
      </c>
      <c r="C734">
        <v>5</v>
      </c>
    </row>
    <row r="735" spans="1:3" x14ac:dyDescent="0.25">
      <c r="A735">
        <v>33</v>
      </c>
      <c r="B735">
        <v>34</v>
      </c>
      <c r="C735">
        <v>3</v>
      </c>
    </row>
    <row r="736" spans="1:3" x14ac:dyDescent="0.25">
      <c r="A736">
        <v>37</v>
      </c>
      <c r="B736">
        <v>34</v>
      </c>
      <c r="C736">
        <v>4</v>
      </c>
    </row>
    <row r="737" spans="1:3" x14ac:dyDescent="0.25">
      <c r="A737">
        <v>46</v>
      </c>
      <c r="B737">
        <v>34</v>
      </c>
      <c r="C737">
        <v>5</v>
      </c>
    </row>
    <row r="738" spans="1:3" x14ac:dyDescent="0.25">
      <c r="A738">
        <v>50</v>
      </c>
      <c r="B738">
        <v>34</v>
      </c>
      <c r="C738">
        <v>4</v>
      </c>
    </row>
    <row r="739" spans="1:3" x14ac:dyDescent="0.25">
      <c r="A739">
        <v>72</v>
      </c>
      <c r="B739">
        <v>34</v>
      </c>
      <c r="C739">
        <v>2</v>
      </c>
    </row>
    <row r="740" spans="1:3" x14ac:dyDescent="0.25">
      <c r="A740">
        <v>80</v>
      </c>
      <c r="B740">
        <v>34</v>
      </c>
      <c r="C740">
        <v>3</v>
      </c>
    </row>
    <row r="741" spans="1:3" x14ac:dyDescent="0.25">
      <c r="A741">
        <v>88</v>
      </c>
      <c r="B741">
        <v>34</v>
      </c>
      <c r="C741">
        <v>3</v>
      </c>
    </row>
    <row r="742" spans="1:3" x14ac:dyDescent="0.25">
      <c r="A742">
        <v>97</v>
      </c>
      <c r="B742">
        <v>34</v>
      </c>
      <c r="C742">
        <v>3</v>
      </c>
    </row>
    <row r="743" spans="1:3" x14ac:dyDescent="0.25">
      <c r="A743">
        <v>113</v>
      </c>
      <c r="B743">
        <v>34</v>
      </c>
      <c r="C743">
        <v>1</v>
      </c>
    </row>
    <row r="744" spans="1:3" x14ac:dyDescent="0.25">
      <c r="A744">
        <v>113</v>
      </c>
      <c r="B744">
        <v>34</v>
      </c>
      <c r="C744">
        <v>1</v>
      </c>
    </row>
    <row r="745" spans="1:3" x14ac:dyDescent="0.25">
      <c r="A745">
        <v>119</v>
      </c>
      <c r="B745">
        <v>34</v>
      </c>
      <c r="C745">
        <v>5</v>
      </c>
    </row>
    <row r="746" spans="1:3" x14ac:dyDescent="0.25">
      <c r="A746">
        <v>120</v>
      </c>
      <c r="B746">
        <v>34</v>
      </c>
      <c r="C746">
        <v>3</v>
      </c>
    </row>
    <row r="747" spans="1:3" x14ac:dyDescent="0.25">
      <c r="A747">
        <v>160</v>
      </c>
      <c r="B747">
        <v>34</v>
      </c>
      <c r="C747">
        <v>2</v>
      </c>
    </row>
    <row r="748" spans="1:3" x14ac:dyDescent="0.25">
      <c r="A748">
        <v>162</v>
      </c>
      <c r="B748">
        <v>34</v>
      </c>
      <c r="C748">
        <v>5</v>
      </c>
    </row>
    <row r="749" spans="1:3" x14ac:dyDescent="0.25">
      <c r="A749">
        <v>169</v>
      </c>
      <c r="B749">
        <v>34</v>
      </c>
      <c r="C749">
        <v>1</v>
      </c>
    </row>
    <row r="750" spans="1:3" x14ac:dyDescent="0.25">
      <c r="A750">
        <v>194</v>
      </c>
      <c r="B750">
        <v>34</v>
      </c>
      <c r="C750">
        <v>2</v>
      </c>
    </row>
    <row r="751" spans="1:3" x14ac:dyDescent="0.25">
      <c r="A751">
        <v>201</v>
      </c>
      <c r="B751">
        <v>34</v>
      </c>
      <c r="C751">
        <v>2</v>
      </c>
    </row>
    <row r="752" spans="1:3" x14ac:dyDescent="0.25">
      <c r="A752">
        <v>213</v>
      </c>
      <c r="B752">
        <v>34</v>
      </c>
      <c r="C752">
        <v>3</v>
      </c>
    </row>
    <row r="753" spans="1:3" x14ac:dyDescent="0.25">
      <c r="A753">
        <v>228</v>
      </c>
      <c r="B753">
        <v>34</v>
      </c>
      <c r="C753">
        <v>2</v>
      </c>
    </row>
    <row r="754" spans="1:3" x14ac:dyDescent="0.25">
      <c r="A754">
        <v>242</v>
      </c>
      <c r="B754">
        <v>34</v>
      </c>
      <c r="C754">
        <v>5</v>
      </c>
    </row>
    <row r="755" spans="1:3" x14ac:dyDescent="0.25">
      <c r="A755">
        <v>242</v>
      </c>
      <c r="B755">
        <v>34</v>
      </c>
      <c r="C755">
        <v>4</v>
      </c>
    </row>
    <row r="756" spans="1:3" x14ac:dyDescent="0.25">
      <c r="A756">
        <v>287</v>
      </c>
      <c r="B756">
        <v>34</v>
      </c>
      <c r="C756">
        <v>5</v>
      </c>
    </row>
    <row r="757" spans="1:3" x14ac:dyDescent="0.25">
      <c r="A757">
        <v>10</v>
      </c>
      <c r="B757">
        <v>35</v>
      </c>
      <c r="C757">
        <v>4</v>
      </c>
    </row>
    <row r="758" spans="1:3" x14ac:dyDescent="0.25">
      <c r="A758">
        <v>50</v>
      </c>
      <c r="B758">
        <v>35</v>
      </c>
      <c r="C758">
        <v>2</v>
      </c>
    </row>
    <row r="759" spans="1:3" x14ac:dyDescent="0.25">
      <c r="A759">
        <v>52</v>
      </c>
      <c r="B759">
        <v>35</v>
      </c>
      <c r="C759">
        <v>5</v>
      </c>
    </row>
    <row r="760" spans="1:3" x14ac:dyDescent="0.25">
      <c r="A760">
        <v>59</v>
      </c>
      <c r="B760">
        <v>35</v>
      </c>
      <c r="C760">
        <v>3</v>
      </c>
    </row>
    <row r="761" spans="1:3" x14ac:dyDescent="0.25">
      <c r="A761">
        <v>104</v>
      </c>
      <c r="B761">
        <v>35</v>
      </c>
      <c r="C761">
        <v>1</v>
      </c>
    </row>
    <row r="762" spans="1:3" x14ac:dyDescent="0.25">
      <c r="A762">
        <v>106</v>
      </c>
      <c r="B762">
        <v>35</v>
      </c>
      <c r="C762">
        <v>4</v>
      </c>
    </row>
    <row r="763" spans="1:3" x14ac:dyDescent="0.25">
      <c r="A763">
        <v>107</v>
      </c>
      <c r="B763">
        <v>35</v>
      </c>
      <c r="C763">
        <v>3</v>
      </c>
    </row>
    <row r="764" spans="1:3" x14ac:dyDescent="0.25">
      <c r="A764">
        <v>108</v>
      </c>
      <c r="B764">
        <v>35</v>
      </c>
      <c r="C764">
        <v>2</v>
      </c>
    </row>
    <row r="765" spans="1:3" x14ac:dyDescent="0.25">
      <c r="A765">
        <v>112</v>
      </c>
      <c r="B765">
        <v>35</v>
      </c>
      <c r="C765">
        <v>1</v>
      </c>
    </row>
    <row r="766" spans="1:3" x14ac:dyDescent="0.25">
      <c r="A766">
        <v>119</v>
      </c>
      <c r="B766">
        <v>35</v>
      </c>
      <c r="C766">
        <v>3</v>
      </c>
    </row>
    <row r="767" spans="1:3" x14ac:dyDescent="0.25">
      <c r="A767">
        <v>132</v>
      </c>
      <c r="B767">
        <v>35</v>
      </c>
      <c r="C767">
        <v>5</v>
      </c>
    </row>
    <row r="768" spans="1:3" x14ac:dyDescent="0.25">
      <c r="A768">
        <v>159</v>
      </c>
      <c r="B768">
        <v>35</v>
      </c>
      <c r="C768">
        <v>3</v>
      </c>
    </row>
    <row r="769" spans="1:3" x14ac:dyDescent="0.25">
      <c r="A769">
        <v>160</v>
      </c>
      <c r="B769">
        <v>35</v>
      </c>
      <c r="C769">
        <v>3</v>
      </c>
    </row>
    <row r="770" spans="1:3" x14ac:dyDescent="0.25">
      <c r="A770">
        <v>164</v>
      </c>
      <c r="B770">
        <v>35</v>
      </c>
      <c r="C770">
        <v>1</v>
      </c>
    </row>
    <row r="771" spans="1:3" x14ac:dyDescent="0.25">
      <c r="A771">
        <v>203</v>
      </c>
      <c r="B771">
        <v>35</v>
      </c>
      <c r="C771">
        <v>2</v>
      </c>
    </row>
    <row r="772" spans="1:3" x14ac:dyDescent="0.25">
      <c r="A772">
        <v>207</v>
      </c>
      <c r="B772">
        <v>35</v>
      </c>
      <c r="C772">
        <v>5</v>
      </c>
    </row>
    <row r="773" spans="1:3" x14ac:dyDescent="0.25">
      <c r="A773">
        <v>213</v>
      </c>
      <c r="B773">
        <v>35</v>
      </c>
      <c r="C773">
        <v>3</v>
      </c>
    </row>
    <row r="774" spans="1:3" x14ac:dyDescent="0.25">
      <c r="A774">
        <v>213</v>
      </c>
      <c r="B774">
        <v>35</v>
      </c>
      <c r="C774">
        <v>4</v>
      </c>
    </row>
    <row r="775" spans="1:3" x14ac:dyDescent="0.25">
      <c r="A775">
        <v>222</v>
      </c>
      <c r="B775">
        <v>35</v>
      </c>
      <c r="C775">
        <v>4</v>
      </c>
    </row>
    <row r="776" spans="1:3" x14ac:dyDescent="0.25">
      <c r="A776">
        <v>223</v>
      </c>
      <c r="B776">
        <v>35</v>
      </c>
      <c r="C776">
        <v>2</v>
      </c>
    </row>
    <row r="777" spans="1:3" x14ac:dyDescent="0.25">
      <c r="A777">
        <v>224</v>
      </c>
      <c r="B777">
        <v>35</v>
      </c>
      <c r="C777">
        <v>4</v>
      </c>
    </row>
    <row r="778" spans="1:3" x14ac:dyDescent="0.25">
      <c r="A778">
        <v>264</v>
      </c>
      <c r="B778">
        <v>35</v>
      </c>
      <c r="C778">
        <v>4</v>
      </c>
    </row>
    <row r="779" spans="1:3" x14ac:dyDescent="0.25">
      <c r="A779">
        <v>265</v>
      </c>
      <c r="B779">
        <v>35</v>
      </c>
      <c r="C779">
        <v>3</v>
      </c>
    </row>
    <row r="780" spans="1:3" x14ac:dyDescent="0.25">
      <c r="A780">
        <v>288</v>
      </c>
      <c r="B780">
        <v>35</v>
      </c>
      <c r="C780">
        <v>1</v>
      </c>
    </row>
    <row r="781" spans="1:3" x14ac:dyDescent="0.25">
      <c r="A781">
        <v>290</v>
      </c>
      <c r="B781">
        <v>35</v>
      </c>
      <c r="C781">
        <v>4</v>
      </c>
    </row>
    <row r="782" spans="1:3" x14ac:dyDescent="0.25">
      <c r="A782">
        <v>292</v>
      </c>
      <c r="B782">
        <v>35</v>
      </c>
      <c r="C782">
        <v>1</v>
      </c>
    </row>
    <row r="783" spans="1:3" x14ac:dyDescent="0.25">
      <c r="A783">
        <v>294</v>
      </c>
      <c r="B783">
        <v>35</v>
      </c>
      <c r="C783">
        <v>4</v>
      </c>
    </row>
    <row r="784" spans="1:3" x14ac:dyDescent="0.25">
      <c r="A784">
        <v>10</v>
      </c>
      <c r="B784">
        <v>36</v>
      </c>
      <c r="C784">
        <v>4</v>
      </c>
    </row>
    <row r="785" spans="1:3" x14ac:dyDescent="0.25">
      <c r="A785">
        <v>26</v>
      </c>
      <c r="B785">
        <v>36</v>
      </c>
      <c r="C785">
        <v>5</v>
      </c>
    </row>
    <row r="786" spans="1:3" x14ac:dyDescent="0.25">
      <c r="A786">
        <v>33</v>
      </c>
      <c r="B786">
        <v>36</v>
      </c>
      <c r="C786">
        <v>2</v>
      </c>
    </row>
    <row r="787" spans="1:3" x14ac:dyDescent="0.25">
      <c r="A787">
        <v>39</v>
      </c>
      <c r="B787">
        <v>36</v>
      </c>
      <c r="C787">
        <v>5</v>
      </c>
    </row>
    <row r="788" spans="1:3" x14ac:dyDescent="0.25">
      <c r="A788">
        <v>68</v>
      </c>
      <c r="B788">
        <v>36</v>
      </c>
      <c r="C788">
        <v>4</v>
      </c>
    </row>
    <row r="789" spans="1:3" x14ac:dyDescent="0.25">
      <c r="A789">
        <v>96</v>
      </c>
      <c r="B789">
        <v>36</v>
      </c>
      <c r="C789">
        <v>3</v>
      </c>
    </row>
    <row r="790" spans="1:3" x14ac:dyDescent="0.25">
      <c r="A790">
        <v>101</v>
      </c>
      <c r="B790">
        <v>36</v>
      </c>
      <c r="C790">
        <v>5</v>
      </c>
    </row>
    <row r="791" spans="1:3" x14ac:dyDescent="0.25">
      <c r="A791">
        <v>120</v>
      </c>
      <c r="B791">
        <v>36</v>
      </c>
      <c r="C791">
        <v>3</v>
      </c>
    </row>
    <row r="792" spans="1:3" x14ac:dyDescent="0.25">
      <c r="A792">
        <v>134</v>
      </c>
      <c r="B792">
        <v>36</v>
      </c>
      <c r="C792">
        <v>5</v>
      </c>
    </row>
    <row r="793" spans="1:3" x14ac:dyDescent="0.25">
      <c r="A793">
        <v>136</v>
      </c>
      <c r="B793">
        <v>36</v>
      </c>
      <c r="C793">
        <v>1</v>
      </c>
    </row>
    <row r="794" spans="1:3" x14ac:dyDescent="0.25">
      <c r="A794">
        <v>137</v>
      </c>
      <c r="B794">
        <v>36</v>
      </c>
      <c r="C794">
        <v>3</v>
      </c>
    </row>
    <row r="795" spans="1:3" x14ac:dyDescent="0.25">
      <c r="A795">
        <v>157</v>
      </c>
      <c r="B795">
        <v>36</v>
      </c>
      <c r="C795">
        <v>2</v>
      </c>
    </row>
    <row r="796" spans="1:3" x14ac:dyDescent="0.25">
      <c r="A796">
        <v>157</v>
      </c>
      <c r="B796">
        <v>36</v>
      </c>
      <c r="C796">
        <v>2</v>
      </c>
    </row>
    <row r="797" spans="1:3" x14ac:dyDescent="0.25">
      <c r="A797">
        <v>162</v>
      </c>
      <c r="B797">
        <v>36</v>
      </c>
      <c r="C797">
        <v>3</v>
      </c>
    </row>
    <row r="798" spans="1:3" x14ac:dyDescent="0.25">
      <c r="A798">
        <v>167</v>
      </c>
      <c r="B798">
        <v>36</v>
      </c>
      <c r="C798">
        <v>3</v>
      </c>
    </row>
    <row r="799" spans="1:3" x14ac:dyDescent="0.25">
      <c r="A799">
        <v>181</v>
      </c>
      <c r="B799">
        <v>36</v>
      </c>
      <c r="C799">
        <v>1</v>
      </c>
    </row>
    <row r="800" spans="1:3" x14ac:dyDescent="0.25">
      <c r="A800">
        <v>184</v>
      </c>
      <c r="B800">
        <v>36</v>
      </c>
      <c r="C800">
        <v>5</v>
      </c>
    </row>
    <row r="801" spans="1:3" x14ac:dyDescent="0.25">
      <c r="A801">
        <v>184</v>
      </c>
      <c r="B801">
        <v>36</v>
      </c>
      <c r="C801">
        <v>5</v>
      </c>
    </row>
    <row r="802" spans="1:3" x14ac:dyDescent="0.25">
      <c r="A802">
        <v>190</v>
      </c>
      <c r="B802">
        <v>36</v>
      </c>
      <c r="C802">
        <v>4</v>
      </c>
    </row>
    <row r="803" spans="1:3" x14ac:dyDescent="0.25">
      <c r="A803">
        <v>192</v>
      </c>
      <c r="B803">
        <v>36</v>
      </c>
      <c r="C803">
        <v>1</v>
      </c>
    </row>
    <row r="804" spans="1:3" x14ac:dyDescent="0.25">
      <c r="A804">
        <v>195</v>
      </c>
      <c r="B804">
        <v>36</v>
      </c>
      <c r="C804">
        <v>3</v>
      </c>
    </row>
    <row r="805" spans="1:3" x14ac:dyDescent="0.25">
      <c r="A805">
        <v>196</v>
      </c>
      <c r="B805">
        <v>36</v>
      </c>
      <c r="C805">
        <v>4</v>
      </c>
    </row>
    <row r="806" spans="1:3" x14ac:dyDescent="0.25">
      <c r="A806">
        <v>209</v>
      </c>
      <c r="B806">
        <v>36</v>
      </c>
      <c r="C806">
        <v>4</v>
      </c>
    </row>
    <row r="807" spans="1:3" x14ac:dyDescent="0.25">
      <c r="A807">
        <v>210</v>
      </c>
      <c r="B807">
        <v>36</v>
      </c>
      <c r="C807">
        <v>3</v>
      </c>
    </row>
    <row r="808" spans="1:3" x14ac:dyDescent="0.25">
      <c r="A808">
        <v>223</v>
      </c>
      <c r="B808">
        <v>36</v>
      </c>
      <c r="C808">
        <v>3</v>
      </c>
    </row>
    <row r="809" spans="1:3" x14ac:dyDescent="0.25">
      <c r="A809">
        <v>226</v>
      </c>
      <c r="B809">
        <v>36</v>
      </c>
      <c r="C809">
        <v>5</v>
      </c>
    </row>
    <row r="810" spans="1:3" x14ac:dyDescent="0.25">
      <c r="A810">
        <v>246</v>
      </c>
      <c r="B810">
        <v>36</v>
      </c>
      <c r="C810">
        <v>3</v>
      </c>
    </row>
    <row r="811" spans="1:3" x14ac:dyDescent="0.25">
      <c r="A811">
        <v>254</v>
      </c>
      <c r="B811">
        <v>36</v>
      </c>
      <c r="C811">
        <v>3</v>
      </c>
    </row>
    <row r="812" spans="1:3" x14ac:dyDescent="0.25">
      <c r="A812">
        <v>265</v>
      </c>
      <c r="B812">
        <v>36</v>
      </c>
      <c r="C812">
        <v>2</v>
      </c>
    </row>
    <row r="813" spans="1:3" x14ac:dyDescent="0.25">
      <c r="A813">
        <v>11</v>
      </c>
      <c r="B813">
        <v>37</v>
      </c>
      <c r="C813">
        <v>5</v>
      </c>
    </row>
    <row r="814" spans="1:3" x14ac:dyDescent="0.25">
      <c r="A814">
        <v>17</v>
      </c>
      <c r="B814">
        <v>37</v>
      </c>
      <c r="C814">
        <v>2</v>
      </c>
    </row>
    <row r="815" spans="1:3" x14ac:dyDescent="0.25">
      <c r="A815">
        <v>22</v>
      </c>
      <c r="B815">
        <v>37</v>
      </c>
      <c r="C815">
        <v>5</v>
      </c>
    </row>
    <row r="816" spans="1:3" x14ac:dyDescent="0.25">
      <c r="A816">
        <v>31</v>
      </c>
      <c r="B816">
        <v>37</v>
      </c>
      <c r="C816">
        <v>2</v>
      </c>
    </row>
    <row r="817" spans="1:3" x14ac:dyDescent="0.25">
      <c r="A817">
        <v>40</v>
      </c>
      <c r="B817">
        <v>37</v>
      </c>
      <c r="C817">
        <v>4</v>
      </c>
    </row>
    <row r="818" spans="1:3" x14ac:dyDescent="0.25">
      <c r="A818">
        <v>40</v>
      </c>
      <c r="B818">
        <v>37</v>
      </c>
      <c r="C818">
        <v>4</v>
      </c>
    </row>
    <row r="819" spans="1:3" x14ac:dyDescent="0.25">
      <c r="A819">
        <v>93</v>
      </c>
      <c r="B819">
        <v>37</v>
      </c>
      <c r="C819">
        <v>5</v>
      </c>
    </row>
    <row r="820" spans="1:3" x14ac:dyDescent="0.25">
      <c r="A820">
        <v>106</v>
      </c>
      <c r="B820">
        <v>37</v>
      </c>
      <c r="C820">
        <v>5</v>
      </c>
    </row>
    <row r="821" spans="1:3" x14ac:dyDescent="0.25">
      <c r="A821">
        <v>110</v>
      </c>
      <c r="B821">
        <v>37</v>
      </c>
      <c r="C821">
        <v>3</v>
      </c>
    </row>
    <row r="822" spans="1:3" x14ac:dyDescent="0.25">
      <c r="A822">
        <v>113</v>
      </c>
      <c r="B822">
        <v>37</v>
      </c>
      <c r="C822">
        <v>2</v>
      </c>
    </row>
    <row r="823" spans="1:3" x14ac:dyDescent="0.25">
      <c r="A823">
        <v>114</v>
      </c>
      <c r="B823">
        <v>37</v>
      </c>
      <c r="C823">
        <v>2</v>
      </c>
    </row>
    <row r="824" spans="1:3" x14ac:dyDescent="0.25">
      <c r="A824">
        <v>125</v>
      </c>
      <c r="B824">
        <v>37</v>
      </c>
      <c r="C824">
        <v>3</v>
      </c>
    </row>
    <row r="825" spans="1:3" x14ac:dyDescent="0.25">
      <c r="A825">
        <v>139</v>
      </c>
      <c r="B825">
        <v>37</v>
      </c>
      <c r="C825">
        <v>5</v>
      </c>
    </row>
    <row r="826" spans="1:3" x14ac:dyDescent="0.25">
      <c r="A826">
        <v>210</v>
      </c>
      <c r="B826">
        <v>37</v>
      </c>
      <c r="C826">
        <v>2</v>
      </c>
    </row>
    <row r="827" spans="1:3" x14ac:dyDescent="0.25">
      <c r="A827">
        <v>211</v>
      </c>
      <c r="B827">
        <v>37</v>
      </c>
      <c r="C827">
        <v>5</v>
      </c>
    </row>
    <row r="828" spans="1:3" x14ac:dyDescent="0.25">
      <c r="A828">
        <v>228</v>
      </c>
      <c r="B828">
        <v>37</v>
      </c>
      <c r="C828">
        <v>5</v>
      </c>
    </row>
    <row r="829" spans="1:3" x14ac:dyDescent="0.25">
      <c r="A829">
        <v>231</v>
      </c>
      <c r="B829">
        <v>37</v>
      </c>
      <c r="C829">
        <v>1</v>
      </c>
    </row>
    <row r="830" spans="1:3" x14ac:dyDescent="0.25">
      <c r="A830">
        <v>240</v>
      </c>
      <c r="B830">
        <v>37</v>
      </c>
      <c r="C830">
        <v>3</v>
      </c>
    </row>
    <row r="831" spans="1:3" x14ac:dyDescent="0.25">
      <c r="A831">
        <v>248</v>
      </c>
      <c r="B831">
        <v>37</v>
      </c>
      <c r="C831">
        <v>4</v>
      </c>
    </row>
    <row r="832" spans="1:3" x14ac:dyDescent="0.25">
      <c r="A832">
        <v>253</v>
      </c>
      <c r="B832">
        <v>37</v>
      </c>
      <c r="C832">
        <v>1</v>
      </c>
    </row>
    <row r="833" spans="1:3" x14ac:dyDescent="0.25">
      <c r="A833">
        <v>260</v>
      </c>
      <c r="B833">
        <v>37</v>
      </c>
      <c r="C833">
        <v>5</v>
      </c>
    </row>
    <row r="834" spans="1:3" x14ac:dyDescent="0.25">
      <c r="A834">
        <v>262</v>
      </c>
      <c r="B834">
        <v>37</v>
      </c>
      <c r="C834">
        <v>2</v>
      </c>
    </row>
    <row r="835" spans="1:3" x14ac:dyDescent="0.25">
      <c r="A835">
        <v>263</v>
      </c>
      <c r="B835">
        <v>37</v>
      </c>
      <c r="C835">
        <v>1</v>
      </c>
    </row>
    <row r="836" spans="1:3" x14ac:dyDescent="0.25">
      <c r="A836">
        <v>285</v>
      </c>
      <c r="B836">
        <v>37</v>
      </c>
      <c r="C836">
        <v>3</v>
      </c>
    </row>
    <row r="837" spans="1:3" x14ac:dyDescent="0.25">
      <c r="A837">
        <v>292</v>
      </c>
      <c r="B837">
        <v>37</v>
      </c>
      <c r="C837">
        <v>4</v>
      </c>
    </row>
    <row r="838" spans="1:3" x14ac:dyDescent="0.25">
      <c r="A838">
        <v>294</v>
      </c>
      <c r="B838">
        <v>37</v>
      </c>
      <c r="C838">
        <v>5</v>
      </c>
    </row>
    <row r="839" spans="1:3" x14ac:dyDescent="0.25">
      <c r="A839">
        <v>299</v>
      </c>
      <c r="B839">
        <v>37</v>
      </c>
      <c r="C839">
        <v>3</v>
      </c>
    </row>
    <row r="840" spans="1:3" x14ac:dyDescent="0.25">
      <c r="A840">
        <v>19</v>
      </c>
      <c r="B840">
        <v>38</v>
      </c>
      <c r="C840">
        <v>5</v>
      </c>
    </row>
    <row r="841" spans="1:3" x14ac:dyDescent="0.25">
      <c r="A841">
        <v>19</v>
      </c>
      <c r="B841">
        <v>38</v>
      </c>
      <c r="C841">
        <v>5</v>
      </c>
    </row>
    <row r="842" spans="1:3" x14ac:dyDescent="0.25">
      <c r="A842">
        <v>29</v>
      </c>
      <c r="B842">
        <v>38</v>
      </c>
      <c r="C842">
        <v>4</v>
      </c>
    </row>
    <row r="843" spans="1:3" x14ac:dyDescent="0.25">
      <c r="A843">
        <v>33</v>
      </c>
      <c r="B843">
        <v>38</v>
      </c>
      <c r="C843">
        <v>2</v>
      </c>
    </row>
    <row r="844" spans="1:3" x14ac:dyDescent="0.25">
      <c r="A844">
        <v>45</v>
      </c>
      <c r="B844">
        <v>38</v>
      </c>
      <c r="C844">
        <v>3</v>
      </c>
    </row>
    <row r="845" spans="1:3" x14ac:dyDescent="0.25">
      <c r="A845">
        <v>48</v>
      </c>
      <c r="B845">
        <v>38</v>
      </c>
      <c r="C845">
        <v>1</v>
      </c>
    </row>
    <row r="846" spans="1:3" x14ac:dyDescent="0.25">
      <c r="A846">
        <v>58</v>
      </c>
      <c r="B846">
        <v>38</v>
      </c>
      <c r="C846">
        <v>5</v>
      </c>
    </row>
    <row r="847" spans="1:3" x14ac:dyDescent="0.25">
      <c r="A847">
        <v>76</v>
      </c>
      <c r="B847">
        <v>38</v>
      </c>
      <c r="C847">
        <v>3</v>
      </c>
    </row>
    <row r="848" spans="1:3" x14ac:dyDescent="0.25">
      <c r="A848">
        <v>113</v>
      </c>
      <c r="B848">
        <v>38</v>
      </c>
      <c r="C848">
        <v>5</v>
      </c>
    </row>
    <row r="849" spans="1:3" x14ac:dyDescent="0.25">
      <c r="A849">
        <v>120</v>
      </c>
      <c r="B849">
        <v>38</v>
      </c>
      <c r="C849">
        <v>1</v>
      </c>
    </row>
    <row r="850" spans="1:3" x14ac:dyDescent="0.25">
      <c r="A850">
        <v>125</v>
      </c>
      <c r="B850">
        <v>38</v>
      </c>
      <c r="C850">
        <v>3</v>
      </c>
    </row>
    <row r="851" spans="1:3" x14ac:dyDescent="0.25">
      <c r="A851">
        <v>128</v>
      </c>
      <c r="B851">
        <v>38</v>
      </c>
      <c r="C851">
        <v>1</v>
      </c>
    </row>
    <row r="852" spans="1:3" x14ac:dyDescent="0.25">
      <c r="A852">
        <v>144</v>
      </c>
      <c r="B852">
        <v>38</v>
      </c>
      <c r="C852">
        <v>5</v>
      </c>
    </row>
    <row r="853" spans="1:3" x14ac:dyDescent="0.25">
      <c r="A853">
        <v>144</v>
      </c>
      <c r="B853">
        <v>38</v>
      </c>
      <c r="C853">
        <v>4</v>
      </c>
    </row>
    <row r="854" spans="1:3" x14ac:dyDescent="0.25">
      <c r="A854">
        <v>146</v>
      </c>
      <c r="B854">
        <v>38</v>
      </c>
      <c r="C854">
        <v>2</v>
      </c>
    </row>
    <row r="855" spans="1:3" x14ac:dyDescent="0.25">
      <c r="A855">
        <v>147</v>
      </c>
      <c r="B855">
        <v>38</v>
      </c>
      <c r="C855">
        <v>4</v>
      </c>
    </row>
    <row r="856" spans="1:3" x14ac:dyDescent="0.25">
      <c r="A856">
        <v>163</v>
      </c>
      <c r="B856">
        <v>38</v>
      </c>
      <c r="C856">
        <v>1</v>
      </c>
    </row>
    <row r="857" spans="1:3" x14ac:dyDescent="0.25">
      <c r="A857">
        <v>175</v>
      </c>
      <c r="B857">
        <v>38</v>
      </c>
      <c r="C857">
        <v>3</v>
      </c>
    </row>
    <row r="858" spans="1:3" x14ac:dyDescent="0.25">
      <c r="A858">
        <v>180</v>
      </c>
      <c r="B858">
        <v>38</v>
      </c>
      <c r="C858">
        <v>4</v>
      </c>
    </row>
    <row r="859" spans="1:3" x14ac:dyDescent="0.25">
      <c r="A859">
        <v>180</v>
      </c>
      <c r="B859">
        <v>38</v>
      </c>
      <c r="C859">
        <v>3</v>
      </c>
    </row>
    <row r="860" spans="1:3" x14ac:dyDescent="0.25">
      <c r="A860">
        <v>191</v>
      </c>
      <c r="B860">
        <v>38</v>
      </c>
      <c r="C860">
        <v>5</v>
      </c>
    </row>
    <row r="861" spans="1:3" x14ac:dyDescent="0.25">
      <c r="A861">
        <v>197</v>
      </c>
      <c r="B861">
        <v>38</v>
      </c>
      <c r="C861">
        <v>1</v>
      </c>
    </row>
    <row r="862" spans="1:3" x14ac:dyDescent="0.25">
      <c r="A862">
        <v>199</v>
      </c>
      <c r="B862">
        <v>38</v>
      </c>
      <c r="C862">
        <v>3</v>
      </c>
    </row>
    <row r="863" spans="1:3" x14ac:dyDescent="0.25">
      <c r="A863">
        <v>212</v>
      </c>
      <c r="B863">
        <v>38</v>
      </c>
      <c r="C863">
        <v>4</v>
      </c>
    </row>
    <row r="864" spans="1:3" x14ac:dyDescent="0.25">
      <c r="A864">
        <v>270</v>
      </c>
      <c r="B864">
        <v>38</v>
      </c>
      <c r="C864">
        <v>1</v>
      </c>
    </row>
    <row r="865" spans="1:3" x14ac:dyDescent="0.25">
      <c r="A865">
        <v>297</v>
      </c>
      <c r="B865">
        <v>38</v>
      </c>
      <c r="C865">
        <v>3</v>
      </c>
    </row>
    <row r="866" spans="1:3" x14ac:dyDescent="0.25">
      <c r="A866">
        <v>31</v>
      </c>
      <c r="B866">
        <v>39</v>
      </c>
      <c r="C866">
        <v>3</v>
      </c>
    </row>
    <row r="867" spans="1:3" x14ac:dyDescent="0.25">
      <c r="A867">
        <v>33</v>
      </c>
      <c r="B867">
        <v>39</v>
      </c>
      <c r="C867">
        <v>5</v>
      </c>
    </row>
    <row r="868" spans="1:3" x14ac:dyDescent="0.25">
      <c r="A868">
        <v>35</v>
      </c>
      <c r="B868">
        <v>39</v>
      </c>
      <c r="C868">
        <v>2</v>
      </c>
    </row>
    <row r="869" spans="1:3" x14ac:dyDescent="0.25">
      <c r="A869">
        <v>36</v>
      </c>
      <c r="B869">
        <v>39</v>
      </c>
      <c r="C869">
        <v>2</v>
      </c>
    </row>
    <row r="870" spans="1:3" x14ac:dyDescent="0.25">
      <c r="A870">
        <v>46</v>
      </c>
      <c r="B870">
        <v>39</v>
      </c>
      <c r="C870">
        <v>4</v>
      </c>
    </row>
    <row r="871" spans="1:3" x14ac:dyDescent="0.25">
      <c r="A871">
        <v>72</v>
      </c>
      <c r="B871">
        <v>39</v>
      </c>
      <c r="C871">
        <v>2</v>
      </c>
    </row>
    <row r="872" spans="1:3" x14ac:dyDescent="0.25">
      <c r="A872">
        <v>82</v>
      </c>
      <c r="B872">
        <v>39</v>
      </c>
      <c r="C872">
        <v>4</v>
      </c>
    </row>
    <row r="873" spans="1:3" x14ac:dyDescent="0.25">
      <c r="A873">
        <v>86</v>
      </c>
      <c r="B873">
        <v>39</v>
      </c>
      <c r="C873">
        <v>1</v>
      </c>
    </row>
    <row r="874" spans="1:3" x14ac:dyDescent="0.25">
      <c r="A874">
        <v>107</v>
      </c>
      <c r="B874">
        <v>39</v>
      </c>
      <c r="C874">
        <v>1</v>
      </c>
    </row>
    <row r="875" spans="1:3" x14ac:dyDescent="0.25">
      <c r="A875">
        <v>121</v>
      </c>
      <c r="B875">
        <v>39</v>
      </c>
      <c r="C875">
        <v>3</v>
      </c>
    </row>
    <row r="876" spans="1:3" x14ac:dyDescent="0.25">
      <c r="A876">
        <v>133</v>
      </c>
      <c r="B876">
        <v>39</v>
      </c>
      <c r="C876">
        <v>4</v>
      </c>
    </row>
    <row r="877" spans="1:3" x14ac:dyDescent="0.25">
      <c r="A877">
        <v>172</v>
      </c>
      <c r="B877">
        <v>39</v>
      </c>
      <c r="C877">
        <v>3</v>
      </c>
    </row>
    <row r="878" spans="1:3" x14ac:dyDescent="0.25">
      <c r="A878">
        <v>175</v>
      </c>
      <c r="B878">
        <v>39</v>
      </c>
      <c r="C878">
        <v>3</v>
      </c>
    </row>
    <row r="879" spans="1:3" x14ac:dyDescent="0.25">
      <c r="A879">
        <v>184</v>
      </c>
      <c r="B879">
        <v>39</v>
      </c>
      <c r="C879">
        <v>4</v>
      </c>
    </row>
    <row r="880" spans="1:3" x14ac:dyDescent="0.25">
      <c r="A880">
        <v>192</v>
      </c>
      <c r="B880">
        <v>39</v>
      </c>
      <c r="C880">
        <v>1</v>
      </c>
    </row>
    <row r="881" spans="1:3" x14ac:dyDescent="0.25">
      <c r="A881">
        <v>200</v>
      </c>
      <c r="B881">
        <v>39</v>
      </c>
      <c r="C881">
        <v>4</v>
      </c>
    </row>
    <row r="882" spans="1:3" x14ac:dyDescent="0.25">
      <c r="A882">
        <v>220</v>
      </c>
      <c r="B882">
        <v>39</v>
      </c>
      <c r="C882">
        <v>4</v>
      </c>
    </row>
    <row r="883" spans="1:3" x14ac:dyDescent="0.25">
      <c r="A883">
        <v>237</v>
      </c>
      <c r="B883">
        <v>39</v>
      </c>
      <c r="C883">
        <v>1</v>
      </c>
    </row>
    <row r="884" spans="1:3" x14ac:dyDescent="0.25">
      <c r="A884">
        <v>240</v>
      </c>
      <c r="B884">
        <v>39</v>
      </c>
      <c r="C884">
        <v>5</v>
      </c>
    </row>
    <row r="885" spans="1:3" x14ac:dyDescent="0.25">
      <c r="A885">
        <v>248</v>
      </c>
      <c r="B885">
        <v>39</v>
      </c>
      <c r="C885">
        <v>5</v>
      </c>
    </row>
    <row r="886" spans="1:3" x14ac:dyDescent="0.25">
      <c r="A886">
        <v>248</v>
      </c>
      <c r="B886">
        <v>39</v>
      </c>
      <c r="C886">
        <v>4</v>
      </c>
    </row>
    <row r="887" spans="1:3" x14ac:dyDescent="0.25">
      <c r="A887">
        <v>256</v>
      </c>
      <c r="B887">
        <v>39</v>
      </c>
      <c r="C887">
        <v>3</v>
      </c>
    </row>
    <row r="888" spans="1:3" x14ac:dyDescent="0.25">
      <c r="A888">
        <v>263</v>
      </c>
      <c r="B888">
        <v>39</v>
      </c>
      <c r="C888">
        <v>4</v>
      </c>
    </row>
    <row r="889" spans="1:3" x14ac:dyDescent="0.25">
      <c r="A889">
        <v>263</v>
      </c>
      <c r="B889">
        <v>39</v>
      </c>
      <c r="C889">
        <v>4</v>
      </c>
    </row>
    <row r="890" spans="1:3" x14ac:dyDescent="0.25">
      <c r="A890">
        <v>276</v>
      </c>
      <c r="B890">
        <v>39</v>
      </c>
      <c r="C890">
        <v>5</v>
      </c>
    </row>
    <row r="891" spans="1:3" x14ac:dyDescent="0.25">
      <c r="A891">
        <v>298</v>
      </c>
      <c r="B891">
        <v>39</v>
      </c>
      <c r="C891">
        <v>4</v>
      </c>
    </row>
    <row r="892" spans="1:3" x14ac:dyDescent="0.25">
      <c r="A892">
        <v>29</v>
      </c>
      <c r="B892">
        <v>40</v>
      </c>
      <c r="C892">
        <v>5</v>
      </c>
    </row>
    <row r="893" spans="1:3" x14ac:dyDescent="0.25">
      <c r="A893">
        <v>38</v>
      </c>
      <c r="B893">
        <v>40</v>
      </c>
      <c r="C893">
        <v>2</v>
      </c>
    </row>
    <row r="894" spans="1:3" x14ac:dyDescent="0.25">
      <c r="A894">
        <v>38</v>
      </c>
      <c r="B894">
        <v>40</v>
      </c>
      <c r="C894">
        <v>5</v>
      </c>
    </row>
    <row r="895" spans="1:3" x14ac:dyDescent="0.25">
      <c r="A895">
        <v>57</v>
      </c>
      <c r="B895">
        <v>40</v>
      </c>
      <c r="C895">
        <v>4</v>
      </c>
    </row>
    <row r="896" spans="1:3" x14ac:dyDescent="0.25">
      <c r="A896">
        <v>71</v>
      </c>
      <c r="B896">
        <v>40</v>
      </c>
      <c r="C896">
        <v>3</v>
      </c>
    </row>
    <row r="897" spans="1:3" x14ac:dyDescent="0.25">
      <c r="A897">
        <v>72</v>
      </c>
      <c r="B897">
        <v>40</v>
      </c>
      <c r="C897">
        <v>2</v>
      </c>
    </row>
    <row r="898" spans="1:3" x14ac:dyDescent="0.25">
      <c r="A898">
        <v>85</v>
      </c>
      <c r="B898">
        <v>40</v>
      </c>
      <c r="C898">
        <v>1</v>
      </c>
    </row>
    <row r="899" spans="1:3" x14ac:dyDescent="0.25">
      <c r="A899">
        <v>102</v>
      </c>
      <c r="B899">
        <v>40</v>
      </c>
      <c r="C899">
        <v>2</v>
      </c>
    </row>
    <row r="900" spans="1:3" x14ac:dyDescent="0.25">
      <c r="A900">
        <v>111</v>
      </c>
      <c r="B900">
        <v>40</v>
      </c>
      <c r="C900">
        <v>4</v>
      </c>
    </row>
    <row r="901" spans="1:3" x14ac:dyDescent="0.25">
      <c r="A901">
        <v>120</v>
      </c>
      <c r="B901">
        <v>40</v>
      </c>
      <c r="C901">
        <v>3</v>
      </c>
    </row>
    <row r="902" spans="1:3" x14ac:dyDescent="0.25">
      <c r="A902">
        <v>144</v>
      </c>
      <c r="B902">
        <v>40</v>
      </c>
      <c r="C902">
        <v>3</v>
      </c>
    </row>
    <row r="903" spans="1:3" x14ac:dyDescent="0.25">
      <c r="A903">
        <v>162</v>
      </c>
      <c r="B903">
        <v>40</v>
      </c>
      <c r="C903">
        <v>2</v>
      </c>
    </row>
    <row r="904" spans="1:3" x14ac:dyDescent="0.25">
      <c r="A904">
        <v>220</v>
      </c>
      <c r="B904">
        <v>40</v>
      </c>
      <c r="C904">
        <v>5</v>
      </c>
    </row>
    <row r="905" spans="1:3" x14ac:dyDescent="0.25">
      <c r="A905">
        <v>228</v>
      </c>
      <c r="B905">
        <v>40</v>
      </c>
      <c r="C905">
        <v>1</v>
      </c>
    </row>
    <row r="906" spans="1:3" x14ac:dyDescent="0.25">
      <c r="A906">
        <v>230</v>
      </c>
      <c r="B906">
        <v>40</v>
      </c>
      <c r="C906">
        <v>2</v>
      </c>
    </row>
    <row r="907" spans="1:3" x14ac:dyDescent="0.25">
      <c r="A907">
        <v>241</v>
      </c>
      <c r="B907">
        <v>40</v>
      </c>
      <c r="C907">
        <v>5</v>
      </c>
    </row>
    <row r="908" spans="1:3" x14ac:dyDescent="0.25">
      <c r="A908">
        <v>242</v>
      </c>
      <c r="B908">
        <v>40</v>
      </c>
      <c r="C908">
        <v>4</v>
      </c>
    </row>
    <row r="909" spans="1:3" x14ac:dyDescent="0.25">
      <c r="A909">
        <v>247</v>
      </c>
      <c r="B909">
        <v>40</v>
      </c>
      <c r="C909">
        <v>1</v>
      </c>
    </row>
    <row r="910" spans="1:3" x14ac:dyDescent="0.25">
      <c r="A910">
        <v>252</v>
      </c>
      <c r="B910">
        <v>40</v>
      </c>
      <c r="C910">
        <v>5</v>
      </c>
    </row>
    <row r="911" spans="1:3" x14ac:dyDescent="0.25">
      <c r="A911">
        <v>273</v>
      </c>
      <c r="B911">
        <v>40</v>
      </c>
      <c r="C911">
        <v>4</v>
      </c>
    </row>
    <row r="912" spans="1:3" x14ac:dyDescent="0.25">
      <c r="A912">
        <v>286</v>
      </c>
      <c r="B912">
        <v>40</v>
      </c>
      <c r="C912">
        <v>5</v>
      </c>
    </row>
    <row r="913" spans="1:3" x14ac:dyDescent="0.25">
      <c r="A913">
        <v>1</v>
      </c>
      <c r="B913">
        <v>41</v>
      </c>
      <c r="C913">
        <v>5</v>
      </c>
    </row>
    <row r="914" spans="1:3" x14ac:dyDescent="0.25">
      <c r="A914">
        <v>11</v>
      </c>
      <c r="B914">
        <v>41</v>
      </c>
      <c r="C914">
        <v>3</v>
      </c>
    </row>
    <row r="915" spans="1:3" x14ac:dyDescent="0.25">
      <c r="A915">
        <v>29</v>
      </c>
      <c r="B915">
        <v>41</v>
      </c>
      <c r="C915">
        <v>4</v>
      </c>
    </row>
    <row r="916" spans="1:3" x14ac:dyDescent="0.25">
      <c r="A916">
        <v>29</v>
      </c>
      <c r="B916">
        <v>41</v>
      </c>
      <c r="C916">
        <v>3</v>
      </c>
    </row>
    <row r="917" spans="1:3" x14ac:dyDescent="0.25">
      <c r="A917">
        <v>38</v>
      </c>
      <c r="B917">
        <v>41</v>
      </c>
      <c r="C917">
        <v>2</v>
      </c>
    </row>
    <row r="918" spans="1:3" x14ac:dyDescent="0.25">
      <c r="A918">
        <v>49</v>
      </c>
      <c r="B918">
        <v>41</v>
      </c>
      <c r="C918">
        <v>4</v>
      </c>
    </row>
    <row r="919" spans="1:3" x14ac:dyDescent="0.25">
      <c r="A919">
        <v>50</v>
      </c>
      <c r="B919">
        <v>41</v>
      </c>
      <c r="C919">
        <v>4</v>
      </c>
    </row>
    <row r="920" spans="1:3" x14ac:dyDescent="0.25">
      <c r="A920">
        <v>57</v>
      </c>
      <c r="B920">
        <v>41</v>
      </c>
      <c r="C920">
        <v>4</v>
      </c>
    </row>
    <row r="921" spans="1:3" x14ac:dyDescent="0.25">
      <c r="A921">
        <v>89</v>
      </c>
      <c r="B921">
        <v>41</v>
      </c>
      <c r="C921">
        <v>4</v>
      </c>
    </row>
    <row r="922" spans="1:3" x14ac:dyDescent="0.25">
      <c r="A922">
        <v>104</v>
      </c>
      <c r="B922">
        <v>41</v>
      </c>
      <c r="C922">
        <v>4</v>
      </c>
    </row>
    <row r="923" spans="1:3" x14ac:dyDescent="0.25">
      <c r="A923">
        <v>114</v>
      </c>
      <c r="B923">
        <v>41</v>
      </c>
      <c r="C923">
        <v>1</v>
      </c>
    </row>
    <row r="924" spans="1:3" x14ac:dyDescent="0.25">
      <c r="A924">
        <v>120</v>
      </c>
      <c r="B924">
        <v>41</v>
      </c>
      <c r="C924">
        <v>5</v>
      </c>
    </row>
    <row r="925" spans="1:3" x14ac:dyDescent="0.25">
      <c r="A925">
        <v>120</v>
      </c>
      <c r="B925">
        <v>41</v>
      </c>
      <c r="C925">
        <v>2</v>
      </c>
    </row>
    <row r="926" spans="1:3" x14ac:dyDescent="0.25">
      <c r="A926">
        <v>163</v>
      </c>
      <c r="B926">
        <v>41</v>
      </c>
      <c r="C926">
        <v>1</v>
      </c>
    </row>
    <row r="927" spans="1:3" x14ac:dyDescent="0.25">
      <c r="A927">
        <v>166</v>
      </c>
      <c r="B927">
        <v>41</v>
      </c>
      <c r="C927">
        <v>5</v>
      </c>
    </row>
    <row r="928" spans="1:3" x14ac:dyDescent="0.25">
      <c r="A928">
        <v>166</v>
      </c>
      <c r="B928">
        <v>41</v>
      </c>
      <c r="C928">
        <v>4</v>
      </c>
    </row>
    <row r="929" spans="1:3" x14ac:dyDescent="0.25">
      <c r="A929">
        <v>223</v>
      </c>
      <c r="B929">
        <v>41</v>
      </c>
      <c r="C929">
        <v>4</v>
      </c>
    </row>
    <row r="930" spans="1:3" x14ac:dyDescent="0.25">
      <c r="A930">
        <v>237</v>
      </c>
      <c r="B930">
        <v>41</v>
      </c>
      <c r="C930">
        <v>3</v>
      </c>
    </row>
    <row r="931" spans="1:3" x14ac:dyDescent="0.25">
      <c r="A931">
        <v>242</v>
      </c>
      <c r="B931">
        <v>41</v>
      </c>
      <c r="C931">
        <v>4</v>
      </c>
    </row>
    <row r="932" spans="1:3" x14ac:dyDescent="0.25">
      <c r="A932">
        <v>248</v>
      </c>
      <c r="B932">
        <v>41</v>
      </c>
      <c r="C932">
        <v>4</v>
      </c>
    </row>
    <row r="933" spans="1:3" x14ac:dyDescent="0.25">
      <c r="A933">
        <v>269</v>
      </c>
      <c r="B933">
        <v>41</v>
      </c>
      <c r="C933">
        <v>2</v>
      </c>
    </row>
    <row r="934" spans="1:3" x14ac:dyDescent="0.25">
      <c r="A934">
        <v>277</v>
      </c>
      <c r="B934">
        <v>41</v>
      </c>
      <c r="C934">
        <v>1</v>
      </c>
    </row>
    <row r="935" spans="1:3" x14ac:dyDescent="0.25">
      <c r="A935">
        <v>283</v>
      </c>
      <c r="B935">
        <v>41</v>
      </c>
      <c r="C935">
        <v>5</v>
      </c>
    </row>
    <row r="936" spans="1:3" x14ac:dyDescent="0.25">
      <c r="A936">
        <v>286</v>
      </c>
      <c r="B936">
        <v>41</v>
      </c>
      <c r="C936">
        <v>3</v>
      </c>
    </row>
    <row r="937" spans="1:3" x14ac:dyDescent="0.25">
      <c r="A937">
        <v>289</v>
      </c>
      <c r="B937">
        <v>41</v>
      </c>
      <c r="C937">
        <v>1</v>
      </c>
    </row>
    <row r="938" spans="1:3" x14ac:dyDescent="0.25">
      <c r="A938">
        <v>297</v>
      </c>
      <c r="B938">
        <v>41</v>
      </c>
      <c r="C938">
        <v>1</v>
      </c>
    </row>
    <row r="939" spans="1:3" x14ac:dyDescent="0.25">
      <c r="A939">
        <v>299</v>
      </c>
      <c r="B939">
        <v>41</v>
      </c>
      <c r="C939">
        <v>1</v>
      </c>
    </row>
    <row r="940" spans="1:3" x14ac:dyDescent="0.25">
      <c r="A940">
        <v>10</v>
      </c>
      <c r="B940">
        <v>42</v>
      </c>
      <c r="C940">
        <v>3</v>
      </c>
    </row>
    <row r="941" spans="1:3" x14ac:dyDescent="0.25">
      <c r="A941">
        <v>19</v>
      </c>
      <c r="B941">
        <v>42</v>
      </c>
      <c r="C941">
        <v>2</v>
      </c>
    </row>
    <row r="942" spans="1:3" x14ac:dyDescent="0.25">
      <c r="A942">
        <v>58</v>
      </c>
      <c r="B942">
        <v>42</v>
      </c>
      <c r="C942">
        <v>2</v>
      </c>
    </row>
    <row r="943" spans="1:3" x14ac:dyDescent="0.25">
      <c r="A943">
        <v>76</v>
      </c>
      <c r="B943">
        <v>42</v>
      </c>
      <c r="C943">
        <v>1</v>
      </c>
    </row>
    <row r="944" spans="1:3" x14ac:dyDescent="0.25">
      <c r="A944">
        <v>80</v>
      </c>
      <c r="B944">
        <v>42</v>
      </c>
      <c r="C944">
        <v>4</v>
      </c>
    </row>
    <row r="945" spans="1:3" x14ac:dyDescent="0.25">
      <c r="A945">
        <v>96</v>
      </c>
      <c r="B945">
        <v>42</v>
      </c>
      <c r="C945">
        <v>4</v>
      </c>
    </row>
    <row r="946" spans="1:3" x14ac:dyDescent="0.25">
      <c r="A946">
        <v>97</v>
      </c>
      <c r="B946">
        <v>42</v>
      </c>
      <c r="C946">
        <v>2</v>
      </c>
    </row>
    <row r="947" spans="1:3" x14ac:dyDescent="0.25">
      <c r="A947">
        <v>98</v>
      </c>
      <c r="B947">
        <v>42</v>
      </c>
      <c r="C947">
        <v>3</v>
      </c>
    </row>
    <row r="948" spans="1:3" x14ac:dyDescent="0.25">
      <c r="A948">
        <v>102</v>
      </c>
      <c r="B948">
        <v>42</v>
      </c>
      <c r="C948">
        <v>2</v>
      </c>
    </row>
    <row r="949" spans="1:3" x14ac:dyDescent="0.25">
      <c r="A949">
        <v>125</v>
      </c>
      <c r="B949">
        <v>42</v>
      </c>
      <c r="C949">
        <v>1</v>
      </c>
    </row>
    <row r="950" spans="1:3" x14ac:dyDescent="0.25">
      <c r="A950">
        <v>132</v>
      </c>
      <c r="B950">
        <v>42</v>
      </c>
      <c r="C950">
        <v>3</v>
      </c>
    </row>
    <row r="951" spans="1:3" x14ac:dyDescent="0.25">
      <c r="A951">
        <v>143</v>
      </c>
      <c r="B951">
        <v>42</v>
      </c>
      <c r="C951">
        <v>3</v>
      </c>
    </row>
    <row r="952" spans="1:3" x14ac:dyDescent="0.25">
      <c r="A952">
        <v>156</v>
      </c>
      <c r="B952">
        <v>42</v>
      </c>
      <c r="C952">
        <v>2</v>
      </c>
    </row>
    <row r="953" spans="1:3" x14ac:dyDescent="0.25">
      <c r="A953">
        <v>175</v>
      </c>
      <c r="B953">
        <v>42</v>
      </c>
      <c r="C953">
        <v>4</v>
      </c>
    </row>
    <row r="954" spans="1:3" x14ac:dyDescent="0.25">
      <c r="A954">
        <v>178</v>
      </c>
      <c r="B954">
        <v>42</v>
      </c>
      <c r="C954">
        <v>3</v>
      </c>
    </row>
    <row r="955" spans="1:3" x14ac:dyDescent="0.25">
      <c r="A955">
        <v>186</v>
      </c>
      <c r="B955">
        <v>42</v>
      </c>
      <c r="C955">
        <v>4</v>
      </c>
    </row>
    <row r="956" spans="1:3" x14ac:dyDescent="0.25">
      <c r="A956">
        <v>187</v>
      </c>
      <c r="B956">
        <v>42</v>
      </c>
      <c r="C956">
        <v>5</v>
      </c>
    </row>
    <row r="957" spans="1:3" x14ac:dyDescent="0.25">
      <c r="A957">
        <v>188</v>
      </c>
      <c r="B957">
        <v>42</v>
      </c>
      <c r="C957">
        <v>1</v>
      </c>
    </row>
    <row r="958" spans="1:3" x14ac:dyDescent="0.25">
      <c r="A958">
        <v>216</v>
      </c>
      <c r="B958">
        <v>42</v>
      </c>
      <c r="C958">
        <v>3</v>
      </c>
    </row>
    <row r="959" spans="1:3" x14ac:dyDescent="0.25">
      <c r="A959">
        <v>224</v>
      </c>
      <c r="B959">
        <v>42</v>
      </c>
      <c r="C959">
        <v>4</v>
      </c>
    </row>
    <row r="960" spans="1:3" x14ac:dyDescent="0.25">
      <c r="A960">
        <v>224</v>
      </c>
      <c r="B960">
        <v>42</v>
      </c>
      <c r="C960">
        <v>1</v>
      </c>
    </row>
    <row r="961" spans="1:3" x14ac:dyDescent="0.25">
      <c r="A961">
        <v>225</v>
      </c>
      <c r="B961">
        <v>42</v>
      </c>
      <c r="C961">
        <v>2</v>
      </c>
    </row>
    <row r="962" spans="1:3" x14ac:dyDescent="0.25">
      <c r="A962">
        <v>241</v>
      </c>
      <c r="B962">
        <v>42</v>
      </c>
      <c r="C962">
        <v>1</v>
      </c>
    </row>
    <row r="963" spans="1:3" x14ac:dyDescent="0.25">
      <c r="A963">
        <v>276</v>
      </c>
      <c r="B963">
        <v>42</v>
      </c>
      <c r="C963">
        <v>3</v>
      </c>
    </row>
    <row r="964" spans="1:3" x14ac:dyDescent="0.25">
      <c r="A964">
        <v>289</v>
      </c>
      <c r="B964">
        <v>42</v>
      </c>
      <c r="C964">
        <v>2</v>
      </c>
    </row>
    <row r="965" spans="1:3" x14ac:dyDescent="0.25">
      <c r="A965">
        <v>289</v>
      </c>
      <c r="B965">
        <v>42</v>
      </c>
      <c r="C965">
        <v>3</v>
      </c>
    </row>
    <row r="966" spans="1:3" x14ac:dyDescent="0.25">
      <c r="A966">
        <v>295</v>
      </c>
      <c r="B966">
        <v>42</v>
      </c>
      <c r="C966">
        <v>3</v>
      </c>
    </row>
    <row r="967" spans="1:3" x14ac:dyDescent="0.25">
      <c r="A967">
        <v>4</v>
      </c>
      <c r="B967">
        <v>43</v>
      </c>
      <c r="C967">
        <v>5</v>
      </c>
    </row>
    <row r="968" spans="1:3" x14ac:dyDescent="0.25">
      <c r="A968">
        <v>31</v>
      </c>
      <c r="B968">
        <v>43</v>
      </c>
      <c r="C968">
        <v>3</v>
      </c>
    </row>
    <row r="969" spans="1:3" x14ac:dyDescent="0.25">
      <c r="A969">
        <v>36</v>
      </c>
      <c r="B969">
        <v>43</v>
      </c>
      <c r="C969">
        <v>4</v>
      </c>
    </row>
    <row r="970" spans="1:3" x14ac:dyDescent="0.25">
      <c r="A970">
        <v>37</v>
      </c>
      <c r="B970">
        <v>43</v>
      </c>
      <c r="C970">
        <v>5</v>
      </c>
    </row>
    <row r="971" spans="1:3" x14ac:dyDescent="0.25">
      <c r="A971">
        <v>46</v>
      </c>
      <c r="B971">
        <v>43</v>
      </c>
      <c r="C971">
        <v>3</v>
      </c>
    </row>
    <row r="972" spans="1:3" x14ac:dyDescent="0.25">
      <c r="A972">
        <v>53</v>
      </c>
      <c r="B972">
        <v>43</v>
      </c>
      <c r="C972">
        <v>2</v>
      </c>
    </row>
    <row r="973" spans="1:3" x14ac:dyDescent="0.25">
      <c r="A973">
        <v>55</v>
      </c>
      <c r="B973">
        <v>43</v>
      </c>
      <c r="C973">
        <v>3</v>
      </c>
    </row>
    <row r="974" spans="1:3" x14ac:dyDescent="0.25">
      <c r="A974">
        <v>61</v>
      </c>
      <c r="B974">
        <v>43</v>
      </c>
      <c r="C974">
        <v>3</v>
      </c>
    </row>
    <row r="975" spans="1:3" x14ac:dyDescent="0.25">
      <c r="A975">
        <v>62</v>
      </c>
      <c r="B975">
        <v>43</v>
      </c>
      <c r="C975">
        <v>2</v>
      </c>
    </row>
    <row r="976" spans="1:3" x14ac:dyDescent="0.25">
      <c r="A976">
        <v>66</v>
      </c>
      <c r="B976">
        <v>43</v>
      </c>
      <c r="C976">
        <v>1</v>
      </c>
    </row>
    <row r="977" spans="1:3" x14ac:dyDescent="0.25">
      <c r="A977">
        <v>87</v>
      </c>
      <c r="B977">
        <v>43</v>
      </c>
      <c r="C977">
        <v>1</v>
      </c>
    </row>
    <row r="978" spans="1:3" x14ac:dyDescent="0.25">
      <c r="A978">
        <v>93</v>
      </c>
      <c r="B978">
        <v>43</v>
      </c>
      <c r="C978">
        <v>1</v>
      </c>
    </row>
    <row r="979" spans="1:3" x14ac:dyDescent="0.25">
      <c r="A979">
        <v>108</v>
      </c>
      <c r="B979">
        <v>43</v>
      </c>
      <c r="C979">
        <v>1</v>
      </c>
    </row>
    <row r="980" spans="1:3" x14ac:dyDescent="0.25">
      <c r="A980">
        <v>116</v>
      </c>
      <c r="B980">
        <v>43</v>
      </c>
      <c r="C980">
        <v>3</v>
      </c>
    </row>
    <row r="981" spans="1:3" x14ac:dyDescent="0.25">
      <c r="A981">
        <v>126</v>
      </c>
      <c r="B981">
        <v>43</v>
      </c>
      <c r="C981">
        <v>1</v>
      </c>
    </row>
    <row r="982" spans="1:3" x14ac:dyDescent="0.25">
      <c r="A982">
        <v>129</v>
      </c>
      <c r="B982">
        <v>43</v>
      </c>
      <c r="C982">
        <v>5</v>
      </c>
    </row>
    <row r="983" spans="1:3" x14ac:dyDescent="0.25">
      <c r="A983">
        <v>130</v>
      </c>
      <c r="B983">
        <v>43</v>
      </c>
      <c r="C983">
        <v>2</v>
      </c>
    </row>
    <row r="984" spans="1:3" x14ac:dyDescent="0.25">
      <c r="A984">
        <v>172</v>
      </c>
      <c r="B984">
        <v>43</v>
      </c>
      <c r="C984">
        <v>3</v>
      </c>
    </row>
    <row r="985" spans="1:3" x14ac:dyDescent="0.25">
      <c r="A985">
        <v>200</v>
      </c>
      <c r="B985">
        <v>43</v>
      </c>
      <c r="C985">
        <v>2</v>
      </c>
    </row>
    <row r="986" spans="1:3" x14ac:dyDescent="0.25">
      <c r="A986">
        <v>203</v>
      </c>
      <c r="B986">
        <v>43</v>
      </c>
      <c r="C986">
        <v>3</v>
      </c>
    </row>
    <row r="987" spans="1:3" x14ac:dyDescent="0.25">
      <c r="A987">
        <v>207</v>
      </c>
      <c r="B987">
        <v>43</v>
      </c>
      <c r="C987">
        <v>2</v>
      </c>
    </row>
    <row r="988" spans="1:3" x14ac:dyDescent="0.25">
      <c r="A988">
        <v>211</v>
      </c>
      <c r="B988">
        <v>43</v>
      </c>
      <c r="C988">
        <v>2</v>
      </c>
    </row>
    <row r="989" spans="1:3" x14ac:dyDescent="0.25">
      <c r="A989">
        <v>216</v>
      </c>
      <c r="B989">
        <v>43</v>
      </c>
      <c r="C989">
        <v>4</v>
      </c>
    </row>
    <row r="990" spans="1:3" x14ac:dyDescent="0.25">
      <c r="A990">
        <v>222</v>
      </c>
      <c r="B990">
        <v>43</v>
      </c>
      <c r="C990">
        <v>1</v>
      </c>
    </row>
    <row r="991" spans="1:3" x14ac:dyDescent="0.25">
      <c r="A991">
        <v>237</v>
      </c>
      <c r="B991">
        <v>43</v>
      </c>
      <c r="C991">
        <v>2</v>
      </c>
    </row>
    <row r="992" spans="1:3" x14ac:dyDescent="0.25">
      <c r="A992">
        <v>257</v>
      </c>
      <c r="B992">
        <v>43</v>
      </c>
      <c r="C992">
        <v>4</v>
      </c>
    </row>
    <row r="993" spans="1:3" x14ac:dyDescent="0.25">
      <c r="A993">
        <v>262</v>
      </c>
      <c r="B993">
        <v>43</v>
      </c>
      <c r="C993">
        <v>4</v>
      </c>
    </row>
    <row r="994" spans="1:3" x14ac:dyDescent="0.25">
      <c r="A994">
        <v>277</v>
      </c>
      <c r="B994">
        <v>43</v>
      </c>
      <c r="C994">
        <v>2</v>
      </c>
    </row>
    <row r="995" spans="1:3" x14ac:dyDescent="0.25">
      <c r="A995">
        <v>293</v>
      </c>
      <c r="B995">
        <v>43</v>
      </c>
      <c r="C995">
        <v>4</v>
      </c>
    </row>
    <row r="996" spans="1:3" x14ac:dyDescent="0.25">
      <c r="A996">
        <v>294</v>
      </c>
      <c r="B996">
        <v>43</v>
      </c>
      <c r="C996">
        <v>1</v>
      </c>
    </row>
    <row r="997" spans="1:3" x14ac:dyDescent="0.25">
      <c r="A997">
        <v>4</v>
      </c>
      <c r="B997">
        <v>44</v>
      </c>
      <c r="C997">
        <v>2</v>
      </c>
    </row>
    <row r="998" spans="1:3" x14ac:dyDescent="0.25">
      <c r="A998">
        <v>21</v>
      </c>
      <c r="B998">
        <v>44</v>
      </c>
      <c r="C998">
        <v>2</v>
      </c>
    </row>
    <row r="999" spans="1:3" x14ac:dyDescent="0.25">
      <c r="A999">
        <v>42</v>
      </c>
      <c r="B999">
        <v>44</v>
      </c>
      <c r="C999">
        <v>4</v>
      </c>
    </row>
    <row r="1000" spans="1:3" x14ac:dyDescent="0.25">
      <c r="A1000">
        <v>65</v>
      </c>
      <c r="B1000">
        <v>44</v>
      </c>
      <c r="C1000">
        <v>5</v>
      </c>
    </row>
    <row r="1001" spans="1:3" x14ac:dyDescent="0.25">
      <c r="A1001">
        <v>69</v>
      </c>
      <c r="B1001">
        <v>44</v>
      </c>
      <c r="C1001">
        <v>2</v>
      </c>
    </row>
    <row r="1002" spans="1:3" x14ac:dyDescent="0.25">
      <c r="A1002">
        <v>74</v>
      </c>
      <c r="B1002">
        <v>44</v>
      </c>
      <c r="C1002">
        <v>5</v>
      </c>
    </row>
    <row r="1003" spans="1:3" x14ac:dyDescent="0.25">
      <c r="A1003">
        <v>86</v>
      </c>
      <c r="B1003">
        <v>44</v>
      </c>
      <c r="C1003">
        <v>5</v>
      </c>
    </row>
    <row r="1004" spans="1:3" x14ac:dyDescent="0.25">
      <c r="A1004">
        <v>99</v>
      </c>
      <c r="B1004">
        <v>44</v>
      </c>
      <c r="C1004">
        <v>3</v>
      </c>
    </row>
    <row r="1005" spans="1:3" x14ac:dyDescent="0.25">
      <c r="A1005">
        <v>130</v>
      </c>
      <c r="B1005">
        <v>44</v>
      </c>
      <c r="C1005">
        <v>3</v>
      </c>
    </row>
    <row r="1006" spans="1:3" x14ac:dyDescent="0.25">
      <c r="A1006">
        <v>146</v>
      </c>
      <c r="B1006">
        <v>44</v>
      </c>
      <c r="C1006">
        <v>5</v>
      </c>
    </row>
    <row r="1007" spans="1:3" x14ac:dyDescent="0.25">
      <c r="A1007">
        <v>150</v>
      </c>
      <c r="B1007">
        <v>44</v>
      </c>
      <c r="C1007">
        <v>3</v>
      </c>
    </row>
    <row r="1008" spans="1:3" x14ac:dyDescent="0.25">
      <c r="A1008">
        <v>182</v>
      </c>
      <c r="B1008">
        <v>44</v>
      </c>
      <c r="C1008">
        <v>3</v>
      </c>
    </row>
    <row r="1009" spans="1:3" x14ac:dyDescent="0.25">
      <c r="A1009">
        <v>189</v>
      </c>
      <c r="B1009">
        <v>44</v>
      </c>
      <c r="C1009">
        <v>3</v>
      </c>
    </row>
    <row r="1010" spans="1:3" x14ac:dyDescent="0.25">
      <c r="A1010">
        <v>194</v>
      </c>
      <c r="B1010">
        <v>44</v>
      </c>
      <c r="C1010">
        <v>5</v>
      </c>
    </row>
    <row r="1011" spans="1:3" x14ac:dyDescent="0.25">
      <c r="A1011">
        <v>240</v>
      </c>
      <c r="B1011">
        <v>44</v>
      </c>
      <c r="C1011">
        <v>3</v>
      </c>
    </row>
    <row r="1012" spans="1:3" x14ac:dyDescent="0.25">
      <c r="A1012">
        <v>241</v>
      </c>
      <c r="B1012">
        <v>44</v>
      </c>
      <c r="C1012">
        <v>5</v>
      </c>
    </row>
    <row r="1013" spans="1:3" x14ac:dyDescent="0.25">
      <c r="A1013">
        <v>249</v>
      </c>
      <c r="B1013">
        <v>44</v>
      </c>
      <c r="C1013">
        <v>3</v>
      </c>
    </row>
    <row r="1014" spans="1:3" x14ac:dyDescent="0.25">
      <c r="A1014">
        <v>261</v>
      </c>
      <c r="B1014">
        <v>44</v>
      </c>
      <c r="C1014">
        <v>4</v>
      </c>
    </row>
    <row r="1015" spans="1:3" x14ac:dyDescent="0.25">
      <c r="A1015">
        <v>280</v>
      </c>
      <c r="B1015">
        <v>44</v>
      </c>
      <c r="C1015">
        <v>4</v>
      </c>
    </row>
    <row r="1016" spans="1:3" x14ac:dyDescent="0.25">
      <c r="A1016">
        <v>8</v>
      </c>
      <c r="B1016">
        <v>45</v>
      </c>
      <c r="C1016">
        <v>2</v>
      </c>
    </row>
    <row r="1017" spans="1:3" x14ac:dyDescent="0.25">
      <c r="A1017">
        <v>21</v>
      </c>
      <c r="B1017">
        <v>45</v>
      </c>
      <c r="C1017">
        <v>2</v>
      </c>
    </row>
    <row r="1018" spans="1:3" x14ac:dyDescent="0.25">
      <c r="A1018">
        <v>30</v>
      </c>
      <c r="B1018">
        <v>45</v>
      </c>
      <c r="C1018">
        <v>3</v>
      </c>
    </row>
    <row r="1019" spans="1:3" x14ac:dyDescent="0.25">
      <c r="A1019">
        <v>41</v>
      </c>
      <c r="B1019">
        <v>45</v>
      </c>
      <c r="C1019">
        <v>4</v>
      </c>
    </row>
    <row r="1020" spans="1:3" x14ac:dyDescent="0.25">
      <c r="A1020">
        <v>45</v>
      </c>
      <c r="B1020">
        <v>45</v>
      </c>
      <c r="C1020">
        <v>2</v>
      </c>
    </row>
    <row r="1021" spans="1:3" x14ac:dyDescent="0.25">
      <c r="A1021">
        <v>51</v>
      </c>
      <c r="B1021">
        <v>45</v>
      </c>
      <c r="C1021">
        <v>2</v>
      </c>
    </row>
    <row r="1022" spans="1:3" x14ac:dyDescent="0.25">
      <c r="A1022">
        <v>53</v>
      </c>
      <c r="B1022">
        <v>45</v>
      </c>
      <c r="C1022">
        <v>5</v>
      </c>
    </row>
    <row r="1023" spans="1:3" x14ac:dyDescent="0.25">
      <c r="A1023">
        <v>57</v>
      </c>
      <c r="B1023">
        <v>45</v>
      </c>
      <c r="C1023">
        <v>3</v>
      </c>
    </row>
    <row r="1024" spans="1:3" x14ac:dyDescent="0.25">
      <c r="A1024">
        <v>85</v>
      </c>
      <c r="B1024">
        <v>45</v>
      </c>
      <c r="C1024">
        <v>5</v>
      </c>
    </row>
    <row r="1025" spans="1:3" x14ac:dyDescent="0.25">
      <c r="A1025">
        <v>87</v>
      </c>
      <c r="B1025">
        <v>45</v>
      </c>
      <c r="C1025">
        <v>3</v>
      </c>
    </row>
    <row r="1026" spans="1:3" x14ac:dyDescent="0.25">
      <c r="A1026">
        <v>94</v>
      </c>
      <c r="B1026">
        <v>45</v>
      </c>
      <c r="C1026">
        <v>5</v>
      </c>
    </row>
    <row r="1027" spans="1:3" x14ac:dyDescent="0.25">
      <c r="A1027">
        <v>99</v>
      </c>
      <c r="B1027">
        <v>45</v>
      </c>
      <c r="C1027">
        <v>3</v>
      </c>
    </row>
    <row r="1028" spans="1:3" x14ac:dyDescent="0.25">
      <c r="A1028">
        <v>124</v>
      </c>
      <c r="B1028">
        <v>45</v>
      </c>
      <c r="C1028">
        <v>3</v>
      </c>
    </row>
    <row r="1029" spans="1:3" x14ac:dyDescent="0.25">
      <c r="A1029">
        <v>124</v>
      </c>
      <c r="B1029">
        <v>45</v>
      </c>
      <c r="C1029">
        <v>1</v>
      </c>
    </row>
    <row r="1030" spans="1:3" x14ac:dyDescent="0.25">
      <c r="A1030">
        <v>128</v>
      </c>
      <c r="B1030">
        <v>45</v>
      </c>
      <c r="C1030">
        <v>1</v>
      </c>
    </row>
    <row r="1031" spans="1:3" x14ac:dyDescent="0.25">
      <c r="A1031">
        <v>149</v>
      </c>
      <c r="B1031">
        <v>45</v>
      </c>
      <c r="C1031">
        <v>3</v>
      </c>
    </row>
    <row r="1032" spans="1:3" x14ac:dyDescent="0.25">
      <c r="A1032">
        <v>156</v>
      </c>
      <c r="B1032">
        <v>45</v>
      </c>
      <c r="C1032">
        <v>3</v>
      </c>
    </row>
    <row r="1033" spans="1:3" x14ac:dyDescent="0.25">
      <c r="A1033">
        <v>168</v>
      </c>
      <c r="B1033">
        <v>45</v>
      </c>
      <c r="C1033">
        <v>1</v>
      </c>
    </row>
    <row r="1034" spans="1:3" x14ac:dyDescent="0.25">
      <c r="A1034">
        <v>178</v>
      </c>
      <c r="B1034">
        <v>45</v>
      </c>
      <c r="C1034">
        <v>4</v>
      </c>
    </row>
    <row r="1035" spans="1:3" x14ac:dyDescent="0.25">
      <c r="A1035">
        <v>182</v>
      </c>
      <c r="B1035">
        <v>45</v>
      </c>
      <c r="C1035">
        <v>4</v>
      </c>
    </row>
    <row r="1036" spans="1:3" x14ac:dyDescent="0.25">
      <c r="A1036">
        <v>192</v>
      </c>
      <c r="B1036">
        <v>45</v>
      </c>
      <c r="C1036">
        <v>2</v>
      </c>
    </row>
    <row r="1037" spans="1:3" x14ac:dyDescent="0.25">
      <c r="A1037">
        <v>198</v>
      </c>
      <c r="B1037">
        <v>45</v>
      </c>
      <c r="C1037">
        <v>3</v>
      </c>
    </row>
    <row r="1038" spans="1:3" x14ac:dyDescent="0.25">
      <c r="A1038">
        <v>207</v>
      </c>
      <c r="B1038">
        <v>45</v>
      </c>
      <c r="C1038">
        <v>2</v>
      </c>
    </row>
    <row r="1039" spans="1:3" x14ac:dyDescent="0.25">
      <c r="A1039">
        <v>235</v>
      </c>
      <c r="B1039">
        <v>45</v>
      </c>
      <c r="C1039">
        <v>1</v>
      </c>
    </row>
    <row r="1040" spans="1:3" x14ac:dyDescent="0.25">
      <c r="A1040">
        <v>241</v>
      </c>
      <c r="B1040">
        <v>45</v>
      </c>
      <c r="C1040">
        <v>3</v>
      </c>
    </row>
    <row r="1041" spans="1:3" x14ac:dyDescent="0.25">
      <c r="A1041">
        <v>242</v>
      </c>
      <c r="B1041">
        <v>45</v>
      </c>
      <c r="C1041">
        <v>2</v>
      </c>
    </row>
    <row r="1042" spans="1:3" x14ac:dyDescent="0.25">
      <c r="A1042">
        <v>250</v>
      </c>
      <c r="B1042">
        <v>45</v>
      </c>
      <c r="C1042">
        <v>2</v>
      </c>
    </row>
    <row r="1043" spans="1:3" x14ac:dyDescent="0.25">
      <c r="A1043">
        <v>276</v>
      </c>
      <c r="B1043">
        <v>45</v>
      </c>
      <c r="C1043">
        <v>2</v>
      </c>
    </row>
    <row r="1044" spans="1:3" x14ac:dyDescent="0.25">
      <c r="A1044">
        <v>12</v>
      </c>
      <c r="B1044">
        <v>46</v>
      </c>
      <c r="C1044">
        <v>4</v>
      </c>
    </row>
    <row r="1045" spans="1:3" x14ac:dyDescent="0.25">
      <c r="A1045">
        <v>18</v>
      </c>
      <c r="B1045">
        <v>46</v>
      </c>
      <c r="C1045">
        <v>4</v>
      </c>
    </row>
    <row r="1046" spans="1:3" x14ac:dyDescent="0.25">
      <c r="A1046">
        <v>20</v>
      </c>
      <c r="B1046">
        <v>46</v>
      </c>
      <c r="C1046">
        <v>3</v>
      </c>
    </row>
    <row r="1047" spans="1:3" x14ac:dyDescent="0.25">
      <c r="A1047">
        <v>27</v>
      </c>
      <c r="B1047">
        <v>46</v>
      </c>
      <c r="C1047">
        <v>3</v>
      </c>
    </row>
    <row r="1048" spans="1:3" x14ac:dyDescent="0.25">
      <c r="A1048">
        <v>34</v>
      </c>
      <c r="B1048">
        <v>46</v>
      </c>
      <c r="C1048">
        <v>5</v>
      </c>
    </row>
    <row r="1049" spans="1:3" x14ac:dyDescent="0.25">
      <c r="A1049">
        <v>50</v>
      </c>
      <c r="B1049">
        <v>46</v>
      </c>
      <c r="C1049">
        <v>2</v>
      </c>
    </row>
    <row r="1050" spans="1:3" x14ac:dyDescent="0.25">
      <c r="A1050">
        <v>51</v>
      </c>
      <c r="B1050">
        <v>46</v>
      </c>
      <c r="C1050">
        <v>2</v>
      </c>
    </row>
    <row r="1051" spans="1:3" x14ac:dyDescent="0.25">
      <c r="A1051">
        <v>95</v>
      </c>
      <c r="B1051">
        <v>46</v>
      </c>
      <c r="C1051">
        <v>5</v>
      </c>
    </row>
    <row r="1052" spans="1:3" x14ac:dyDescent="0.25">
      <c r="A1052">
        <v>106</v>
      </c>
      <c r="B1052">
        <v>46</v>
      </c>
      <c r="C1052">
        <v>5</v>
      </c>
    </row>
    <row r="1053" spans="1:3" x14ac:dyDescent="0.25">
      <c r="A1053">
        <v>113</v>
      </c>
      <c r="B1053">
        <v>46</v>
      </c>
      <c r="C1053">
        <v>1</v>
      </c>
    </row>
    <row r="1054" spans="1:3" x14ac:dyDescent="0.25">
      <c r="A1054">
        <v>140</v>
      </c>
      <c r="B1054">
        <v>46</v>
      </c>
      <c r="C1054">
        <v>4</v>
      </c>
    </row>
    <row r="1055" spans="1:3" x14ac:dyDescent="0.25">
      <c r="A1055">
        <v>142</v>
      </c>
      <c r="B1055">
        <v>46</v>
      </c>
      <c r="C1055">
        <v>3</v>
      </c>
    </row>
    <row r="1056" spans="1:3" x14ac:dyDescent="0.25">
      <c r="A1056">
        <v>147</v>
      </c>
      <c r="B1056">
        <v>46</v>
      </c>
      <c r="C1056">
        <v>1</v>
      </c>
    </row>
    <row r="1057" spans="1:3" x14ac:dyDescent="0.25">
      <c r="A1057">
        <v>168</v>
      </c>
      <c r="B1057">
        <v>46</v>
      </c>
      <c r="C1057">
        <v>2</v>
      </c>
    </row>
    <row r="1058" spans="1:3" x14ac:dyDescent="0.25">
      <c r="A1058">
        <v>183</v>
      </c>
      <c r="B1058">
        <v>46</v>
      </c>
      <c r="C1058">
        <v>1</v>
      </c>
    </row>
    <row r="1059" spans="1:3" x14ac:dyDescent="0.25">
      <c r="A1059">
        <v>195</v>
      </c>
      <c r="B1059">
        <v>46</v>
      </c>
      <c r="C1059">
        <v>3</v>
      </c>
    </row>
    <row r="1060" spans="1:3" x14ac:dyDescent="0.25">
      <c r="A1060">
        <v>203</v>
      </c>
      <c r="B1060">
        <v>46</v>
      </c>
      <c r="C1060">
        <v>3</v>
      </c>
    </row>
    <row r="1061" spans="1:3" x14ac:dyDescent="0.25">
      <c r="A1061">
        <v>230</v>
      </c>
      <c r="B1061">
        <v>46</v>
      </c>
      <c r="C1061">
        <v>1</v>
      </c>
    </row>
    <row r="1062" spans="1:3" x14ac:dyDescent="0.25">
      <c r="A1062">
        <v>242</v>
      </c>
      <c r="B1062">
        <v>46</v>
      </c>
      <c r="C1062">
        <v>1</v>
      </c>
    </row>
    <row r="1063" spans="1:3" x14ac:dyDescent="0.25">
      <c r="A1063">
        <v>255</v>
      </c>
      <c r="B1063">
        <v>46</v>
      </c>
      <c r="C1063">
        <v>3</v>
      </c>
    </row>
    <row r="1064" spans="1:3" x14ac:dyDescent="0.25">
      <c r="A1064">
        <v>260</v>
      </c>
      <c r="B1064">
        <v>46</v>
      </c>
      <c r="C1064">
        <v>3</v>
      </c>
    </row>
    <row r="1065" spans="1:3" x14ac:dyDescent="0.25">
      <c r="A1065">
        <v>273</v>
      </c>
      <c r="B1065">
        <v>46</v>
      </c>
      <c r="C1065">
        <v>2</v>
      </c>
    </row>
    <row r="1066" spans="1:3" x14ac:dyDescent="0.25">
      <c r="A1066">
        <v>276</v>
      </c>
      <c r="B1066">
        <v>46</v>
      </c>
      <c r="C1066">
        <v>3</v>
      </c>
    </row>
    <row r="1067" spans="1:3" x14ac:dyDescent="0.25">
      <c r="A1067">
        <v>17</v>
      </c>
      <c r="B1067">
        <v>47</v>
      </c>
      <c r="C1067">
        <v>4</v>
      </c>
    </row>
    <row r="1068" spans="1:3" x14ac:dyDescent="0.25">
      <c r="A1068">
        <v>52</v>
      </c>
      <c r="B1068">
        <v>47</v>
      </c>
      <c r="C1068">
        <v>5</v>
      </c>
    </row>
    <row r="1069" spans="1:3" x14ac:dyDescent="0.25">
      <c r="A1069">
        <v>58</v>
      </c>
      <c r="B1069">
        <v>47</v>
      </c>
      <c r="C1069">
        <v>2</v>
      </c>
    </row>
    <row r="1070" spans="1:3" x14ac:dyDescent="0.25">
      <c r="A1070">
        <v>62</v>
      </c>
      <c r="B1070">
        <v>47</v>
      </c>
      <c r="C1070">
        <v>5</v>
      </c>
    </row>
    <row r="1071" spans="1:3" x14ac:dyDescent="0.25">
      <c r="A1071">
        <v>73</v>
      </c>
      <c r="B1071">
        <v>47</v>
      </c>
      <c r="C1071">
        <v>1</v>
      </c>
    </row>
    <row r="1072" spans="1:3" x14ac:dyDescent="0.25">
      <c r="A1072">
        <v>76</v>
      </c>
      <c r="B1072">
        <v>47</v>
      </c>
      <c r="C1072">
        <v>2</v>
      </c>
    </row>
    <row r="1073" spans="1:3" x14ac:dyDescent="0.25">
      <c r="A1073">
        <v>95</v>
      </c>
      <c r="B1073">
        <v>47</v>
      </c>
      <c r="C1073">
        <v>3</v>
      </c>
    </row>
    <row r="1074" spans="1:3" x14ac:dyDescent="0.25">
      <c r="A1074">
        <v>109</v>
      </c>
      <c r="B1074">
        <v>47</v>
      </c>
      <c r="C1074">
        <v>2</v>
      </c>
    </row>
    <row r="1075" spans="1:3" x14ac:dyDescent="0.25">
      <c r="A1075">
        <v>113</v>
      </c>
      <c r="B1075">
        <v>47</v>
      </c>
      <c r="C1075">
        <v>4</v>
      </c>
    </row>
    <row r="1076" spans="1:3" x14ac:dyDescent="0.25">
      <c r="A1076">
        <v>114</v>
      </c>
      <c r="B1076">
        <v>47</v>
      </c>
      <c r="C1076">
        <v>3</v>
      </c>
    </row>
    <row r="1077" spans="1:3" x14ac:dyDescent="0.25">
      <c r="A1077">
        <v>133</v>
      </c>
      <c r="B1077">
        <v>47</v>
      </c>
      <c r="C1077">
        <v>3</v>
      </c>
    </row>
    <row r="1078" spans="1:3" x14ac:dyDescent="0.25">
      <c r="A1078">
        <v>163</v>
      </c>
      <c r="B1078">
        <v>47</v>
      </c>
      <c r="C1078">
        <v>4</v>
      </c>
    </row>
    <row r="1079" spans="1:3" x14ac:dyDescent="0.25">
      <c r="A1079">
        <v>179</v>
      </c>
      <c r="B1079">
        <v>47</v>
      </c>
      <c r="C1079">
        <v>4</v>
      </c>
    </row>
    <row r="1080" spans="1:3" x14ac:dyDescent="0.25">
      <c r="A1080">
        <v>180</v>
      </c>
      <c r="B1080">
        <v>47</v>
      </c>
      <c r="C1080">
        <v>3</v>
      </c>
    </row>
    <row r="1081" spans="1:3" x14ac:dyDescent="0.25">
      <c r="A1081">
        <v>193</v>
      </c>
      <c r="B1081">
        <v>47</v>
      </c>
      <c r="C1081">
        <v>2</v>
      </c>
    </row>
    <row r="1082" spans="1:3" x14ac:dyDescent="0.25">
      <c r="A1082">
        <v>199</v>
      </c>
      <c r="B1082">
        <v>47</v>
      </c>
      <c r="C1082">
        <v>4</v>
      </c>
    </row>
    <row r="1083" spans="1:3" x14ac:dyDescent="0.25">
      <c r="A1083">
        <v>205</v>
      </c>
      <c r="B1083">
        <v>47</v>
      </c>
      <c r="C1083">
        <v>4</v>
      </c>
    </row>
    <row r="1084" spans="1:3" x14ac:dyDescent="0.25">
      <c r="A1084">
        <v>234</v>
      </c>
      <c r="B1084">
        <v>47</v>
      </c>
      <c r="C1084">
        <v>1</v>
      </c>
    </row>
    <row r="1085" spans="1:3" x14ac:dyDescent="0.25">
      <c r="A1085">
        <v>238</v>
      </c>
      <c r="B1085">
        <v>47</v>
      </c>
      <c r="C1085">
        <v>3</v>
      </c>
    </row>
    <row r="1086" spans="1:3" x14ac:dyDescent="0.25">
      <c r="A1086">
        <v>249</v>
      </c>
      <c r="B1086">
        <v>47</v>
      </c>
      <c r="C1086">
        <v>1</v>
      </c>
    </row>
    <row r="1087" spans="1:3" x14ac:dyDescent="0.25">
      <c r="A1087">
        <v>262</v>
      </c>
      <c r="B1087">
        <v>47</v>
      </c>
      <c r="C1087">
        <v>1</v>
      </c>
    </row>
    <row r="1088" spans="1:3" x14ac:dyDescent="0.25">
      <c r="A1088">
        <v>267</v>
      </c>
      <c r="B1088">
        <v>47</v>
      </c>
      <c r="C1088">
        <v>4</v>
      </c>
    </row>
    <row r="1089" spans="1:3" x14ac:dyDescent="0.25">
      <c r="A1089">
        <v>268</v>
      </c>
      <c r="B1089">
        <v>47</v>
      </c>
      <c r="C1089">
        <v>4</v>
      </c>
    </row>
    <row r="1090" spans="1:3" x14ac:dyDescent="0.25">
      <c r="A1090">
        <v>276</v>
      </c>
      <c r="B1090">
        <v>47</v>
      </c>
      <c r="C1090">
        <v>2</v>
      </c>
    </row>
    <row r="1091" spans="1:3" x14ac:dyDescent="0.25">
      <c r="A1091">
        <v>277</v>
      </c>
      <c r="B1091">
        <v>47</v>
      </c>
      <c r="C1091">
        <v>5</v>
      </c>
    </row>
    <row r="1092" spans="1:3" x14ac:dyDescent="0.25">
      <c r="A1092">
        <v>280</v>
      </c>
      <c r="B1092">
        <v>47</v>
      </c>
      <c r="C1092">
        <v>4</v>
      </c>
    </row>
    <row r="1093" spans="1:3" x14ac:dyDescent="0.25">
      <c r="A1093">
        <v>287</v>
      </c>
      <c r="B1093">
        <v>47</v>
      </c>
      <c r="C1093">
        <v>2</v>
      </c>
    </row>
    <row r="1094" spans="1:3" x14ac:dyDescent="0.25">
      <c r="A1094">
        <v>290</v>
      </c>
      <c r="B1094">
        <v>47</v>
      </c>
      <c r="C1094">
        <v>2</v>
      </c>
    </row>
    <row r="1095" spans="1:3" x14ac:dyDescent="0.25">
      <c r="A1095">
        <v>299</v>
      </c>
      <c r="B1095">
        <v>47</v>
      </c>
      <c r="C1095">
        <v>2</v>
      </c>
    </row>
    <row r="1096" spans="1:3" x14ac:dyDescent="0.25">
      <c r="A1096">
        <v>1</v>
      </c>
      <c r="B1096">
        <v>48</v>
      </c>
      <c r="C1096">
        <v>2</v>
      </c>
    </row>
    <row r="1097" spans="1:3" x14ac:dyDescent="0.25">
      <c r="A1097">
        <v>3</v>
      </c>
      <c r="B1097">
        <v>48</v>
      </c>
      <c r="C1097">
        <v>2</v>
      </c>
    </row>
    <row r="1098" spans="1:3" x14ac:dyDescent="0.25">
      <c r="A1098">
        <v>27</v>
      </c>
      <c r="B1098">
        <v>48</v>
      </c>
      <c r="C1098">
        <v>3</v>
      </c>
    </row>
    <row r="1099" spans="1:3" x14ac:dyDescent="0.25">
      <c r="A1099">
        <v>42</v>
      </c>
      <c r="B1099">
        <v>48</v>
      </c>
      <c r="C1099">
        <v>3</v>
      </c>
    </row>
    <row r="1100" spans="1:3" x14ac:dyDescent="0.25">
      <c r="A1100">
        <v>53</v>
      </c>
      <c r="B1100">
        <v>48</v>
      </c>
      <c r="C1100">
        <v>4</v>
      </c>
    </row>
    <row r="1101" spans="1:3" x14ac:dyDescent="0.25">
      <c r="A1101">
        <v>53</v>
      </c>
      <c r="B1101">
        <v>48</v>
      </c>
      <c r="C1101">
        <v>5</v>
      </c>
    </row>
    <row r="1102" spans="1:3" x14ac:dyDescent="0.25">
      <c r="A1102">
        <v>83</v>
      </c>
      <c r="B1102">
        <v>48</v>
      </c>
      <c r="C1102">
        <v>5</v>
      </c>
    </row>
    <row r="1103" spans="1:3" x14ac:dyDescent="0.25">
      <c r="A1103">
        <v>89</v>
      </c>
      <c r="B1103">
        <v>48</v>
      </c>
      <c r="C1103">
        <v>1</v>
      </c>
    </row>
    <row r="1104" spans="1:3" x14ac:dyDescent="0.25">
      <c r="A1104">
        <v>100</v>
      </c>
      <c r="B1104">
        <v>48</v>
      </c>
      <c r="C1104">
        <v>5</v>
      </c>
    </row>
    <row r="1105" spans="1:3" x14ac:dyDescent="0.25">
      <c r="A1105">
        <v>122</v>
      </c>
      <c r="B1105">
        <v>48</v>
      </c>
      <c r="C1105">
        <v>4</v>
      </c>
    </row>
    <row r="1106" spans="1:3" x14ac:dyDescent="0.25">
      <c r="A1106">
        <v>127</v>
      </c>
      <c r="B1106">
        <v>48</v>
      </c>
      <c r="C1106">
        <v>3</v>
      </c>
    </row>
    <row r="1107" spans="1:3" x14ac:dyDescent="0.25">
      <c r="A1107">
        <v>133</v>
      </c>
      <c r="B1107">
        <v>48</v>
      </c>
      <c r="C1107">
        <v>2</v>
      </c>
    </row>
    <row r="1108" spans="1:3" x14ac:dyDescent="0.25">
      <c r="A1108">
        <v>138</v>
      </c>
      <c r="B1108">
        <v>48</v>
      </c>
      <c r="C1108">
        <v>1</v>
      </c>
    </row>
    <row r="1109" spans="1:3" x14ac:dyDescent="0.25">
      <c r="A1109">
        <v>157</v>
      </c>
      <c r="B1109">
        <v>48</v>
      </c>
      <c r="C1109">
        <v>1</v>
      </c>
    </row>
    <row r="1110" spans="1:3" x14ac:dyDescent="0.25">
      <c r="A1110">
        <v>162</v>
      </c>
      <c r="B1110">
        <v>48</v>
      </c>
      <c r="C1110">
        <v>2</v>
      </c>
    </row>
    <row r="1111" spans="1:3" x14ac:dyDescent="0.25">
      <c r="A1111">
        <v>176</v>
      </c>
      <c r="B1111">
        <v>48</v>
      </c>
      <c r="C1111">
        <v>1</v>
      </c>
    </row>
    <row r="1112" spans="1:3" x14ac:dyDescent="0.25">
      <c r="A1112">
        <v>176</v>
      </c>
      <c r="B1112">
        <v>48</v>
      </c>
      <c r="C1112">
        <v>2</v>
      </c>
    </row>
    <row r="1113" spans="1:3" x14ac:dyDescent="0.25">
      <c r="A1113">
        <v>193</v>
      </c>
      <c r="B1113">
        <v>48</v>
      </c>
      <c r="C1113">
        <v>2</v>
      </c>
    </row>
    <row r="1114" spans="1:3" x14ac:dyDescent="0.25">
      <c r="A1114">
        <v>233</v>
      </c>
      <c r="B1114">
        <v>48</v>
      </c>
      <c r="C1114">
        <v>3</v>
      </c>
    </row>
    <row r="1115" spans="1:3" x14ac:dyDescent="0.25">
      <c r="A1115">
        <v>235</v>
      </c>
      <c r="B1115">
        <v>48</v>
      </c>
      <c r="C1115">
        <v>1</v>
      </c>
    </row>
    <row r="1116" spans="1:3" x14ac:dyDescent="0.25">
      <c r="A1116">
        <v>12</v>
      </c>
      <c r="B1116">
        <v>49</v>
      </c>
      <c r="C1116">
        <v>5</v>
      </c>
    </row>
    <row r="1117" spans="1:3" x14ac:dyDescent="0.25">
      <c r="A1117">
        <v>18</v>
      </c>
      <c r="B1117">
        <v>49</v>
      </c>
      <c r="C1117">
        <v>4</v>
      </c>
    </row>
    <row r="1118" spans="1:3" x14ac:dyDescent="0.25">
      <c r="A1118">
        <v>23</v>
      </c>
      <c r="B1118">
        <v>49</v>
      </c>
      <c r="C1118">
        <v>3</v>
      </c>
    </row>
    <row r="1119" spans="1:3" x14ac:dyDescent="0.25">
      <c r="A1119">
        <v>26</v>
      </c>
      <c r="B1119">
        <v>49</v>
      </c>
      <c r="C1119">
        <v>3</v>
      </c>
    </row>
    <row r="1120" spans="1:3" x14ac:dyDescent="0.25">
      <c r="A1120">
        <v>40</v>
      </c>
      <c r="B1120">
        <v>49</v>
      </c>
      <c r="C1120">
        <v>5</v>
      </c>
    </row>
    <row r="1121" spans="1:3" x14ac:dyDescent="0.25">
      <c r="A1121">
        <v>65</v>
      </c>
      <c r="B1121">
        <v>49</v>
      </c>
      <c r="C1121">
        <v>2</v>
      </c>
    </row>
    <row r="1122" spans="1:3" x14ac:dyDescent="0.25">
      <c r="A1122">
        <v>90</v>
      </c>
      <c r="B1122">
        <v>49</v>
      </c>
      <c r="C1122">
        <v>2</v>
      </c>
    </row>
    <row r="1123" spans="1:3" x14ac:dyDescent="0.25">
      <c r="A1123">
        <v>93</v>
      </c>
      <c r="B1123">
        <v>49</v>
      </c>
      <c r="C1123">
        <v>4</v>
      </c>
    </row>
    <row r="1124" spans="1:3" x14ac:dyDescent="0.25">
      <c r="A1124">
        <v>96</v>
      </c>
      <c r="B1124">
        <v>49</v>
      </c>
      <c r="C1124">
        <v>5</v>
      </c>
    </row>
    <row r="1125" spans="1:3" x14ac:dyDescent="0.25">
      <c r="A1125">
        <v>97</v>
      </c>
      <c r="B1125">
        <v>49</v>
      </c>
      <c r="C1125">
        <v>5</v>
      </c>
    </row>
    <row r="1126" spans="1:3" x14ac:dyDescent="0.25">
      <c r="A1126">
        <v>119</v>
      </c>
      <c r="B1126">
        <v>49</v>
      </c>
      <c r="C1126">
        <v>1</v>
      </c>
    </row>
    <row r="1127" spans="1:3" x14ac:dyDescent="0.25">
      <c r="A1127">
        <v>127</v>
      </c>
      <c r="B1127">
        <v>49</v>
      </c>
      <c r="C1127">
        <v>1</v>
      </c>
    </row>
    <row r="1128" spans="1:3" x14ac:dyDescent="0.25">
      <c r="A1128">
        <v>172</v>
      </c>
      <c r="B1128">
        <v>49</v>
      </c>
      <c r="C1128">
        <v>2</v>
      </c>
    </row>
    <row r="1129" spans="1:3" x14ac:dyDescent="0.25">
      <c r="A1129">
        <v>191</v>
      </c>
      <c r="B1129">
        <v>49</v>
      </c>
      <c r="C1129">
        <v>2</v>
      </c>
    </row>
    <row r="1130" spans="1:3" x14ac:dyDescent="0.25">
      <c r="A1130">
        <v>196</v>
      </c>
      <c r="B1130">
        <v>49</v>
      </c>
      <c r="C1130">
        <v>2</v>
      </c>
    </row>
    <row r="1131" spans="1:3" x14ac:dyDescent="0.25">
      <c r="A1131">
        <v>198</v>
      </c>
      <c r="B1131">
        <v>49</v>
      </c>
      <c r="C1131">
        <v>1</v>
      </c>
    </row>
    <row r="1132" spans="1:3" x14ac:dyDescent="0.25">
      <c r="A1132">
        <v>211</v>
      </c>
      <c r="B1132">
        <v>49</v>
      </c>
      <c r="C1132">
        <v>5</v>
      </c>
    </row>
    <row r="1133" spans="1:3" x14ac:dyDescent="0.25">
      <c r="A1133">
        <v>215</v>
      </c>
      <c r="B1133">
        <v>49</v>
      </c>
      <c r="C1133">
        <v>3</v>
      </c>
    </row>
    <row r="1134" spans="1:3" x14ac:dyDescent="0.25">
      <c r="A1134">
        <v>231</v>
      </c>
      <c r="B1134">
        <v>49</v>
      </c>
      <c r="C1134">
        <v>3</v>
      </c>
    </row>
    <row r="1135" spans="1:3" x14ac:dyDescent="0.25">
      <c r="A1135">
        <v>247</v>
      </c>
      <c r="B1135">
        <v>49</v>
      </c>
      <c r="C1135">
        <v>1</v>
      </c>
    </row>
    <row r="1136" spans="1:3" x14ac:dyDescent="0.25">
      <c r="A1136">
        <v>249</v>
      </c>
      <c r="B1136">
        <v>49</v>
      </c>
      <c r="C1136">
        <v>1</v>
      </c>
    </row>
    <row r="1137" spans="1:3" x14ac:dyDescent="0.25">
      <c r="A1137">
        <v>263</v>
      </c>
      <c r="B1137">
        <v>49</v>
      </c>
      <c r="C1137">
        <v>2</v>
      </c>
    </row>
    <row r="1138" spans="1:3" x14ac:dyDescent="0.25">
      <c r="A1138">
        <v>267</v>
      </c>
      <c r="B1138">
        <v>49</v>
      </c>
      <c r="C1138">
        <v>5</v>
      </c>
    </row>
    <row r="1139" spans="1:3" x14ac:dyDescent="0.25">
      <c r="A1139">
        <v>277</v>
      </c>
      <c r="B1139">
        <v>49</v>
      </c>
      <c r="C1139">
        <v>5</v>
      </c>
    </row>
    <row r="1140" spans="1:3" x14ac:dyDescent="0.25">
      <c r="A1140">
        <v>278</v>
      </c>
      <c r="B1140">
        <v>49</v>
      </c>
      <c r="C1140">
        <v>5</v>
      </c>
    </row>
    <row r="1141" spans="1:3" x14ac:dyDescent="0.25">
      <c r="A1141">
        <v>282</v>
      </c>
      <c r="B1141">
        <v>49</v>
      </c>
      <c r="C1141">
        <v>3</v>
      </c>
    </row>
    <row r="1142" spans="1:3" x14ac:dyDescent="0.25">
      <c r="A1142">
        <v>4</v>
      </c>
      <c r="B1142">
        <v>50</v>
      </c>
      <c r="C1142">
        <v>2</v>
      </c>
    </row>
    <row r="1143" spans="1:3" x14ac:dyDescent="0.25">
      <c r="A1143">
        <v>14</v>
      </c>
      <c r="B1143">
        <v>50</v>
      </c>
      <c r="C1143">
        <v>2</v>
      </c>
    </row>
    <row r="1144" spans="1:3" x14ac:dyDescent="0.25">
      <c r="A1144">
        <v>18</v>
      </c>
      <c r="B1144">
        <v>50</v>
      </c>
      <c r="C1144">
        <v>4</v>
      </c>
    </row>
    <row r="1145" spans="1:3" x14ac:dyDescent="0.25">
      <c r="A1145">
        <v>45</v>
      </c>
      <c r="B1145">
        <v>50</v>
      </c>
      <c r="C1145">
        <v>2</v>
      </c>
    </row>
    <row r="1146" spans="1:3" x14ac:dyDescent="0.25">
      <c r="A1146">
        <v>48</v>
      </c>
      <c r="B1146">
        <v>50</v>
      </c>
      <c r="C1146">
        <v>3</v>
      </c>
    </row>
    <row r="1147" spans="1:3" x14ac:dyDescent="0.25">
      <c r="A1147">
        <v>57</v>
      </c>
      <c r="B1147">
        <v>50</v>
      </c>
      <c r="C1147">
        <v>2</v>
      </c>
    </row>
    <row r="1148" spans="1:3" x14ac:dyDescent="0.25">
      <c r="A1148">
        <v>58</v>
      </c>
      <c r="B1148">
        <v>50</v>
      </c>
      <c r="C1148">
        <v>2</v>
      </c>
    </row>
    <row r="1149" spans="1:3" x14ac:dyDescent="0.25">
      <c r="A1149">
        <v>60</v>
      </c>
      <c r="B1149">
        <v>50</v>
      </c>
      <c r="C1149">
        <v>4</v>
      </c>
    </row>
    <row r="1150" spans="1:3" x14ac:dyDescent="0.25">
      <c r="A1150">
        <v>64</v>
      </c>
      <c r="B1150">
        <v>50</v>
      </c>
      <c r="C1150">
        <v>5</v>
      </c>
    </row>
    <row r="1151" spans="1:3" x14ac:dyDescent="0.25">
      <c r="A1151">
        <v>76</v>
      </c>
      <c r="B1151">
        <v>50</v>
      </c>
      <c r="C1151">
        <v>3</v>
      </c>
    </row>
    <row r="1152" spans="1:3" x14ac:dyDescent="0.25">
      <c r="A1152">
        <v>108</v>
      </c>
      <c r="B1152">
        <v>50</v>
      </c>
      <c r="C1152">
        <v>2</v>
      </c>
    </row>
    <row r="1153" spans="1:3" x14ac:dyDescent="0.25">
      <c r="A1153">
        <v>116</v>
      </c>
      <c r="B1153">
        <v>50</v>
      </c>
      <c r="C1153">
        <v>4</v>
      </c>
    </row>
    <row r="1154" spans="1:3" x14ac:dyDescent="0.25">
      <c r="A1154">
        <v>117</v>
      </c>
      <c r="B1154">
        <v>50</v>
      </c>
      <c r="C1154">
        <v>1</v>
      </c>
    </row>
    <row r="1155" spans="1:3" x14ac:dyDescent="0.25">
      <c r="A1155">
        <v>130</v>
      </c>
      <c r="B1155">
        <v>50</v>
      </c>
      <c r="C1155">
        <v>5</v>
      </c>
    </row>
    <row r="1156" spans="1:3" x14ac:dyDescent="0.25">
      <c r="A1156">
        <v>168</v>
      </c>
      <c r="B1156">
        <v>50</v>
      </c>
      <c r="C1156">
        <v>5</v>
      </c>
    </row>
    <row r="1157" spans="1:3" x14ac:dyDescent="0.25">
      <c r="A1157">
        <v>168</v>
      </c>
      <c r="B1157">
        <v>50</v>
      </c>
      <c r="C1157">
        <v>3</v>
      </c>
    </row>
    <row r="1158" spans="1:3" x14ac:dyDescent="0.25">
      <c r="A1158">
        <v>173</v>
      </c>
      <c r="B1158">
        <v>50</v>
      </c>
      <c r="C1158">
        <v>2</v>
      </c>
    </row>
    <row r="1159" spans="1:3" x14ac:dyDescent="0.25">
      <c r="A1159">
        <v>176</v>
      </c>
      <c r="B1159">
        <v>50</v>
      </c>
      <c r="C1159">
        <v>3</v>
      </c>
    </row>
    <row r="1160" spans="1:3" x14ac:dyDescent="0.25">
      <c r="A1160">
        <v>189</v>
      </c>
      <c r="B1160">
        <v>50</v>
      </c>
      <c r="C1160">
        <v>5</v>
      </c>
    </row>
    <row r="1161" spans="1:3" x14ac:dyDescent="0.25">
      <c r="A1161">
        <v>193</v>
      </c>
      <c r="B1161">
        <v>50</v>
      </c>
      <c r="C1161">
        <v>1</v>
      </c>
    </row>
    <row r="1162" spans="1:3" x14ac:dyDescent="0.25">
      <c r="A1162">
        <v>193</v>
      </c>
      <c r="B1162">
        <v>50</v>
      </c>
      <c r="C1162">
        <v>1</v>
      </c>
    </row>
    <row r="1163" spans="1:3" x14ac:dyDescent="0.25">
      <c r="A1163">
        <v>215</v>
      </c>
      <c r="B1163">
        <v>50</v>
      </c>
      <c r="C1163">
        <v>1</v>
      </c>
    </row>
    <row r="1164" spans="1:3" x14ac:dyDescent="0.25">
      <c r="A1164">
        <v>240</v>
      </c>
      <c r="B1164">
        <v>50</v>
      </c>
      <c r="C1164">
        <v>4</v>
      </c>
    </row>
    <row r="1165" spans="1:3" x14ac:dyDescent="0.25">
      <c r="A1165">
        <v>54</v>
      </c>
      <c r="B1165">
        <v>51</v>
      </c>
      <c r="C1165">
        <v>3</v>
      </c>
    </row>
    <row r="1166" spans="1:3" x14ac:dyDescent="0.25">
      <c r="A1166">
        <v>124</v>
      </c>
      <c r="B1166">
        <v>51</v>
      </c>
      <c r="C1166">
        <v>1</v>
      </c>
    </row>
    <row r="1167" spans="1:3" x14ac:dyDescent="0.25">
      <c r="A1167">
        <v>140</v>
      </c>
      <c r="B1167">
        <v>51</v>
      </c>
      <c r="C1167">
        <v>1</v>
      </c>
    </row>
    <row r="1168" spans="1:3" x14ac:dyDescent="0.25">
      <c r="A1168">
        <v>141</v>
      </c>
      <c r="B1168">
        <v>51</v>
      </c>
      <c r="C1168">
        <v>5</v>
      </c>
    </row>
    <row r="1169" spans="1:3" x14ac:dyDescent="0.25">
      <c r="A1169">
        <v>142</v>
      </c>
      <c r="B1169">
        <v>51</v>
      </c>
      <c r="C1169">
        <v>3</v>
      </c>
    </row>
    <row r="1170" spans="1:3" x14ac:dyDescent="0.25">
      <c r="A1170">
        <v>150</v>
      </c>
      <c r="B1170">
        <v>51</v>
      </c>
      <c r="C1170">
        <v>5</v>
      </c>
    </row>
    <row r="1171" spans="1:3" x14ac:dyDescent="0.25">
      <c r="A1171">
        <v>153</v>
      </c>
      <c r="B1171">
        <v>51</v>
      </c>
      <c r="C1171">
        <v>3</v>
      </c>
    </row>
    <row r="1172" spans="1:3" x14ac:dyDescent="0.25">
      <c r="A1172">
        <v>202</v>
      </c>
      <c r="B1172">
        <v>51</v>
      </c>
      <c r="C1172">
        <v>5</v>
      </c>
    </row>
    <row r="1173" spans="1:3" x14ac:dyDescent="0.25">
      <c r="A1173">
        <v>239</v>
      </c>
      <c r="B1173">
        <v>51</v>
      </c>
      <c r="C1173">
        <v>1</v>
      </c>
    </row>
    <row r="1174" spans="1:3" x14ac:dyDescent="0.25">
      <c r="A1174">
        <v>240</v>
      </c>
      <c r="B1174">
        <v>51</v>
      </c>
      <c r="C1174">
        <v>5</v>
      </c>
    </row>
    <row r="1175" spans="1:3" x14ac:dyDescent="0.25">
      <c r="A1175">
        <v>254</v>
      </c>
      <c r="B1175">
        <v>51</v>
      </c>
      <c r="C1175">
        <v>2</v>
      </c>
    </row>
    <row r="1176" spans="1:3" x14ac:dyDescent="0.25">
      <c r="A1176">
        <v>267</v>
      </c>
      <c r="B1176">
        <v>51</v>
      </c>
      <c r="C1176">
        <v>5</v>
      </c>
    </row>
    <row r="1177" spans="1:3" x14ac:dyDescent="0.25">
      <c r="A1177">
        <v>12</v>
      </c>
      <c r="B1177">
        <v>52</v>
      </c>
      <c r="C1177">
        <v>3</v>
      </c>
    </row>
    <row r="1178" spans="1:3" x14ac:dyDescent="0.25">
      <c r="A1178">
        <v>25</v>
      </c>
      <c r="B1178">
        <v>52</v>
      </c>
      <c r="C1178">
        <v>3</v>
      </c>
    </row>
    <row r="1179" spans="1:3" x14ac:dyDescent="0.25">
      <c r="A1179">
        <v>37</v>
      </c>
      <c r="B1179">
        <v>52</v>
      </c>
      <c r="C1179">
        <v>2</v>
      </c>
    </row>
    <row r="1180" spans="1:3" x14ac:dyDescent="0.25">
      <c r="A1180">
        <v>43</v>
      </c>
      <c r="B1180">
        <v>52</v>
      </c>
      <c r="C1180">
        <v>5</v>
      </c>
    </row>
    <row r="1181" spans="1:3" x14ac:dyDescent="0.25">
      <c r="A1181">
        <v>52</v>
      </c>
      <c r="B1181">
        <v>52</v>
      </c>
      <c r="C1181">
        <v>2</v>
      </c>
    </row>
    <row r="1182" spans="1:3" x14ac:dyDescent="0.25">
      <c r="A1182">
        <v>58</v>
      </c>
      <c r="B1182">
        <v>52</v>
      </c>
      <c r="C1182">
        <v>5</v>
      </c>
    </row>
    <row r="1183" spans="1:3" x14ac:dyDescent="0.25">
      <c r="A1183">
        <v>76</v>
      </c>
      <c r="B1183">
        <v>52</v>
      </c>
      <c r="C1183">
        <v>2</v>
      </c>
    </row>
    <row r="1184" spans="1:3" x14ac:dyDescent="0.25">
      <c r="A1184">
        <v>84</v>
      </c>
      <c r="B1184">
        <v>52</v>
      </c>
      <c r="C1184">
        <v>5</v>
      </c>
    </row>
    <row r="1185" spans="1:3" x14ac:dyDescent="0.25">
      <c r="A1185">
        <v>130</v>
      </c>
      <c r="B1185">
        <v>52</v>
      </c>
      <c r="C1185">
        <v>5</v>
      </c>
    </row>
    <row r="1186" spans="1:3" x14ac:dyDescent="0.25">
      <c r="A1186">
        <v>161</v>
      </c>
      <c r="B1186">
        <v>52</v>
      </c>
      <c r="C1186">
        <v>5</v>
      </c>
    </row>
    <row r="1187" spans="1:3" x14ac:dyDescent="0.25">
      <c r="A1187">
        <v>165</v>
      </c>
      <c r="B1187">
        <v>52</v>
      </c>
      <c r="C1187">
        <v>5</v>
      </c>
    </row>
    <row r="1188" spans="1:3" x14ac:dyDescent="0.25">
      <c r="A1188">
        <v>175</v>
      </c>
      <c r="B1188">
        <v>52</v>
      </c>
      <c r="C1188">
        <v>5</v>
      </c>
    </row>
    <row r="1189" spans="1:3" x14ac:dyDescent="0.25">
      <c r="A1189">
        <v>258</v>
      </c>
      <c r="B1189">
        <v>52</v>
      </c>
      <c r="C1189">
        <v>2</v>
      </c>
    </row>
    <row r="1190" spans="1:3" x14ac:dyDescent="0.25">
      <c r="A1190">
        <v>258</v>
      </c>
      <c r="B1190">
        <v>52</v>
      </c>
      <c r="C1190">
        <v>4</v>
      </c>
    </row>
    <row r="1191" spans="1:3" x14ac:dyDescent="0.25">
      <c r="A1191">
        <v>268</v>
      </c>
      <c r="B1191">
        <v>52</v>
      </c>
      <c r="C1191">
        <v>4</v>
      </c>
    </row>
    <row r="1192" spans="1:3" x14ac:dyDescent="0.25">
      <c r="A1192">
        <v>273</v>
      </c>
      <c r="B1192">
        <v>52</v>
      </c>
      <c r="C1192">
        <v>2</v>
      </c>
    </row>
    <row r="1193" spans="1:3" x14ac:dyDescent="0.25">
      <c r="A1193">
        <v>289</v>
      </c>
      <c r="B1193">
        <v>52</v>
      </c>
      <c r="C1193">
        <v>5</v>
      </c>
    </row>
    <row r="1194" spans="1:3" x14ac:dyDescent="0.25">
      <c r="A1194">
        <v>289</v>
      </c>
      <c r="B1194">
        <v>52</v>
      </c>
      <c r="C1194">
        <v>4</v>
      </c>
    </row>
    <row r="1195" spans="1:3" x14ac:dyDescent="0.25">
      <c r="A1195">
        <v>292</v>
      </c>
      <c r="B1195">
        <v>52</v>
      </c>
      <c r="C1195">
        <v>5</v>
      </c>
    </row>
    <row r="1196" spans="1:3" x14ac:dyDescent="0.25">
      <c r="A1196">
        <v>25</v>
      </c>
      <c r="B1196">
        <v>53</v>
      </c>
      <c r="C1196">
        <v>2</v>
      </c>
    </row>
    <row r="1197" spans="1:3" x14ac:dyDescent="0.25">
      <c r="A1197">
        <v>26</v>
      </c>
      <c r="B1197">
        <v>53</v>
      </c>
      <c r="C1197">
        <v>5</v>
      </c>
    </row>
    <row r="1198" spans="1:3" x14ac:dyDescent="0.25">
      <c r="A1198">
        <v>38</v>
      </c>
      <c r="B1198">
        <v>53</v>
      </c>
      <c r="C1198">
        <v>5</v>
      </c>
    </row>
    <row r="1199" spans="1:3" x14ac:dyDescent="0.25">
      <c r="A1199">
        <v>43</v>
      </c>
      <c r="B1199">
        <v>53</v>
      </c>
      <c r="C1199">
        <v>5</v>
      </c>
    </row>
    <row r="1200" spans="1:3" x14ac:dyDescent="0.25">
      <c r="A1200">
        <v>49</v>
      </c>
      <c r="B1200">
        <v>53</v>
      </c>
      <c r="C1200">
        <v>1</v>
      </c>
    </row>
    <row r="1201" spans="1:3" x14ac:dyDescent="0.25">
      <c r="A1201">
        <v>52</v>
      </c>
      <c r="B1201">
        <v>53</v>
      </c>
      <c r="C1201">
        <v>5</v>
      </c>
    </row>
    <row r="1202" spans="1:3" x14ac:dyDescent="0.25">
      <c r="A1202">
        <v>56</v>
      </c>
      <c r="B1202">
        <v>53</v>
      </c>
      <c r="C1202">
        <v>2</v>
      </c>
    </row>
    <row r="1203" spans="1:3" x14ac:dyDescent="0.25">
      <c r="A1203">
        <v>64</v>
      </c>
      <c r="B1203">
        <v>53</v>
      </c>
      <c r="C1203">
        <v>3</v>
      </c>
    </row>
    <row r="1204" spans="1:3" x14ac:dyDescent="0.25">
      <c r="A1204">
        <v>69</v>
      </c>
      <c r="B1204">
        <v>53</v>
      </c>
      <c r="C1204">
        <v>5</v>
      </c>
    </row>
    <row r="1205" spans="1:3" x14ac:dyDescent="0.25">
      <c r="A1205">
        <v>80</v>
      </c>
      <c r="B1205">
        <v>53</v>
      </c>
      <c r="C1205">
        <v>2</v>
      </c>
    </row>
    <row r="1206" spans="1:3" x14ac:dyDescent="0.25">
      <c r="A1206">
        <v>94</v>
      </c>
      <c r="B1206">
        <v>53</v>
      </c>
      <c r="C1206">
        <v>3</v>
      </c>
    </row>
    <row r="1207" spans="1:3" x14ac:dyDescent="0.25">
      <c r="A1207">
        <v>99</v>
      </c>
      <c r="B1207">
        <v>53</v>
      </c>
      <c r="C1207">
        <v>5</v>
      </c>
    </row>
    <row r="1208" spans="1:3" x14ac:dyDescent="0.25">
      <c r="A1208">
        <v>102</v>
      </c>
      <c r="B1208">
        <v>53</v>
      </c>
      <c r="C1208">
        <v>3</v>
      </c>
    </row>
    <row r="1209" spans="1:3" x14ac:dyDescent="0.25">
      <c r="A1209">
        <v>109</v>
      </c>
      <c r="B1209">
        <v>53</v>
      </c>
      <c r="C1209">
        <v>5</v>
      </c>
    </row>
    <row r="1210" spans="1:3" x14ac:dyDescent="0.25">
      <c r="A1210">
        <v>119</v>
      </c>
      <c r="B1210">
        <v>53</v>
      </c>
      <c r="C1210">
        <v>1</v>
      </c>
    </row>
    <row r="1211" spans="1:3" x14ac:dyDescent="0.25">
      <c r="A1211">
        <v>134</v>
      </c>
      <c r="B1211">
        <v>53</v>
      </c>
      <c r="C1211">
        <v>2</v>
      </c>
    </row>
    <row r="1212" spans="1:3" x14ac:dyDescent="0.25">
      <c r="A1212">
        <v>137</v>
      </c>
      <c r="B1212">
        <v>53</v>
      </c>
      <c r="C1212">
        <v>4</v>
      </c>
    </row>
    <row r="1213" spans="1:3" x14ac:dyDescent="0.25">
      <c r="A1213">
        <v>145</v>
      </c>
      <c r="B1213">
        <v>53</v>
      </c>
      <c r="C1213">
        <v>3</v>
      </c>
    </row>
    <row r="1214" spans="1:3" x14ac:dyDescent="0.25">
      <c r="A1214">
        <v>145</v>
      </c>
      <c r="B1214">
        <v>53</v>
      </c>
      <c r="C1214">
        <v>2</v>
      </c>
    </row>
    <row r="1215" spans="1:3" x14ac:dyDescent="0.25">
      <c r="A1215">
        <v>157</v>
      </c>
      <c r="B1215">
        <v>53</v>
      </c>
      <c r="C1215">
        <v>4</v>
      </c>
    </row>
    <row r="1216" spans="1:3" x14ac:dyDescent="0.25">
      <c r="A1216">
        <v>165</v>
      </c>
      <c r="B1216">
        <v>53</v>
      </c>
      <c r="C1216">
        <v>2</v>
      </c>
    </row>
    <row r="1217" spans="1:3" x14ac:dyDescent="0.25">
      <c r="A1217">
        <v>178</v>
      </c>
      <c r="B1217">
        <v>53</v>
      </c>
      <c r="C1217">
        <v>5</v>
      </c>
    </row>
    <row r="1218" spans="1:3" x14ac:dyDescent="0.25">
      <c r="A1218">
        <v>187</v>
      </c>
      <c r="B1218">
        <v>53</v>
      </c>
      <c r="C1218">
        <v>5</v>
      </c>
    </row>
    <row r="1219" spans="1:3" x14ac:dyDescent="0.25">
      <c r="A1219">
        <v>195</v>
      </c>
      <c r="B1219">
        <v>53</v>
      </c>
      <c r="C1219">
        <v>1</v>
      </c>
    </row>
    <row r="1220" spans="1:3" x14ac:dyDescent="0.25">
      <c r="A1220">
        <v>203</v>
      </c>
      <c r="B1220">
        <v>53</v>
      </c>
      <c r="C1220">
        <v>4</v>
      </c>
    </row>
    <row r="1221" spans="1:3" x14ac:dyDescent="0.25">
      <c r="A1221">
        <v>273</v>
      </c>
      <c r="B1221">
        <v>53</v>
      </c>
      <c r="C1221">
        <v>4</v>
      </c>
    </row>
    <row r="1222" spans="1:3" x14ac:dyDescent="0.25">
      <c r="A1222">
        <v>283</v>
      </c>
      <c r="B1222">
        <v>53</v>
      </c>
      <c r="C1222">
        <v>5</v>
      </c>
    </row>
    <row r="1223" spans="1:3" x14ac:dyDescent="0.25">
      <c r="A1223">
        <v>286</v>
      </c>
      <c r="B1223">
        <v>53</v>
      </c>
      <c r="C1223">
        <v>5</v>
      </c>
    </row>
    <row r="1224" spans="1:3" x14ac:dyDescent="0.25">
      <c r="A1224">
        <v>291</v>
      </c>
      <c r="B1224">
        <v>53</v>
      </c>
      <c r="C1224">
        <v>3</v>
      </c>
    </row>
    <row r="1225" spans="1:3" x14ac:dyDescent="0.25">
      <c r="A1225">
        <v>293</v>
      </c>
      <c r="B1225">
        <v>53</v>
      </c>
      <c r="C1225">
        <v>1</v>
      </c>
    </row>
    <row r="1226" spans="1:3" x14ac:dyDescent="0.25">
      <c r="A1226">
        <v>3</v>
      </c>
      <c r="B1226">
        <v>54</v>
      </c>
      <c r="C1226">
        <v>2</v>
      </c>
    </row>
    <row r="1227" spans="1:3" x14ac:dyDescent="0.25">
      <c r="A1227">
        <v>9</v>
      </c>
      <c r="B1227">
        <v>54</v>
      </c>
      <c r="C1227">
        <v>3</v>
      </c>
    </row>
    <row r="1228" spans="1:3" x14ac:dyDescent="0.25">
      <c r="A1228">
        <v>14</v>
      </c>
      <c r="B1228">
        <v>54</v>
      </c>
      <c r="C1228">
        <v>2</v>
      </c>
    </row>
    <row r="1229" spans="1:3" x14ac:dyDescent="0.25">
      <c r="A1229">
        <v>18</v>
      </c>
      <c r="B1229">
        <v>54</v>
      </c>
      <c r="C1229">
        <v>4</v>
      </c>
    </row>
    <row r="1230" spans="1:3" x14ac:dyDescent="0.25">
      <c r="A1230">
        <v>22</v>
      </c>
      <c r="B1230">
        <v>54</v>
      </c>
      <c r="C1230">
        <v>4</v>
      </c>
    </row>
    <row r="1231" spans="1:3" x14ac:dyDescent="0.25">
      <c r="A1231">
        <v>32</v>
      </c>
      <c r="B1231">
        <v>54</v>
      </c>
      <c r="C1231">
        <v>2</v>
      </c>
    </row>
    <row r="1232" spans="1:3" x14ac:dyDescent="0.25">
      <c r="A1232">
        <v>74</v>
      </c>
      <c r="B1232">
        <v>54</v>
      </c>
      <c r="C1232">
        <v>2</v>
      </c>
    </row>
    <row r="1233" spans="1:3" x14ac:dyDescent="0.25">
      <c r="A1233">
        <v>75</v>
      </c>
      <c r="B1233">
        <v>54</v>
      </c>
      <c r="C1233">
        <v>3</v>
      </c>
    </row>
    <row r="1234" spans="1:3" x14ac:dyDescent="0.25">
      <c r="A1234">
        <v>83</v>
      </c>
      <c r="B1234">
        <v>54</v>
      </c>
      <c r="C1234">
        <v>5</v>
      </c>
    </row>
    <row r="1235" spans="1:3" x14ac:dyDescent="0.25">
      <c r="A1235">
        <v>85</v>
      </c>
      <c r="B1235">
        <v>54</v>
      </c>
      <c r="C1235">
        <v>2</v>
      </c>
    </row>
    <row r="1236" spans="1:3" x14ac:dyDescent="0.25">
      <c r="A1236">
        <v>106</v>
      </c>
      <c r="B1236">
        <v>54</v>
      </c>
      <c r="C1236">
        <v>5</v>
      </c>
    </row>
    <row r="1237" spans="1:3" x14ac:dyDescent="0.25">
      <c r="A1237">
        <v>126</v>
      </c>
      <c r="B1237">
        <v>54</v>
      </c>
      <c r="C1237">
        <v>1</v>
      </c>
    </row>
    <row r="1238" spans="1:3" x14ac:dyDescent="0.25">
      <c r="A1238">
        <v>144</v>
      </c>
      <c r="B1238">
        <v>54</v>
      </c>
      <c r="C1238">
        <v>3</v>
      </c>
    </row>
    <row r="1239" spans="1:3" x14ac:dyDescent="0.25">
      <c r="A1239">
        <v>167</v>
      </c>
      <c r="B1239">
        <v>54</v>
      </c>
      <c r="C1239">
        <v>3</v>
      </c>
    </row>
    <row r="1240" spans="1:3" x14ac:dyDescent="0.25">
      <c r="A1240">
        <v>179</v>
      </c>
      <c r="B1240">
        <v>54</v>
      </c>
      <c r="C1240">
        <v>3</v>
      </c>
    </row>
    <row r="1241" spans="1:3" x14ac:dyDescent="0.25">
      <c r="A1241">
        <v>189</v>
      </c>
      <c r="B1241">
        <v>54</v>
      </c>
      <c r="C1241">
        <v>2</v>
      </c>
    </row>
    <row r="1242" spans="1:3" x14ac:dyDescent="0.25">
      <c r="A1242">
        <v>204</v>
      </c>
      <c r="B1242">
        <v>54</v>
      </c>
      <c r="C1242">
        <v>1</v>
      </c>
    </row>
    <row r="1243" spans="1:3" x14ac:dyDescent="0.25">
      <c r="A1243">
        <v>213</v>
      </c>
      <c r="B1243">
        <v>54</v>
      </c>
      <c r="C1243">
        <v>5</v>
      </c>
    </row>
    <row r="1244" spans="1:3" x14ac:dyDescent="0.25">
      <c r="A1244">
        <v>217</v>
      </c>
      <c r="B1244">
        <v>54</v>
      </c>
      <c r="C1244">
        <v>3</v>
      </c>
    </row>
    <row r="1245" spans="1:3" x14ac:dyDescent="0.25">
      <c r="A1245">
        <v>236</v>
      </c>
      <c r="B1245">
        <v>54</v>
      </c>
      <c r="C1245">
        <v>5</v>
      </c>
    </row>
    <row r="1246" spans="1:3" x14ac:dyDescent="0.25">
      <c r="A1246">
        <v>262</v>
      </c>
      <c r="B1246">
        <v>54</v>
      </c>
      <c r="C1246">
        <v>4</v>
      </c>
    </row>
    <row r="1247" spans="1:3" x14ac:dyDescent="0.25">
      <c r="A1247">
        <v>267</v>
      </c>
      <c r="B1247">
        <v>54</v>
      </c>
      <c r="C1247">
        <v>2</v>
      </c>
    </row>
    <row r="1248" spans="1:3" x14ac:dyDescent="0.25">
      <c r="A1248">
        <v>279</v>
      </c>
      <c r="B1248">
        <v>54</v>
      </c>
      <c r="C1248">
        <v>5</v>
      </c>
    </row>
    <row r="1249" spans="1:3" x14ac:dyDescent="0.25">
      <c r="A1249">
        <v>286</v>
      </c>
      <c r="B1249">
        <v>54</v>
      </c>
      <c r="C1249">
        <v>1</v>
      </c>
    </row>
    <row r="1250" spans="1:3" x14ac:dyDescent="0.25">
      <c r="A1250">
        <v>288</v>
      </c>
      <c r="B1250">
        <v>54</v>
      </c>
      <c r="C1250">
        <v>3</v>
      </c>
    </row>
    <row r="1251" spans="1:3" x14ac:dyDescent="0.25">
      <c r="A1251">
        <v>295</v>
      </c>
      <c r="B1251">
        <v>54</v>
      </c>
      <c r="C1251">
        <v>2</v>
      </c>
    </row>
    <row r="1252" spans="1:3" x14ac:dyDescent="0.25">
      <c r="A1252">
        <v>297</v>
      </c>
      <c r="B1252">
        <v>54</v>
      </c>
      <c r="C1252">
        <v>3</v>
      </c>
    </row>
    <row r="1253" spans="1:3" x14ac:dyDescent="0.25">
      <c r="A1253">
        <v>5</v>
      </c>
      <c r="B1253">
        <v>55</v>
      </c>
      <c r="C1253">
        <v>5</v>
      </c>
    </row>
    <row r="1254" spans="1:3" x14ac:dyDescent="0.25">
      <c r="A1254">
        <v>9</v>
      </c>
      <c r="B1254">
        <v>55</v>
      </c>
      <c r="C1254">
        <v>4</v>
      </c>
    </row>
    <row r="1255" spans="1:3" x14ac:dyDescent="0.25">
      <c r="A1255">
        <v>39</v>
      </c>
      <c r="B1255">
        <v>55</v>
      </c>
      <c r="C1255">
        <v>4</v>
      </c>
    </row>
    <row r="1256" spans="1:3" x14ac:dyDescent="0.25">
      <c r="A1256">
        <v>46</v>
      </c>
      <c r="B1256">
        <v>55</v>
      </c>
      <c r="C1256">
        <v>2</v>
      </c>
    </row>
    <row r="1257" spans="1:3" x14ac:dyDescent="0.25">
      <c r="A1257">
        <v>52</v>
      </c>
      <c r="B1257">
        <v>55</v>
      </c>
      <c r="C1257">
        <v>2</v>
      </c>
    </row>
    <row r="1258" spans="1:3" x14ac:dyDescent="0.25">
      <c r="A1258">
        <v>67</v>
      </c>
      <c r="B1258">
        <v>55</v>
      </c>
      <c r="C1258">
        <v>4</v>
      </c>
    </row>
    <row r="1259" spans="1:3" x14ac:dyDescent="0.25">
      <c r="A1259">
        <v>70</v>
      </c>
      <c r="B1259">
        <v>55</v>
      </c>
      <c r="C1259">
        <v>2</v>
      </c>
    </row>
    <row r="1260" spans="1:3" x14ac:dyDescent="0.25">
      <c r="A1260">
        <v>77</v>
      </c>
      <c r="B1260">
        <v>55</v>
      </c>
      <c r="C1260">
        <v>5</v>
      </c>
    </row>
    <row r="1261" spans="1:3" x14ac:dyDescent="0.25">
      <c r="A1261">
        <v>113</v>
      </c>
      <c r="B1261">
        <v>55</v>
      </c>
      <c r="C1261">
        <v>2</v>
      </c>
    </row>
    <row r="1262" spans="1:3" x14ac:dyDescent="0.25">
      <c r="A1262">
        <v>115</v>
      </c>
      <c r="B1262">
        <v>55</v>
      </c>
      <c r="C1262">
        <v>3</v>
      </c>
    </row>
    <row r="1263" spans="1:3" x14ac:dyDescent="0.25">
      <c r="A1263">
        <v>121</v>
      </c>
      <c r="B1263">
        <v>55</v>
      </c>
      <c r="C1263">
        <v>5</v>
      </c>
    </row>
    <row r="1264" spans="1:3" x14ac:dyDescent="0.25">
      <c r="A1264">
        <v>129</v>
      </c>
      <c r="B1264">
        <v>55</v>
      </c>
      <c r="C1264">
        <v>2</v>
      </c>
    </row>
    <row r="1265" spans="1:3" x14ac:dyDescent="0.25">
      <c r="A1265">
        <v>132</v>
      </c>
      <c r="B1265">
        <v>55</v>
      </c>
      <c r="C1265">
        <v>3</v>
      </c>
    </row>
    <row r="1266" spans="1:3" x14ac:dyDescent="0.25">
      <c r="A1266">
        <v>142</v>
      </c>
      <c r="B1266">
        <v>55</v>
      </c>
      <c r="C1266">
        <v>5</v>
      </c>
    </row>
    <row r="1267" spans="1:3" x14ac:dyDescent="0.25">
      <c r="A1267">
        <v>147</v>
      </c>
      <c r="B1267">
        <v>55</v>
      </c>
      <c r="C1267">
        <v>4</v>
      </c>
    </row>
    <row r="1268" spans="1:3" x14ac:dyDescent="0.25">
      <c r="A1268">
        <v>156</v>
      </c>
      <c r="B1268">
        <v>55</v>
      </c>
      <c r="C1268">
        <v>1</v>
      </c>
    </row>
    <row r="1269" spans="1:3" x14ac:dyDescent="0.25">
      <c r="A1269">
        <v>162</v>
      </c>
      <c r="B1269">
        <v>55</v>
      </c>
      <c r="C1269">
        <v>2</v>
      </c>
    </row>
    <row r="1270" spans="1:3" x14ac:dyDescent="0.25">
      <c r="A1270">
        <v>167</v>
      </c>
      <c r="B1270">
        <v>55</v>
      </c>
      <c r="C1270">
        <v>1</v>
      </c>
    </row>
    <row r="1271" spans="1:3" x14ac:dyDescent="0.25">
      <c r="A1271">
        <v>179</v>
      </c>
      <c r="B1271">
        <v>55</v>
      </c>
      <c r="C1271">
        <v>3</v>
      </c>
    </row>
    <row r="1272" spans="1:3" x14ac:dyDescent="0.25">
      <c r="A1272">
        <v>179</v>
      </c>
      <c r="B1272">
        <v>55</v>
      </c>
      <c r="C1272">
        <v>5</v>
      </c>
    </row>
    <row r="1273" spans="1:3" x14ac:dyDescent="0.25">
      <c r="A1273">
        <v>180</v>
      </c>
      <c r="B1273">
        <v>55</v>
      </c>
      <c r="C1273">
        <v>1</v>
      </c>
    </row>
    <row r="1274" spans="1:3" x14ac:dyDescent="0.25">
      <c r="A1274">
        <v>194</v>
      </c>
      <c r="B1274">
        <v>55</v>
      </c>
      <c r="C1274">
        <v>4</v>
      </c>
    </row>
    <row r="1275" spans="1:3" x14ac:dyDescent="0.25">
      <c r="A1275">
        <v>224</v>
      </c>
      <c r="B1275">
        <v>55</v>
      </c>
      <c r="C1275">
        <v>4</v>
      </c>
    </row>
    <row r="1276" spans="1:3" x14ac:dyDescent="0.25">
      <c r="A1276">
        <v>226</v>
      </c>
      <c r="B1276">
        <v>55</v>
      </c>
      <c r="C1276">
        <v>5</v>
      </c>
    </row>
    <row r="1277" spans="1:3" x14ac:dyDescent="0.25">
      <c r="A1277">
        <v>245</v>
      </c>
      <c r="B1277">
        <v>55</v>
      </c>
      <c r="C1277">
        <v>1</v>
      </c>
    </row>
    <row r="1278" spans="1:3" x14ac:dyDescent="0.25">
      <c r="A1278">
        <v>246</v>
      </c>
      <c r="B1278">
        <v>55</v>
      </c>
      <c r="C1278">
        <v>5</v>
      </c>
    </row>
    <row r="1279" spans="1:3" x14ac:dyDescent="0.25">
      <c r="A1279">
        <v>258</v>
      </c>
      <c r="B1279">
        <v>55</v>
      </c>
      <c r="C1279">
        <v>1</v>
      </c>
    </row>
    <row r="1280" spans="1:3" x14ac:dyDescent="0.25">
      <c r="A1280">
        <v>261</v>
      </c>
      <c r="B1280">
        <v>55</v>
      </c>
      <c r="C1280">
        <v>1</v>
      </c>
    </row>
    <row r="1281" spans="1:3" x14ac:dyDescent="0.25">
      <c r="A1281">
        <v>269</v>
      </c>
      <c r="B1281">
        <v>55</v>
      </c>
      <c r="C1281">
        <v>4</v>
      </c>
    </row>
    <row r="1282" spans="1:3" x14ac:dyDescent="0.25">
      <c r="A1282">
        <v>274</v>
      </c>
      <c r="B1282">
        <v>55</v>
      </c>
      <c r="C1282">
        <v>3</v>
      </c>
    </row>
    <row r="1283" spans="1:3" x14ac:dyDescent="0.25">
      <c r="A1283">
        <v>280</v>
      </c>
      <c r="B1283">
        <v>55</v>
      </c>
      <c r="C1283">
        <v>1</v>
      </c>
    </row>
    <row r="1284" spans="1:3" x14ac:dyDescent="0.25">
      <c r="A1284">
        <v>287</v>
      </c>
      <c r="B1284">
        <v>55</v>
      </c>
      <c r="C1284">
        <v>2</v>
      </c>
    </row>
    <row r="1285" spans="1:3" x14ac:dyDescent="0.25">
      <c r="A1285">
        <v>8</v>
      </c>
      <c r="B1285">
        <v>56</v>
      </c>
      <c r="C1285">
        <v>2</v>
      </c>
    </row>
    <row r="1286" spans="1:3" x14ac:dyDescent="0.25">
      <c r="A1286">
        <v>13</v>
      </c>
      <c r="B1286">
        <v>56</v>
      </c>
      <c r="C1286">
        <v>5</v>
      </c>
    </row>
    <row r="1287" spans="1:3" x14ac:dyDescent="0.25">
      <c r="A1287">
        <v>19</v>
      </c>
      <c r="B1287">
        <v>56</v>
      </c>
      <c r="C1287">
        <v>3</v>
      </c>
    </row>
    <row r="1288" spans="1:3" x14ac:dyDescent="0.25">
      <c r="A1288">
        <v>46</v>
      </c>
      <c r="B1288">
        <v>56</v>
      </c>
      <c r="C1288">
        <v>4</v>
      </c>
    </row>
    <row r="1289" spans="1:3" x14ac:dyDescent="0.25">
      <c r="A1289">
        <v>57</v>
      </c>
      <c r="B1289">
        <v>56</v>
      </c>
      <c r="C1289">
        <v>3</v>
      </c>
    </row>
    <row r="1290" spans="1:3" x14ac:dyDescent="0.25">
      <c r="A1290">
        <v>67</v>
      </c>
      <c r="B1290">
        <v>56</v>
      </c>
      <c r="C1290">
        <v>3</v>
      </c>
    </row>
    <row r="1291" spans="1:3" x14ac:dyDescent="0.25">
      <c r="A1291">
        <v>74</v>
      </c>
      <c r="B1291">
        <v>56</v>
      </c>
      <c r="C1291">
        <v>2</v>
      </c>
    </row>
    <row r="1292" spans="1:3" x14ac:dyDescent="0.25">
      <c r="A1292">
        <v>90</v>
      </c>
      <c r="B1292">
        <v>56</v>
      </c>
      <c r="C1292">
        <v>4</v>
      </c>
    </row>
    <row r="1293" spans="1:3" x14ac:dyDescent="0.25">
      <c r="A1293">
        <v>135</v>
      </c>
      <c r="B1293">
        <v>56</v>
      </c>
      <c r="C1293">
        <v>4</v>
      </c>
    </row>
    <row r="1294" spans="1:3" x14ac:dyDescent="0.25">
      <c r="A1294">
        <v>159</v>
      </c>
      <c r="B1294">
        <v>56</v>
      </c>
      <c r="C1294">
        <v>2</v>
      </c>
    </row>
    <row r="1295" spans="1:3" x14ac:dyDescent="0.25">
      <c r="A1295">
        <v>161</v>
      </c>
      <c r="B1295">
        <v>56</v>
      </c>
      <c r="C1295">
        <v>3</v>
      </c>
    </row>
    <row r="1296" spans="1:3" x14ac:dyDescent="0.25">
      <c r="A1296">
        <v>161</v>
      </c>
      <c r="B1296">
        <v>56</v>
      </c>
      <c r="C1296">
        <v>5</v>
      </c>
    </row>
    <row r="1297" spans="1:3" x14ac:dyDescent="0.25">
      <c r="A1297">
        <v>171</v>
      </c>
      <c r="B1297">
        <v>56</v>
      </c>
      <c r="C1297">
        <v>2</v>
      </c>
    </row>
    <row r="1298" spans="1:3" x14ac:dyDescent="0.25">
      <c r="A1298">
        <v>176</v>
      </c>
      <c r="B1298">
        <v>56</v>
      </c>
      <c r="C1298">
        <v>1</v>
      </c>
    </row>
    <row r="1299" spans="1:3" x14ac:dyDescent="0.25">
      <c r="A1299">
        <v>199</v>
      </c>
      <c r="B1299">
        <v>56</v>
      </c>
      <c r="C1299">
        <v>1</v>
      </c>
    </row>
    <row r="1300" spans="1:3" x14ac:dyDescent="0.25">
      <c r="A1300">
        <v>206</v>
      </c>
      <c r="B1300">
        <v>56</v>
      </c>
      <c r="C1300">
        <v>2</v>
      </c>
    </row>
    <row r="1301" spans="1:3" x14ac:dyDescent="0.25">
      <c r="A1301">
        <v>210</v>
      </c>
      <c r="B1301">
        <v>56</v>
      </c>
      <c r="C1301">
        <v>3</v>
      </c>
    </row>
    <row r="1302" spans="1:3" x14ac:dyDescent="0.25">
      <c r="A1302">
        <v>215</v>
      </c>
      <c r="B1302">
        <v>56</v>
      </c>
      <c r="C1302">
        <v>4</v>
      </c>
    </row>
    <row r="1303" spans="1:3" x14ac:dyDescent="0.25">
      <c r="A1303">
        <v>224</v>
      </c>
      <c r="B1303">
        <v>56</v>
      </c>
      <c r="C1303">
        <v>3</v>
      </c>
    </row>
    <row r="1304" spans="1:3" x14ac:dyDescent="0.25">
      <c r="A1304">
        <v>230</v>
      </c>
      <c r="B1304">
        <v>56</v>
      </c>
      <c r="C1304">
        <v>2</v>
      </c>
    </row>
    <row r="1305" spans="1:3" x14ac:dyDescent="0.25">
      <c r="A1305">
        <v>241</v>
      </c>
      <c r="B1305">
        <v>56</v>
      </c>
      <c r="C1305">
        <v>5</v>
      </c>
    </row>
    <row r="1306" spans="1:3" x14ac:dyDescent="0.25">
      <c r="A1306">
        <v>257</v>
      </c>
      <c r="B1306">
        <v>56</v>
      </c>
      <c r="C1306">
        <v>2</v>
      </c>
    </row>
    <row r="1307" spans="1:3" x14ac:dyDescent="0.25">
      <c r="A1307">
        <v>267</v>
      </c>
      <c r="B1307">
        <v>56</v>
      </c>
      <c r="C1307">
        <v>4</v>
      </c>
    </row>
    <row r="1308" spans="1:3" x14ac:dyDescent="0.25">
      <c r="A1308">
        <v>274</v>
      </c>
      <c r="B1308">
        <v>56</v>
      </c>
      <c r="C1308">
        <v>2</v>
      </c>
    </row>
    <row r="1309" spans="1:3" x14ac:dyDescent="0.25">
      <c r="A1309">
        <v>277</v>
      </c>
      <c r="B1309">
        <v>56</v>
      </c>
      <c r="C1309">
        <v>5</v>
      </c>
    </row>
    <row r="1310" spans="1:3" x14ac:dyDescent="0.25">
      <c r="A1310">
        <v>278</v>
      </c>
      <c r="B1310">
        <v>56</v>
      </c>
      <c r="C1310">
        <v>4</v>
      </c>
    </row>
    <row r="1311" spans="1:3" x14ac:dyDescent="0.25">
      <c r="A1311">
        <v>283</v>
      </c>
      <c r="B1311">
        <v>56</v>
      </c>
      <c r="C1311">
        <v>5</v>
      </c>
    </row>
    <row r="1312" spans="1:3" x14ac:dyDescent="0.25">
      <c r="A1312">
        <v>289</v>
      </c>
      <c r="B1312">
        <v>56</v>
      </c>
      <c r="C1312">
        <v>1</v>
      </c>
    </row>
    <row r="1313" spans="1:3" x14ac:dyDescent="0.25">
      <c r="A1313">
        <v>292</v>
      </c>
      <c r="B1313">
        <v>56</v>
      </c>
      <c r="C1313">
        <v>1</v>
      </c>
    </row>
    <row r="1314" spans="1:3" x14ac:dyDescent="0.25">
      <c r="A1314">
        <v>297</v>
      </c>
      <c r="B1314">
        <v>56</v>
      </c>
      <c r="C1314">
        <v>4</v>
      </c>
    </row>
    <row r="1315" spans="1:3" x14ac:dyDescent="0.25">
      <c r="A1315">
        <v>53</v>
      </c>
      <c r="B1315">
        <v>57</v>
      </c>
      <c r="C1315">
        <v>1</v>
      </c>
    </row>
    <row r="1316" spans="1:3" x14ac:dyDescent="0.25">
      <c r="A1316">
        <v>107</v>
      </c>
      <c r="B1316">
        <v>57</v>
      </c>
      <c r="C1316">
        <v>1</v>
      </c>
    </row>
    <row r="1317" spans="1:3" x14ac:dyDescent="0.25">
      <c r="A1317">
        <v>143</v>
      </c>
      <c r="B1317">
        <v>57</v>
      </c>
      <c r="C1317">
        <v>5</v>
      </c>
    </row>
    <row r="1318" spans="1:3" x14ac:dyDescent="0.25">
      <c r="A1318">
        <v>174</v>
      </c>
      <c r="B1318">
        <v>57</v>
      </c>
      <c r="C1318">
        <v>3</v>
      </c>
    </row>
    <row r="1319" spans="1:3" x14ac:dyDescent="0.25">
      <c r="A1319">
        <v>181</v>
      </c>
      <c r="B1319">
        <v>57</v>
      </c>
      <c r="C1319">
        <v>4</v>
      </c>
    </row>
    <row r="1320" spans="1:3" x14ac:dyDescent="0.25">
      <c r="A1320">
        <v>182</v>
      </c>
      <c r="B1320">
        <v>57</v>
      </c>
      <c r="C1320">
        <v>2</v>
      </c>
    </row>
    <row r="1321" spans="1:3" x14ac:dyDescent="0.25">
      <c r="A1321">
        <v>201</v>
      </c>
      <c r="B1321">
        <v>57</v>
      </c>
      <c r="C1321">
        <v>4</v>
      </c>
    </row>
    <row r="1322" spans="1:3" x14ac:dyDescent="0.25">
      <c r="A1322">
        <v>206</v>
      </c>
      <c r="B1322">
        <v>57</v>
      </c>
      <c r="C1322">
        <v>3</v>
      </c>
    </row>
    <row r="1323" spans="1:3" x14ac:dyDescent="0.25">
      <c r="A1323">
        <v>208</v>
      </c>
      <c r="B1323">
        <v>57</v>
      </c>
      <c r="C1323">
        <v>4</v>
      </c>
    </row>
    <row r="1324" spans="1:3" x14ac:dyDescent="0.25">
      <c r="A1324">
        <v>259</v>
      </c>
      <c r="B1324">
        <v>57</v>
      </c>
      <c r="C1324">
        <v>4</v>
      </c>
    </row>
    <row r="1325" spans="1:3" x14ac:dyDescent="0.25">
      <c r="A1325">
        <v>262</v>
      </c>
      <c r="B1325">
        <v>57</v>
      </c>
      <c r="C1325">
        <v>3</v>
      </c>
    </row>
    <row r="1326" spans="1:3" x14ac:dyDescent="0.25">
      <c r="A1326">
        <v>275</v>
      </c>
      <c r="B1326">
        <v>57</v>
      </c>
      <c r="C1326">
        <v>1</v>
      </c>
    </row>
    <row r="1327" spans="1:3" x14ac:dyDescent="0.25">
      <c r="A1327">
        <v>278</v>
      </c>
      <c r="B1327">
        <v>57</v>
      </c>
      <c r="C1327">
        <v>2</v>
      </c>
    </row>
    <row r="1328" spans="1:3" x14ac:dyDescent="0.25">
      <c r="A1328">
        <v>293</v>
      </c>
      <c r="B1328">
        <v>57</v>
      </c>
      <c r="C1328">
        <v>5</v>
      </c>
    </row>
    <row r="1329" spans="1:3" x14ac:dyDescent="0.25">
      <c r="A1329">
        <v>38</v>
      </c>
      <c r="B1329">
        <v>58</v>
      </c>
      <c r="C1329">
        <v>2</v>
      </c>
    </row>
    <row r="1330" spans="1:3" x14ac:dyDescent="0.25">
      <c r="A1330">
        <v>43</v>
      </c>
      <c r="B1330">
        <v>58</v>
      </c>
      <c r="C1330">
        <v>5</v>
      </c>
    </row>
    <row r="1331" spans="1:3" x14ac:dyDescent="0.25">
      <c r="A1331">
        <v>126</v>
      </c>
      <c r="B1331">
        <v>58</v>
      </c>
      <c r="C1331">
        <v>2</v>
      </c>
    </row>
    <row r="1332" spans="1:3" x14ac:dyDescent="0.25">
      <c r="A1332">
        <v>136</v>
      </c>
      <c r="B1332">
        <v>58</v>
      </c>
      <c r="C1332">
        <v>3</v>
      </c>
    </row>
    <row r="1333" spans="1:3" x14ac:dyDescent="0.25">
      <c r="A1333">
        <v>141</v>
      </c>
      <c r="B1333">
        <v>58</v>
      </c>
      <c r="C1333">
        <v>3</v>
      </c>
    </row>
    <row r="1334" spans="1:3" x14ac:dyDescent="0.25">
      <c r="A1334">
        <v>142</v>
      </c>
      <c r="B1334">
        <v>58</v>
      </c>
      <c r="C1334">
        <v>5</v>
      </c>
    </row>
    <row r="1335" spans="1:3" x14ac:dyDescent="0.25">
      <c r="A1335">
        <v>161</v>
      </c>
      <c r="B1335">
        <v>58</v>
      </c>
      <c r="C1335">
        <v>1</v>
      </c>
    </row>
    <row r="1336" spans="1:3" x14ac:dyDescent="0.25">
      <c r="A1336">
        <v>164</v>
      </c>
      <c r="B1336">
        <v>58</v>
      </c>
      <c r="C1336">
        <v>2</v>
      </c>
    </row>
    <row r="1337" spans="1:3" x14ac:dyDescent="0.25">
      <c r="A1337">
        <v>169</v>
      </c>
      <c r="B1337">
        <v>58</v>
      </c>
      <c r="C1337">
        <v>2</v>
      </c>
    </row>
    <row r="1338" spans="1:3" x14ac:dyDescent="0.25">
      <c r="A1338">
        <v>188</v>
      </c>
      <c r="B1338">
        <v>58</v>
      </c>
      <c r="C1338">
        <v>4</v>
      </c>
    </row>
    <row r="1339" spans="1:3" x14ac:dyDescent="0.25">
      <c r="A1339">
        <v>193</v>
      </c>
      <c r="B1339">
        <v>58</v>
      </c>
      <c r="C1339">
        <v>2</v>
      </c>
    </row>
    <row r="1340" spans="1:3" x14ac:dyDescent="0.25">
      <c r="A1340">
        <v>201</v>
      </c>
      <c r="B1340">
        <v>58</v>
      </c>
      <c r="C1340">
        <v>4</v>
      </c>
    </row>
    <row r="1341" spans="1:3" x14ac:dyDescent="0.25">
      <c r="A1341">
        <v>238</v>
      </c>
      <c r="B1341">
        <v>58</v>
      </c>
      <c r="C1341">
        <v>5</v>
      </c>
    </row>
    <row r="1342" spans="1:3" x14ac:dyDescent="0.25">
      <c r="A1342">
        <v>257</v>
      </c>
      <c r="B1342">
        <v>58</v>
      </c>
      <c r="C1342">
        <v>1</v>
      </c>
    </row>
    <row r="1343" spans="1:3" x14ac:dyDescent="0.25">
      <c r="A1343">
        <v>276</v>
      </c>
      <c r="B1343">
        <v>58</v>
      </c>
      <c r="C1343">
        <v>2</v>
      </c>
    </row>
    <row r="1344" spans="1:3" x14ac:dyDescent="0.25">
      <c r="A1344">
        <v>294</v>
      </c>
      <c r="B1344">
        <v>58</v>
      </c>
      <c r="C1344">
        <v>4</v>
      </c>
    </row>
    <row r="1345" spans="1:3" x14ac:dyDescent="0.25">
      <c r="A1345">
        <v>14</v>
      </c>
      <c r="B1345">
        <v>59</v>
      </c>
      <c r="C1345">
        <v>3</v>
      </c>
    </row>
    <row r="1346" spans="1:3" x14ac:dyDescent="0.25">
      <c r="A1346">
        <v>40</v>
      </c>
      <c r="B1346">
        <v>59</v>
      </c>
      <c r="C1346">
        <v>5</v>
      </c>
    </row>
    <row r="1347" spans="1:3" x14ac:dyDescent="0.25">
      <c r="A1347">
        <v>62</v>
      </c>
      <c r="B1347">
        <v>59</v>
      </c>
      <c r="C1347">
        <v>2</v>
      </c>
    </row>
    <row r="1348" spans="1:3" x14ac:dyDescent="0.25">
      <c r="A1348">
        <v>65</v>
      </c>
      <c r="B1348">
        <v>59</v>
      </c>
      <c r="C1348">
        <v>2</v>
      </c>
    </row>
    <row r="1349" spans="1:3" x14ac:dyDescent="0.25">
      <c r="A1349">
        <v>78</v>
      </c>
      <c r="B1349">
        <v>59</v>
      </c>
      <c r="C1349">
        <v>1</v>
      </c>
    </row>
    <row r="1350" spans="1:3" x14ac:dyDescent="0.25">
      <c r="A1350">
        <v>99</v>
      </c>
      <c r="B1350">
        <v>59</v>
      </c>
      <c r="C1350">
        <v>4</v>
      </c>
    </row>
    <row r="1351" spans="1:3" x14ac:dyDescent="0.25">
      <c r="A1351">
        <v>121</v>
      </c>
      <c r="B1351">
        <v>59</v>
      </c>
      <c r="C1351">
        <v>5</v>
      </c>
    </row>
    <row r="1352" spans="1:3" x14ac:dyDescent="0.25">
      <c r="A1352">
        <v>126</v>
      </c>
      <c r="B1352">
        <v>59</v>
      </c>
      <c r="C1352">
        <v>2</v>
      </c>
    </row>
    <row r="1353" spans="1:3" x14ac:dyDescent="0.25">
      <c r="A1353">
        <v>148</v>
      </c>
      <c r="B1353">
        <v>59</v>
      </c>
      <c r="C1353">
        <v>1</v>
      </c>
    </row>
    <row r="1354" spans="1:3" x14ac:dyDescent="0.25">
      <c r="A1354">
        <v>153</v>
      </c>
      <c r="B1354">
        <v>59</v>
      </c>
      <c r="C1354">
        <v>1</v>
      </c>
    </row>
    <row r="1355" spans="1:3" x14ac:dyDescent="0.25">
      <c r="A1355">
        <v>156</v>
      </c>
      <c r="B1355">
        <v>59</v>
      </c>
      <c r="C1355">
        <v>5</v>
      </c>
    </row>
    <row r="1356" spans="1:3" x14ac:dyDescent="0.25">
      <c r="A1356">
        <v>157</v>
      </c>
      <c r="B1356">
        <v>59</v>
      </c>
      <c r="C1356">
        <v>4</v>
      </c>
    </row>
    <row r="1357" spans="1:3" x14ac:dyDescent="0.25">
      <c r="A1357">
        <v>163</v>
      </c>
      <c r="B1357">
        <v>59</v>
      </c>
      <c r="C1357">
        <v>4</v>
      </c>
    </row>
    <row r="1358" spans="1:3" x14ac:dyDescent="0.25">
      <c r="A1358">
        <v>166</v>
      </c>
      <c r="B1358">
        <v>59</v>
      </c>
      <c r="C1358">
        <v>3</v>
      </c>
    </row>
    <row r="1359" spans="1:3" x14ac:dyDescent="0.25">
      <c r="A1359">
        <v>176</v>
      </c>
      <c r="B1359">
        <v>59</v>
      </c>
      <c r="C1359">
        <v>1</v>
      </c>
    </row>
    <row r="1360" spans="1:3" x14ac:dyDescent="0.25">
      <c r="A1360">
        <v>218</v>
      </c>
      <c r="B1360">
        <v>59</v>
      </c>
      <c r="C1360">
        <v>1</v>
      </c>
    </row>
    <row r="1361" spans="1:3" x14ac:dyDescent="0.25">
      <c r="A1361">
        <v>272</v>
      </c>
      <c r="B1361">
        <v>59</v>
      </c>
      <c r="C1361">
        <v>3</v>
      </c>
    </row>
    <row r="1362" spans="1:3" x14ac:dyDescent="0.25">
      <c r="A1362">
        <v>276</v>
      </c>
      <c r="B1362">
        <v>59</v>
      </c>
      <c r="C1362">
        <v>5</v>
      </c>
    </row>
    <row r="1363" spans="1:3" x14ac:dyDescent="0.25">
      <c r="A1363">
        <v>283</v>
      </c>
      <c r="B1363">
        <v>59</v>
      </c>
      <c r="C1363">
        <v>3</v>
      </c>
    </row>
    <row r="1364" spans="1:3" x14ac:dyDescent="0.25">
      <c r="A1364">
        <v>284</v>
      </c>
      <c r="B1364">
        <v>59</v>
      </c>
      <c r="C1364">
        <v>1</v>
      </c>
    </row>
    <row r="1365" spans="1:3" x14ac:dyDescent="0.25">
      <c r="A1365">
        <v>293</v>
      </c>
      <c r="B1365">
        <v>59</v>
      </c>
      <c r="C1365">
        <v>4</v>
      </c>
    </row>
    <row r="1366" spans="1:3" x14ac:dyDescent="0.25">
      <c r="A1366">
        <v>23</v>
      </c>
      <c r="B1366">
        <v>60</v>
      </c>
      <c r="C1366">
        <v>4</v>
      </c>
    </row>
    <row r="1367" spans="1:3" x14ac:dyDescent="0.25">
      <c r="A1367">
        <v>23</v>
      </c>
      <c r="B1367">
        <v>60</v>
      </c>
      <c r="C1367">
        <v>3</v>
      </c>
    </row>
    <row r="1368" spans="1:3" x14ac:dyDescent="0.25">
      <c r="A1368">
        <v>25</v>
      </c>
      <c r="B1368">
        <v>60</v>
      </c>
      <c r="C1368">
        <v>2</v>
      </c>
    </row>
    <row r="1369" spans="1:3" x14ac:dyDescent="0.25">
      <c r="A1369">
        <v>28</v>
      </c>
      <c r="B1369">
        <v>60</v>
      </c>
      <c r="C1369">
        <v>4</v>
      </c>
    </row>
    <row r="1370" spans="1:3" x14ac:dyDescent="0.25">
      <c r="A1370">
        <v>35</v>
      </c>
      <c r="B1370">
        <v>60</v>
      </c>
      <c r="C1370">
        <v>3</v>
      </c>
    </row>
    <row r="1371" spans="1:3" x14ac:dyDescent="0.25">
      <c r="A1371">
        <v>37</v>
      </c>
      <c r="B1371">
        <v>60</v>
      </c>
      <c r="C1371">
        <v>5</v>
      </c>
    </row>
    <row r="1372" spans="1:3" x14ac:dyDescent="0.25">
      <c r="A1372">
        <v>74</v>
      </c>
      <c r="B1372">
        <v>60</v>
      </c>
      <c r="C1372">
        <v>5</v>
      </c>
    </row>
    <row r="1373" spans="1:3" x14ac:dyDescent="0.25">
      <c r="A1373">
        <v>92</v>
      </c>
      <c r="B1373">
        <v>60</v>
      </c>
      <c r="C1373">
        <v>3</v>
      </c>
    </row>
    <row r="1374" spans="1:3" x14ac:dyDescent="0.25">
      <c r="A1374">
        <v>102</v>
      </c>
      <c r="B1374">
        <v>60</v>
      </c>
      <c r="C1374">
        <v>5</v>
      </c>
    </row>
    <row r="1375" spans="1:3" x14ac:dyDescent="0.25">
      <c r="A1375">
        <v>105</v>
      </c>
      <c r="B1375">
        <v>60</v>
      </c>
      <c r="C1375">
        <v>5</v>
      </c>
    </row>
    <row r="1376" spans="1:3" x14ac:dyDescent="0.25">
      <c r="A1376">
        <v>127</v>
      </c>
      <c r="B1376">
        <v>60</v>
      </c>
      <c r="C1376">
        <v>3</v>
      </c>
    </row>
    <row r="1377" spans="1:3" x14ac:dyDescent="0.25">
      <c r="A1377">
        <v>149</v>
      </c>
      <c r="B1377">
        <v>60</v>
      </c>
      <c r="C1377">
        <v>2</v>
      </c>
    </row>
    <row r="1378" spans="1:3" x14ac:dyDescent="0.25">
      <c r="A1378">
        <v>153</v>
      </c>
      <c r="B1378">
        <v>60</v>
      </c>
      <c r="C1378">
        <v>3</v>
      </c>
    </row>
    <row r="1379" spans="1:3" x14ac:dyDescent="0.25">
      <c r="A1379">
        <v>173</v>
      </c>
      <c r="B1379">
        <v>60</v>
      </c>
      <c r="C1379">
        <v>1</v>
      </c>
    </row>
    <row r="1380" spans="1:3" x14ac:dyDescent="0.25">
      <c r="A1380">
        <v>202</v>
      </c>
      <c r="B1380">
        <v>60</v>
      </c>
      <c r="C1380">
        <v>3</v>
      </c>
    </row>
    <row r="1381" spans="1:3" x14ac:dyDescent="0.25">
      <c r="A1381">
        <v>240</v>
      </c>
      <c r="B1381">
        <v>60</v>
      </c>
      <c r="C1381">
        <v>4</v>
      </c>
    </row>
    <row r="1382" spans="1:3" x14ac:dyDescent="0.25">
      <c r="A1382">
        <v>261</v>
      </c>
      <c r="B1382">
        <v>60</v>
      </c>
      <c r="C1382">
        <v>5</v>
      </c>
    </row>
    <row r="1383" spans="1:3" x14ac:dyDescent="0.25">
      <c r="A1383">
        <v>5</v>
      </c>
      <c r="B1383">
        <v>61</v>
      </c>
      <c r="C1383">
        <v>3</v>
      </c>
    </row>
    <row r="1384" spans="1:3" x14ac:dyDescent="0.25">
      <c r="A1384">
        <v>33</v>
      </c>
      <c r="B1384">
        <v>61</v>
      </c>
      <c r="C1384">
        <v>4</v>
      </c>
    </row>
    <row r="1385" spans="1:3" x14ac:dyDescent="0.25">
      <c r="A1385">
        <v>63</v>
      </c>
      <c r="B1385">
        <v>61</v>
      </c>
      <c r="C1385">
        <v>3</v>
      </c>
    </row>
    <row r="1386" spans="1:3" x14ac:dyDescent="0.25">
      <c r="A1386">
        <v>92</v>
      </c>
      <c r="B1386">
        <v>61</v>
      </c>
      <c r="C1386">
        <v>5</v>
      </c>
    </row>
    <row r="1387" spans="1:3" x14ac:dyDescent="0.25">
      <c r="A1387">
        <v>97</v>
      </c>
      <c r="B1387">
        <v>61</v>
      </c>
      <c r="C1387">
        <v>1</v>
      </c>
    </row>
    <row r="1388" spans="1:3" x14ac:dyDescent="0.25">
      <c r="A1388">
        <v>102</v>
      </c>
      <c r="B1388">
        <v>61</v>
      </c>
      <c r="C1388">
        <v>1</v>
      </c>
    </row>
    <row r="1389" spans="1:3" x14ac:dyDescent="0.25">
      <c r="A1389">
        <v>111</v>
      </c>
      <c r="B1389">
        <v>61</v>
      </c>
      <c r="C1389">
        <v>3</v>
      </c>
    </row>
    <row r="1390" spans="1:3" x14ac:dyDescent="0.25">
      <c r="A1390">
        <v>120</v>
      </c>
      <c r="B1390">
        <v>61</v>
      </c>
      <c r="C1390">
        <v>1</v>
      </c>
    </row>
    <row r="1391" spans="1:3" x14ac:dyDescent="0.25">
      <c r="A1391">
        <v>121</v>
      </c>
      <c r="B1391">
        <v>61</v>
      </c>
      <c r="C1391">
        <v>4</v>
      </c>
    </row>
    <row r="1392" spans="1:3" x14ac:dyDescent="0.25">
      <c r="A1392">
        <v>146</v>
      </c>
      <c r="B1392">
        <v>61</v>
      </c>
      <c r="C1392">
        <v>2</v>
      </c>
    </row>
    <row r="1393" spans="1:3" x14ac:dyDescent="0.25">
      <c r="A1393">
        <v>158</v>
      </c>
      <c r="B1393">
        <v>61</v>
      </c>
      <c r="C1393">
        <v>5</v>
      </c>
    </row>
    <row r="1394" spans="1:3" x14ac:dyDescent="0.25">
      <c r="A1394">
        <v>168</v>
      </c>
      <c r="B1394">
        <v>61</v>
      </c>
      <c r="C1394">
        <v>1</v>
      </c>
    </row>
    <row r="1395" spans="1:3" x14ac:dyDescent="0.25">
      <c r="A1395">
        <v>184</v>
      </c>
      <c r="B1395">
        <v>61</v>
      </c>
      <c r="C1395">
        <v>5</v>
      </c>
    </row>
    <row r="1396" spans="1:3" x14ac:dyDescent="0.25">
      <c r="A1396">
        <v>193</v>
      </c>
      <c r="B1396">
        <v>61</v>
      </c>
      <c r="C1396">
        <v>3</v>
      </c>
    </row>
    <row r="1397" spans="1:3" x14ac:dyDescent="0.25">
      <c r="A1397">
        <v>198</v>
      </c>
      <c r="B1397">
        <v>61</v>
      </c>
      <c r="C1397">
        <v>4</v>
      </c>
    </row>
    <row r="1398" spans="1:3" x14ac:dyDescent="0.25">
      <c r="A1398">
        <v>207</v>
      </c>
      <c r="B1398">
        <v>61</v>
      </c>
      <c r="C1398">
        <v>1</v>
      </c>
    </row>
    <row r="1399" spans="1:3" x14ac:dyDescent="0.25">
      <c r="A1399">
        <v>207</v>
      </c>
      <c r="B1399">
        <v>61</v>
      </c>
      <c r="C1399">
        <v>5</v>
      </c>
    </row>
    <row r="1400" spans="1:3" x14ac:dyDescent="0.25">
      <c r="A1400">
        <v>210</v>
      </c>
      <c r="B1400">
        <v>61</v>
      </c>
      <c r="C1400">
        <v>3</v>
      </c>
    </row>
    <row r="1401" spans="1:3" x14ac:dyDescent="0.25">
      <c r="A1401">
        <v>225</v>
      </c>
      <c r="B1401">
        <v>61</v>
      </c>
      <c r="C1401">
        <v>4</v>
      </c>
    </row>
    <row r="1402" spans="1:3" x14ac:dyDescent="0.25">
      <c r="A1402">
        <v>230</v>
      </c>
      <c r="B1402">
        <v>61</v>
      </c>
      <c r="C1402">
        <v>4</v>
      </c>
    </row>
    <row r="1403" spans="1:3" x14ac:dyDescent="0.25">
      <c r="A1403">
        <v>237</v>
      </c>
      <c r="B1403">
        <v>61</v>
      </c>
      <c r="C1403">
        <v>5</v>
      </c>
    </row>
    <row r="1404" spans="1:3" x14ac:dyDescent="0.25">
      <c r="A1404">
        <v>250</v>
      </c>
      <c r="B1404">
        <v>61</v>
      </c>
      <c r="C1404">
        <v>2</v>
      </c>
    </row>
    <row r="1405" spans="1:3" x14ac:dyDescent="0.25">
      <c r="A1405">
        <v>253</v>
      </c>
      <c r="B1405">
        <v>61</v>
      </c>
      <c r="C1405">
        <v>2</v>
      </c>
    </row>
    <row r="1406" spans="1:3" x14ac:dyDescent="0.25">
      <c r="A1406">
        <v>272</v>
      </c>
      <c r="B1406">
        <v>61</v>
      </c>
      <c r="C1406">
        <v>3</v>
      </c>
    </row>
    <row r="1407" spans="1:3" x14ac:dyDescent="0.25">
      <c r="A1407">
        <v>282</v>
      </c>
      <c r="B1407">
        <v>61</v>
      </c>
      <c r="C1407">
        <v>3</v>
      </c>
    </row>
    <row r="1408" spans="1:3" x14ac:dyDescent="0.25">
      <c r="A1408">
        <v>293</v>
      </c>
      <c r="B1408">
        <v>61</v>
      </c>
      <c r="C1408">
        <v>3</v>
      </c>
    </row>
    <row r="1409" spans="1:3" x14ac:dyDescent="0.25">
      <c r="A1409">
        <v>22</v>
      </c>
      <c r="B1409">
        <v>62</v>
      </c>
      <c r="C1409">
        <v>4</v>
      </c>
    </row>
    <row r="1410" spans="1:3" x14ac:dyDescent="0.25">
      <c r="A1410">
        <v>29</v>
      </c>
      <c r="B1410">
        <v>62</v>
      </c>
      <c r="C1410">
        <v>3</v>
      </c>
    </row>
    <row r="1411" spans="1:3" x14ac:dyDescent="0.25">
      <c r="A1411">
        <v>32</v>
      </c>
      <c r="B1411">
        <v>62</v>
      </c>
      <c r="C1411">
        <v>3</v>
      </c>
    </row>
    <row r="1412" spans="1:3" x14ac:dyDescent="0.25">
      <c r="A1412">
        <v>32</v>
      </c>
      <c r="B1412">
        <v>62</v>
      </c>
      <c r="C1412">
        <v>3</v>
      </c>
    </row>
    <row r="1413" spans="1:3" x14ac:dyDescent="0.25">
      <c r="A1413">
        <v>40</v>
      </c>
      <c r="B1413">
        <v>62</v>
      </c>
      <c r="C1413">
        <v>5</v>
      </c>
    </row>
    <row r="1414" spans="1:3" x14ac:dyDescent="0.25">
      <c r="A1414">
        <v>47</v>
      </c>
      <c r="B1414">
        <v>62</v>
      </c>
      <c r="C1414">
        <v>3</v>
      </c>
    </row>
    <row r="1415" spans="1:3" x14ac:dyDescent="0.25">
      <c r="A1415">
        <v>78</v>
      </c>
      <c r="B1415">
        <v>62</v>
      </c>
      <c r="C1415">
        <v>5</v>
      </c>
    </row>
    <row r="1416" spans="1:3" x14ac:dyDescent="0.25">
      <c r="A1416">
        <v>86</v>
      </c>
      <c r="B1416">
        <v>62</v>
      </c>
      <c r="C1416">
        <v>2</v>
      </c>
    </row>
    <row r="1417" spans="1:3" x14ac:dyDescent="0.25">
      <c r="A1417">
        <v>92</v>
      </c>
      <c r="B1417">
        <v>62</v>
      </c>
      <c r="C1417">
        <v>1</v>
      </c>
    </row>
    <row r="1418" spans="1:3" x14ac:dyDescent="0.25">
      <c r="A1418">
        <v>134</v>
      </c>
      <c r="B1418">
        <v>62</v>
      </c>
      <c r="C1418">
        <v>1</v>
      </c>
    </row>
    <row r="1419" spans="1:3" x14ac:dyDescent="0.25">
      <c r="A1419">
        <v>156</v>
      </c>
      <c r="B1419">
        <v>62</v>
      </c>
      <c r="C1419">
        <v>3</v>
      </c>
    </row>
    <row r="1420" spans="1:3" x14ac:dyDescent="0.25">
      <c r="A1420">
        <v>177</v>
      </c>
      <c r="B1420">
        <v>62</v>
      </c>
      <c r="C1420">
        <v>5</v>
      </c>
    </row>
    <row r="1421" spans="1:3" x14ac:dyDescent="0.25">
      <c r="A1421">
        <v>179</v>
      </c>
      <c r="B1421">
        <v>62</v>
      </c>
      <c r="C1421">
        <v>1</v>
      </c>
    </row>
    <row r="1422" spans="1:3" x14ac:dyDescent="0.25">
      <c r="A1422">
        <v>190</v>
      </c>
      <c r="B1422">
        <v>62</v>
      </c>
      <c r="C1422">
        <v>2</v>
      </c>
    </row>
    <row r="1423" spans="1:3" x14ac:dyDescent="0.25">
      <c r="A1423">
        <v>208</v>
      </c>
      <c r="B1423">
        <v>62</v>
      </c>
      <c r="C1423">
        <v>5</v>
      </c>
    </row>
    <row r="1424" spans="1:3" x14ac:dyDescent="0.25">
      <c r="A1424">
        <v>223</v>
      </c>
      <c r="B1424">
        <v>62</v>
      </c>
      <c r="C1424">
        <v>1</v>
      </c>
    </row>
    <row r="1425" spans="1:3" x14ac:dyDescent="0.25">
      <c r="A1425">
        <v>227</v>
      </c>
      <c r="B1425">
        <v>62</v>
      </c>
      <c r="C1425">
        <v>3</v>
      </c>
    </row>
    <row r="1426" spans="1:3" x14ac:dyDescent="0.25">
      <c r="A1426">
        <v>247</v>
      </c>
      <c r="B1426">
        <v>62</v>
      </c>
      <c r="C1426">
        <v>1</v>
      </c>
    </row>
    <row r="1427" spans="1:3" x14ac:dyDescent="0.25">
      <c r="A1427">
        <v>268</v>
      </c>
      <c r="B1427">
        <v>62</v>
      </c>
      <c r="C1427">
        <v>1</v>
      </c>
    </row>
    <row r="1428" spans="1:3" x14ac:dyDescent="0.25">
      <c r="A1428">
        <v>271</v>
      </c>
      <c r="B1428">
        <v>62</v>
      </c>
      <c r="C1428">
        <v>4</v>
      </c>
    </row>
    <row r="1429" spans="1:3" x14ac:dyDescent="0.25">
      <c r="A1429">
        <v>275</v>
      </c>
      <c r="B1429">
        <v>62</v>
      </c>
      <c r="C1429">
        <v>3</v>
      </c>
    </row>
    <row r="1430" spans="1:3" x14ac:dyDescent="0.25">
      <c r="A1430">
        <v>295</v>
      </c>
      <c r="B1430">
        <v>62</v>
      </c>
      <c r="C1430">
        <v>2</v>
      </c>
    </row>
    <row r="1431" spans="1:3" x14ac:dyDescent="0.25">
      <c r="A1431">
        <v>10</v>
      </c>
      <c r="B1431">
        <v>63</v>
      </c>
      <c r="C1431">
        <v>5</v>
      </c>
    </row>
    <row r="1432" spans="1:3" x14ac:dyDescent="0.25">
      <c r="A1432">
        <v>37</v>
      </c>
      <c r="B1432">
        <v>63</v>
      </c>
      <c r="C1432">
        <v>5</v>
      </c>
    </row>
    <row r="1433" spans="1:3" x14ac:dyDescent="0.25">
      <c r="A1433">
        <v>40</v>
      </c>
      <c r="B1433">
        <v>63</v>
      </c>
      <c r="C1433">
        <v>4</v>
      </c>
    </row>
    <row r="1434" spans="1:3" x14ac:dyDescent="0.25">
      <c r="A1434">
        <v>41</v>
      </c>
      <c r="B1434">
        <v>63</v>
      </c>
      <c r="C1434">
        <v>2</v>
      </c>
    </row>
    <row r="1435" spans="1:3" x14ac:dyDescent="0.25">
      <c r="A1435">
        <v>63</v>
      </c>
      <c r="B1435">
        <v>63</v>
      </c>
      <c r="C1435">
        <v>4</v>
      </c>
    </row>
    <row r="1436" spans="1:3" x14ac:dyDescent="0.25">
      <c r="A1436">
        <v>73</v>
      </c>
      <c r="B1436">
        <v>63</v>
      </c>
      <c r="C1436">
        <v>1</v>
      </c>
    </row>
    <row r="1437" spans="1:3" x14ac:dyDescent="0.25">
      <c r="A1437">
        <v>106</v>
      </c>
      <c r="B1437">
        <v>63</v>
      </c>
      <c r="C1437">
        <v>2</v>
      </c>
    </row>
    <row r="1438" spans="1:3" x14ac:dyDescent="0.25">
      <c r="A1438">
        <v>111</v>
      </c>
      <c r="B1438">
        <v>63</v>
      </c>
      <c r="C1438">
        <v>4</v>
      </c>
    </row>
    <row r="1439" spans="1:3" x14ac:dyDescent="0.25">
      <c r="A1439">
        <v>123</v>
      </c>
      <c r="B1439">
        <v>63</v>
      </c>
      <c r="C1439">
        <v>2</v>
      </c>
    </row>
    <row r="1440" spans="1:3" x14ac:dyDescent="0.25">
      <c r="A1440">
        <v>130</v>
      </c>
      <c r="B1440">
        <v>63</v>
      </c>
      <c r="C1440">
        <v>2</v>
      </c>
    </row>
    <row r="1441" spans="1:3" x14ac:dyDescent="0.25">
      <c r="A1441">
        <v>144</v>
      </c>
      <c r="B1441">
        <v>63</v>
      </c>
      <c r="C1441">
        <v>4</v>
      </c>
    </row>
    <row r="1442" spans="1:3" x14ac:dyDescent="0.25">
      <c r="A1442">
        <v>182</v>
      </c>
      <c r="B1442">
        <v>63</v>
      </c>
      <c r="C1442">
        <v>4</v>
      </c>
    </row>
    <row r="1443" spans="1:3" x14ac:dyDescent="0.25">
      <c r="A1443">
        <v>190</v>
      </c>
      <c r="B1443">
        <v>63</v>
      </c>
      <c r="C1443">
        <v>5</v>
      </c>
    </row>
    <row r="1444" spans="1:3" x14ac:dyDescent="0.25">
      <c r="A1444">
        <v>192</v>
      </c>
      <c r="B1444">
        <v>63</v>
      </c>
      <c r="C1444">
        <v>3</v>
      </c>
    </row>
    <row r="1445" spans="1:3" x14ac:dyDescent="0.25">
      <c r="A1445">
        <v>204</v>
      </c>
      <c r="B1445">
        <v>63</v>
      </c>
      <c r="C1445">
        <v>3</v>
      </c>
    </row>
    <row r="1446" spans="1:3" x14ac:dyDescent="0.25">
      <c r="A1446">
        <v>218</v>
      </c>
      <c r="B1446">
        <v>63</v>
      </c>
      <c r="C1446">
        <v>3</v>
      </c>
    </row>
    <row r="1447" spans="1:3" x14ac:dyDescent="0.25">
      <c r="A1447">
        <v>239</v>
      </c>
      <c r="B1447">
        <v>63</v>
      </c>
      <c r="C1447">
        <v>2</v>
      </c>
    </row>
    <row r="1448" spans="1:3" x14ac:dyDescent="0.25">
      <c r="A1448">
        <v>264</v>
      </c>
      <c r="B1448">
        <v>63</v>
      </c>
      <c r="C1448">
        <v>3</v>
      </c>
    </row>
    <row r="1449" spans="1:3" x14ac:dyDescent="0.25">
      <c r="A1449">
        <v>264</v>
      </c>
      <c r="B1449">
        <v>63</v>
      </c>
      <c r="C1449">
        <v>2</v>
      </c>
    </row>
    <row r="1450" spans="1:3" x14ac:dyDescent="0.25">
      <c r="A1450">
        <v>6</v>
      </c>
      <c r="B1450">
        <v>64</v>
      </c>
      <c r="C1450">
        <v>5</v>
      </c>
    </row>
    <row r="1451" spans="1:3" x14ac:dyDescent="0.25">
      <c r="A1451">
        <v>6</v>
      </c>
      <c r="B1451">
        <v>64</v>
      </c>
      <c r="C1451">
        <v>5</v>
      </c>
    </row>
    <row r="1452" spans="1:3" x14ac:dyDescent="0.25">
      <c r="A1452">
        <v>21</v>
      </c>
      <c r="B1452">
        <v>64</v>
      </c>
      <c r="C1452">
        <v>3</v>
      </c>
    </row>
    <row r="1453" spans="1:3" x14ac:dyDescent="0.25">
      <c r="A1453">
        <v>58</v>
      </c>
      <c r="B1453">
        <v>64</v>
      </c>
      <c r="C1453">
        <v>2</v>
      </c>
    </row>
    <row r="1454" spans="1:3" x14ac:dyDescent="0.25">
      <c r="A1454">
        <v>58</v>
      </c>
      <c r="B1454">
        <v>64</v>
      </c>
      <c r="C1454">
        <v>1</v>
      </c>
    </row>
    <row r="1455" spans="1:3" x14ac:dyDescent="0.25">
      <c r="A1455">
        <v>75</v>
      </c>
      <c r="B1455">
        <v>64</v>
      </c>
      <c r="C1455">
        <v>2</v>
      </c>
    </row>
    <row r="1456" spans="1:3" x14ac:dyDescent="0.25">
      <c r="A1456">
        <v>83</v>
      </c>
      <c r="B1456">
        <v>64</v>
      </c>
      <c r="C1456">
        <v>2</v>
      </c>
    </row>
    <row r="1457" spans="1:3" x14ac:dyDescent="0.25">
      <c r="A1457">
        <v>125</v>
      </c>
      <c r="B1457">
        <v>64</v>
      </c>
      <c r="C1457">
        <v>2</v>
      </c>
    </row>
    <row r="1458" spans="1:3" x14ac:dyDescent="0.25">
      <c r="A1458">
        <v>128</v>
      </c>
      <c r="B1458">
        <v>64</v>
      </c>
      <c r="C1458">
        <v>4</v>
      </c>
    </row>
    <row r="1459" spans="1:3" x14ac:dyDescent="0.25">
      <c r="A1459">
        <v>140</v>
      </c>
      <c r="B1459">
        <v>64</v>
      </c>
      <c r="C1459">
        <v>2</v>
      </c>
    </row>
    <row r="1460" spans="1:3" x14ac:dyDescent="0.25">
      <c r="A1460">
        <v>144</v>
      </c>
      <c r="B1460">
        <v>64</v>
      </c>
      <c r="C1460">
        <v>1</v>
      </c>
    </row>
    <row r="1461" spans="1:3" x14ac:dyDescent="0.25">
      <c r="A1461">
        <v>167</v>
      </c>
      <c r="B1461">
        <v>64</v>
      </c>
      <c r="C1461">
        <v>4</v>
      </c>
    </row>
    <row r="1462" spans="1:3" x14ac:dyDescent="0.25">
      <c r="A1462">
        <v>168</v>
      </c>
      <c r="B1462">
        <v>64</v>
      </c>
      <c r="C1462">
        <v>3</v>
      </c>
    </row>
    <row r="1463" spans="1:3" x14ac:dyDescent="0.25">
      <c r="A1463">
        <v>189</v>
      </c>
      <c r="B1463">
        <v>64</v>
      </c>
      <c r="C1463">
        <v>4</v>
      </c>
    </row>
    <row r="1464" spans="1:3" x14ac:dyDescent="0.25">
      <c r="A1464">
        <v>217</v>
      </c>
      <c r="B1464">
        <v>64</v>
      </c>
      <c r="C1464">
        <v>1</v>
      </c>
    </row>
    <row r="1465" spans="1:3" x14ac:dyDescent="0.25">
      <c r="A1465">
        <v>227</v>
      </c>
      <c r="B1465">
        <v>64</v>
      </c>
      <c r="C1465">
        <v>3</v>
      </c>
    </row>
    <row r="1466" spans="1:3" x14ac:dyDescent="0.25">
      <c r="A1466">
        <v>237</v>
      </c>
      <c r="B1466">
        <v>64</v>
      </c>
      <c r="C1466">
        <v>1</v>
      </c>
    </row>
    <row r="1467" spans="1:3" x14ac:dyDescent="0.25">
      <c r="A1467">
        <v>238</v>
      </c>
      <c r="B1467">
        <v>64</v>
      </c>
      <c r="C1467">
        <v>1</v>
      </c>
    </row>
    <row r="1468" spans="1:3" x14ac:dyDescent="0.25">
      <c r="A1468">
        <v>252</v>
      </c>
      <c r="B1468">
        <v>64</v>
      </c>
      <c r="C1468">
        <v>5</v>
      </c>
    </row>
    <row r="1469" spans="1:3" x14ac:dyDescent="0.25">
      <c r="A1469">
        <v>269</v>
      </c>
      <c r="B1469">
        <v>64</v>
      </c>
      <c r="C1469">
        <v>1</v>
      </c>
    </row>
    <row r="1470" spans="1:3" x14ac:dyDescent="0.25">
      <c r="A1470">
        <v>279</v>
      </c>
      <c r="B1470">
        <v>64</v>
      </c>
      <c r="C1470">
        <v>4</v>
      </c>
    </row>
    <row r="1471" spans="1:3" x14ac:dyDescent="0.25">
      <c r="A1471">
        <v>291</v>
      </c>
      <c r="B1471">
        <v>64</v>
      </c>
      <c r="C1471">
        <v>2</v>
      </c>
    </row>
    <row r="1472" spans="1:3" x14ac:dyDescent="0.25">
      <c r="A1472">
        <v>296</v>
      </c>
      <c r="B1472">
        <v>64</v>
      </c>
      <c r="C1472">
        <v>2</v>
      </c>
    </row>
    <row r="1473" spans="1:3" x14ac:dyDescent="0.25">
      <c r="A1473">
        <v>300</v>
      </c>
      <c r="B1473">
        <v>64</v>
      </c>
      <c r="C1473">
        <v>4</v>
      </c>
    </row>
    <row r="1474" spans="1:3" x14ac:dyDescent="0.25">
      <c r="A1474">
        <v>12</v>
      </c>
      <c r="B1474">
        <v>65</v>
      </c>
      <c r="C1474">
        <v>2</v>
      </c>
    </row>
    <row r="1475" spans="1:3" x14ac:dyDescent="0.25">
      <c r="A1475">
        <v>13</v>
      </c>
      <c r="B1475">
        <v>65</v>
      </c>
      <c r="C1475">
        <v>2</v>
      </c>
    </row>
    <row r="1476" spans="1:3" x14ac:dyDescent="0.25">
      <c r="A1476">
        <v>53</v>
      </c>
      <c r="B1476">
        <v>65</v>
      </c>
      <c r="C1476">
        <v>4</v>
      </c>
    </row>
    <row r="1477" spans="1:3" x14ac:dyDescent="0.25">
      <c r="A1477">
        <v>62</v>
      </c>
      <c r="B1477">
        <v>65</v>
      </c>
      <c r="C1477">
        <v>1</v>
      </c>
    </row>
    <row r="1478" spans="1:3" x14ac:dyDescent="0.25">
      <c r="A1478">
        <v>73</v>
      </c>
      <c r="B1478">
        <v>65</v>
      </c>
      <c r="C1478">
        <v>3</v>
      </c>
    </row>
    <row r="1479" spans="1:3" x14ac:dyDescent="0.25">
      <c r="A1479">
        <v>85</v>
      </c>
      <c r="B1479">
        <v>65</v>
      </c>
      <c r="C1479">
        <v>1</v>
      </c>
    </row>
    <row r="1480" spans="1:3" x14ac:dyDescent="0.25">
      <c r="A1480">
        <v>98</v>
      </c>
      <c r="B1480">
        <v>65</v>
      </c>
      <c r="C1480">
        <v>4</v>
      </c>
    </row>
    <row r="1481" spans="1:3" x14ac:dyDescent="0.25">
      <c r="A1481">
        <v>101</v>
      </c>
      <c r="B1481">
        <v>65</v>
      </c>
      <c r="C1481">
        <v>3</v>
      </c>
    </row>
    <row r="1482" spans="1:3" x14ac:dyDescent="0.25">
      <c r="A1482">
        <v>120</v>
      </c>
      <c r="B1482">
        <v>65</v>
      </c>
      <c r="C1482">
        <v>3</v>
      </c>
    </row>
    <row r="1483" spans="1:3" x14ac:dyDescent="0.25">
      <c r="A1483">
        <v>132</v>
      </c>
      <c r="B1483">
        <v>65</v>
      </c>
      <c r="C1483">
        <v>3</v>
      </c>
    </row>
    <row r="1484" spans="1:3" x14ac:dyDescent="0.25">
      <c r="A1484">
        <v>140</v>
      </c>
      <c r="B1484">
        <v>65</v>
      </c>
      <c r="C1484">
        <v>2</v>
      </c>
    </row>
    <row r="1485" spans="1:3" x14ac:dyDescent="0.25">
      <c r="A1485">
        <v>190</v>
      </c>
      <c r="B1485">
        <v>65</v>
      </c>
      <c r="C1485">
        <v>3</v>
      </c>
    </row>
    <row r="1486" spans="1:3" x14ac:dyDescent="0.25">
      <c r="A1486">
        <v>202</v>
      </c>
      <c r="B1486">
        <v>65</v>
      </c>
      <c r="C1486">
        <v>1</v>
      </c>
    </row>
    <row r="1487" spans="1:3" x14ac:dyDescent="0.25">
      <c r="A1487">
        <v>204</v>
      </c>
      <c r="B1487">
        <v>65</v>
      </c>
      <c r="C1487">
        <v>2</v>
      </c>
    </row>
    <row r="1488" spans="1:3" x14ac:dyDescent="0.25">
      <c r="A1488">
        <v>228</v>
      </c>
      <c r="B1488">
        <v>65</v>
      </c>
      <c r="C1488">
        <v>3</v>
      </c>
    </row>
    <row r="1489" spans="1:3" x14ac:dyDescent="0.25">
      <c r="A1489">
        <v>263</v>
      </c>
      <c r="B1489">
        <v>65</v>
      </c>
      <c r="C1489">
        <v>5</v>
      </c>
    </row>
    <row r="1490" spans="1:3" x14ac:dyDescent="0.25">
      <c r="A1490">
        <v>273</v>
      </c>
      <c r="B1490">
        <v>65</v>
      </c>
      <c r="C1490">
        <v>4</v>
      </c>
    </row>
    <row r="1491" spans="1:3" x14ac:dyDescent="0.25">
      <c r="A1491">
        <v>282</v>
      </c>
      <c r="B1491">
        <v>65</v>
      </c>
      <c r="C1491">
        <v>4</v>
      </c>
    </row>
    <row r="1492" spans="1:3" x14ac:dyDescent="0.25">
      <c r="A1492">
        <v>287</v>
      </c>
      <c r="B1492">
        <v>65</v>
      </c>
      <c r="C1492">
        <v>5</v>
      </c>
    </row>
    <row r="1493" spans="1:3" x14ac:dyDescent="0.25">
      <c r="A1493">
        <v>24</v>
      </c>
      <c r="B1493">
        <v>66</v>
      </c>
      <c r="C1493">
        <v>3</v>
      </c>
    </row>
    <row r="1494" spans="1:3" x14ac:dyDescent="0.25">
      <c r="A1494">
        <v>65</v>
      </c>
      <c r="B1494">
        <v>66</v>
      </c>
      <c r="C1494">
        <v>3</v>
      </c>
    </row>
    <row r="1495" spans="1:3" x14ac:dyDescent="0.25">
      <c r="A1495">
        <v>80</v>
      </c>
      <c r="B1495">
        <v>66</v>
      </c>
      <c r="C1495">
        <v>4</v>
      </c>
    </row>
    <row r="1496" spans="1:3" x14ac:dyDescent="0.25">
      <c r="A1496">
        <v>99</v>
      </c>
      <c r="B1496">
        <v>66</v>
      </c>
      <c r="C1496">
        <v>4</v>
      </c>
    </row>
    <row r="1497" spans="1:3" x14ac:dyDescent="0.25">
      <c r="A1497">
        <v>105</v>
      </c>
      <c r="B1497">
        <v>66</v>
      </c>
      <c r="C1497">
        <v>2</v>
      </c>
    </row>
    <row r="1498" spans="1:3" x14ac:dyDescent="0.25">
      <c r="A1498">
        <v>123</v>
      </c>
      <c r="B1498">
        <v>66</v>
      </c>
      <c r="C1498">
        <v>1</v>
      </c>
    </row>
    <row r="1499" spans="1:3" x14ac:dyDescent="0.25">
      <c r="A1499">
        <v>133</v>
      </c>
      <c r="B1499">
        <v>66</v>
      </c>
      <c r="C1499">
        <v>1</v>
      </c>
    </row>
    <row r="1500" spans="1:3" x14ac:dyDescent="0.25">
      <c r="A1500">
        <v>137</v>
      </c>
      <c r="B1500">
        <v>66</v>
      </c>
      <c r="C1500">
        <v>4</v>
      </c>
    </row>
    <row r="1501" spans="1:3" x14ac:dyDescent="0.25">
      <c r="A1501">
        <v>137</v>
      </c>
      <c r="B1501">
        <v>66</v>
      </c>
      <c r="C1501">
        <v>2</v>
      </c>
    </row>
    <row r="1502" spans="1:3" x14ac:dyDescent="0.25">
      <c r="A1502">
        <v>141</v>
      </c>
      <c r="B1502">
        <v>66</v>
      </c>
      <c r="C1502">
        <v>5</v>
      </c>
    </row>
    <row r="1503" spans="1:3" x14ac:dyDescent="0.25">
      <c r="A1503">
        <v>177</v>
      </c>
      <c r="B1503">
        <v>66</v>
      </c>
      <c r="C1503">
        <v>3</v>
      </c>
    </row>
    <row r="1504" spans="1:3" x14ac:dyDescent="0.25">
      <c r="A1504">
        <v>181</v>
      </c>
      <c r="B1504">
        <v>66</v>
      </c>
      <c r="C1504">
        <v>4</v>
      </c>
    </row>
    <row r="1505" spans="1:3" x14ac:dyDescent="0.25">
      <c r="A1505">
        <v>184</v>
      </c>
      <c r="B1505">
        <v>66</v>
      </c>
      <c r="C1505">
        <v>3</v>
      </c>
    </row>
    <row r="1506" spans="1:3" x14ac:dyDescent="0.25">
      <c r="A1506">
        <v>186</v>
      </c>
      <c r="B1506">
        <v>66</v>
      </c>
      <c r="C1506">
        <v>1</v>
      </c>
    </row>
    <row r="1507" spans="1:3" x14ac:dyDescent="0.25">
      <c r="A1507">
        <v>197</v>
      </c>
      <c r="B1507">
        <v>66</v>
      </c>
      <c r="C1507">
        <v>3</v>
      </c>
    </row>
    <row r="1508" spans="1:3" x14ac:dyDescent="0.25">
      <c r="A1508">
        <v>203</v>
      </c>
      <c r="B1508">
        <v>66</v>
      </c>
      <c r="C1508">
        <v>2</v>
      </c>
    </row>
    <row r="1509" spans="1:3" x14ac:dyDescent="0.25">
      <c r="A1509">
        <v>212</v>
      </c>
      <c r="B1509">
        <v>66</v>
      </c>
      <c r="C1509">
        <v>1</v>
      </c>
    </row>
    <row r="1510" spans="1:3" x14ac:dyDescent="0.25">
      <c r="A1510">
        <v>223</v>
      </c>
      <c r="B1510">
        <v>66</v>
      </c>
      <c r="C1510">
        <v>2</v>
      </c>
    </row>
    <row r="1511" spans="1:3" x14ac:dyDescent="0.25">
      <c r="A1511">
        <v>224</v>
      </c>
      <c r="B1511">
        <v>66</v>
      </c>
      <c r="C1511">
        <v>3</v>
      </c>
    </row>
    <row r="1512" spans="1:3" x14ac:dyDescent="0.25">
      <c r="A1512">
        <v>277</v>
      </c>
      <c r="B1512">
        <v>66</v>
      </c>
      <c r="C1512">
        <v>1</v>
      </c>
    </row>
    <row r="1513" spans="1:3" x14ac:dyDescent="0.25">
      <c r="A1513">
        <v>299</v>
      </c>
      <c r="B1513">
        <v>66</v>
      </c>
      <c r="C1513">
        <v>5</v>
      </c>
    </row>
    <row r="1514" spans="1:3" x14ac:dyDescent="0.25">
      <c r="A1514">
        <v>1</v>
      </c>
      <c r="B1514">
        <v>67</v>
      </c>
      <c r="C1514">
        <v>4</v>
      </c>
    </row>
    <row r="1515" spans="1:3" x14ac:dyDescent="0.25">
      <c r="A1515">
        <v>5</v>
      </c>
      <c r="B1515">
        <v>67</v>
      </c>
      <c r="C1515">
        <v>4</v>
      </c>
    </row>
    <row r="1516" spans="1:3" x14ac:dyDescent="0.25">
      <c r="A1516">
        <v>10</v>
      </c>
      <c r="B1516">
        <v>67</v>
      </c>
      <c r="C1516">
        <v>5</v>
      </c>
    </row>
    <row r="1517" spans="1:3" x14ac:dyDescent="0.25">
      <c r="A1517">
        <v>14</v>
      </c>
      <c r="B1517">
        <v>67</v>
      </c>
      <c r="C1517">
        <v>5</v>
      </c>
    </row>
    <row r="1518" spans="1:3" x14ac:dyDescent="0.25">
      <c r="A1518">
        <v>16</v>
      </c>
      <c r="B1518">
        <v>67</v>
      </c>
      <c r="C1518">
        <v>4</v>
      </c>
    </row>
    <row r="1519" spans="1:3" x14ac:dyDescent="0.25">
      <c r="A1519">
        <v>20</v>
      </c>
      <c r="B1519">
        <v>67</v>
      </c>
      <c r="C1519">
        <v>4</v>
      </c>
    </row>
    <row r="1520" spans="1:3" x14ac:dyDescent="0.25">
      <c r="A1520">
        <v>41</v>
      </c>
      <c r="B1520">
        <v>67</v>
      </c>
      <c r="C1520">
        <v>4</v>
      </c>
    </row>
    <row r="1521" spans="1:3" x14ac:dyDescent="0.25">
      <c r="A1521">
        <v>55</v>
      </c>
      <c r="B1521">
        <v>67</v>
      </c>
      <c r="C1521">
        <v>3</v>
      </c>
    </row>
    <row r="1522" spans="1:3" x14ac:dyDescent="0.25">
      <c r="A1522">
        <v>56</v>
      </c>
      <c r="B1522">
        <v>67</v>
      </c>
      <c r="C1522">
        <v>2</v>
      </c>
    </row>
    <row r="1523" spans="1:3" x14ac:dyDescent="0.25">
      <c r="A1523">
        <v>66</v>
      </c>
      <c r="B1523">
        <v>67</v>
      </c>
      <c r="C1523">
        <v>5</v>
      </c>
    </row>
    <row r="1524" spans="1:3" x14ac:dyDescent="0.25">
      <c r="A1524">
        <v>67</v>
      </c>
      <c r="B1524">
        <v>67</v>
      </c>
      <c r="C1524">
        <v>4</v>
      </c>
    </row>
    <row r="1525" spans="1:3" x14ac:dyDescent="0.25">
      <c r="A1525">
        <v>136</v>
      </c>
      <c r="B1525">
        <v>67</v>
      </c>
      <c r="C1525">
        <v>4</v>
      </c>
    </row>
    <row r="1526" spans="1:3" x14ac:dyDescent="0.25">
      <c r="A1526">
        <v>144</v>
      </c>
      <c r="B1526">
        <v>67</v>
      </c>
      <c r="C1526">
        <v>2</v>
      </c>
    </row>
    <row r="1527" spans="1:3" x14ac:dyDescent="0.25">
      <c r="A1527">
        <v>150</v>
      </c>
      <c r="B1527">
        <v>67</v>
      </c>
      <c r="C1527">
        <v>3</v>
      </c>
    </row>
    <row r="1528" spans="1:3" x14ac:dyDescent="0.25">
      <c r="A1528">
        <v>174</v>
      </c>
      <c r="B1528">
        <v>67</v>
      </c>
      <c r="C1528">
        <v>1</v>
      </c>
    </row>
    <row r="1529" spans="1:3" x14ac:dyDescent="0.25">
      <c r="A1529">
        <v>181</v>
      </c>
      <c r="B1529">
        <v>67</v>
      </c>
      <c r="C1529">
        <v>2</v>
      </c>
    </row>
    <row r="1530" spans="1:3" x14ac:dyDescent="0.25">
      <c r="A1530">
        <v>258</v>
      </c>
      <c r="B1530">
        <v>67</v>
      </c>
      <c r="C1530">
        <v>2</v>
      </c>
    </row>
    <row r="1531" spans="1:3" x14ac:dyDescent="0.25">
      <c r="A1531">
        <v>262</v>
      </c>
      <c r="B1531">
        <v>67</v>
      </c>
      <c r="C1531">
        <v>3</v>
      </c>
    </row>
    <row r="1532" spans="1:3" x14ac:dyDescent="0.25">
      <c r="A1532">
        <v>282</v>
      </c>
      <c r="B1532">
        <v>67</v>
      </c>
      <c r="C1532">
        <v>4</v>
      </c>
    </row>
    <row r="1533" spans="1:3" x14ac:dyDescent="0.25">
      <c r="A1533">
        <v>5</v>
      </c>
      <c r="B1533">
        <v>68</v>
      </c>
      <c r="C1533">
        <v>5</v>
      </c>
    </row>
    <row r="1534" spans="1:3" x14ac:dyDescent="0.25">
      <c r="A1534">
        <v>16</v>
      </c>
      <c r="B1534">
        <v>68</v>
      </c>
      <c r="C1534">
        <v>2</v>
      </c>
    </row>
    <row r="1535" spans="1:3" x14ac:dyDescent="0.25">
      <c r="A1535">
        <v>22</v>
      </c>
      <c r="B1535">
        <v>68</v>
      </c>
      <c r="C1535">
        <v>2</v>
      </c>
    </row>
    <row r="1536" spans="1:3" x14ac:dyDescent="0.25">
      <c r="A1536">
        <v>29</v>
      </c>
      <c r="B1536">
        <v>68</v>
      </c>
      <c r="C1536">
        <v>5</v>
      </c>
    </row>
    <row r="1537" spans="1:3" x14ac:dyDescent="0.25">
      <c r="A1537">
        <v>36</v>
      </c>
      <c r="B1537">
        <v>68</v>
      </c>
      <c r="C1537">
        <v>2</v>
      </c>
    </row>
    <row r="1538" spans="1:3" x14ac:dyDescent="0.25">
      <c r="A1538">
        <v>49</v>
      </c>
      <c r="B1538">
        <v>68</v>
      </c>
      <c r="C1538">
        <v>3</v>
      </c>
    </row>
    <row r="1539" spans="1:3" x14ac:dyDescent="0.25">
      <c r="A1539">
        <v>59</v>
      </c>
      <c r="B1539">
        <v>68</v>
      </c>
      <c r="C1539">
        <v>5</v>
      </c>
    </row>
    <row r="1540" spans="1:3" x14ac:dyDescent="0.25">
      <c r="A1540">
        <v>78</v>
      </c>
      <c r="B1540">
        <v>68</v>
      </c>
      <c r="C1540">
        <v>1</v>
      </c>
    </row>
    <row r="1541" spans="1:3" x14ac:dyDescent="0.25">
      <c r="A1541">
        <v>89</v>
      </c>
      <c r="B1541">
        <v>68</v>
      </c>
      <c r="C1541">
        <v>3</v>
      </c>
    </row>
    <row r="1542" spans="1:3" x14ac:dyDescent="0.25">
      <c r="A1542">
        <v>99</v>
      </c>
      <c r="B1542">
        <v>68</v>
      </c>
      <c r="C1542">
        <v>5</v>
      </c>
    </row>
    <row r="1543" spans="1:3" x14ac:dyDescent="0.25">
      <c r="A1543">
        <v>114</v>
      </c>
      <c r="B1543">
        <v>68</v>
      </c>
      <c r="C1543">
        <v>3</v>
      </c>
    </row>
    <row r="1544" spans="1:3" x14ac:dyDescent="0.25">
      <c r="A1544">
        <v>123</v>
      </c>
      <c r="B1544">
        <v>68</v>
      </c>
      <c r="C1544">
        <v>1</v>
      </c>
    </row>
    <row r="1545" spans="1:3" x14ac:dyDescent="0.25">
      <c r="A1545">
        <v>140</v>
      </c>
      <c r="B1545">
        <v>68</v>
      </c>
      <c r="C1545">
        <v>5</v>
      </c>
    </row>
    <row r="1546" spans="1:3" x14ac:dyDescent="0.25">
      <c r="A1546">
        <v>154</v>
      </c>
      <c r="B1546">
        <v>68</v>
      </c>
      <c r="C1546">
        <v>3</v>
      </c>
    </row>
    <row r="1547" spans="1:3" x14ac:dyDescent="0.25">
      <c r="A1547">
        <v>164</v>
      </c>
      <c r="B1547">
        <v>68</v>
      </c>
      <c r="C1547">
        <v>2</v>
      </c>
    </row>
    <row r="1548" spans="1:3" x14ac:dyDescent="0.25">
      <c r="A1548">
        <v>195</v>
      </c>
      <c r="B1548">
        <v>68</v>
      </c>
      <c r="C1548">
        <v>3</v>
      </c>
    </row>
    <row r="1549" spans="1:3" x14ac:dyDescent="0.25">
      <c r="A1549">
        <v>201</v>
      </c>
      <c r="B1549">
        <v>68</v>
      </c>
      <c r="C1549">
        <v>2</v>
      </c>
    </row>
    <row r="1550" spans="1:3" x14ac:dyDescent="0.25">
      <c r="A1550">
        <v>212</v>
      </c>
      <c r="B1550">
        <v>68</v>
      </c>
      <c r="C1550">
        <v>3</v>
      </c>
    </row>
    <row r="1551" spans="1:3" x14ac:dyDescent="0.25">
      <c r="A1551">
        <v>233</v>
      </c>
      <c r="B1551">
        <v>68</v>
      </c>
      <c r="C1551">
        <v>5</v>
      </c>
    </row>
    <row r="1552" spans="1:3" x14ac:dyDescent="0.25">
      <c r="A1552">
        <v>238</v>
      </c>
      <c r="B1552">
        <v>68</v>
      </c>
      <c r="C1552">
        <v>1</v>
      </c>
    </row>
    <row r="1553" spans="1:3" x14ac:dyDescent="0.25">
      <c r="A1553">
        <v>239</v>
      </c>
      <c r="B1553">
        <v>68</v>
      </c>
      <c r="C1553">
        <v>5</v>
      </c>
    </row>
    <row r="1554" spans="1:3" x14ac:dyDescent="0.25">
      <c r="A1554">
        <v>262</v>
      </c>
      <c r="B1554">
        <v>68</v>
      </c>
      <c r="C1554">
        <v>2</v>
      </c>
    </row>
    <row r="1555" spans="1:3" x14ac:dyDescent="0.25">
      <c r="A1555">
        <v>289</v>
      </c>
      <c r="B1555">
        <v>68</v>
      </c>
      <c r="C1555">
        <v>5</v>
      </c>
    </row>
    <row r="1556" spans="1:3" x14ac:dyDescent="0.25">
      <c r="A1556">
        <v>289</v>
      </c>
      <c r="B1556">
        <v>68</v>
      </c>
      <c r="C1556">
        <v>2</v>
      </c>
    </row>
    <row r="1557" spans="1:3" x14ac:dyDescent="0.25">
      <c r="A1557">
        <v>294</v>
      </c>
      <c r="B1557">
        <v>68</v>
      </c>
      <c r="C1557">
        <v>5</v>
      </c>
    </row>
    <row r="1558" spans="1:3" x14ac:dyDescent="0.25">
      <c r="A1558">
        <v>295</v>
      </c>
      <c r="B1558">
        <v>68</v>
      </c>
      <c r="C1558">
        <v>2</v>
      </c>
    </row>
    <row r="1559" spans="1:3" x14ac:dyDescent="0.25">
      <c r="A1559">
        <v>38</v>
      </c>
      <c r="B1559">
        <v>69</v>
      </c>
      <c r="C1559">
        <v>5</v>
      </c>
    </row>
    <row r="1560" spans="1:3" x14ac:dyDescent="0.25">
      <c r="A1560">
        <v>48</v>
      </c>
      <c r="B1560">
        <v>69</v>
      </c>
      <c r="C1560">
        <v>1</v>
      </c>
    </row>
    <row r="1561" spans="1:3" x14ac:dyDescent="0.25">
      <c r="A1561">
        <v>84</v>
      </c>
      <c r="B1561">
        <v>69</v>
      </c>
      <c r="C1561">
        <v>4</v>
      </c>
    </row>
    <row r="1562" spans="1:3" x14ac:dyDescent="0.25">
      <c r="A1562">
        <v>92</v>
      </c>
      <c r="B1562">
        <v>69</v>
      </c>
      <c r="C1562">
        <v>4</v>
      </c>
    </row>
    <row r="1563" spans="1:3" x14ac:dyDescent="0.25">
      <c r="A1563">
        <v>105</v>
      </c>
      <c r="B1563">
        <v>69</v>
      </c>
      <c r="C1563">
        <v>5</v>
      </c>
    </row>
    <row r="1564" spans="1:3" x14ac:dyDescent="0.25">
      <c r="A1564">
        <v>105</v>
      </c>
      <c r="B1564">
        <v>69</v>
      </c>
      <c r="C1564">
        <v>2</v>
      </c>
    </row>
    <row r="1565" spans="1:3" x14ac:dyDescent="0.25">
      <c r="A1565">
        <v>115</v>
      </c>
      <c r="B1565">
        <v>69</v>
      </c>
      <c r="C1565">
        <v>5</v>
      </c>
    </row>
    <row r="1566" spans="1:3" x14ac:dyDescent="0.25">
      <c r="A1566">
        <v>121</v>
      </c>
      <c r="B1566">
        <v>69</v>
      </c>
      <c r="C1566">
        <v>3</v>
      </c>
    </row>
    <row r="1567" spans="1:3" x14ac:dyDescent="0.25">
      <c r="A1567">
        <v>126</v>
      </c>
      <c r="B1567">
        <v>69</v>
      </c>
      <c r="C1567">
        <v>2</v>
      </c>
    </row>
    <row r="1568" spans="1:3" x14ac:dyDescent="0.25">
      <c r="A1568">
        <v>138</v>
      </c>
      <c r="B1568">
        <v>69</v>
      </c>
      <c r="C1568">
        <v>3</v>
      </c>
    </row>
    <row r="1569" spans="1:3" x14ac:dyDescent="0.25">
      <c r="A1569">
        <v>157</v>
      </c>
      <c r="B1569">
        <v>69</v>
      </c>
      <c r="C1569">
        <v>3</v>
      </c>
    </row>
    <row r="1570" spans="1:3" x14ac:dyDescent="0.25">
      <c r="A1570">
        <v>159</v>
      </c>
      <c r="B1570">
        <v>69</v>
      </c>
      <c r="C1570">
        <v>4</v>
      </c>
    </row>
    <row r="1571" spans="1:3" x14ac:dyDescent="0.25">
      <c r="A1571">
        <v>162</v>
      </c>
      <c r="B1571">
        <v>69</v>
      </c>
      <c r="C1571">
        <v>3</v>
      </c>
    </row>
    <row r="1572" spans="1:3" x14ac:dyDescent="0.25">
      <c r="A1572">
        <v>193</v>
      </c>
      <c r="B1572">
        <v>69</v>
      </c>
      <c r="C1572">
        <v>2</v>
      </c>
    </row>
    <row r="1573" spans="1:3" x14ac:dyDescent="0.25">
      <c r="A1573">
        <v>228</v>
      </c>
      <c r="B1573">
        <v>69</v>
      </c>
      <c r="C1573">
        <v>2</v>
      </c>
    </row>
    <row r="1574" spans="1:3" x14ac:dyDescent="0.25">
      <c r="A1574">
        <v>228</v>
      </c>
      <c r="B1574">
        <v>69</v>
      </c>
      <c r="C1574">
        <v>5</v>
      </c>
    </row>
    <row r="1575" spans="1:3" x14ac:dyDescent="0.25">
      <c r="A1575">
        <v>230</v>
      </c>
      <c r="B1575">
        <v>69</v>
      </c>
      <c r="C1575">
        <v>5</v>
      </c>
    </row>
    <row r="1576" spans="1:3" x14ac:dyDescent="0.25">
      <c r="A1576">
        <v>247</v>
      </c>
      <c r="B1576">
        <v>69</v>
      </c>
      <c r="C1576">
        <v>5</v>
      </c>
    </row>
    <row r="1577" spans="1:3" x14ac:dyDescent="0.25">
      <c r="A1577">
        <v>274</v>
      </c>
      <c r="B1577">
        <v>69</v>
      </c>
      <c r="C1577">
        <v>4</v>
      </c>
    </row>
    <row r="1578" spans="1:3" x14ac:dyDescent="0.25">
      <c r="A1578">
        <v>285</v>
      </c>
      <c r="B1578">
        <v>69</v>
      </c>
      <c r="C1578">
        <v>4</v>
      </c>
    </row>
    <row r="1579" spans="1:3" x14ac:dyDescent="0.25">
      <c r="A1579">
        <v>290</v>
      </c>
      <c r="B1579">
        <v>69</v>
      </c>
      <c r="C1579">
        <v>2</v>
      </c>
    </row>
    <row r="1580" spans="1:3" x14ac:dyDescent="0.25">
      <c r="A1580">
        <v>296</v>
      </c>
      <c r="B1580">
        <v>69</v>
      </c>
      <c r="C1580">
        <v>2</v>
      </c>
    </row>
    <row r="1581" spans="1:3" x14ac:dyDescent="0.25">
      <c r="A1581">
        <v>300</v>
      </c>
      <c r="B1581">
        <v>69</v>
      </c>
      <c r="C1581">
        <v>4</v>
      </c>
    </row>
    <row r="1582" spans="1:3" x14ac:dyDescent="0.25">
      <c r="A1582">
        <v>300</v>
      </c>
      <c r="B1582">
        <v>69</v>
      </c>
      <c r="C1582">
        <v>3</v>
      </c>
    </row>
    <row r="1583" spans="1:3" x14ac:dyDescent="0.25">
      <c r="A1583">
        <v>300</v>
      </c>
      <c r="B1583">
        <v>69</v>
      </c>
      <c r="C1583">
        <v>1</v>
      </c>
    </row>
    <row r="1584" spans="1:3" x14ac:dyDescent="0.25">
      <c r="A1584">
        <v>3</v>
      </c>
      <c r="B1584">
        <v>70</v>
      </c>
      <c r="C1584">
        <v>3</v>
      </c>
    </row>
    <row r="1585" spans="1:3" x14ac:dyDescent="0.25">
      <c r="A1585">
        <v>17</v>
      </c>
      <c r="B1585">
        <v>70</v>
      </c>
      <c r="C1585">
        <v>2</v>
      </c>
    </row>
    <row r="1586" spans="1:3" x14ac:dyDescent="0.25">
      <c r="A1586">
        <v>27</v>
      </c>
      <c r="B1586">
        <v>70</v>
      </c>
      <c r="C1586">
        <v>4</v>
      </c>
    </row>
    <row r="1587" spans="1:3" x14ac:dyDescent="0.25">
      <c r="A1587">
        <v>52</v>
      </c>
      <c r="B1587">
        <v>70</v>
      </c>
      <c r="C1587">
        <v>5</v>
      </c>
    </row>
    <row r="1588" spans="1:3" x14ac:dyDescent="0.25">
      <c r="A1588">
        <v>55</v>
      </c>
      <c r="B1588">
        <v>70</v>
      </c>
      <c r="C1588">
        <v>4</v>
      </c>
    </row>
    <row r="1589" spans="1:3" x14ac:dyDescent="0.25">
      <c r="A1589">
        <v>76</v>
      </c>
      <c r="B1589">
        <v>70</v>
      </c>
      <c r="C1589">
        <v>1</v>
      </c>
    </row>
    <row r="1590" spans="1:3" x14ac:dyDescent="0.25">
      <c r="A1590">
        <v>80</v>
      </c>
      <c r="B1590">
        <v>70</v>
      </c>
      <c r="C1590">
        <v>3</v>
      </c>
    </row>
    <row r="1591" spans="1:3" x14ac:dyDescent="0.25">
      <c r="A1591">
        <v>82</v>
      </c>
      <c r="B1591">
        <v>70</v>
      </c>
      <c r="C1591">
        <v>5</v>
      </c>
    </row>
    <row r="1592" spans="1:3" x14ac:dyDescent="0.25">
      <c r="A1592">
        <v>82</v>
      </c>
      <c r="B1592">
        <v>70</v>
      </c>
      <c r="C1592">
        <v>2</v>
      </c>
    </row>
    <row r="1593" spans="1:3" x14ac:dyDescent="0.25">
      <c r="A1593">
        <v>89</v>
      </c>
      <c r="B1593">
        <v>70</v>
      </c>
      <c r="C1593">
        <v>5</v>
      </c>
    </row>
    <row r="1594" spans="1:3" x14ac:dyDescent="0.25">
      <c r="A1594">
        <v>94</v>
      </c>
      <c r="B1594">
        <v>70</v>
      </c>
      <c r="C1594">
        <v>5</v>
      </c>
    </row>
    <row r="1595" spans="1:3" x14ac:dyDescent="0.25">
      <c r="A1595">
        <v>99</v>
      </c>
      <c r="B1595">
        <v>70</v>
      </c>
      <c r="C1595">
        <v>3</v>
      </c>
    </row>
    <row r="1596" spans="1:3" x14ac:dyDescent="0.25">
      <c r="A1596">
        <v>112</v>
      </c>
      <c r="B1596">
        <v>70</v>
      </c>
      <c r="C1596">
        <v>4</v>
      </c>
    </row>
    <row r="1597" spans="1:3" x14ac:dyDescent="0.25">
      <c r="A1597">
        <v>136</v>
      </c>
      <c r="B1597">
        <v>70</v>
      </c>
      <c r="C1597">
        <v>4</v>
      </c>
    </row>
    <row r="1598" spans="1:3" x14ac:dyDescent="0.25">
      <c r="A1598">
        <v>145</v>
      </c>
      <c r="B1598">
        <v>70</v>
      </c>
      <c r="C1598">
        <v>1</v>
      </c>
    </row>
    <row r="1599" spans="1:3" x14ac:dyDescent="0.25">
      <c r="A1599">
        <v>218</v>
      </c>
      <c r="B1599">
        <v>70</v>
      </c>
      <c r="C1599">
        <v>2</v>
      </c>
    </row>
    <row r="1600" spans="1:3" x14ac:dyDescent="0.25">
      <c r="A1600">
        <v>219</v>
      </c>
      <c r="B1600">
        <v>70</v>
      </c>
      <c r="C1600">
        <v>2</v>
      </c>
    </row>
    <row r="1601" spans="1:3" x14ac:dyDescent="0.25">
      <c r="A1601">
        <v>222</v>
      </c>
      <c r="B1601">
        <v>70</v>
      </c>
      <c r="C1601">
        <v>4</v>
      </c>
    </row>
    <row r="1602" spans="1:3" x14ac:dyDescent="0.25">
      <c r="A1602">
        <v>228</v>
      </c>
      <c r="B1602">
        <v>70</v>
      </c>
      <c r="C1602">
        <v>2</v>
      </c>
    </row>
    <row r="1603" spans="1:3" x14ac:dyDescent="0.25">
      <c r="A1603">
        <v>232</v>
      </c>
      <c r="B1603">
        <v>70</v>
      </c>
      <c r="C1603">
        <v>5</v>
      </c>
    </row>
    <row r="1604" spans="1:3" x14ac:dyDescent="0.25">
      <c r="A1604">
        <v>236</v>
      </c>
      <c r="B1604">
        <v>70</v>
      </c>
      <c r="C1604">
        <v>1</v>
      </c>
    </row>
    <row r="1605" spans="1:3" x14ac:dyDescent="0.25">
      <c r="A1605">
        <v>260</v>
      </c>
      <c r="B1605">
        <v>70</v>
      </c>
      <c r="C1605">
        <v>2</v>
      </c>
    </row>
    <row r="1606" spans="1:3" x14ac:dyDescent="0.25">
      <c r="A1606">
        <v>292</v>
      </c>
      <c r="B1606">
        <v>70</v>
      </c>
      <c r="C1606">
        <v>4</v>
      </c>
    </row>
    <row r="1607" spans="1:3" x14ac:dyDescent="0.25">
      <c r="A1607">
        <v>12</v>
      </c>
      <c r="B1607">
        <v>71</v>
      </c>
      <c r="C1607">
        <v>5</v>
      </c>
    </row>
    <row r="1608" spans="1:3" x14ac:dyDescent="0.25">
      <c r="A1608">
        <v>18</v>
      </c>
      <c r="B1608">
        <v>71</v>
      </c>
      <c r="C1608">
        <v>4</v>
      </c>
    </row>
    <row r="1609" spans="1:3" x14ac:dyDescent="0.25">
      <c r="A1609">
        <v>30</v>
      </c>
      <c r="B1609">
        <v>71</v>
      </c>
      <c r="C1609">
        <v>4</v>
      </c>
    </row>
    <row r="1610" spans="1:3" x14ac:dyDescent="0.25">
      <c r="A1610">
        <v>62</v>
      </c>
      <c r="B1610">
        <v>71</v>
      </c>
      <c r="C1610">
        <v>5</v>
      </c>
    </row>
    <row r="1611" spans="1:3" x14ac:dyDescent="0.25">
      <c r="A1611">
        <v>63</v>
      </c>
      <c r="B1611">
        <v>71</v>
      </c>
      <c r="C1611">
        <v>2</v>
      </c>
    </row>
    <row r="1612" spans="1:3" x14ac:dyDescent="0.25">
      <c r="A1612">
        <v>64</v>
      </c>
      <c r="B1612">
        <v>71</v>
      </c>
      <c r="C1612">
        <v>4</v>
      </c>
    </row>
    <row r="1613" spans="1:3" x14ac:dyDescent="0.25">
      <c r="A1613">
        <v>97</v>
      </c>
      <c r="B1613">
        <v>71</v>
      </c>
      <c r="C1613">
        <v>2</v>
      </c>
    </row>
    <row r="1614" spans="1:3" x14ac:dyDescent="0.25">
      <c r="A1614">
        <v>171</v>
      </c>
      <c r="B1614">
        <v>71</v>
      </c>
      <c r="C1614">
        <v>4</v>
      </c>
    </row>
    <row r="1615" spans="1:3" x14ac:dyDescent="0.25">
      <c r="A1615">
        <v>175</v>
      </c>
      <c r="B1615">
        <v>71</v>
      </c>
      <c r="C1615">
        <v>4</v>
      </c>
    </row>
    <row r="1616" spans="1:3" x14ac:dyDescent="0.25">
      <c r="A1616">
        <v>186</v>
      </c>
      <c r="B1616">
        <v>71</v>
      </c>
      <c r="C1616">
        <v>4</v>
      </c>
    </row>
    <row r="1617" spans="1:3" x14ac:dyDescent="0.25">
      <c r="A1617">
        <v>207</v>
      </c>
      <c r="B1617">
        <v>71</v>
      </c>
      <c r="C1617">
        <v>4</v>
      </c>
    </row>
    <row r="1618" spans="1:3" x14ac:dyDescent="0.25">
      <c r="A1618">
        <v>221</v>
      </c>
      <c r="B1618">
        <v>71</v>
      </c>
      <c r="C1618">
        <v>1</v>
      </c>
    </row>
    <row r="1619" spans="1:3" x14ac:dyDescent="0.25">
      <c r="A1619">
        <v>222</v>
      </c>
      <c r="B1619">
        <v>71</v>
      </c>
      <c r="C1619">
        <v>2</v>
      </c>
    </row>
    <row r="1620" spans="1:3" x14ac:dyDescent="0.25">
      <c r="A1620">
        <v>225</v>
      </c>
      <c r="B1620">
        <v>71</v>
      </c>
      <c r="C1620">
        <v>2</v>
      </c>
    </row>
    <row r="1621" spans="1:3" x14ac:dyDescent="0.25">
      <c r="A1621">
        <v>232</v>
      </c>
      <c r="B1621">
        <v>71</v>
      </c>
      <c r="C1621">
        <v>2</v>
      </c>
    </row>
    <row r="1622" spans="1:3" x14ac:dyDescent="0.25">
      <c r="A1622">
        <v>240</v>
      </c>
      <c r="B1622">
        <v>71</v>
      </c>
      <c r="C1622">
        <v>1</v>
      </c>
    </row>
    <row r="1623" spans="1:3" x14ac:dyDescent="0.25">
      <c r="A1623">
        <v>271</v>
      </c>
      <c r="B1623">
        <v>71</v>
      </c>
      <c r="C1623">
        <v>2</v>
      </c>
    </row>
    <row r="1624" spans="1:3" x14ac:dyDescent="0.25">
      <c r="A1624">
        <v>275</v>
      </c>
      <c r="B1624">
        <v>71</v>
      </c>
      <c r="C1624">
        <v>3</v>
      </c>
    </row>
    <row r="1625" spans="1:3" x14ac:dyDescent="0.25">
      <c r="A1625">
        <v>296</v>
      </c>
      <c r="B1625">
        <v>71</v>
      </c>
      <c r="C1625">
        <v>1</v>
      </c>
    </row>
    <row r="1626" spans="1:3" x14ac:dyDescent="0.25">
      <c r="A1626">
        <v>12</v>
      </c>
      <c r="B1626">
        <v>72</v>
      </c>
      <c r="C1626">
        <v>5</v>
      </c>
    </row>
    <row r="1627" spans="1:3" x14ac:dyDescent="0.25">
      <c r="A1627">
        <v>87</v>
      </c>
      <c r="B1627">
        <v>72</v>
      </c>
      <c r="C1627">
        <v>2</v>
      </c>
    </row>
    <row r="1628" spans="1:3" x14ac:dyDescent="0.25">
      <c r="A1628">
        <v>125</v>
      </c>
      <c r="B1628">
        <v>72</v>
      </c>
      <c r="C1628">
        <v>4</v>
      </c>
    </row>
    <row r="1629" spans="1:3" x14ac:dyDescent="0.25">
      <c r="A1629">
        <v>136</v>
      </c>
      <c r="B1629">
        <v>72</v>
      </c>
      <c r="C1629">
        <v>2</v>
      </c>
    </row>
    <row r="1630" spans="1:3" x14ac:dyDescent="0.25">
      <c r="A1630">
        <v>154</v>
      </c>
      <c r="B1630">
        <v>72</v>
      </c>
      <c r="C1630">
        <v>5</v>
      </c>
    </row>
    <row r="1631" spans="1:3" x14ac:dyDescent="0.25">
      <c r="A1631">
        <v>170</v>
      </c>
      <c r="B1631">
        <v>72</v>
      </c>
      <c r="C1631">
        <v>3</v>
      </c>
    </row>
    <row r="1632" spans="1:3" x14ac:dyDescent="0.25">
      <c r="A1632">
        <v>188</v>
      </c>
      <c r="B1632">
        <v>72</v>
      </c>
      <c r="C1632">
        <v>1</v>
      </c>
    </row>
    <row r="1633" spans="1:3" x14ac:dyDescent="0.25">
      <c r="A1633">
        <v>206</v>
      </c>
      <c r="B1633">
        <v>72</v>
      </c>
      <c r="C1633">
        <v>4</v>
      </c>
    </row>
    <row r="1634" spans="1:3" x14ac:dyDescent="0.25">
      <c r="A1634">
        <v>219</v>
      </c>
      <c r="B1634">
        <v>72</v>
      </c>
      <c r="C1634">
        <v>4</v>
      </c>
    </row>
    <row r="1635" spans="1:3" x14ac:dyDescent="0.25">
      <c r="A1635">
        <v>227</v>
      </c>
      <c r="B1635">
        <v>72</v>
      </c>
      <c r="C1635">
        <v>1</v>
      </c>
    </row>
    <row r="1636" spans="1:3" x14ac:dyDescent="0.25">
      <c r="A1636">
        <v>272</v>
      </c>
      <c r="B1636">
        <v>72</v>
      </c>
      <c r="C1636">
        <v>4</v>
      </c>
    </row>
    <row r="1637" spans="1:3" x14ac:dyDescent="0.25">
      <c r="A1637">
        <v>273</v>
      </c>
      <c r="B1637">
        <v>72</v>
      </c>
      <c r="C1637">
        <v>4</v>
      </c>
    </row>
    <row r="1638" spans="1:3" x14ac:dyDescent="0.25">
      <c r="A1638">
        <v>299</v>
      </c>
      <c r="B1638">
        <v>72</v>
      </c>
      <c r="C1638">
        <v>1</v>
      </c>
    </row>
    <row r="1639" spans="1:3" x14ac:dyDescent="0.25">
      <c r="A1639">
        <v>16</v>
      </c>
      <c r="B1639">
        <v>73</v>
      </c>
      <c r="C1639">
        <v>2</v>
      </c>
    </row>
    <row r="1640" spans="1:3" x14ac:dyDescent="0.25">
      <c r="A1640">
        <v>48</v>
      </c>
      <c r="B1640">
        <v>73</v>
      </c>
      <c r="C1640">
        <v>1</v>
      </c>
    </row>
    <row r="1641" spans="1:3" x14ac:dyDescent="0.25">
      <c r="A1641">
        <v>51</v>
      </c>
      <c r="B1641">
        <v>73</v>
      </c>
      <c r="C1641">
        <v>5</v>
      </c>
    </row>
    <row r="1642" spans="1:3" x14ac:dyDescent="0.25">
      <c r="A1642">
        <v>118</v>
      </c>
      <c r="B1642">
        <v>73</v>
      </c>
      <c r="C1642">
        <v>1</v>
      </c>
    </row>
    <row r="1643" spans="1:3" x14ac:dyDescent="0.25">
      <c r="A1643">
        <v>143</v>
      </c>
      <c r="B1643">
        <v>73</v>
      </c>
      <c r="C1643">
        <v>1</v>
      </c>
    </row>
    <row r="1644" spans="1:3" x14ac:dyDescent="0.25">
      <c r="A1644">
        <v>149</v>
      </c>
      <c r="B1644">
        <v>73</v>
      </c>
      <c r="C1644">
        <v>2</v>
      </c>
    </row>
    <row r="1645" spans="1:3" x14ac:dyDescent="0.25">
      <c r="A1645">
        <v>149</v>
      </c>
      <c r="B1645">
        <v>73</v>
      </c>
      <c r="C1645">
        <v>2</v>
      </c>
    </row>
    <row r="1646" spans="1:3" x14ac:dyDescent="0.25">
      <c r="A1646">
        <v>155</v>
      </c>
      <c r="B1646">
        <v>73</v>
      </c>
      <c r="C1646">
        <v>3</v>
      </c>
    </row>
    <row r="1647" spans="1:3" x14ac:dyDescent="0.25">
      <c r="A1647">
        <v>176</v>
      </c>
      <c r="B1647">
        <v>73</v>
      </c>
      <c r="C1647">
        <v>1</v>
      </c>
    </row>
    <row r="1648" spans="1:3" x14ac:dyDescent="0.25">
      <c r="A1648">
        <v>179</v>
      </c>
      <c r="B1648">
        <v>73</v>
      </c>
      <c r="C1648">
        <v>3</v>
      </c>
    </row>
    <row r="1649" spans="1:3" x14ac:dyDescent="0.25">
      <c r="A1649">
        <v>179</v>
      </c>
      <c r="B1649">
        <v>73</v>
      </c>
      <c r="C1649">
        <v>4</v>
      </c>
    </row>
    <row r="1650" spans="1:3" x14ac:dyDescent="0.25">
      <c r="A1650">
        <v>186</v>
      </c>
      <c r="B1650">
        <v>73</v>
      </c>
      <c r="C1650">
        <v>4</v>
      </c>
    </row>
    <row r="1651" spans="1:3" x14ac:dyDescent="0.25">
      <c r="A1651">
        <v>187</v>
      </c>
      <c r="B1651">
        <v>73</v>
      </c>
      <c r="C1651">
        <v>1</v>
      </c>
    </row>
    <row r="1652" spans="1:3" x14ac:dyDescent="0.25">
      <c r="A1652">
        <v>199</v>
      </c>
      <c r="B1652">
        <v>73</v>
      </c>
      <c r="C1652">
        <v>3</v>
      </c>
    </row>
    <row r="1653" spans="1:3" x14ac:dyDescent="0.25">
      <c r="A1653">
        <v>207</v>
      </c>
      <c r="B1653">
        <v>73</v>
      </c>
      <c r="C1653">
        <v>1</v>
      </c>
    </row>
    <row r="1654" spans="1:3" x14ac:dyDescent="0.25">
      <c r="A1654">
        <v>218</v>
      </c>
      <c r="B1654">
        <v>73</v>
      </c>
      <c r="C1654">
        <v>1</v>
      </c>
    </row>
    <row r="1655" spans="1:3" x14ac:dyDescent="0.25">
      <c r="A1655">
        <v>252</v>
      </c>
      <c r="B1655">
        <v>73</v>
      </c>
      <c r="C1655">
        <v>4</v>
      </c>
    </row>
    <row r="1656" spans="1:3" x14ac:dyDescent="0.25">
      <c r="A1656">
        <v>268</v>
      </c>
      <c r="B1656">
        <v>73</v>
      </c>
      <c r="C1656">
        <v>2</v>
      </c>
    </row>
    <row r="1657" spans="1:3" x14ac:dyDescent="0.25">
      <c r="A1657">
        <v>281</v>
      </c>
      <c r="B1657">
        <v>73</v>
      </c>
      <c r="C1657">
        <v>1</v>
      </c>
    </row>
    <row r="1658" spans="1:3" x14ac:dyDescent="0.25">
      <c r="A1658">
        <v>287</v>
      </c>
      <c r="B1658">
        <v>73</v>
      </c>
      <c r="C1658">
        <v>1</v>
      </c>
    </row>
    <row r="1659" spans="1:3" x14ac:dyDescent="0.25">
      <c r="A1659">
        <v>295</v>
      </c>
      <c r="B1659">
        <v>73</v>
      </c>
      <c r="C1659">
        <v>4</v>
      </c>
    </row>
    <row r="1660" spans="1:3" x14ac:dyDescent="0.25">
      <c r="A1660">
        <v>4</v>
      </c>
      <c r="B1660">
        <v>74</v>
      </c>
      <c r="C1660">
        <v>2</v>
      </c>
    </row>
    <row r="1661" spans="1:3" x14ac:dyDescent="0.25">
      <c r="A1661">
        <v>15</v>
      </c>
      <c r="B1661">
        <v>74</v>
      </c>
      <c r="C1661">
        <v>3</v>
      </c>
    </row>
    <row r="1662" spans="1:3" x14ac:dyDescent="0.25">
      <c r="A1662">
        <v>21</v>
      </c>
      <c r="B1662">
        <v>74</v>
      </c>
      <c r="C1662">
        <v>3</v>
      </c>
    </row>
    <row r="1663" spans="1:3" x14ac:dyDescent="0.25">
      <c r="A1663">
        <v>28</v>
      </c>
      <c r="B1663">
        <v>74</v>
      </c>
      <c r="C1663">
        <v>4</v>
      </c>
    </row>
    <row r="1664" spans="1:3" x14ac:dyDescent="0.25">
      <c r="A1664">
        <v>33</v>
      </c>
      <c r="B1664">
        <v>74</v>
      </c>
      <c r="C1664">
        <v>5</v>
      </c>
    </row>
    <row r="1665" spans="1:3" x14ac:dyDescent="0.25">
      <c r="A1665">
        <v>49</v>
      </c>
      <c r="B1665">
        <v>74</v>
      </c>
      <c r="C1665">
        <v>4</v>
      </c>
    </row>
    <row r="1666" spans="1:3" x14ac:dyDescent="0.25">
      <c r="A1666">
        <v>51</v>
      </c>
      <c r="B1666">
        <v>74</v>
      </c>
      <c r="C1666">
        <v>2</v>
      </c>
    </row>
    <row r="1667" spans="1:3" x14ac:dyDescent="0.25">
      <c r="A1667">
        <v>54</v>
      </c>
      <c r="B1667">
        <v>74</v>
      </c>
      <c r="C1667">
        <v>1</v>
      </c>
    </row>
    <row r="1668" spans="1:3" x14ac:dyDescent="0.25">
      <c r="A1668">
        <v>65</v>
      </c>
      <c r="B1668">
        <v>74</v>
      </c>
      <c r="C1668">
        <v>4</v>
      </c>
    </row>
    <row r="1669" spans="1:3" x14ac:dyDescent="0.25">
      <c r="A1669">
        <v>96</v>
      </c>
      <c r="B1669">
        <v>74</v>
      </c>
      <c r="C1669">
        <v>4</v>
      </c>
    </row>
    <row r="1670" spans="1:3" x14ac:dyDescent="0.25">
      <c r="A1670">
        <v>113</v>
      </c>
      <c r="B1670">
        <v>74</v>
      </c>
      <c r="C1670">
        <v>2</v>
      </c>
    </row>
    <row r="1671" spans="1:3" x14ac:dyDescent="0.25">
      <c r="A1671">
        <v>123</v>
      </c>
      <c r="B1671">
        <v>74</v>
      </c>
      <c r="C1671">
        <v>1</v>
      </c>
    </row>
    <row r="1672" spans="1:3" x14ac:dyDescent="0.25">
      <c r="A1672">
        <v>146</v>
      </c>
      <c r="B1672">
        <v>74</v>
      </c>
      <c r="C1672">
        <v>3</v>
      </c>
    </row>
    <row r="1673" spans="1:3" x14ac:dyDescent="0.25">
      <c r="A1673">
        <v>156</v>
      </c>
      <c r="B1673">
        <v>74</v>
      </c>
      <c r="C1673">
        <v>3</v>
      </c>
    </row>
    <row r="1674" spans="1:3" x14ac:dyDescent="0.25">
      <c r="A1674">
        <v>160</v>
      </c>
      <c r="B1674">
        <v>74</v>
      </c>
      <c r="C1674">
        <v>1</v>
      </c>
    </row>
    <row r="1675" spans="1:3" x14ac:dyDescent="0.25">
      <c r="A1675">
        <v>167</v>
      </c>
      <c r="B1675">
        <v>74</v>
      </c>
      <c r="C1675">
        <v>2</v>
      </c>
    </row>
    <row r="1676" spans="1:3" x14ac:dyDescent="0.25">
      <c r="A1676">
        <v>169</v>
      </c>
      <c r="B1676">
        <v>74</v>
      </c>
      <c r="C1676">
        <v>5</v>
      </c>
    </row>
    <row r="1677" spans="1:3" x14ac:dyDescent="0.25">
      <c r="A1677">
        <v>208</v>
      </c>
      <c r="B1677">
        <v>74</v>
      </c>
      <c r="C1677">
        <v>4</v>
      </c>
    </row>
    <row r="1678" spans="1:3" x14ac:dyDescent="0.25">
      <c r="A1678">
        <v>208</v>
      </c>
      <c r="B1678">
        <v>74</v>
      </c>
      <c r="C1678">
        <v>2</v>
      </c>
    </row>
    <row r="1679" spans="1:3" x14ac:dyDescent="0.25">
      <c r="A1679">
        <v>211</v>
      </c>
      <c r="B1679">
        <v>74</v>
      </c>
      <c r="C1679">
        <v>2</v>
      </c>
    </row>
    <row r="1680" spans="1:3" x14ac:dyDescent="0.25">
      <c r="A1680">
        <v>213</v>
      </c>
      <c r="B1680">
        <v>74</v>
      </c>
      <c r="C1680">
        <v>2</v>
      </c>
    </row>
    <row r="1681" spans="1:3" x14ac:dyDescent="0.25">
      <c r="A1681">
        <v>227</v>
      </c>
      <c r="B1681">
        <v>74</v>
      </c>
      <c r="C1681">
        <v>5</v>
      </c>
    </row>
    <row r="1682" spans="1:3" x14ac:dyDescent="0.25">
      <c r="A1682">
        <v>230</v>
      </c>
      <c r="B1682">
        <v>74</v>
      </c>
      <c r="C1682">
        <v>3</v>
      </c>
    </row>
    <row r="1683" spans="1:3" x14ac:dyDescent="0.25">
      <c r="A1683">
        <v>232</v>
      </c>
      <c r="B1683">
        <v>74</v>
      </c>
      <c r="C1683">
        <v>2</v>
      </c>
    </row>
    <row r="1684" spans="1:3" x14ac:dyDescent="0.25">
      <c r="A1684">
        <v>266</v>
      </c>
      <c r="B1684">
        <v>74</v>
      </c>
      <c r="C1684">
        <v>2</v>
      </c>
    </row>
    <row r="1685" spans="1:3" x14ac:dyDescent="0.25">
      <c r="A1685">
        <v>289</v>
      </c>
      <c r="B1685">
        <v>74</v>
      </c>
      <c r="C1685">
        <v>3</v>
      </c>
    </row>
    <row r="1686" spans="1:3" x14ac:dyDescent="0.25">
      <c r="A1686">
        <v>10</v>
      </c>
      <c r="B1686">
        <v>75</v>
      </c>
      <c r="C1686">
        <v>4</v>
      </c>
    </row>
    <row r="1687" spans="1:3" x14ac:dyDescent="0.25">
      <c r="A1687">
        <v>12</v>
      </c>
      <c r="B1687">
        <v>75</v>
      </c>
      <c r="C1687">
        <v>5</v>
      </c>
    </row>
    <row r="1688" spans="1:3" x14ac:dyDescent="0.25">
      <c r="A1688">
        <v>13</v>
      </c>
      <c r="B1688">
        <v>75</v>
      </c>
      <c r="C1688">
        <v>5</v>
      </c>
    </row>
    <row r="1689" spans="1:3" x14ac:dyDescent="0.25">
      <c r="A1689">
        <v>27</v>
      </c>
      <c r="B1689">
        <v>75</v>
      </c>
      <c r="C1689">
        <v>5</v>
      </c>
    </row>
    <row r="1690" spans="1:3" x14ac:dyDescent="0.25">
      <c r="A1690">
        <v>33</v>
      </c>
      <c r="B1690">
        <v>75</v>
      </c>
      <c r="C1690">
        <v>2</v>
      </c>
    </row>
    <row r="1691" spans="1:3" x14ac:dyDescent="0.25">
      <c r="A1691">
        <v>45</v>
      </c>
      <c r="B1691">
        <v>75</v>
      </c>
      <c r="C1691">
        <v>3</v>
      </c>
    </row>
    <row r="1692" spans="1:3" x14ac:dyDescent="0.25">
      <c r="A1692">
        <v>55</v>
      </c>
      <c r="B1692">
        <v>75</v>
      </c>
      <c r="C1692">
        <v>4</v>
      </c>
    </row>
    <row r="1693" spans="1:3" x14ac:dyDescent="0.25">
      <c r="A1693">
        <v>65</v>
      </c>
      <c r="B1693">
        <v>75</v>
      </c>
      <c r="C1693">
        <v>1</v>
      </c>
    </row>
    <row r="1694" spans="1:3" x14ac:dyDescent="0.25">
      <c r="A1694">
        <v>67</v>
      </c>
      <c r="B1694">
        <v>75</v>
      </c>
      <c r="C1694">
        <v>1</v>
      </c>
    </row>
    <row r="1695" spans="1:3" x14ac:dyDescent="0.25">
      <c r="A1695">
        <v>103</v>
      </c>
      <c r="B1695">
        <v>75</v>
      </c>
      <c r="C1695">
        <v>3</v>
      </c>
    </row>
    <row r="1696" spans="1:3" x14ac:dyDescent="0.25">
      <c r="A1696">
        <v>136</v>
      </c>
      <c r="B1696">
        <v>75</v>
      </c>
      <c r="C1696">
        <v>3</v>
      </c>
    </row>
    <row r="1697" spans="1:3" x14ac:dyDescent="0.25">
      <c r="A1697">
        <v>140</v>
      </c>
      <c r="B1697">
        <v>75</v>
      </c>
      <c r="C1697">
        <v>1</v>
      </c>
    </row>
    <row r="1698" spans="1:3" x14ac:dyDescent="0.25">
      <c r="A1698">
        <v>176</v>
      </c>
      <c r="B1698">
        <v>75</v>
      </c>
      <c r="C1698">
        <v>3</v>
      </c>
    </row>
    <row r="1699" spans="1:3" x14ac:dyDescent="0.25">
      <c r="A1699">
        <v>180</v>
      </c>
      <c r="B1699">
        <v>75</v>
      </c>
      <c r="C1699">
        <v>4</v>
      </c>
    </row>
    <row r="1700" spans="1:3" x14ac:dyDescent="0.25">
      <c r="A1700">
        <v>190</v>
      </c>
      <c r="B1700">
        <v>75</v>
      </c>
      <c r="C1700">
        <v>1</v>
      </c>
    </row>
    <row r="1701" spans="1:3" x14ac:dyDescent="0.25">
      <c r="A1701">
        <v>198</v>
      </c>
      <c r="B1701">
        <v>75</v>
      </c>
      <c r="C1701">
        <v>2</v>
      </c>
    </row>
    <row r="1702" spans="1:3" x14ac:dyDescent="0.25">
      <c r="A1702">
        <v>220</v>
      </c>
      <c r="B1702">
        <v>75</v>
      </c>
      <c r="C1702">
        <v>1</v>
      </c>
    </row>
    <row r="1703" spans="1:3" x14ac:dyDescent="0.25">
      <c r="A1703">
        <v>222</v>
      </c>
      <c r="B1703">
        <v>75</v>
      </c>
      <c r="C1703">
        <v>3</v>
      </c>
    </row>
    <row r="1704" spans="1:3" x14ac:dyDescent="0.25">
      <c r="A1704">
        <v>223</v>
      </c>
      <c r="B1704">
        <v>75</v>
      </c>
      <c r="C1704">
        <v>2</v>
      </c>
    </row>
    <row r="1705" spans="1:3" x14ac:dyDescent="0.25">
      <c r="A1705">
        <v>278</v>
      </c>
      <c r="B1705">
        <v>75</v>
      </c>
      <c r="C1705">
        <v>2</v>
      </c>
    </row>
    <row r="1706" spans="1:3" x14ac:dyDescent="0.25">
      <c r="A1706">
        <v>1</v>
      </c>
      <c r="B1706">
        <v>76</v>
      </c>
      <c r="C1706">
        <v>2</v>
      </c>
    </row>
    <row r="1707" spans="1:3" x14ac:dyDescent="0.25">
      <c r="A1707">
        <v>30</v>
      </c>
      <c r="B1707">
        <v>76</v>
      </c>
      <c r="C1707">
        <v>2</v>
      </c>
    </row>
    <row r="1708" spans="1:3" x14ac:dyDescent="0.25">
      <c r="A1708">
        <v>32</v>
      </c>
      <c r="B1708">
        <v>76</v>
      </c>
      <c r="C1708">
        <v>3</v>
      </c>
    </row>
    <row r="1709" spans="1:3" x14ac:dyDescent="0.25">
      <c r="A1709">
        <v>75</v>
      </c>
      <c r="B1709">
        <v>76</v>
      </c>
      <c r="C1709">
        <v>2</v>
      </c>
    </row>
    <row r="1710" spans="1:3" x14ac:dyDescent="0.25">
      <c r="A1710">
        <v>78</v>
      </c>
      <c r="B1710">
        <v>76</v>
      </c>
      <c r="C1710">
        <v>4</v>
      </c>
    </row>
    <row r="1711" spans="1:3" x14ac:dyDescent="0.25">
      <c r="A1711">
        <v>91</v>
      </c>
      <c r="B1711">
        <v>76</v>
      </c>
      <c r="C1711">
        <v>5</v>
      </c>
    </row>
    <row r="1712" spans="1:3" x14ac:dyDescent="0.25">
      <c r="A1712">
        <v>96</v>
      </c>
      <c r="B1712">
        <v>76</v>
      </c>
      <c r="C1712">
        <v>2</v>
      </c>
    </row>
    <row r="1713" spans="1:3" x14ac:dyDescent="0.25">
      <c r="A1713">
        <v>99</v>
      </c>
      <c r="B1713">
        <v>76</v>
      </c>
      <c r="C1713">
        <v>4</v>
      </c>
    </row>
    <row r="1714" spans="1:3" x14ac:dyDescent="0.25">
      <c r="A1714">
        <v>112</v>
      </c>
      <c r="B1714">
        <v>76</v>
      </c>
      <c r="C1714">
        <v>4</v>
      </c>
    </row>
    <row r="1715" spans="1:3" x14ac:dyDescent="0.25">
      <c r="A1715">
        <v>123</v>
      </c>
      <c r="B1715">
        <v>76</v>
      </c>
      <c r="C1715">
        <v>5</v>
      </c>
    </row>
    <row r="1716" spans="1:3" x14ac:dyDescent="0.25">
      <c r="A1716">
        <v>132</v>
      </c>
      <c r="B1716">
        <v>76</v>
      </c>
      <c r="C1716">
        <v>1</v>
      </c>
    </row>
    <row r="1717" spans="1:3" x14ac:dyDescent="0.25">
      <c r="A1717">
        <v>140</v>
      </c>
      <c r="B1717">
        <v>76</v>
      </c>
      <c r="C1717">
        <v>1</v>
      </c>
    </row>
    <row r="1718" spans="1:3" x14ac:dyDescent="0.25">
      <c r="A1718">
        <v>170</v>
      </c>
      <c r="B1718">
        <v>76</v>
      </c>
      <c r="C1718">
        <v>4</v>
      </c>
    </row>
    <row r="1719" spans="1:3" x14ac:dyDescent="0.25">
      <c r="A1719">
        <v>175</v>
      </c>
      <c r="B1719">
        <v>76</v>
      </c>
      <c r="C1719">
        <v>5</v>
      </c>
    </row>
    <row r="1720" spans="1:3" x14ac:dyDescent="0.25">
      <c r="A1720">
        <v>186</v>
      </c>
      <c r="B1720">
        <v>76</v>
      </c>
      <c r="C1720">
        <v>3</v>
      </c>
    </row>
    <row r="1721" spans="1:3" x14ac:dyDescent="0.25">
      <c r="A1721">
        <v>188</v>
      </c>
      <c r="B1721">
        <v>76</v>
      </c>
      <c r="C1721">
        <v>1</v>
      </c>
    </row>
    <row r="1722" spans="1:3" x14ac:dyDescent="0.25">
      <c r="A1722">
        <v>194</v>
      </c>
      <c r="B1722">
        <v>76</v>
      </c>
      <c r="C1722">
        <v>2</v>
      </c>
    </row>
    <row r="1723" spans="1:3" x14ac:dyDescent="0.25">
      <c r="A1723">
        <v>211</v>
      </c>
      <c r="B1723">
        <v>76</v>
      </c>
      <c r="C1723">
        <v>2</v>
      </c>
    </row>
    <row r="1724" spans="1:3" x14ac:dyDescent="0.25">
      <c r="A1724">
        <v>217</v>
      </c>
      <c r="B1724">
        <v>76</v>
      </c>
      <c r="C1724">
        <v>1</v>
      </c>
    </row>
    <row r="1725" spans="1:3" x14ac:dyDescent="0.25">
      <c r="A1725">
        <v>218</v>
      </c>
      <c r="B1725">
        <v>76</v>
      </c>
      <c r="C1725">
        <v>4</v>
      </c>
    </row>
    <row r="1726" spans="1:3" x14ac:dyDescent="0.25">
      <c r="A1726">
        <v>221</v>
      </c>
      <c r="B1726">
        <v>76</v>
      </c>
      <c r="C1726">
        <v>2</v>
      </c>
    </row>
    <row r="1727" spans="1:3" x14ac:dyDescent="0.25">
      <c r="A1727">
        <v>241</v>
      </c>
      <c r="B1727">
        <v>76</v>
      </c>
      <c r="C1727">
        <v>1</v>
      </c>
    </row>
    <row r="1728" spans="1:3" x14ac:dyDescent="0.25">
      <c r="A1728">
        <v>242</v>
      </c>
      <c r="B1728">
        <v>76</v>
      </c>
      <c r="C1728">
        <v>5</v>
      </c>
    </row>
    <row r="1729" spans="1:3" x14ac:dyDescent="0.25">
      <c r="A1729">
        <v>249</v>
      </c>
      <c r="B1729">
        <v>76</v>
      </c>
      <c r="C1729">
        <v>1</v>
      </c>
    </row>
    <row r="1730" spans="1:3" x14ac:dyDescent="0.25">
      <c r="A1730">
        <v>261</v>
      </c>
      <c r="B1730">
        <v>76</v>
      </c>
      <c r="C1730">
        <v>2</v>
      </c>
    </row>
    <row r="1731" spans="1:3" x14ac:dyDescent="0.25">
      <c r="A1731">
        <v>274</v>
      </c>
      <c r="B1731">
        <v>76</v>
      </c>
      <c r="C1731">
        <v>4</v>
      </c>
    </row>
    <row r="1732" spans="1:3" x14ac:dyDescent="0.25">
      <c r="A1732">
        <v>289</v>
      </c>
      <c r="B1732">
        <v>76</v>
      </c>
      <c r="C1732">
        <v>4</v>
      </c>
    </row>
    <row r="1733" spans="1:3" x14ac:dyDescent="0.25">
      <c r="A1733">
        <v>7</v>
      </c>
      <c r="B1733">
        <v>77</v>
      </c>
      <c r="C1733">
        <v>5</v>
      </c>
    </row>
    <row r="1734" spans="1:3" x14ac:dyDescent="0.25">
      <c r="A1734">
        <v>7</v>
      </c>
      <c r="B1734">
        <v>77</v>
      </c>
      <c r="C1734">
        <v>3</v>
      </c>
    </row>
    <row r="1735" spans="1:3" x14ac:dyDescent="0.25">
      <c r="A1735">
        <v>10</v>
      </c>
      <c r="B1735">
        <v>77</v>
      </c>
      <c r="C1735">
        <v>2</v>
      </c>
    </row>
    <row r="1736" spans="1:3" x14ac:dyDescent="0.25">
      <c r="A1736">
        <v>22</v>
      </c>
      <c r="B1736">
        <v>77</v>
      </c>
      <c r="C1736">
        <v>3</v>
      </c>
    </row>
    <row r="1737" spans="1:3" x14ac:dyDescent="0.25">
      <c r="A1737">
        <v>32</v>
      </c>
      <c r="B1737">
        <v>77</v>
      </c>
      <c r="C1737">
        <v>2</v>
      </c>
    </row>
    <row r="1738" spans="1:3" x14ac:dyDescent="0.25">
      <c r="A1738">
        <v>45</v>
      </c>
      <c r="B1738">
        <v>77</v>
      </c>
      <c r="C1738">
        <v>2</v>
      </c>
    </row>
    <row r="1739" spans="1:3" x14ac:dyDescent="0.25">
      <c r="A1739">
        <v>98</v>
      </c>
      <c r="B1739">
        <v>77</v>
      </c>
      <c r="C1739">
        <v>3</v>
      </c>
    </row>
    <row r="1740" spans="1:3" x14ac:dyDescent="0.25">
      <c r="A1740">
        <v>103</v>
      </c>
      <c r="B1740">
        <v>77</v>
      </c>
      <c r="C1740">
        <v>2</v>
      </c>
    </row>
    <row r="1741" spans="1:3" x14ac:dyDescent="0.25">
      <c r="A1741">
        <v>149</v>
      </c>
      <c r="B1741">
        <v>77</v>
      </c>
      <c r="C1741">
        <v>2</v>
      </c>
    </row>
    <row r="1742" spans="1:3" x14ac:dyDescent="0.25">
      <c r="A1742">
        <v>156</v>
      </c>
      <c r="B1742">
        <v>77</v>
      </c>
      <c r="C1742">
        <v>5</v>
      </c>
    </row>
    <row r="1743" spans="1:3" x14ac:dyDescent="0.25">
      <c r="A1743">
        <v>156</v>
      </c>
      <c r="B1743">
        <v>77</v>
      </c>
      <c r="C1743">
        <v>1</v>
      </c>
    </row>
    <row r="1744" spans="1:3" x14ac:dyDescent="0.25">
      <c r="A1744">
        <v>158</v>
      </c>
      <c r="B1744">
        <v>77</v>
      </c>
      <c r="C1744">
        <v>1</v>
      </c>
    </row>
    <row r="1745" spans="1:3" x14ac:dyDescent="0.25">
      <c r="A1745">
        <v>173</v>
      </c>
      <c r="B1745">
        <v>77</v>
      </c>
      <c r="C1745">
        <v>5</v>
      </c>
    </row>
    <row r="1746" spans="1:3" x14ac:dyDescent="0.25">
      <c r="A1746">
        <v>175</v>
      </c>
      <c r="B1746">
        <v>77</v>
      </c>
      <c r="C1746">
        <v>2</v>
      </c>
    </row>
    <row r="1747" spans="1:3" x14ac:dyDescent="0.25">
      <c r="A1747">
        <v>176</v>
      </c>
      <c r="B1747">
        <v>77</v>
      </c>
      <c r="C1747">
        <v>5</v>
      </c>
    </row>
    <row r="1748" spans="1:3" x14ac:dyDescent="0.25">
      <c r="A1748">
        <v>210</v>
      </c>
      <c r="B1748">
        <v>77</v>
      </c>
      <c r="C1748">
        <v>1</v>
      </c>
    </row>
    <row r="1749" spans="1:3" x14ac:dyDescent="0.25">
      <c r="A1749">
        <v>237</v>
      </c>
      <c r="B1749">
        <v>77</v>
      </c>
      <c r="C1749">
        <v>2</v>
      </c>
    </row>
    <row r="1750" spans="1:3" x14ac:dyDescent="0.25">
      <c r="A1750">
        <v>251</v>
      </c>
      <c r="B1750">
        <v>77</v>
      </c>
      <c r="C1750">
        <v>4</v>
      </c>
    </row>
    <row r="1751" spans="1:3" x14ac:dyDescent="0.25">
      <c r="A1751">
        <v>277</v>
      </c>
      <c r="B1751">
        <v>77</v>
      </c>
      <c r="C1751">
        <v>1</v>
      </c>
    </row>
    <row r="1752" spans="1:3" x14ac:dyDescent="0.25">
      <c r="A1752">
        <v>288</v>
      </c>
      <c r="B1752">
        <v>77</v>
      </c>
      <c r="C1752">
        <v>1</v>
      </c>
    </row>
    <row r="1753" spans="1:3" x14ac:dyDescent="0.25">
      <c r="A1753">
        <v>297</v>
      </c>
      <c r="B1753">
        <v>77</v>
      </c>
      <c r="C1753">
        <v>4</v>
      </c>
    </row>
    <row r="1754" spans="1:3" x14ac:dyDescent="0.25">
      <c r="A1754">
        <v>2</v>
      </c>
      <c r="B1754">
        <v>78</v>
      </c>
      <c r="C1754">
        <v>5</v>
      </c>
    </row>
    <row r="1755" spans="1:3" x14ac:dyDescent="0.25">
      <c r="A1755">
        <v>17</v>
      </c>
      <c r="B1755">
        <v>78</v>
      </c>
      <c r="C1755">
        <v>4</v>
      </c>
    </row>
    <row r="1756" spans="1:3" x14ac:dyDescent="0.25">
      <c r="A1756">
        <v>22</v>
      </c>
      <c r="B1756">
        <v>78</v>
      </c>
      <c r="C1756">
        <v>2</v>
      </c>
    </row>
    <row r="1757" spans="1:3" x14ac:dyDescent="0.25">
      <c r="A1757">
        <v>27</v>
      </c>
      <c r="B1757">
        <v>78</v>
      </c>
      <c r="C1757">
        <v>3</v>
      </c>
    </row>
    <row r="1758" spans="1:3" x14ac:dyDescent="0.25">
      <c r="A1758">
        <v>33</v>
      </c>
      <c r="B1758">
        <v>78</v>
      </c>
      <c r="C1758">
        <v>4</v>
      </c>
    </row>
    <row r="1759" spans="1:3" x14ac:dyDescent="0.25">
      <c r="A1759">
        <v>45</v>
      </c>
      <c r="B1759">
        <v>78</v>
      </c>
      <c r="C1759">
        <v>5</v>
      </c>
    </row>
    <row r="1760" spans="1:3" x14ac:dyDescent="0.25">
      <c r="A1760">
        <v>71</v>
      </c>
      <c r="B1760">
        <v>78</v>
      </c>
      <c r="C1760">
        <v>5</v>
      </c>
    </row>
    <row r="1761" spans="1:3" x14ac:dyDescent="0.25">
      <c r="A1761">
        <v>72</v>
      </c>
      <c r="B1761">
        <v>78</v>
      </c>
      <c r="C1761">
        <v>5</v>
      </c>
    </row>
    <row r="1762" spans="1:3" x14ac:dyDescent="0.25">
      <c r="A1762">
        <v>77</v>
      </c>
      <c r="B1762">
        <v>78</v>
      </c>
      <c r="C1762">
        <v>3</v>
      </c>
    </row>
    <row r="1763" spans="1:3" x14ac:dyDescent="0.25">
      <c r="A1763">
        <v>88</v>
      </c>
      <c r="B1763">
        <v>78</v>
      </c>
      <c r="C1763">
        <v>2</v>
      </c>
    </row>
    <row r="1764" spans="1:3" x14ac:dyDescent="0.25">
      <c r="A1764">
        <v>102</v>
      </c>
      <c r="B1764">
        <v>78</v>
      </c>
      <c r="C1764">
        <v>2</v>
      </c>
    </row>
    <row r="1765" spans="1:3" x14ac:dyDescent="0.25">
      <c r="A1765">
        <v>117</v>
      </c>
      <c r="B1765">
        <v>78</v>
      </c>
      <c r="C1765">
        <v>2</v>
      </c>
    </row>
    <row r="1766" spans="1:3" x14ac:dyDescent="0.25">
      <c r="A1766">
        <v>145</v>
      </c>
      <c r="B1766">
        <v>78</v>
      </c>
      <c r="C1766">
        <v>2</v>
      </c>
    </row>
    <row r="1767" spans="1:3" x14ac:dyDescent="0.25">
      <c r="A1767">
        <v>147</v>
      </c>
      <c r="B1767">
        <v>78</v>
      </c>
      <c r="C1767">
        <v>3</v>
      </c>
    </row>
    <row r="1768" spans="1:3" x14ac:dyDescent="0.25">
      <c r="A1768">
        <v>180</v>
      </c>
      <c r="B1768">
        <v>78</v>
      </c>
      <c r="C1768">
        <v>4</v>
      </c>
    </row>
    <row r="1769" spans="1:3" x14ac:dyDescent="0.25">
      <c r="A1769">
        <v>188</v>
      </c>
      <c r="B1769">
        <v>78</v>
      </c>
      <c r="C1769">
        <v>2</v>
      </c>
    </row>
    <row r="1770" spans="1:3" x14ac:dyDescent="0.25">
      <c r="A1770">
        <v>190</v>
      </c>
      <c r="B1770">
        <v>78</v>
      </c>
      <c r="C1770">
        <v>2</v>
      </c>
    </row>
    <row r="1771" spans="1:3" x14ac:dyDescent="0.25">
      <c r="A1771">
        <v>215</v>
      </c>
      <c r="B1771">
        <v>78</v>
      </c>
      <c r="C1771">
        <v>1</v>
      </c>
    </row>
    <row r="1772" spans="1:3" x14ac:dyDescent="0.25">
      <c r="A1772">
        <v>223</v>
      </c>
      <c r="B1772">
        <v>78</v>
      </c>
      <c r="C1772">
        <v>1</v>
      </c>
    </row>
    <row r="1773" spans="1:3" x14ac:dyDescent="0.25">
      <c r="A1773">
        <v>231</v>
      </c>
      <c r="B1773">
        <v>78</v>
      </c>
      <c r="C1773">
        <v>3</v>
      </c>
    </row>
    <row r="1774" spans="1:3" x14ac:dyDescent="0.25">
      <c r="A1774">
        <v>232</v>
      </c>
      <c r="B1774">
        <v>78</v>
      </c>
      <c r="C1774">
        <v>5</v>
      </c>
    </row>
    <row r="1775" spans="1:3" x14ac:dyDescent="0.25">
      <c r="A1775">
        <v>235</v>
      </c>
      <c r="B1775">
        <v>78</v>
      </c>
      <c r="C1775">
        <v>1</v>
      </c>
    </row>
    <row r="1776" spans="1:3" x14ac:dyDescent="0.25">
      <c r="A1776">
        <v>243</v>
      </c>
      <c r="B1776">
        <v>78</v>
      </c>
      <c r="C1776">
        <v>4</v>
      </c>
    </row>
    <row r="1777" spans="1:3" x14ac:dyDescent="0.25">
      <c r="A1777">
        <v>247</v>
      </c>
      <c r="B1777">
        <v>78</v>
      </c>
      <c r="C1777">
        <v>2</v>
      </c>
    </row>
    <row r="1778" spans="1:3" x14ac:dyDescent="0.25">
      <c r="A1778">
        <v>251</v>
      </c>
      <c r="B1778">
        <v>78</v>
      </c>
      <c r="C1778">
        <v>3</v>
      </c>
    </row>
    <row r="1779" spans="1:3" x14ac:dyDescent="0.25">
      <c r="A1779">
        <v>272</v>
      </c>
      <c r="B1779">
        <v>78</v>
      </c>
      <c r="C1779">
        <v>4</v>
      </c>
    </row>
    <row r="1780" spans="1:3" x14ac:dyDescent="0.25">
      <c r="A1780">
        <v>274</v>
      </c>
      <c r="B1780">
        <v>78</v>
      </c>
      <c r="C1780">
        <v>3</v>
      </c>
    </row>
    <row r="1781" spans="1:3" x14ac:dyDescent="0.25">
      <c r="A1781">
        <v>282</v>
      </c>
      <c r="B1781">
        <v>78</v>
      </c>
      <c r="C1781">
        <v>3</v>
      </c>
    </row>
    <row r="1782" spans="1:3" x14ac:dyDescent="0.25">
      <c r="A1782">
        <v>284</v>
      </c>
      <c r="B1782">
        <v>78</v>
      </c>
      <c r="C1782">
        <v>5</v>
      </c>
    </row>
    <row r="1783" spans="1:3" x14ac:dyDescent="0.25">
      <c r="A1783">
        <v>287</v>
      </c>
      <c r="B1783">
        <v>78</v>
      </c>
      <c r="C1783">
        <v>1</v>
      </c>
    </row>
    <row r="1784" spans="1:3" x14ac:dyDescent="0.25">
      <c r="A1784">
        <v>32</v>
      </c>
      <c r="B1784">
        <v>79</v>
      </c>
      <c r="C1784">
        <v>3</v>
      </c>
    </row>
    <row r="1785" spans="1:3" x14ac:dyDescent="0.25">
      <c r="A1785">
        <v>44</v>
      </c>
      <c r="B1785">
        <v>79</v>
      </c>
      <c r="C1785">
        <v>3</v>
      </c>
    </row>
    <row r="1786" spans="1:3" x14ac:dyDescent="0.25">
      <c r="A1786">
        <v>57</v>
      </c>
      <c r="B1786">
        <v>79</v>
      </c>
      <c r="C1786">
        <v>3</v>
      </c>
    </row>
    <row r="1787" spans="1:3" x14ac:dyDescent="0.25">
      <c r="A1787">
        <v>59</v>
      </c>
      <c r="B1787">
        <v>79</v>
      </c>
      <c r="C1787">
        <v>5</v>
      </c>
    </row>
    <row r="1788" spans="1:3" x14ac:dyDescent="0.25">
      <c r="A1788">
        <v>61</v>
      </c>
      <c r="B1788">
        <v>79</v>
      </c>
      <c r="C1788">
        <v>2</v>
      </c>
    </row>
    <row r="1789" spans="1:3" x14ac:dyDescent="0.25">
      <c r="A1789">
        <v>81</v>
      </c>
      <c r="B1789">
        <v>79</v>
      </c>
      <c r="C1789">
        <v>3</v>
      </c>
    </row>
    <row r="1790" spans="1:3" x14ac:dyDescent="0.25">
      <c r="A1790">
        <v>86</v>
      </c>
      <c r="B1790">
        <v>79</v>
      </c>
      <c r="C1790">
        <v>5</v>
      </c>
    </row>
    <row r="1791" spans="1:3" x14ac:dyDescent="0.25">
      <c r="A1791">
        <v>107</v>
      </c>
      <c r="B1791">
        <v>79</v>
      </c>
      <c r="C1791">
        <v>3</v>
      </c>
    </row>
    <row r="1792" spans="1:3" x14ac:dyDescent="0.25">
      <c r="A1792">
        <v>110</v>
      </c>
      <c r="B1792">
        <v>79</v>
      </c>
      <c r="C1792">
        <v>5</v>
      </c>
    </row>
    <row r="1793" spans="1:3" x14ac:dyDescent="0.25">
      <c r="A1793">
        <v>114</v>
      </c>
      <c r="B1793">
        <v>79</v>
      </c>
      <c r="C1793">
        <v>3</v>
      </c>
    </row>
    <row r="1794" spans="1:3" x14ac:dyDescent="0.25">
      <c r="A1794">
        <v>122</v>
      </c>
      <c r="B1794">
        <v>79</v>
      </c>
      <c r="C1794">
        <v>5</v>
      </c>
    </row>
    <row r="1795" spans="1:3" x14ac:dyDescent="0.25">
      <c r="A1795">
        <v>137</v>
      </c>
      <c r="B1795">
        <v>79</v>
      </c>
      <c r="C1795">
        <v>5</v>
      </c>
    </row>
    <row r="1796" spans="1:3" x14ac:dyDescent="0.25">
      <c r="A1796">
        <v>163</v>
      </c>
      <c r="B1796">
        <v>79</v>
      </c>
      <c r="C1796">
        <v>3</v>
      </c>
    </row>
    <row r="1797" spans="1:3" x14ac:dyDescent="0.25">
      <c r="A1797">
        <v>164</v>
      </c>
      <c r="B1797">
        <v>79</v>
      </c>
      <c r="C1797">
        <v>4</v>
      </c>
    </row>
    <row r="1798" spans="1:3" x14ac:dyDescent="0.25">
      <c r="A1798">
        <v>174</v>
      </c>
      <c r="B1798">
        <v>79</v>
      </c>
      <c r="C1798">
        <v>4</v>
      </c>
    </row>
    <row r="1799" spans="1:3" x14ac:dyDescent="0.25">
      <c r="A1799">
        <v>178</v>
      </c>
      <c r="B1799">
        <v>79</v>
      </c>
      <c r="C1799">
        <v>1</v>
      </c>
    </row>
    <row r="1800" spans="1:3" x14ac:dyDescent="0.25">
      <c r="A1800">
        <v>193</v>
      </c>
      <c r="B1800">
        <v>79</v>
      </c>
      <c r="C1800">
        <v>4</v>
      </c>
    </row>
    <row r="1801" spans="1:3" x14ac:dyDescent="0.25">
      <c r="A1801">
        <v>207</v>
      </c>
      <c r="B1801">
        <v>79</v>
      </c>
      <c r="C1801">
        <v>3</v>
      </c>
    </row>
    <row r="1802" spans="1:3" x14ac:dyDescent="0.25">
      <c r="A1802">
        <v>207</v>
      </c>
      <c r="B1802">
        <v>79</v>
      </c>
      <c r="C1802">
        <v>4</v>
      </c>
    </row>
    <row r="1803" spans="1:3" x14ac:dyDescent="0.25">
      <c r="A1803">
        <v>238</v>
      </c>
      <c r="B1803">
        <v>79</v>
      </c>
      <c r="C1803">
        <v>5</v>
      </c>
    </row>
    <row r="1804" spans="1:3" x14ac:dyDescent="0.25">
      <c r="A1804">
        <v>247</v>
      </c>
      <c r="B1804">
        <v>79</v>
      </c>
      <c r="C1804">
        <v>3</v>
      </c>
    </row>
    <row r="1805" spans="1:3" x14ac:dyDescent="0.25">
      <c r="A1805">
        <v>253</v>
      </c>
      <c r="B1805">
        <v>79</v>
      </c>
      <c r="C1805">
        <v>1</v>
      </c>
    </row>
    <row r="1806" spans="1:3" x14ac:dyDescent="0.25">
      <c r="A1806">
        <v>261</v>
      </c>
      <c r="B1806">
        <v>79</v>
      </c>
      <c r="C1806">
        <v>3</v>
      </c>
    </row>
    <row r="1807" spans="1:3" x14ac:dyDescent="0.25">
      <c r="A1807">
        <v>18</v>
      </c>
      <c r="B1807">
        <v>80</v>
      </c>
      <c r="C1807">
        <v>5</v>
      </c>
    </row>
    <row r="1808" spans="1:3" x14ac:dyDescent="0.25">
      <c r="A1808">
        <v>18</v>
      </c>
      <c r="B1808">
        <v>80</v>
      </c>
      <c r="C1808">
        <v>5</v>
      </c>
    </row>
    <row r="1809" spans="1:3" x14ac:dyDescent="0.25">
      <c r="A1809">
        <v>44</v>
      </c>
      <c r="B1809">
        <v>80</v>
      </c>
      <c r="C1809">
        <v>4</v>
      </c>
    </row>
    <row r="1810" spans="1:3" x14ac:dyDescent="0.25">
      <c r="A1810">
        <v>45</v>
      </c>
      <c r="B1810">
        <v>80</v>
      </c>
      <c r="C1810">
        <v>3</v>
      </c>
    </row>
    <row r="1811" spans="1:3" x14ac:dyDescent="0.25">
      <c r="A1811">
        <v>49</v>
      </c>
      <c r="B1811">
        <v>80</v>
      </c>
      <c r="C1811">
        <v>5</v>
      </c>
    </row>
    <row r="1812" spans="1:3" x14ac:dyDescent="0.25">
      <c r="A1812">
        <v>68</v>
      </c>
      <c r="B1812">
        <v>80</v>
      </c>
      <c r="C1812">
        <v>4</v>
      </c>
    </row>
    <row r="1813" spans="1:3" x14ac:dyDescent="0.25">
      <c r="A1813">
        <v>70</v>
      </c>
      <c r="B1813">
        <v>80</v>
      </c>
      <c r="C1813">
        <v>3</v>
      </c>
    </row>
    <row r="1814" spans="1:3" x14ac:dyDescent="0.25">
      <c r="A1814">
        <v>75</v>
      </c>
      <c r="B1814">
        <v>80</v>
      </c>
      <c r="C1814">
        <v>3</v>
      </c>
    </row>
    <row r="1815" spans="1:3" x14ac:dyDescent="0.25">
      <c r="A1815">
        <v>93</v>
      </c>
      <c r="B1815">
        <v>80</v>
      </c>
      <c r="C1815">
        <v>5</v>
      </c>
    </row>
    <row r="1816" spans="1:3" x14ac:dyDescent="0.25">
      <c r="A1816">
        <v>96</v>
      </c>
      <c r="B1816">
        <v>80</v>
      </c>
      <c r="C1816">
        <v>3</v>
      </c>
    </row>
    <row r="1817" spans="1:3" x14ac:dyDescent="0.25">
      <c r="A1817">
        <v>108</v>
      </c>
      <c r="B1817">
        <v>80</v>
      </c>
      <c r="C1817">
        <v>2</v>
      </c>
    </row>
    <row r="1818" spans="1:3" x14ac:dyDescent="0.25">
      <c r="A1818">
        <v>118</v>
      </c>
      <c r="B1818">
        <v>80</v>
      </c>
      <c r="C1818">
        <v>2</v>
      </c>
    </row>
    <row r="1819" spans="1:3" x14ac:dyDescent="0.25">
      <c r="A1819">
        <v>129</v>
      </c>
      <c r="B1819">
        <v>80</v>
      </c>
      <c r="C1819">
        <v>2</v>
      </c>
    </row>
    <row r="1820" spans="1:3" x14ac:dyDescent="0.25">
      <c r="A1820">
        <v>151</v>
      </c>
      <c r="B1820">
        <v>80</v>
      </c>
      <c r="C1820">
        <v>1</v>
      </c>
    </row>
    <row r="1821" spans="1:3" x14ac:dyDescent="0.25">
      <c r="A1821">
        <v>171</v>
      </c>
      <c r="B1821">
        <v>80</v>
      </c>
      <c r="C1821">
        <v>5</v>
      </c>
    </row>
    <row r="1822" spans="1:3" x14ac:dyDescent="0.25">
      <c r="A1822">
        <v>182</v>
      </c>
      <c r="B1822">
        <v>80</v>
      </c>
      <c r="C1822">
        <v>4</v>
      </c>
    </row>
    <row r="1823" spans="1:3" x14ac:dyDescent="0.25">
      <c r="A1823">
        <v>182</v>
      </c>
      <c r="B1823">
        <v>80</v>
      </c>
      <c r="C1823">
        <v>3</v>
      </c>
    </row>
    <row r="1824" spans="1:3" x14ac:dyDescent="0.25">
      <c r="A1824">
        <v>198</v>
      </c>
      <c r="B1824">
        <v>80</v>
      </c>
      <c r="C1824">
        <v>2</v>
      </c>
    </row>
    <row r="1825" spans="1:3" x14ac:dyDescent="0.25">
      <c r="A1825">
        <v>206</v>
      </c>
      <c r="B1825">
        <v>80</v>
      </c>
      <c r="C1825">
        <v>3</v>
      </c>
    </row>
    <row r="1826" spans="1:3" x14ac:dyDescent="0.25">
      <c r="A1826">
        <v>211</v>
      </c>
      <c r="B1826">
        <v>80</v>
      </c>
      <c r="C1826">
        <v>1</v>
      </c>
    </row>
    <row r="1827" spans="1:3" x14ac:dyDescent="0.25">
      <c r="A1827">
        <v>213</v>
      </c>
      <c r="B1827">
        <v>80</v>
      </c>
      <c r="C1827">
        <v>5</v>
      </c>
    </row>
    <row r="1828" spans="1:3" x14ac:dyDescent="0.25">
      <c r="A1828">
        <v>217</v>
      </c>
      <c r="B1828">
        <v>80</v>
      </c>
      <c r="C1828">
        <v>5</v>
      </c>
    </row>
    <row r="1829" spans="1:3" x14ac:dyDescent="0.25">
      <c r="A1829">
        <v>221</v>
      </c>
      <c r="B1829">
        <v>80</v>
      </c>
      <c r="C1829">
        <v>4</v>
      </c>
    </row>
    <row r="1830" spans="1:3" x14ac:dyDescent="0.25">
      <c r="A1830">
        <v>222</v>
      </c>
      <c r="B1830">
        <v>80</v>
      </c>
      <c r="C1830">
        <v>5</v>
      </c>
    </row>
    <row r="1831" spans="1:3" x14ac:dyDescent="0.25">
      <c r="A1831">
        <v>224</v>
      </c>
      <c r="B1831">
        <v>80</v>
      </c>
      <c r="C1831">
        <v>3</v>
      </c>
    </row>
    <row r="1832" spans="1:3" x14ac:dyDescent="0.25">
      <c r="A1832">
        <v>271</v>
      </c>
      <c r="B1832">
        <v>80</v>
      </c>
      <c r="C1832">
        <v>1</v>
      </c>
    </row>
    <row r="1833" spans="1:3" x14ac:dyDescent="0.25">
      <c r="A1833">
        <v>20</v>
      </c>
      <c r="B1833">
        <v>81</v>
      </c>
      <c r="C1833">
        <v>3</v>
      </c>
    </row>
    <row r="1834" spans="1:3" x14ac:dyDescent="0.25">
      <c r="A1834">
        <v>27</v>
      </c>
      <c r="B1834">
        <v>81</v>
      </c>
      <c r="C1834">
        <v>2</v>
      </c>
    </row>
    <row r="1835" spans="1:3" x14ac:dyDescent="0.25">
      <c r="A1835">
        <v>50</v>
      </c>
      <c r="B1835">
        <v>81</v>
      </c>
      <c r="C1835">
        <v>4</v>
      </c>
    </row>
    <row r="1836" spans="1:3" x14ac:dyDescent="0.25">
      <c r="A1836">
        <v>59</v>
      </c>
      <c r="B1836">
        <v>81</v>
      </c>
      <c r="C1836">
        <v>5</v>
      </c>
    </row>
    <row r="1837" spans="1:3" x14ac:dyDescent="0.25">
      <c r="A1837">
        <v>74</v>
      </c>
      <c r="B1837">
        <v>81</v>
      </c>
      <c r="C1837">
        <v>1</v>
      </c>
    </row>
    <row r="1838" spans="1:3" x14ac:dyDescent="0.25">
      <c r="A1838">
        <v>93</v>
      </c>
      <c r="B1838">
        <v>81</v>
      </c>
      <c r="C1838">
        <v>1</v>
      </c>
    </row>
    <row r="1839" spans="1:3" x14ac:dyDescent="0.25">
      <c r="A1839">
        <v>95</v>
      </c>
      <c r="B1839">
        <v>81</v>
      </c>
      <c r="C1839">
        <v>4</v>
      </c>
    </row>
    <row r="1840" spans="1:3" x14ac:dyDescent="0.25">
      <c r="A1840">
        <v>97</v>
      </c>
      <c r="B1840">
        <v>81</v>
      </c>
      <c r="C1840">
        <v>2</v>
      </c>
    </row>
    <row r="1841" spans="1:3" x14ac:dyDescent="0.25">
      <c r="A1841">
        <v>98</v>
      </c>
      <c r="B1841">
        <v>81</v>
      </c>
      <c r="C1841">
        <v>3</v>
      </c>
    </row>
    <row r="1842" spans="1:3" x14ac:dyDescent="0.25">
      <c r="A1842">
        <v>114</v>
      </c>
      <c r="B1842">
        <v>81</v>
      </c>
      <c r="C1842">
        <v>3</v>
      </c>
    </row>
    <row r="1843" spans="1:3" x14ac:dyDescent="0.25">
      <c r="A1843">
        <v>136</v>
      </c>
      <c r="B1843">
        <v>81</v>
      </c>
      <c r="C1843">
        <v>2</v>
      </c>
    </row>
    <row r="1844" spans="1:3" x14ac:dyDescent="0.25">
      <c r="A1844">
        <v>137</v>
      </c>
      <c r="B1844">
        <v>81</v>
      </c>
      <c r="C1844">
        <v>1</v>
      </c>
    </row>
    <row r="1845" spans="1:3" x14ac:dyDescent="0.25">
      <c r="A1845">
        <v>138</v>
      </c>
      <c r="B1845">
        <v>81</v>
      </c>
      <c r="C1845">
        <v>4</v>
      </c>
    </row>
    <row r="1846" spans="1:3" x14ac:dyDescent="0.25">
      <c r="A1846">
        <v>150</v>
      </c>
      <c r="B1846">
        <v>81</v>
      </c>
      <c r="C1846">
        <v>4</v>
      </c>
    </row>
    <row r="1847" spans="1:3" x14ac:dyDescent="0.25">
      <c r="A1847">
        <v>158</v>
      </c>
      <c r="B1847">
        <v>81</v>
      </c>
      <c r="C1847">
        <v>5</v>
      </c>
    </row>
    <row r="1848" spans="1:3" x14ac:dyDescent="0.25">
      <c r="A1848">
        <v>195</v>
      </c>
      <c r="B1848">
        <v>81</v>
      </c>
      <c r="C1848">
        <v>5</v>
      </c>
    </row>
    <row r="1849" spans="1:3" x14ac:dyDescent="0.25">
      <c r="A1849">
        <v>202</v>
      </c>
      <c r="B1849">
        <v>81</v>
      </c>
      <c r="C1849">
        <v>1</v>
      </c>
    </row>
    <row r="1850" spans="1:3" x14ac:dyDescent="0.25">
      <c r="A1850">
        <v>212</v>
      </c>
      <c r="B1850">
        <v>81</v>
      </c>
      <c r="C1850">
        <v>1</v>
      </c>
    </row>
    <row r="1851" spans="1:3" x14ac:dyDescent="0.25">
      <c r="A1851">
        <v>233</v>
      </c>
      <c r="B1851">
        <v>81</v>
      </c>
      <c r="C1851">
        <v>1</v>
      </c>
    </row>
    <row r="1852" spans="1:3" x14ac:dyDescent="0.25">
      <c r="A1852">
        <v>235</v>
      </c>
      <c r="B1852">
        <v>81</v>
      </c>
      <c r="C1852">
        <v>4</v>
      </c>
    </row>
    <row r="1853" spans="1:3" x14ac:dyDescent="0.25">
      <c r="A1853">
        <v>264</v>
      </c>
      <c r="B1853">
        <v>81</v>
      </c>
      <c r="C1853">
        <v>3</v>
      </c>
    </row>
    <row r="1854" spans="1:3" x14ac:dyDescent="0.25">
      <c r="A1854">
        <v>281</v>
      </c>
      <c r="B1854">
        <v>81</v>
      </c>
      <c r="C1854">
        <v>1</v>
      </c>
    </row>
    <row r="1855" spans="1:3" x14ac:dyDescent="0.25">
      <c r="A1855">
        <v>282</v>
      </c>
      <c r="B1855">
        <v>81</v>
      </c>
      <c r="C1855">
        <v>2</v>
      </c>
    </row>
    <row r="1856" spans="1:3" x14ac:dyDescent="0.25">
      <c r="A1856">
        <v>4</v>
      </c>
      <c r="B1856">
        <v>82</v>
      </c>
      <c r="C1856">
        <v>3</v>
      </c>
    </row>
    <row r="1857" spans="1:3" x14ac:dyDescent="0.25">
      <c r="A1857">
        <v>11</v>
      </c>
      <c r="B1857">
        <v>82</v>
      </c>
      <c r="C1857">
        <v>2</v>
      </c>
    </row>
    <row r="1858" spans="1:3" x14ac:dyDescent="0.25">
      <c r="A1858">
        <v>12</v>
      </c>
      <c r="B1858">
        <v>82</v>
      </c>
      <c r="C1858">
        <v>4</v>
      </c>
    </row>
    <row r="1859" spans="1:3" x14ac:dyDescent="0.25">
      <c r="A1859">
        <v>28</v>
      </c>
      <c r="B1859">
        <v>82</v>
      </c>
      <c r="C1859">
        <v>2</v>
      </c>
    </row>
    <row r="1860" spans="1:3" x14ac:dyDescent="0.25">
      <c r="A1860">
        <v>35</v>
      </c>
      <c r="B1860">
        <v>82</v>
      </c>
      <c r="C1860">
        <v>5</v>
      </c>
    </row>
    <row r="1861" spans="1:3" x14ac:dyDescent="0.25">
      <c r="A1861">
        <v>40</v>
      </c>
      <c r="B1861">
        <v>82</v>
      </c>
      <c r="C1861">
        <v>3</v>
      </c>
    </row>
    <row r="1862" spans="1:3" x14ac:dyDescent="0.25">
      <c r="A1862">
        <v>43</v>
      </c>
      <c r="B1862">
        <v>82</v>
      </c>
      <c r="C1862">
        <v>3</v>
      </c>
    </row>
    <row r="1863" spans="1:3" x14ac:dyDescent="0.25">
      <c r="A1863">
        <v>48</v>
      </c>
      <c r="B1863">
        <v>82</v>
      </c>
      <c r="C1863">
        <v>2</v>
      </c>
    </row>
    <row r="1864" spans="1:3" x14ac:dyDescent="0.25">
      <c r="A1864">
        <v>83</v>
      </c>
      <c r="B1864">
        <v>82</v>
      </c>
      <c r="C1864">
        <v>3</v>
      </c>
    </row>
    <row r="1865" spans="1:3" x14ac:dyDescent="0.25">
      <c r="A1865">
        <v>102</v>
      </c>
      <c r="B1865">
        <v>82</v>
      </c>
      <c r="C1865">
        <v>5</v>
      </c>
    </row>
    <row r="1866" spans="1:3" x14ac:dyDescent="0.25">
      <c r="A1866">
        <v>112</v>
      </c>
      <c r="B1866">
        <v>82</v>
      </c>
      <c r="C1866">
        <v>1</v>
      </c>
    </row>
    <row r="1867" spans="1:3" x14ac:dyDescent="0.25">
      <c r="A1867">
        <v>116</v>
      </c>
      <c r="B1867">
        <v>82</v>
      </c>
      <c r="C1867">
        <v>3</v>
      </c>
    </row>
    <row r="1868" spans="1:3" x14ac:dyDescent="0.25">
      <c r="A1868">
        <v>135</v>
      </c>
      <c r="B1868">
        <v>82</v>
      </c>
      <c r="C1868">
        <v>4</v>
      </c>
    </row>
    <row r="1869" spans="1:3" x14ac:dyDescent="0.25">
      <c r="A1869">
        <v>158</v>
      </c>
      <c r="B1869">
        <v>82</v>
      </c>
      <c r="C1869">
        <v>2</v>
      </c>
    </row>
    <row r="1870" spans="1:3" x14ac:dyDescent="0.25">
      <c r="A1870">
        <v>167</v>
      </c>
      <c r="B1870">
        <v>82</v>
      </c>
      <c r="C1870">
        <v>4</v>
      </c>
    </row>
    <row r="1871" spans="1:3" x14ac:dyDescent="0.25">
      <c r="A1871">
        <v>197</v>
      </c>
      <c r="B1871">
        <v>82</v>
      </c>
      <c r="C1871">
        <v>4</v>
      </c>
    </row>
    <row r="1872" spans="1:3" x14ac:dyDescent="0.25">
      <c r="A1872">
        <v>205</v>
      </c>
      <c r="B1872">
        <v>82</v>
      </c>
      <c r="C1872">
        <v>3</v>
      </c>
    </row>
    <row r="1873" spans="1:3" x14ac:dyDescent="0.25">
      <c r="A1873">
        <v>228</v>
      </c>
      <c r="B1873">
        <v>82</v>
      </c>
      <c r="C1873">
        <v>4</v>
      </c>
    </row>
    <row r="1874" spans="1:3" x14ac:dyDescent="0.25">
      <c r="A1874">
        <v>231</v>
      </c>
      <c r="B1874">
        <v>82</v>
      </c>
      <c r="C1874">
        <v>4</v>
      </c>
    </row>
    <row r="1875" spans="1:3" x14ac:dyDescent="0.25">
      <c r="A1875">
        <v>242</v>
      </c>
      <c r="B1875">
        <v>82</v>
      </c>
      <c r="C1875">
        <v>2</v>
      </c>
    </row>
    <row r="1876" spans="1:3" x14ac:dyDescent="0.25">
      <c r="A1876">
        <v>243</v>
      </c>
      <c r="B1876">
        <v>82</v>
      </c>
      <c r="C1876">
        <v>1</v>
      </c>
    </row>
    <row r="1877" spans="1:3" x14ac:dyDescent="0.25">
      <c r="A1877">
        <v>247</v>
      </c>
      <c r="B1877">
        <v>82</v>
      </c>
      <c r="C1877">
        <v>1</v>
      </c>
    </row>
    <row r="1878" spans="1:3" x14ac:dyDescent="0.25">
      <c r="A1878">
        <v>266</v>
      </c>
      <c r="B1878">
        <v>82</v>
      </c>
      <c r="C1878">
        <v>4</v>
      </c>
    </row>
    <row r="1879" spans="1:3" x14ac:dyDescent="0.25">
      <c r="A1879">
        <v>20</v>
      </c>
      <c r="B1879">
        <v>83</v>
      </c>
      <c r="C1879">
        <v>3</v>
      </c>
    </row>
    <row r="1880" spans="1:3" x14ac:dyDescent="0.25">
      <c r="A1880">
        <v>26</v>
      </c>
      <c r="B1880">
        <v>83</v>
      </c>
      <c r="C1880">
        <v>5</v>
      </c>
    </row>
    <row r="1881" spans="1:3" x14ac:dyDescent="0.25">
      <c r="A1881">
        <v>28</v>
      </c>
      <c r="B1881">
        <v>83</v>
      </c>
      <c r="C1881">
        <v>5</v>
      </c>
    </row>
    <row r="1882" spans="1:3" x14ac:dyDescent="0.25">
      <c r="A1882">
        <v>30</v>
      </c>
      <c r="B1882">
        <v>83</v>
      </c>
      <c r="C1882">
        <v>2</v>
      </c>
    </row>
    <row r="1883" spans="1:3" x14ac:dyDescent="0.25">
      <c r="A1883">
        <v>71</v>
      </c>
      <c r="B1883">
        <v>83</v>
      </c>
      <c r="C1883">
        <v>5</v>
      </c>
    </row>
    <row r="1884" spans="1:3" x14ac:dyDescent="0.25">
      <c r="A1884">
        <v>100</v>
      </c>
      <c r="B1884">
        <v>83</v>
      </c>
      <c r="C1884">
        <v>2</v>
      </c>
    </row>
    <row r="1885" spans="1:3" x14ac:dyDescent="0.25">
      <c r="A1885">
        <v>101</v>
      </c>
      <c r="B1885">
        <v>83</v>
      </c>
      <c r="C1885">
        <v>5</v>
      </c>
    </row>
    <row r="1886" spans="1:3" x14ac:dyDescent="0.25">
      <c r="A1886">
        <v>102</v>
      </c>
      <c r="B1886">
        <v>83</v>
      </c>
      <c r="C1886">
        <v>3</v>
      </c>
    </row>
    <row r="1887" spans="1:3" x14ac:dyDescent="0.25">
      <c r="A1887">
        <v>123</v>
      </c>
      <c r="B1887">
        <v>83</v>
      </c>
      <c r="C1887">
        <v>1</v>
      </c>
    </row>
    <row r="1888" spans="1:3" x14ac:dyDescent="0.25">
      <c r="A1888">
        <v>131</v>
      </c>
      <c r="B1888">
        <v>83</v>
      </c>
      <c r="C1888">
        <v>4</v>
      </c>
    </row>
    <row r="1889" spans="1:3" x14ac:dyDescent="0.25">
      <c r="A1889">
        <v>150</v>
      </c>
      <c r="B1889">
        <v>83</v>
      </c>
      <c r="C1889">
        <v>5</v>
      </c>
    </row>
    <row r="1890" spans="1:3" x14ac:dyDescent="0.25">
      <c r="A1890">
        <v>158</v>
      </c>
      <c r="B1890">
        <v>83</v>
      </c>
      <c r="C1890">
        <v>5</v>
      </c>
    </row>
    <row r="1891" spans="1:3" x14ac:dyDescent="0.25">
      <c r="A1891">
        <v>178</v>
      </c>
      <c r="B1891">
        <v>83</v>
      </c>
      <c r="C1891">
        <v>3</v>
      </c>
    </row>
    <row r="1892" spans="1:3" x14ac:dyDescent="0.25">
      <c r="A1892">
        <v>179</v>
      </c>
      <c r="B1892">
        <v>83</v>
      </c>
      <c r="C1892">
        <v>5</v>
      </c>
    </row>
    <row r="1893" spans="1:3" x14ac:dyDescent="0.25">
      <c r="A1893">
        <v>181</v>
      </c>
      <c r="B1893">
        <v>83</v>
      </c>
      <c r="C1893">
        <v>1</v>
      </c>
    </row>
    <row r="1894" spans="1:3" x14ac:dyDescent="0.25">
      <c r="A1894">
        <v>191</v>
      </c>
      <c r="B1894">
        <v>83</v>
      </c>
      <c r="C1894">
        <v>2</v>
      </c>
    </row>
    <row r="1895" spans="1:3" x14ac:dyDescent="0.25">
      <c r="A1895">
        <v>233</v>
      </c>
      <c r="B1895">
        <v>83</v>
      </c>
      <c r="C1895">
        <v>3</v>
      </c>
    </row>
    <row r="1896" spans="1:3" x14ac:dyDescent="0.25">
      <c r="A1896">
        <v>248</v>
      </c>
      <c r="B1896">
        <v>83</v>
      </c>
      <c r="C1896">
        <v>5</v>
      </c>
    </row>
    <row r="1897" spans="1:3" x14ac:dyDescent="0.25">
      <c r="A1897">
        <v>275</v>
      </c>
      <c r="B1897">
        <v>83</v>
      </c>
      <c r="C1897">
        <v>2</v>
      </c>
    </row>
    <row r="1898" spans="1:3" x14ac:dyDescent="0.25">
      <c r="A1898">
        <v>275</v>
      </c>
      <c r="B1898">
        <v>83</v>
      </c>
      <c r="C1898">
        <v>5</v>
      </c>
    </row>
    <row r="1899" spans="1:3" x14ac:dyDescent="0.25">
      <c r="A1899">
        <v>294</v>
      </c>
      <c r="B1899">
        <v>83</v>
      </c>
      <c r="C1899">
        <v>1</v>
      </c>
    </row>
    <row r="1900" spans="1:3" x14ac:dyDescent="0.25">
      <c r="A1900">
        <v>298</v>
      </c>
      <c r="B1900">
        <v>83</v>
      </c>
      <c r="C1900">
        <v>5</v>
      </c>
    </row>
    <row r="1901" spans="1:3" x14ac:dyDescent="0.25">
      <c r="A1901">
        <v>19</v>
      </c>
      <c r="B1901">
        <v>84</v>
      </c>
      <c r="C1901">
        <v>2</v>
      </c>
    </row>
    <row r="1902" spans="1:3" x14ac:dyDescent="0.25">
      <c r="A1902">
        <v>20</v>
      </c>
      <c r="B1902">
        <v>84</v>
      </c>
      <c r="C1902">
        <v>3</v>
      </c>
    </row>
    <row r="1903" spans="1:3" x14ac:dyDescent="0.25">
      <c r="A1903">
        <v>22</v>
      </c>
      <c r="B1903">
        <v>84</v>
      </c>
      <c r="C1903">
        <v>2</v>
      </c>
    </row>
    <row r="1904" spans="1:3" x14ac:dyDescent="0.25">
      <c r="A1904">
        <v>31</v>
      </c>
      <c r="B1904">
        <v>84</v>
      </c>
      <c r="C1904">
        <v>5</v>
      </c>
    </row>
    <row r="1905" spans="1:3" x14ac:dyDescent="0.25">
      <c r="A1905">
        <v>33</v>
      </c>
      <c r="B1905">
        <v>84</v>
      </c>
      <c r="C1905">
        <v>2</v>
      </c>
    </row>
    <row r="1906" spans="1:3" x14ac:dyDescent="0.25">
      <c r="A1906">
        <v>42</v>
      </c>
      <c r="B1906">
        <v>84</v>
      </c>
      <c r="C1906">
        <v>2</v>
      </c>
    </row>
    <row r="1907" spans="1:3" x14ac:dyDescent="0.25">
      <c r="A1907">
        <v>45</v>
      </c>
      <c r="B1907">
        <v>84</v>
      </c>
      <c r="C1907">
        <v>3</v>
      </c>
    </row>
    <row r="1908" spans="1:3" x14ac:dyDescent="0.25">
      <c r="A1908">
        <v>65</v>
      </c>
      <c r="B1908">
        <v>84</v>
      </c>
      <c r="C1908">
        <v>2</v>
      </c>
    </row>
    <row r="1909" spans="1:3" x14ac:dyDescent="0.25">
      <c r="A1909">
        <v>74</v>
      </c>
      <c r="B1909">
        <v>84</v>
      </c>
      <c r="C1909">
        <v>3</v>
      </c>
    </row>
    <row r="1910" spans="1:3" x14ac:dyDescent="0.25">
      <c r="A1910">
        <v>99</v>
      </c>
      <c r="B1910">
        <v>84</v>
      </c>
      <c r="C1910">
        <v>4</v>
      </c>
    </row>
    <row r="1911" spans="1:3" x14ac:dyDescent="0.25">
      <c r="A1911">
        <v>99</v>
      </c>
      <c r="B1911">
        <v>84</v>
      </c>
      <c r="C1911">
        <v>1</v>
      </c>
    </row>
    <row r="1912" spans="1:3" x14ac:dyDescent="0.25">
      <c r="A1912">
        <v>116</v>
      </c>
      <c r="B1912">
        <v>84</v>
      </c>
      <c r="C1912">
        <v>4</v>
      </c>
    </row>
    <row r="1913" spans="1:3" x14ac:dyDescent="0.25">
      <c r="A1913">
        <v>125</v>
      </c>
      <c r="B1913">
        <v>84</v>
      </c>
      <c r="C1913">
        <v>5</v>
      </c>
    </row>
    <row r="1914" spans="1:3" x14ac:dyDescent="0.25">
      <c r="A1914">
        <v>134</v>
      </c>
      <c r="B1914">
        <v>84</v>
      </c>
      <c r="C1914">
        <v>4</v>
      </c>
    </row>
    <row r="1915" spans="1:3" x14ac:dyDescent="0.25">
      <c r="A1915">
        <v>141</v>
      </c>
      <c r="B1915">
        <v>84</v>
      </c>
      <c r="C1915">
        <v>2</v>
      </c>
    </row>
    <row r="1916" spans="1:3" x14ac:dyDescent="0.25">
      <c r="A1916">
        <v>164</v>
      </c>
      <c r="B1916">
        <v>84</v>
      </c>
      <c r="C1916">
        <v>2</v>
      </c>
    </row>
    <row r="1917" spans="1:3" x14ac:dyDescent="0.25">
      <c r="A1917">
        <v>211</v>
      </c>
      <c r="B1917">
        <v>84</v>
      </c>
      <c r="C1917">
        <v>4</v>
      </c>
    </row>
    <row r="1918" spans="1:3" x14ac:dyDescent="0.25">
      <c r="A1918">
        <v>219</v>
      </c>
      <c r="B1918">
        <v>84</v>
      </c>
      <c r="C1918">
        <v>5</v>
      </c>
    </row>
    <row r="1919" spans="1:3" x14ac:dyDescent="0.25">
      <c r="A1919">
        <v>256</v>
      </c>
      <c r="B1919">
        <v>84</v>
      </c>
      <c r="C1919">
        <v>1</v>
      </c>
    </row>
    <row r="1920" spans="1:3" x14ac:dyDescent="0.25">
      <c r="A1920">
        <v>290</v>
      </c>
      <c r="B1920">
        <v>84</v>
      </c>
      <c r="C1920">
        <v>2</v>
      </c>
    </row>
    <row r="1921" spans="1:3" x14ac:dyDescent="0.25">
      <c r="A1921">
        <v>293</v>
      </c>
      <c r="B1921">
        <v>84</v>
      </c>
      <c r="C1921">
        <v>4</v>
      </c>
    </row>
    <row r="1922" spans="1:3" x14ac:dyDescent="0.25">
      <c r="A1922">
        <v>2</v>
      </c>
      <c r="B1922">
        <v>85</v>
      </c>
      <c r="C1922">
        <v>4</v>
      </c>
    </row>
    <row r="1923" spans="1:3" x14ac:dyDescent="0.25">
      <c r="A1923">
        <v>23</v>
      </c>
      <c r="B1923">
        <v>85</v>
      </c>
      <c r="C1923">
        <v>4</v>
      </c>
    </row>
    <row r="1924" spans="1:3" x14ac:dyDescent="0.25">
      <c r="A1924">
        <v>25</v>
      </c>
      <c r="B1924">
        <v>85</v>
      </c>
      <c r="C1924">
        <v>2</v>
      </c>
    </row>
    <row r="1925" spans="1:3" x14ac:dyDescent="0.25">
      <c r="A1925">
        <v>39</v>
      </c>
      <c r="B1925">
        <v>85</v>
      </c>
      <c r="C1925">
        <v>5</v>
      </c>
    </row>
    <row r="1926" spans="1:3" x14ac:dyDescent="0.25">
      <c r="A1926">
        <v>43</v>
      </c>
      <c r="B1926">
        <v>85</v>
      </c>
      <c r="C1926">
        <v>4</v>
      </c>
    </row>
    <row r="1927" spans="1:3" x14ac:dyDescent="0.25">
      <c r="A1927">
        <v>52</v>
      </c>
      <c r="B1927">
        <v>85</v>
      </c>
      <c r="C1927">
        <v>1</v>
      </c>
    </row>
    <row r="1928" spans="1:3" x14ac:dyDescent="0.25">
      <c r="A1928">
        <v>60</v>
      </c>
      <c r="B1928">
        <v>85</v>
      </c>
      <c r="C1928">
        <v>2</v>
      </c>
    </row>
    <row r="1929" spans="1:3" x14ac:dyDescent="0.25">
      <c r="A1929">
        <v>68</v>
      </c>
      <c r="B1929">
        <v>85</v>
      </c>
      <c r="C1929">
        <v>4</v>
      </c>
    </row>
    <row r="1930" spans="1:3" x14ac:dyDescent="0.25">
      <c r="A1930">
        <v>72</v>
      </c>
      <c r="B1930">
        <v>85</v>
      </c>
      <c r="C1930">
        <v>4</v>
      </c>
    </row>
    <row r="1931" spans="1:3" x14ac:dyDescent="0.25">
      <c r="A1931">
        <v>74</v>
      </c>
      <c r="B1931">
        <v>85</v>
      </c>
      <c r="C1931">
        <v>2</v>
      </c>
    </row>
    <row r="1932" spans="1:3" x14ac:dyDescent="0.25">
      <c r="A1932">
        <v>88</v>
      </c>
      <c r="B1932">
        <v>85</v>
      </c>
      <c r="C1932">
        <v>1</v>
      </c>
    </row>
    <row r="1933" spans="1:3" x14ac:dyDescent="0.25">
      <c r="A1933">
        <v>93</v>
      </c>
      <c r="B1933">
        <v>85</v>
      </c>
      <c r="C1933">
        <v>5</v>
      </c>
    </row>
    <row r="1934" spans="1:3" x14ac:dyDescent="0.25">
      <c r="A1934">
        <v>104</v>
      </c>
      <c r="B1934">
        <v>85</v>
      </c>
      <c r="C1934">
        <v>1</v>
      </c>
    </row>
    <row r="1935" spans="1:3" x14ac:dyDescent="0.25">
      <c r="A1935">
        <v>132</v>
      </c>
      <c r="B1935">
        <v>85</v>
      </c>
      <c r="C1935">
        <v>3</v>
      </c>
    </row>
    <row r="1936" spans="1:3" x14ac:dyDescent="0.25">
      <c r="A1936">
        <v>140</v>
      </c>
      <c r="B1936">
        <v>85</v>
      </c>
      <c r="C1936">
        <v>3</v>
      </c>
    </row>
    <row r="1937" spans="1:3" x14ac:dyDescent="0.25">
      <c r="A1937">
        <v>157</v>
      </c>
      <c r="B1937">
        <v>85</v>
      </c>
      <c r="C1937">
        <v>4</v>
      </c>
    </row>
    <row r="1938" spans="1:3" x14ac:dyDescent="0.25">
      <c r="A1938">
        <v>159</v>
      </c>
      <c r="B1938">
        <v>85</v>
      </c>
      <c r="C1938">
        <v>4</v>
      </c>
    </row>
    <row r="1939" spans="1:3" x14ac:dyDescent="0.25">
      <c r="A1939">
        <v>165</v>
      </c>
      <c r="B1939">
        <v>85</v>
      </c>
      <c r="C1939">
        <v>4</v>
      </c>
    </row>
    <row r="1940" spans="1:3" x14ac:dyDescent="0.25">
      <c r="A1940">
        <v>182</v>
      </c>
      <c r="B1940">
        <v>85</v>
      </c>
      <c r="C1940">
        <v>1</v>
      </c>
    </row>
    <row r="1941" spans="1:3" x14ac:dyDescent="0.25">
      <c r="A1941">
        <v>233</v>
      </c>
      <c r="B1941">
        <v>85</v>
      </c>
      <c r="C1941">
        <v>3</v>
      </c>
    </row>
    <row r="1942" spans="1:3" x14ac:dyDescent="0.25">
      <c r="A1942">
        <v>247</v>
      </c>
      <c r="B1942">
        <v>85</v>
      </c>
      <c r="C1942">
        <v>3</v>
      </c>
    </row>
    <row r="1943" spans="1:3" x14ac:dyDescent="0.25">
      <c r="A1943">
        <v>262</v>
      </c>
      <c r="B1943">
        <v>85</v>
      </c>
      <c r="C1943">
        <v>1</v>
      </c>
    </row>
    <row r="1944" spans="1:3" x14ac:dyDescent="0.25">
      <c r="A1944">
        <v>269</v>
      </c>
      <c r="B1944">
        <v>85</v>
      </c>
      <c r="C1944">
        <v>1</v>
      </c>
    </row>
    <row r="1945" spans="1:3" x14ac:dyDescent="0.25">
      <c r="A1945">
        <v>276</v>
      </c>
      <c r="B1945">
        <v>85</v>
      </c>
      <c r="C1945">
        <v>1</v>
      </c>
    </row>
    <row r="1946" spans="1:3" x14ac:dyDescent="0.25">
      <c r="A1946">
        <v>282</v>
      </c>
      <c r="B1946">
        <v>85</v>
      </c>
      <c r="C1946">
        <v>1</v>
      </c>
    </row>
    <row r="1947" spans="1:3" x14ac:dyDescent="0.25">
      <c r="A1947">
        <v>3</v>
      </c>
      <c r="B1947">
        <v>86</v>
      </c>
      <c r="C1947">
        <v>4</v>
      </c>
    </row>
    <row r="1948" spans="1:3" x14ac:dyDescent="0.25">
      <c r="A1948">
        <v>31</v>
      </c>
      <c r="B1948">
        <v>86</v>
      </c>
      <c r="C1948">
        <v>3</v>
      </c>
    </row>
    <row r="1949" spans="1:3" x14ac:dyDescent="0.25">
      <c r="A1949">
        <v>38</v>
      </c>
      <c r="B1949">
        <v>86</v>
      </c>
      <c r="C1949">
        <v>4</v>
      </c>
    </row>
    <row r="1950" spans="1:3" x14ac:dyDescent="0.25">
      <c r="A1950">
        <v>40</v>
      </c>
      <c r="B1950">
        <v>86</v>
      </c>
      <c r="C1950">
        <v>2</v>
      </c>
    </row>
    <row r="1951" spans="1:3" x14ac:dyDescent="0.25">
      <c r="A1951">
        <v>43</v>
      </c>
      <c r="B1951">
        <v>86</v>
      </c>
      <c r="C1951">
        <v>5</v>
      </c>
    </row>
    <row r="1952" spans="1:3" x14ac:dyDescent="0.25">
      <c r="A1952">
        <v>96</v>
      </c>
      <c r="B1952">
        <v>86</v>
      </c>
      <c r="C1952">
        <v>2</v>
      </c>
    </row>
    <row r="1953" spans="1:3" x14ac:dyDescent="0.25">
      <c r="A1953">
        <v>105</v>
      </c>
      <c r="B1953">
        <v>86</v>
      </c>
      <c r="C1953">
        <v>4</v>
      </c>
    </row>
    <row r="1954" spans="1:3" x14ac:dyDescent="0.25">
      <c r="A1954">
        <v>109</v>
      </c>
      <c r="B1954">
        <v>86</v>
      </c>
      <c r="C1954">
        <v>5</v>
      </c>
    </row>
    <row r="1955" spans="1:3" x14ac:dyDescent="0.25">
      <c r="A1955">
        <v>121</v>
      </c>
      <c r="B1955">
        <v>86</v>
      </c>
      <c r="C1955">
        <v>3</v>
      </c>
    </row>
    <row r="1956" spans="1:3" x14ac:dyDescent="0.25">
      <c r="A1956">
        <v>134</v>
      </c>
      <c r="B1956">
        <v>86</v>
      </c>
      <c r="C1956">
        <v>1</v>
      </c>
    </row>
    <row r="1957" spans="1:3" x14ac:dyDescent="0.25">
      <c r="A1957">
        <v>138</v>
      </c>
      <c r="B1957">
        <v>86</v>
      </c>
      <c r="C1957">
        <v>1</v>
      </c>
    </row>
    <row r="1958" spans="1:3" x14ac:dyDescent="0.25">
      <c r="A1958">
        <v>162</v>
      </c>
      <c r="B1958">
        <v>86</v>
      </c>
      <c r="C1958">
        <v>4</v>
      </c>
    </row>
    <row r="1959" spans="1:3" x14ac:dyDescent="0.25">
      <c r="A1959">
        <v>162</v>
      </c>
      <c r="B1959">
        <v>86</v>
      </c>
      <c r="C1959">
        <v>3</v>
      </c>
    </row>
    <row r="1960" spans="1:3" x14ac:dyDescent="0.25">
      <c r="A1960">
        <v>167</v>
      </c>
      <c r="B1960">
        <v>86</v>
      </c>
      <c r="C1960">
        <v>2</v>
      </c>
    </row>
    <row r="1961" spans="1:3" x14ac:dyDescent="0.25">
      <c r="A1961">
        <v>171</v>
      </c>
      <c r="B1961">
        <v>86</v>
      </c>
      <c r="C1961">
        <v>4</v>
      </c>
    </row>
    <row r="1962" spans="1:3" x14ac:dyDescent="0.25">
      <c r="A1962">
        <v>219</v>
      </c>
      <c r="B1962">
        <v>86</v>
      </c>
      <c r="C1962">
        <v>1</v>
      </c>
    </row>
    <row r="1963" spans="1:3" x14ac:dyDescent="0.25">
      <c r="A1963">
        <v>231</v>
      </c>
      <c r="B1963">
        <v>86</v>
      </c>
      <c r="C1963">
        <v>5</v>
      </c>
    </row>
    <row r="1964" spans="1:3" x14ac:dyDescent="0.25">
      <c r="A1964">
        <v>247</v>
      </c>
      <c r="B1964">
        <v>86</v>
      </c>
      <c r="C1964">
        <v>4</v>
      </c>
    </row>
    <row r="1965" spans="1:3" x14ac:dyDescent="0.25">
      <c r="A1965">
        <v>248</v>
      </c>
      <c r="B1965">
        <v>86</v>
      </c>
      <c r="C1965">
        <v>4</v>
      </c>
    </row>
    <row r="1966" spans="1:3" x14ac:dyDescent="0.25">
      <c r="A1966">
        <v>257</v>
      </c>
      <c r="B1966">
        <v>86</v>
      </c>
      <c r="C1966">
        <v>4</v>
      </c>
    </row>
    <row r="1967" spans="1:3" x14ac:dyDescent="0.25">
      <c r="A1967">
        <v>259</v>
      </c>
      <c r="B1967">
        <v>86</v>
      </c>
      <c r="C1967">
        <v>4</v>
      </c>
    </row>
    <row r="1968" spans="1:3" x14ac:dyDescent="0.25">
      <c r="A1968">
        <v>279</v>
      </c>
      <c r="B1968">
        <v>86</v>
      </c>
      <c r="C1968">
        <v>3</v>
      </c>
    </row>
    <row r="1969" spans="1:3" x14ac:dyDescent="0.25">
      <c r="A1969">
        <v>282</v>
      </c>
      <c r="B1969">
        <v>86</v>
      </c>
      <c r="C1969">
        <v>1</v>
      </c>
    </row>
    <row r="1970" spans="1:3" x14ac:dyDescent="0.25">
      <c r="A1970">
        <v>289</v>
      </c>
      <c r="B1970">
        <v>86</v>
      </c>
      <c r="C1970">
        <v>3</v>
      </c>
    </row>
    <row r="1971" spans="1:3" x14ac:dyDescent="0.25">
      <c r="A1971">
        <v>294</v>
      </c>
      <c r="B1971">
        <v>86</v>
      </c>
      <c r="C1971">
        <v>2</v>
      </c>
    </row>
    <row r="1972" spans="1:3" x14ac:dyDescent="0.25">
      <c r="A1972">
        <v>40</v>
      </c>
      <c r="B1972">
        <v>87</v>
      </c>
      <c r="C1972">
        <v>2</v>
      </c>
    </row>
    <row r="1973" spans="1:3" x14ac:dyDescent="0.25">
      <c r="A1973">
        <v>70</v>
      </c>
      <c r="B1973">
        <v>87</v>
      </c>
      <c r="C1973">
        <v>5</v>
      </c>
    </row>
    <row r="1974" spans="1:3" x14ac:dyDescent="0.25">
      <c r="A1974">
        <v>92</v>
      </c>
      <c r="B1974">
        <v>87</v>
      </c>
      <c r="C1974">
        <v>1</v>
      </c>
    </row>
    <row r="1975" spans="1:3" x14ac:dyDescent="0.25">
      <c r="A1975">
        <v>140</v>
      </c>
      <c r="B1975">
        <v>87</v>
      </c>
      <c r="C1975">
        <v>1</v>
      </c>
    </row>
    <row r="1976" spans="1:3" x14ac:dyDescent="0.25">
      <c r="A1976">
        <v>142</v>
      </c>
      <c r="B1976">
        <v>87</v>
      </c>
      <c r="C1976">
        <v>3</v>
      </c>
    </row>
    <row r="1977" spans="1:3" x14ac:dyDescent="0.25">
      <c r="A1977">
        <v>160</v>
      </c>
      <c r="B1977">
        <v>87</v>
      </c>
      <c r="C1977">
        <v>3</v>
      </c>
    </row>
    <row r="1978" spans="1:3" x14ac:dyDescent="0.25">
      <c r="A1978">
        <v>181</v>
      </c>
      <c r="B1978">
        <v>87</v>
      </c>
      <c r="C1978">
        <v>2</v>
      </c>
    </row>
    <row r="1979" spans="1:3" x14ac:dyDescent="0.25">
      <c r="A1979">
        <v>184</v>
      </c>
      <c r="B1979">
        <v>87</v>
      </c>
      <c r="C1979">
        <v>4</v>
      </c>
    </row>
    <row r="1980" spans="1:3" x14ac:dyDescent="0.25">
      <c r="A1980">
        <v>184</v>
      </c>
      <c r="B1980">
        <v>87</v>
      </c>
      <c r="C1980">
        <v>4</v>
      </c>
    </row>
    <row r="1981" spans="1:3" x14ac:dyDescent="0.25">
      <c r="A1981">
        <v>189</v>
      </c>
      <c r="B1981">
        <v>87</v>
      </c>
      <c r="C1981">
        <v>2</v>
      </c>
    </row>
    <row r="1982" spans="1:3" x14ac:dyDescent="0.25">
      <c r="A1982">
        <v>199</v>
      </c>
      <c r="B1982">
        <v>87</v>
      </c>
      <c r="C1982">
        <v>4</v>
      </c>
    </row>
    <row r="1983" spans="1:3" x14ac:dyDescent="0.25">
      <c r="A1983">
        <v>208</v>
      </c>
      <c r="B1983">
        <v>87</v>
      </c>
      <c r="C1983">
        <v>5</v>
      </c>
    </row>
    <row r="1984" spans="1:3" x14ac:dyDescent="0.25">
      <c r="A1984">
        <v>211</v>
      </c>
      <c r="B1984">
        <v>87</v>
      </c>
      <c r="C1984">
        <v>2</v>
      </c>
    </row>
    <row r="1985" spans="1:3" x14ac:dyDescent="0.25">
      <c r="A1985">
        <v>226</v>
      </c>
      <c r="B1985">
        <v>87</v>
      </c>
      <c r="C1985">
        <v>4</v>
      </c>
    </row>
    <row r="1986" spans="1:3" x14ac:dyDescent="0.25">
      <c r="A1986">
        <v>247</v>
      </c>
      <c r="B1986">
        <v>87</v>
      </c>
      <c r="C1986">
        <v>5</v>
      </c>
    </row>
    <row r="1987" spans="1:3" x14ac:dyDescent="0.25">
      <c r="A1987">
        <v>271</v>
      </c>
      <c r="B1987">
        <v>87</v>
      </c>
      <c r="C1987">
        <v>4</v>
      </c>
    </row>
    <row r="1988" spans="1:3" x14ac:dyDescent="0.25">
      <c r="A1988">
        <v>271</v>
      </c>
      <c r="B1988">
        <v>87</v>
      </c>
      <c r="C1988">
        <v>1</v>
      </c>
    </row>
    <row r="1989" spans="1:3" x14ac:dyDescent="0.25">
      <c r="A1989">
        <v>281</v>
      </c>
      <c r="B1989">
        <v>87</v>
      </c>
      <c r="C1989">
        <v>3</v>
      </c>
    </row>
    <row r="1990" spans="1:3" x14ac:dyDescent="0.25">
      <c r="A1990">
        <v>290</v>
      </c>
      <c r="B1990">
        <v>87</v>
      </c>
      <c r="C1990">
        <v>5</v>
      </c>
    </row>
    <row r="1991" spans="1:3" x14ac:dyDescent="0.25">
      <c r="A1991">
        <v>4</v>
      </c>
      <c r="B1991">
        <v>88</v>
      </c>
      <c r="C1991">
        <v>3</v>
      </c>
    </row>
    <row r="1992" spans="1:3" x14ac:dyDescent="0.25">
      <c r="A1992">
        <v>6</v>
      </c>
      <c r="B1992">
        <v>88</v>
      </c>
      <c r="C1992">
        <v>5</v>
      </c>
    </row>
    <row r="1993" spans="1:3" x14ac:dyDescent="0.25">
      <c r="A1993">
        <v>7</v>
      </c>
      <c r="B1993">
        <v>88</v>
      </c>
      <c r="C1993">
        <v>4</v>
      </c>
    </row>
    <row r="1994" spans="1:3" x14ac:dyDescent="0.25">
      <c r="A1994">
        <v>11</v>
      </c>
      <c r="B1994">
        <v>88</v>
      </c>
      <c r="C1994">
        <v>3</v>
      </c>
    </row>
    <row r="1995" spans="1:3" x14ac:dyDescent="0.25">
      <c r="A1995">
        <v>14</v>
      </c>
      <c r="B1995">
        <v>88</v>
      </c>
      <c r="C1995">
        <v>2</v>
      </c>
    </row>
    <row r="1996" spans="1:3" x14ac:dyDescent="0.25">
      <c r="A1996">
        <v>18</v>
      </c>
      <c r="B1996">
        <v>88</v>
      </c>
      <c r="C1996">
        <v>3</v>
      </c>
    </row>
    <row r="1997" spans="1:3" x14ac:dyDescent="0.25">
      <c r="A1997">
        <v>21</v>
      </c>
      <c r="B1997">
        <v>88</v>
      </c>
      <c r="C1997">
        <v>5</v>
      </c>
    </row>
    <row r="1998" spans="1:3" x14ac:dyDescent="0.25">
      <c r="A1998">
        <v>25</v>
      </c>
      <c r="B1998">
        <v>88</v>
      </c>
      <c r="C1998">
        <v>5</v>
      </c>
    </row>
    <row r="1999" spans="1:3" x14ac:dyDescent="0.25">
      <c r="A1999">
        <v>41</v>
      </c>
      <c r="B1999">
        <v>88</v>
      </c>
      <c r="C1999">
        <v>4</v>
      </c>
    </row>
    <row r="2000" spans="1:3" x14ac:dyDescent="0.25">
      <c r="A2000">
        <v>44</v>
      </c>
      <c r="B2000">
        <v>88</v>
      </c>
      <c r="C2000">
        <v>4</v>
      </c>
    </row>
    <row r="2001" spans="1:3" x14ac:dyDescent="0.25">
      <c r="A2001">
        <v>64</v>
      </c>
      <c r="B2001">
        <v>88</v>
      </c>
      <c r="C2001">
        <v>3</v>
      </c>
    </row>
    <row r="2002" spans="1:3" x14ac:dyDescent="0.25">
      <c r="A2002">
        <v>79</v>
      </c>
      <c r="B2002">
        <v>88</v>
      </c>
      <c r="C2002">
        <v>4</v>
      </c>
    </row>
    <row r="2003" spans="1:3" x14ac:dyDescent="0.25">
      <c r="A2003">
        <v>91</v>
      </c>
      <c r="B2003">
        <v>88</v>
      </c>
      <c r="C2003">
        <v>2</v>
      </c>
    </row>
    <row r="2004" spans="1:3" x14ac:dyDescent="0.25">
      <c r="A2004">
        <v>100</v>
      </c>
      <c r="B2004">
        <v>88</v>
      </c>
      <c r="C2004">
        <v>3</v>
      </c>
    </row>
    <row r="2005" spans="1:3" x14ac:dyDescent="0.25">
      <c r="A2005">
        <v>107</v>
      </c>
      <c r="B2005">
        <v>88</v>
      </c>
      <c r="C2005">
        <v>1</v>
      </c>
    </row>
    <row r="2006" spans="1:3" x14ac:dyDescent="0.25">
      <c r="A2006">
        <v>109</v>
      </c>
      <c r="B2006">
        <v>88</v>
      </c>
      <c r="C2006">
        <v>3</v>
      </c>
    </row>
    <row r="2007" spans="1:3" x14ac:dyDescent="0.25">
      <c r="A2007">
        <v>154</v>
      </c>
      <c r="B2007">
        <v>88</v>
      </c>
      <c r="C2007">
        <v>3</v>
      </c>
    </row>
    <row r="2008" spans="1:3" x14ac:dyDescent="0.25">
      <c r="A2008">
        <v>165</v>
      </c>
      <c r="B2008">
        <v>88</v>
      </c>
      <c r="C2008">
        <v>3</v>
      </c>
    </row>
    <row r="2009" spans="1:3" x14ac:dyDescent="0.25">
      <c r="A2009">
        <v>186</v>
      </c>
      <c r="B2009">
        <v>88</v>
      </c>
      <c r="C2009">
        <v>1</v>
      </c>
    </row>
    <row r="2010" spans="1:3" x14ac:dyDescent="0.25">
      <c r="A2010">
        <v>193</v>
      </c>
      <c r="B2010">
        <v>88</v>
      </c>
      <c r="C2010">
        <v>4</v>
      </c>
    </row>
    <row r="2011" spans="1:3" x14ac:dyDescent="0.25">
      <c r="A2011">
        <v>204</v>
      </c>
      <c r="B2011">
        <v>88</v>
      </c>
      <c r="C2011">
        <v>4</v>
      </c>
    </row>
    <row r="2012" spans="1:3" x14ac:dyDescent="0.25">
      <c r="A2012">
        <v>207</v>
      </c>
      <c r="B2012">
        <v>88</v>
      </c>
      <c r="C2012">
        <v>2</v>
      </c>
    </row>
    <row r="2013" spans="1:3" x14ac:dyDescent="0.25">
      <c r="A2013">
        <v>207</v>
      </c>
      <c r="B2013">
        <v>88</v>
      </c>
      <c r="C2013">
        <v>5</v>
      </c>
    </row>
    <row r="2014" spans="1:3" x14ac:dyDescent="0.25">
      <c r="A2014">
        <v>208</v>
      </c>
      <c r="B2014">
        <v>88</v>
      </c>
      <c r="C2014">
        <v>1</v>
      </c>
    </row>
    <row r="2015" spans="1:3" x14ac:dyDescent="0.25">
      <c r="A2015">
        <v>243</v>
      </c>
      <c r="B2015">
        <v>88</v>
      </c>
      <c r="C2015">
        <v>1</v>
      </c>
    </row>
    <row r="2016" spans="1:3" x14ac:dyDescent="0.25">
      <c r="A2016">
        <v>243</v>
      </c>
      <c r="B2016">
        <v>88</v>
      </c>
      <c r="C2016">
        <v>4</v>
      </c>
    </row>
    <row r="2017" spans="1:3" x14ac:dyDescent="0.25">
      <c r="A2017">
        <v>256</v>
      </c>
      <c r="B2017">
        <v>88</v>
      </c>
      <c r="C2017">
        <v>3</v>
      </c>
    </row>
    <row r="2018" spans="1:3" x14ac:dyDescent="0.25">
      <c r="A2018">
        <v>258</v>
      </c>
      <c r="B2018">
        <v>88</v>
      </c>
      <c r="C2018">
        <v>3</v>
      </c>
    </row>
    <row r="2019" spans="1:3" x14ac:dyDescent="0.25">
      <c r="A2019">
        <v>258</v>
      </c>
      <c r="B2019">
        <v>88</v>
      </c>
      <c r="C2019">
        <v>2</v>
      </c>
    </row>
    <row r="2020" spans="1:3" x14ac:dyDescent="0.25">
      <c r="A2020">
        <v>265</v>
      </c>
      <c r="B2020">
        <v>88</v>
      </c>
      <c r="C2020">
        <v>3</v>
      </c>
    </row>
    <row r="2021" spans="1:3" x14ac:dyDescent="0.25">
      <c r="A2021">
        <v>292</v>
      </c>
      <c r="B2021">
        <v>88</v>
      </c>
      <c r="C2021">
        <v>5</v>
      </c>
    </row>
    <row r="2022" spans="1:3" x14ac:dyDescent="0.25">
      <c r="A2022">
        <v>297</v>
      </c>
      <c r="B2022">
        <v>88</v>
      </c>
      <c r="C2022">
        <v>2</v>
      </c>
    </row>
    <row r="2023" spans="1:3" x14ac:dyDescent="0.25">
      <c r="A2023">
        <v>1</v>
      </c>
      <c r="B2023">
        <v>89</v>
      </c>
      <c r="C2023">
        <v>3</v>
      </c>
    </row>
    <row r="2024" spans="1:3" x14ac:dyDescent="0.25">
      <c r="A2024">
        <v>8</v>
      </c>
      <c r="B2024">
        <v>89</v>
      </c>
      <c r="C2024">
        <v>3</v>
      </c>
    </row>
    <row r="2025" spans="1:3" x14ac:dyDescent="0.25">
      <c r="A2025">
        <v>16</v>
      </c>
      <c r="B2025">
        <v>89</v>
      </c>
      <c r="C2025">
        <v>3</v>
      </c>
    </row>
    <row r="2026" spans="1:3" x14ac:dyDescent="0.25">
      <c r="A2026">
        <v>25</v>
      </c>
      <c r="B2026">
        <v>89</v>
      </c>
      <c r="C2026">
        <v>3</v>
      </c>
    </row>
    <row r="2027" spans="1:3" x14ac:dyDescent="0.25">
      <c r="A2027">
        <v>43</v>
      </c>
      <c r="B2027">
        <v>89</v>
      </c>
      <c r="C2027">
        <v>5</v>
      </c>
    </row>
    <row r="2028" spans="1:3" x14ac:dyDescent="0.25">
      <c r="A2028">
        <v>44</v>
      </c>
      <c r="B2028">
        <v>89</v>
      </c>
      <c r="C2028">
        <v>2</v>
      </c>
    </row>
    <row r="2029" spans="1:3" x14ac:dyDescent="0.25">
      <c r="A2029">
        <v>46</v>
      </c>
      <c r="B2029">
        <v>89</v>
      </c>
      <c r="C2029">
        <v>4</v>
      </c>
    </row>
    <row r="2030" spans="1:3" x14ac:dyDescent="0.25">
      <c r="A2030">
        <v>50</v>
      </c>
      <c r="B2030">
        <v>89</v>
      </c>
      <c r="C2030">
        <v>5</v>
      </c>
    </row>
    <row r="2031" spans="1:3" x14ac:dyDescent="0.25">
      <c r="A2031">
        <v>55</v>
      </c>
      <c r="B2031">
        <v>89</v>
      </c>
      <c r="C2031">
        <v>4</v>
      </c>
    </row>
    <row r="2032" spans="1:3" x14ac:dyDescent="0.25">
      <c r="A2032">
        <v>58</v>
      </c>
      <c r="B2032">
        <v>89</v>
      </c>
      <c r="C2032">
        <v>2</v>
      </c>
    </row>
    <row r="2033" spans="1:3" x14ac:dyDescent="0.25">
      <c r="A2033">
        <v>67</v>
      </c>
      <c r="B2033">
        <v>89</v>
      </c>
      <c r="C2033">
        <v>5</v>
      </c>
    </row>
    <row r="2034" spans="1:3" x14ac:dyDescent="0.25">
      <c r="A2034">
        <v>70</v>
      </c>
      <c r="B2034">
        <v>89</v>
      </c>
      <c r="C2034">
        <v>1</v>
      </c>
    </row>
    <row r="2035" spans="1:3" x14ac:dyDescent="0.25">
      <c r="A2035">
        <v>101</v>
      </c>
      <c r="B2035">
        <v>89</v>
      </c>
      <c r="C2035">
        <v>1</v>
      </c>
    </row>
    <row r="2036" spans="1:3" x14ac:dyDescent="0.25">
      <c r="A2036">
        <v>126</v>
      </c>
      <c r="B2036">
        <v>89</v>
      </c>
      <c r="C2036">
        <v>2</v>
      </c>
    </row>
    <row r="2037" spans="1:3" x14ac:dyDescent="0.25">
      <c r="A2037">
        <v>136</v>
      </c>
      <c r="B2037">
        <v>89</v>
      </c>
      <c r="C2037">
        <v>2</v>
      </c>
    </row>
    <row r="2038" spans="1:3" x14ac:dyDescent="0.25">
      <c r="A2038">
        <v>148</v>
      </c>
      <c r="B2038">
        <v>89</v>
      </c>
      <c r="C2038">
        <v>3</v>
      </c>
    </row>
    <row r="2039" spans="1:3" x14ac:dyDescent="0.25">
      <c r="A2039">
        <v>155</v>
      </c>
      <c r="B2039">
        <v>89</v>
      </c>
      <c r="C2039">
        <v>1</v>
      </c>
    </row>
    <row r="2040" spans="1:3" x14ac:dyDescent="0.25">
      <c r="A2040">
        <v>182</v>
      </c>
      <c r="B2040">
        <v>89</v>
      </c>
      <c r="C2040">
        <v>5</v>
      </c>
    </row>
    <row r="2041" spans="1:3" x14ac:dyDescent="0.25">
      <c r="A2041">
        <v>184</v>
      </c>
      <c r="B2041">
        <v>89</v>
      </c>
      <c r="C2041">
        <v>3</v>
      </c>
    </row>
    <row r="2042" spans="1:3" x14ac:dyDescent="0.25">
      <c r="A2042">
        <v>189</v>
      </c>
      <c r="B2042">
        <v>89</v>
      </c>
      <c r="C2042">
        <v>1</v>
      </c>
    </row>
    <row r="2043" spans="1:3" x14ac:dyDescent="0.25">
      <c r="A2043">
        <v>190</v>
      </c>
      <c r="B2043">
        <v>89</v>
      </c>
      <c r="C2043">
        <v>5</v>
      </c>
    </row>
    <row r="2044" spans="1:3" x14ac:dyDescent="0.25">
      <c r="A2044">
        <v>198</v>
      </c>
      <c r="B2044">
        <v>89</v>
      </c>
      <c r="C2044">
        <v>5</v>
      </c>
    </row>
    <row r="2045" spans="1:3" x14ac:dyDescent="0.25">
      <c r="A2045">
        <v>204</v>
      </c>
      <c r="B2045">
        <v>89</v>
      </c>
      <c r="C2045">
        <v>2</v>
      </c>
    </row>
    <row r="2046" spans="1:3" x14ac:dyDescent="0.25">
      <c r="A2046">
        <v>214</v>
      </c>
      <c r="B2046">
        <v>89</v>
      </c>
      <c r="C2046">
        <v>2</v>
      </c>
    </row>
    <row r="2047" spans="1:3" x14ac:dyDescent="0.25">
      <c r="A2047">
        <v>219</v>
      </c>
      <c r="B2047">
        <v>89</v>
      </c>
      <c r="C2047">
        <v>2</v>
      </c>
    </row>
    <row r="2048" spans="1:3" x14ac:dyDescent="0.25">
      <c r="A2048">
        <v>222</v>
      </c>
      <c r="B2048">
        <v>89</v>
      </c>
      <c r="C2048">
        <v>1</v>
      </c>
    </row>
    <row r="2049" spans="1:3" x14ac:dyDescent="0.25">
      <c r="A2049">
        <v>222</v>
      </c>
      <c r="B2049">
        <v>89</v>
      </c>
      <c r="C2049">
        <v>2</v>
      </c>
    </row>
    <row r="2050" spans="1:3" x14ac:dyDescent="0.25">
      <c r="A2050">
        <v>276</v>
      </c>
      <c r="B2050">
        <v>89</v>
      </c>
      <c r="C2050">
        <v>2</v>
      </c>
    </row>
    <row r="2051" spans="1:3" x14ac:dyDescent="0.25">
      <c r="A2051">
        <v>281</v>
      </c>
      <c r="B2051">
        <v>89</v>
      </c>
      <c r="C2051">
        <v>2</v>
      </c>
    </row>
    <row r="2052" spans="1:3" x14ac:dyDescent="0.25">
      <c r="A2052">
        <v>286</v>
      </c>
      <c r="B2052">
        <v>89</v>
      </c>
      <c r="C2052">
        <v>2</v>
      </c>
    </row>
    <row r="2053" spans="1:3" x14ac:dyDescent="0.25">
      <c r="A2053">
        <v>295</v>
      </c>
      <c r="B2053">
        <v>89</v>
      </c>
      <c r="C2053">
        <v>3</v>
      </c>
    </row>
    <row r="2054" spans="1:3" x14ac:dyDescent="0.25">
      <c r="A2054">
        <v>10</v>
      </c>
      <c r="B2054">
        <v>90</v>
      </c>
      <c r="C2054">
        <v>5</v>
      </c>
    </row>
    <row r="2055" spans="1:3" x14ac:dyDescent="0.25">
      <c r="A2055">
        <v>15</v>
      </c>
      <c r="B2055">
        <v>90</v>
      </c>
      <c r="C2055">
        <v>5</v>
      </c>
    </row>
    <row r="2056" spans="1:3" x14ac:dyDescent="0.25">
      <c r="A2056">
        <v>20</v>
      </c>
      <c r="B2056">
        <v>90</v>
      </c>
      <c r="C2056">
        <v>2</v>
      </c>
    </row>
    <row r="2057" spans="1:3" x14ac:dyDescent="0.25">
      <c r="A2057">
        <v>28</v>
      </c>
      <c r="B2057">
        <v>90</v>
      </c>
      <c r="C2057">
        <v>3</v>
      </c>
    </row>
    <row r="2058" spans="1:3" x14ac:dyDescent="0.25">
      <c r="A2058">
        <v>49</v>
      </c>
      <c r="B2058">
        <v>90</v>
      </c>
      <c r="C2058">
        <v>1</v>
      </c>
    </row>
    <row r="2059" spans="1:3" x14ac:dyDescent="0.25">
      <c r="A2059">
        <v>49</v>
      </c>
      <c r="B2059">
        <v>90</v>
      </c>
      <c r="C2059">
        <v>1</v>
      </c>
    </row>
    <row r="2060" spans="1:3" x14ac:dyDescent="0.25">
      <c r="A2060">
        <v>55</v>
      </c>
      <c r="B2060">
        <v>90</v>
      </c>
      <c r="C2060">
        <v>5</v>
      </c>
    </row>
    <row r="2061" spans="1:3" x14ac:dyDescent="0.25">
      <c r="A2061">
        <v>102</v>
      </c>
      <c r="B2061">
        <v>90</v>
      </c>
      <c r="C2061">
        <v>5</v>
      </c>
    </row>
    <row r="2062" spans="1:3" x14ac:dyDescent="0.25">
      <c r="A2062">
        <v>103</v>
      </c>
      <c r="B2062">
        <v>90</v>
      </c>
      <c r="C2062">
        <v>4</v>
      </c>
    </row>
    <row r="2063" spans="1:3" x14ac:dyDescent="0.25">
      <c r="A2063">
        <v>112</v>
      </c>
      <c r="B2063">
        <v>90</v>
      </c>
      <c r="C2063">
        <v>1</v>
      </c>
    </row>
    <row r="2064" spans="1:3" x14ac:dyDescent="0.25">
      <c r="A2064">
        <v>125</v>
      </c>
      <c r="B2064">
        <v>90</v>
      </c>
      <c r="C2064">
        <v>3</v>
      </c>
    </row>
    <row r="2065" spans="1:3" x14ac:dyDescent="0.25">
      <c r="A2065">
        <v>167</v>
      </c>
      <c r="B2065">
        <v>90</v>
      </c>
      <c r="C2065">
        <v>4</v>
      </c>
    </row>
    <row r="2066" spans="1:3" x14ac:dyDescent="0.25">
      <c r="A2066">
        <v>184</v>
      </c>
      <c r="B2066">
        <v>90</v>
      </c>
      <c r="C2066">
        <v>3</v>
      </c>
    </row>
    <row r="2067" spans="1:3" x14ac:dyDescent="0.25">
      <c r="A2067">
        <v>185</v>
      </c>
      <c r="B2067">
        <v>90</v>
      </c>
      <c r="C2067">
        <v>5</v>
      </c>
    </row>
    <row r="2068" spans="1:3" x14ac:dyDescent="0.25">
      <c r="A2068">
        <v>195</v>
      </c>
      <c r="B2068">
        <v>90</v>
      </c>
      <c r="C2068">
        <v>4</v>
      </c>
    </row>
    <row r="2069" spans="1:3" x14ac:dyDescent="0.25">
      <c r="A2069">
        <v>216</v>
      </c>
      <c r="B2069">
        <v>90</v>
      </c>
      <c r="C2069">
        <v>5</v>
      </c>
    </row>
    <row r="2070" spans="1:3" x14ac:dyDescent="0.25">
      <c r="A2070">
        <v>225</v>
      </c>
      <c r="B2070">
        <v>90</v>
      </c>
      <c r="C2070">
        <v>5</v>
      </c>
    </row>
    <row r="2071" spans="1:3" x14ac:dyDescent="0.25">
      <c r="A2071">
        <v>227</v>
      </c>
      <c r="B2071">
        <v>90</v>
      </c>
      <c r="C2071">
        <v>1</v>
      </c>
    </row>
    <row r="2072" spans="1:3" x14ac:dyDescent="0.25">
      <c r="A2072">
        <v>240</v>
      </c>
      <c r="B2072">
        <v>90</v>
      </c>
      <c r="C2072">
        <v>1</v>
      </c>
    </row>
    <row r="2073" spans="1:3" x14ac:dyDescent="0.25">
      <c r="A2073">
        <v>250</v>
      </c>
      <c r="B2073">
        <v>90</v>
      </c>
      <c r="C2073">
        <v>4</v>
      </c>
    </row>
    <row r="2074" spans="1:3" x14ac:dyDescent="0.25">
      <c r="A2074">
        <v>267</v>
      </c>
      <c r="B2074">
        <v>90</v>
      </c>
      <c r="C2074">
        <v>5</v>
      </c>
    </row>
    <row r="2075" spans="1:3" x14ac:dyDescent="0.25">
      <c r="A2075">
        <v>288</v>
      </c>
      <c r="B2075">
        <v>90</v>
      </c>
      <c r="C2075">
        <v>4</v>
      </c>
    </row>
    <row r="2076" spans="1:3" x14ac:dyDescent="0.25">
      <c r="A2076">
        <v>291</v>
      </c>
      <c r="B2076">
        <v>90</v>
      </c>
      <c r="C2076">
        <v>4</v>
      </c>
    </row>
    <row r="2077" spans="1:3" x14ac:dyDescent="0.25">
      <c r="A2077">
        <v>4</v>
      </c>
      <c r="B2077">
        <v>91</v>
      </c>
      <c r="C2077">
        <v>3</v>
      </c>
    </row>
    <row r="2078" spans="1:3" x14ac:dyDescent="0.25">
      <c r="A2078">
        <v>14</v>
      </c>
      <c r="B2078">
        <v>91</v>
      </c>
      <c r="C2078">
        <v>5</v>
      </c>
    </row>
    <row r="2079" spans="1:3" x14ac:dyDescent="0.25">
      <c r="A2079">
        <v>24</v>
      </c>
      <c r="B2079">
        <v>91</v>
      </c>
      <c r="C2079">
        <v>5</v>
      </c>
    </row>
    <row r="2080" spans="1:3" x14ac:dyDescent="0.25">
      <c r="A2080">
        <v>40</v>
      </c>
      <c r="B2080">
        <v>91</v>
      </c>
      <c r="C2080">
        <v>3</v>
      </c>
    </row>
    <row r="2081" spans="1:3" x14ac:dyDescent="0.25">
      <c r="A2081">
        <v>43</v>
      </c>
      <c r="B2081">
        <v>91</v>
      </c>
      <c r="C2081">
        <v>5</v>
      </c>
    </row>
    <row r="2082" spans="1:3" x14ac:dyDescent="0.25">
      <c r="A2082">
        <v>64</v>
      </c>
      <c r="B2082">
        <v>91</v>
      </c>
      <c r="C2082">
        <v>3</v>
      </c>
    </row>
    <row r="2083" spans="1:3" x14ac:dyDescent="0.25">
      <c r="A2083">
        <v>71</v>
      </c>
      <c r="B2083">
        <v>91</v>
      </c>
      <c r="C2083">
        <v>1</v>
      </c>
    </row>
    <row r="2084" spans="1:3" x14ac:dyDescent="0.25">
      <c r="A2084">
        <v>116</v>
      </c>
      <c r="B2084">
        <v>91</v>
      </c>
      <c r="C2084">
        <v>3</v>
      </c>
    </row>
    <row r="2085" spans="1:3" x14ac:dyDescent="0.25">
      <c r="A2085">
        <v>143</v>
      </c>
      <c r="B2085">
        <v>91</v>
      </c>
      <c r="C2085">
        <v>1</v>
      </c>
    </row>
    <row r="2086" spans="1:3" x14ac:dyDescent="0.25">
      <c r="A2086">
        <v>143</v>
      </c>
      <c r="B2086">
        <v>91</v>
      </c>
      <c r="C2086">
        <v>2</v>
      </c>
    </row>
    <row r="2087" spans="1:3" x14ac:dyDescent="0.25">
      <c r="A2087">
        <v>145</v>
      </c>
      <c r="B2087">
        <v>91</v>
      </c>
      <c r="C2087">
        <v>2</v>
      </c>
    </row>
    <row r="2088" spans="1:3" x14ac:dyDescent="0.25">
      <c r="A2088">
        <v>148</v>
      </c>
      <c r="B2088">
        <v>91</v>
      </c>
      <c r="C2088">
        <v>1</v>
      </c>
    </row>
    <row r="2089" spans="1:3" x14ac:dyDescent="0.25">
      <c r="A2089">
        <v>163</v>
      </c>
      <c r="B2089">
        <v>91</v>
      </c>
      <c r="C2089">
        <v>2</v>
      </c>
    </row>
    <row r="2090" spans="1:3" x14ac:dyDescent="0.25">
      <c r="A2090">
        <v>168</v>
      </c>
      <c r="B2090">
        <v>91</v>
      </c>
      <c r="C2090">
        <v>3</v>
      </c>
    </row>
    <row r="2091" spans="1:3" x14ac:dyDescent="0.25">
      <c r="A2091">
        <v>194</v>
      </c>
      <c r="B2091">
        <v>91</v>
      </c>
      <c r="C2091">
        <v>5</v>
      </c>
    </row>
    <row r="2092" spans="1:3" x14ac:dyDescent="0.25">
      <c r="A2092">
        <v>196</v>
      </c>
      <c r="B2092">
        <v>91</v>
      </c>
      <c r="C2092">
        <v>2</v>
      </c>
    </row>
    <row r="2093" spans="1:3" x14ac:dyDescent="0.25">
      <c r="A2093">
        <v>198</v>
      </c>
      <c r="B2093">
        <v>91</v>
      </c>
      <c r="C2093">
        <v>3</v>
      </c>
    </row>
    <row r="2094" spans="1:3" x14ac:dyDescent="0.25">
      <c r="A2094">
        <v>204</v>
      </c>
      <c r="B2094">
        <v>91</v>
      </c>
      <c r="C2094">
        <v>3</v>
      </c>
    </row>
    <row r="2095" spans="1:3" x14ac:dyDescent="0.25">
      <c r="A2095">
        <v>219</v>
      </c>
      <c r="B2095">
        <v>91</v>
      </c>
      <c r="C2095">
        <v>4</v>
      </c>
    </row>
    <row r="2096" spans="1:3" x14ac:dyDescent="0.25">
      <c r="A2096">
        <v>221</v>
      </c>
      <c r="B2096">
        <v>91</v>
      </c>
      <c r="C2096">
        <v>4</v>
      </c>
    </row>
    <row r="2097" spans="1:3" x14ac:dyDescent="0.25">
      <c r="A2097">
        <v>243</v>
      </c>
      <c r="B2097">
        <v>91</v>
      </c>
      <c r="C2097">
        <v>5</v>
      </c>
    </row>
    <row r="2098" spans="1:3" x14ac:dyDescent="0.25">
      <c r="A2098">
        <v>250</v>
      </c>
      <c r="B2098">
        <v>91</v>
      </c>
      <c r="C2098">
        <v>5</v>
      </c>
    </row>
    <row r="2099" spans="1:3" x14ac:dyDescent="0.25">
      <c r="A2099">
        <v>258</v>
      </c>
      <c r="B2099">
        <v>91</v>
      </c>
      <c r="C2099">
        <v>5</v>
      </c>
    </row>
    <row r="2100" spans="1:3" x14ac:dyDescent="0.25">
      <c r="A2100">
        <v>265</v>
      </c>
      <c r="B2100">
        <v>91</v>
      </c>
      <c r="C2100">
        <v>5</v>
      </c>
    </row>
    <row r="2101" spans="1:3" x14ac:dyDescent="0.25">
      <c r="A2101">
        <v>273</v>
      </c>
      <c r="B2101">
        <v>91</v>
      </c>
      <c r="C2101">
        <v>3</v>
      </c>
    </row>
    <row r="2102" spans="1:3" x14ac:dyDescent="0.25">
      <c r="A2102">
        <v>277</v>
      </c>
      <c r="B2102">
        <v>91</v>
      </c>
      <c r="C2102">
        <v>5</v>
      </c>
    </row>
    <row r="2103" spans="1:3" x14ac:dyDescent="0.25">
      <c r="A2103">
        <v>288</v>
      </c>
      <c r="B2103">
        <v>91</v>
      </c>
      <c r="C2103">
        <v>5</v>
      </c>
    </row>
    <row r="2104" spans="1:3" x14ac:dyDescent="0.25">
      <c r="A2104">
        <v>291</v>
      </c>
      <c r="B2104">
        <v>91</v>
      </c>
      <c r="C2104">
        <v>3</v>
      </c>
    </row>
    <row r="2105" spans="1:3" x14ac:dyDescent="0.25">
      <c r="A2105">
        <v>291</v>
      </c>
      <c r="B2105">
        <v>91</v>
      </c>
      <c r="C2105">
        <v>3</v>
      </c>
    </row>
    <row r="2106" spans="1:3" x14ac:dyDescent="0.25">
      <c r="A2106">
        <v>6</v>
      </c>
      <c r="B2106">
        <v>92</v>
      </c>
      <c r="C2106">
        <v>2</v>
      </c>
    </row>
    <row r="2107" spans="1:3" x14ac:dyDescent="0.25">
      <c r="A2107">
        <v>17</v>
      </c>
      <c r="B2107">
        <v>92</v>
      </c>
      <c r="C2107">
        <v>3</v>
      </c>
    </row>
    <row r="2108" spans="1:3" x14ac:dyDescent="0.25">
      <c r="A2108">
        <v>27</v>
      </c>
      <c r="B2108">
        <v>92</v>
      </c>
      <c r="C2108">
        <v>3</v>
      </c>
    </row>
    <row r="2109" spans="1:3" x14ac:dyDescent="0.25">
      <c r="A2109">
        <v>28</v>
      </c>
      <c r="B2109">
        <v>92</v>
      </c>
      <c r="C2109">
        <v>5</v>
      </c>
    </row>
    <row r="2110" spans="1:3" x14ac:dyDescent="0.25">
      <c r="A2110">
        <v>60</v>
      </c>
      <c r="B2110">
        <v>92</v>
      </c>
      <c r="C2110">
        <v>4</v>
      </c>
    </row>
    <row r="2111" spans="1:3" x14ac:dyDescent="0.25">
      <c r="A2111">
        <v>74</v>
      </c>
      <c r="B2111">
        <v>92</v>
      </c>
      <c r="C2111">
        <v>5</v>
      </c>
    </row>
    <row r="2112" spans="1:3" x14ac:dyDescent="0.25">
      <c r="A2112">
        <v>79</v>
      </c>
      <c r="B2112">
        <v>92</v>
      </c>
      <c r="C2112">
        <v>2</v>
      </c>
    </row>
    <row r="2113" spans="1:3" x14ac:dyDescent="0.25">
      <c r="A2113">
        <v>79</v>
      </c>
      <c r="B2113">
        <v>92</v>
      </c>
      <c r="C2113">
        <v>3</v>
      </c>
    </row>
    <row r="2114" spans="1:3" x14ac:dyDescent="0.25">
      <c r="A2114">
        <v>94</v>
      </c>
      <c r="B2114">
        <v>92</v>
      </c>
      <c r="C2114">
        <v>2</v>
      </c>
    </row>
    <row r="2115" spans="1:3" x14ac:dyDescent="0.25">
      <c r="A2115">
        <v>112</v>
      </c>
      <c r="B2115">
        <v>92</v>
      </c>
      <c r="C2115">
        <v>2</v>
      </c>
    </row>
    <row r="2116" spans="1:3" x14ac:dyDescent="0.25">
      <c r="A2116">
        <v>115</v>
      </c>
      <c r="B2116">
        <v>92</v>
      </c>
      <c r="C2116">
        <v>5</v>
      </c>
    </row>
    <row r="2117" spans="1:3" x14ac:dyDescent="0.25">
      <c r="A2117">
        <v>135</v>
      </c>
      <c r="B2117">
        <v>92</v>
      </c>
      <c r="C2117">
        <v>1</v>
      </c>
    </row>
    <row r="2118" spans="1:3" x14ac:dyDescent="0.25">
      <c r="A2118">
        <v>143</v>
      </c>
      <c r="B2118">
        <v>92</v>
      </c>
      <c r="C2118">
        <v>5</v>
      </c>
    </row>
    <row r="2119" spans="1:3" x14ac:dyDescent="0.25">
      <c r="A2119">
        <v>195</v>
      </c>
      <c r="B2119">
        <v>92</v>
      </c>
      <c r="C2119">
        <v>5</v>
      </c>
    </row>
    <row r="2120" spans="1:3" x14ac:dyDescent="0.25">
      <c r="A2120">
        <v>234</v>
      </c>
      <c r="B2120">
        <v>92</v>
      </c>
      <c r="C2120">
        <v>4</v>
      </c>
    </row>
    <row r="2121" spans="1:3" x14ac:dyDescent="0.25">
      <c r="A2121">
        <v>239</v>
      </c>
      <c r="B2121">
        <v>92</v>
      </c>
      <c r="C2121">
        <v>5</v>
      </c>
    </row>
    <row r="2122" spans="1:3" x14ac:dyDescent="0.25">
      <c r="A2122">
        <v>239</v>
      </c>
      <c r="B2122">
        <v>92</v>
      </c>
      <c r="C2122">
        <v>1</v>
      </c>
    </row>
    <row r="2123" spans="1:3" x14ac:dyDescent="0.25">
      <c r="A2123">
        <v>247</v>
      </c>
      <c r="B2123">
        <v>92</v>
      </c>
      <c r="C2123">
        <v>5</v>
      </c>
    </row>
    <row r="2124" spans="1:3" x14ac:dyDescent="0.25">
      <c r="A2124">
        <v>254</v>
      </c>
      <c r="B2124">
        <v>92</v>
      </c>
      <c r="C2124">
        <v>4</v>
      </c>
    </row>
    <row r="2125" spans="1:3" x14ac:dyDescent="0.25">
      <c r="A2125">
        <v>292</v>
      </c>
      <c r="B2125">
        <v>92</v>
      </c>
      <c r="C2125">
        <v>4</v>
      </c>
    </row>
    <row r="2126" spans="1:3" x14ac:dyDescent="0.25">
      <c r="A2126">
        <v>292</v>
      </c>
      <c r="B2126">
        <v>92</v>
      </c>
      <c r="C2126">
        <v>1</v>
      </c>
    </row>
    <row r="2127" spans="1:3" x14ac:dyDescent="0.25">
      <c r="A2127">
        <v>26</v>
      </c>
      <c r="B2127">
        <v>93</v>
      </c>
      <c r="C2127">
        <v>3</v>
      </c>
    </row>
    <row r="2128" spans="1:3" x14ac:dyDescent="0.25">
      <c r="A2128">
        <v>37</v>
      </c>
      <c r="B2128">
        <v>93</v>
      </c>
      <c r="C2128">
        <v>5</v>
      </c>
    </row>
    <row r="2129" spans="1:3" x14ac:dyDescent="0.25">
      <c r="A2129">
        <v>39</v>
      </c>
      <c r="B2129">
        <v>93</v>
      </c>
      <c r="C2129">
        <v>4</v>
      </c>
    </row>
    <row r="2130" spans="1:3" x14ac:dyDescent="0.25">
      <c r="A2130">
        <v>51</v>
      </c>
      <c r="B2130">
        <v>93</v>
      </c>
      <c r="C2130">
        <v>1</v>
      </c>
    </row>
    <row r="2131" spans="1:3" x14ac:dyDescent="0.25">
      <c r="A2131">
        <v>79</v>
      </c>
      <c r="B2131">
        <v>93</v>
      </c>
      <c r="C2131">
        <v>1</v>
      </c>
    </row>
    <row r="2132" spans="1:3" x14ac:dyDescent="0.25">
      <c r="A2132">
        <v>100</v>
      </c>
      <c r="B2132">
        <v>93</v>
      </c>
      <c r="C2132">
        <v>3</v>
      </c>
    </row>
    <row r="2133" spans="1:3" x14ac:dyDescent="0.25">
      <c r="A2133">
        <v>105</v>
      </c>
      <c r="B2133">
        <v>93</v>
      </c>
      <c r="C2133">
        <v>5</v>
      </c>
    </row>
    <row r="2134" spans="1:3" x14ac:dyDescent="0.25">
      <c r="A2134">
        <v>107</v>
      </c>
      <c r="B2134">
        <v>93</v>
      </c>
      <c r="C2134">
        <v>3</v>
      </c>
    </row>
    <row r="2135" spans="1:3" x14ac:dyDescent="0.25">
      <c r="A2135">
        <v>117</v>
      </c>
      <c r="B2135">
        <v>93</v>
      </c>
      <c r="C2135">
        <v>2</v>
      </c>
    </row>
    <row r="2136" spans="1:3" x14ac:dyDescent="0.25">
      <c r="A2136">
        <v>135</v>
      </c>
      <c r="B2136">
        <v>93</v>
      </c>
      <c r="C2136">
        <v>2</v>
      </c>
    </row>
    <row r="2137" spans="1:3" x14ac:dyDescent="0.25">
      <c r="A2137">
        <v>143</v>
      </c>
      <c r="B2137">
        <v>93</v>
      </c>
      <c r="C2137">
        <v>3</v>
      </c>
    </row>
    <row r="2138" spans="1:3" x14ac:dyDescent="0.25">
      <c r="A2138">
        <v>157</v>
      </c>
      <c r="B2138">
        <v>93</v>
      </c>
      <c r="C2138">
        <v>5</v>
      </c>
    </row>
    <row r="2139" spans="1:3" x14ac:dyDescent="0.25">
      <c r="A2139">
        <v>172</v>
      </c>
      <c r="B2139">
        <v>93</v>
      </c>
      <c r="C2139">
        <v>2</v>
      </c>
    </row>
    <row r="2140" spans="1:3" x14ac:dyDescent="0.25">
      <c r="A2140">
        <v>197</v>
      </c>
      <c r="B2140">
        <v>93</v>
      </c>
      <c r="C2140">
        <v>1</v>
      </c>
    </row>
    <row r="2141" spans="1:3" x14ac:dyDescent="0.25">
      <c r="A2141">
        <v>199</v>
      </c>
      <c r="B2141">
        <v>93</v>
      </c>
      <c r="C2141">
        <v>3</v>
      </c>
    </row>
    <row r="2142" spans="1:3" x14ac:dyDescent="0.25">
      <c r="A2142">
        <v>206</v>
      </c>
      <c r="B2142">
        <v>93</v>
      </c>
      <c r="C2142">
        <v>3</v>
      </c>
    </row>
    <row r="2143" spans="1:3" x14ac:dyDescent="0.25">
      <c r="A2143">
        <v>212</v>
      </c>
      <c r="B2143">
        <v>93</v>
      </c>
      <c r="C2143">
        <v>4</v>
      </c>
    </row>
    <row r="2144" spans="1:3" x14ac:dyDescent="0.25">
      <c r="A2144">
        <v>226</v>
      </c>
      <c r="B2144">
        <v>93</v>
      </c>
      <c r="C2144">
        <v>1</v>
      </c>
    </row>
    <row r="2145" spans="1:3" x14ac:dyDescent="0.25">
      <c r="A2145">
        <v>229</v>
      </c>
      <c r="B2145">
        <v>93</v>
      </c>
      <c r="C2145">
        <v>1</v>
      </c>
    </row>
    <row r="2146" spans="1:3" x14ac:dyDescent="0.25">
      <c r="A2146">
        <v>246</v>
      </c>
      <c r="B2146">
        <v>93</v>
      </c>
      <c r="C2146">
        <v>2</v>
      </c>
    </row>
    <row r="2147" spans="1:3" x14ac:dyDescent="0.25">
      <c r="A2147">
        <v>263</v>
      </c>
      <c r="B2147">
        <v>93</v>
      </c>
      <c r="C2147">
        <v>4</v>
      </c>
    </row>
    <row r="2148" spans="1:3" x14ac:dyDescent="0.25">
      <c r="A2148">
        <v>265</v>
      </c>
      <c r="B2148">
        <v>93</v>
      </c>
      <c r="C2148">
        <v>1</v>
      </c>
    </row>
    <row r="2149" spans="1:3" x14ac:dyDescent="0.25">
      <c r="A2149">
        <v>288</v>
      </c>
      <c r="B2149">
        <v>93</v>
      </c>
      <c r="C2149">
        <v>4</v>
      </c>
    </row>
    <row r="2150" spans="1:3" x14ac:dyDescent="0.25">
      <c r="A2150">
        <v>294</v>
      </c>
      <c r="B2150">
        <v>93</v>
      </c>
      <c r="C2150">
        <v>4</v>
      </c>
    </row>
    <row r="2151" spans="1:3" x14ac:dyDescent="0.25">
      <c r="A2151">
        <v>12</v>
      </c>
      <c r="B2151">
        <v>94</v>
      </c>
      <c r="C2151">
        <v>5</v>
      </c>
    </row>
    <row r="2152" spans="1:3" x14ac:dyDescent="0.25">
      <c r="A2152">
        <v>25</v>
      </c>
      <c r="B2152">
        <v>94</v>
      </c>
      <c r="C2152">
        <v>4</v>
      </c>
    </row>
    <row r="2153" spans="1:3" x14ac:dyDescent="0.25">
      <c r="A2153">
        <v>31</v>
      </c>
      <c r="B2153">
        <v>94</v>
      </c>
      <c r="C2153">
        <v>4</v>
      </c>
    </row>
    <row r="2154" spans="1:3" x14ac:dyDescent="0.25">
      <c r="A2154">
        <v>45</v>
      </c>
      <c r="B2154">
        <v>94</v>
      </c>
      <c r="C2154">
        <v>4</v>
      </c>
    </row>
    <row r="2155" spans="1:3" x14ac:dyDescent="0.25">
      <c r="A2155">
        <v>48</v>
      </c>
      <c r="B2155">
        <v>94</v>
      </c>
      <c r="C2155">
        <v>1</v>
      </c>
    </row>
    <row r="2156" spans="1:3" x14ac:dyDescent="0.25">
      <c r="A2156">
        <v>79</v>
      </c>
      <c r="B2156">
        <v>94</v>
      </c>
      <c r="C2156">
        <v>3</v>
      </c>
    </row>
    <row r="2157" spans="1:3" x14ac:dyDescent="0.25">
      <c r="A2157">
        <v>88</v>
      </c>
      <c r="B2157">
        <v>94</v>
      </c>
      <c r="C2157">
        <v>3</v>
      </c>
    </row>
    <row r="2158" spans="1:3" x14ac:dyDescent="0.25">
      <c r="A2158">
        <v>99</v>
      </c>
      <c r="B2158">
        <v>94</v>
      </c>
      <c r="C2158">
        <v>3</v>
      </c>
    </row>
    <row r="2159" spans="1:3" x14ac:dyDescent="0.25">
      <c r="A2159">
        <v>104</v>
      </c>
      <c r="B2159">
        <v>94</v>
      </c>
      <c r="C2159">
        <v>5</v>
      </c>
    </row>
    <row r="2160" spans="1:3" x14ac:dyDescent="0.25">
      <c r="A2160">
        <v>145</v>
      </c>
      <c r="B2160">
        <v>94</v>
      </c>
      <c r="C2160">
        <v>5</v>
      </c>
    </row>
    <row r="2161" spans="1:3" x14ac:dyDescent="0.25">
      <c r="A2161">
        <v>162</v>
      </c>
      <c r="B2161">
        <v>94</v>
      </c>
      <c r="C2161">
        <v>3</v>
      </c>
    </row>
    <row r="2162" spans="1:3" x14ac:dyDescent="0.25">
      <c r="A2162">
        <v>163</v>
      </c>
      <c r="B2162">
        <v>94</v>
      </c>
      <c r="C2162">
        <v>5</v>
      </c>
    </row>
    <row r="2163" spans="1:3" x14ac:dyDescent="0.25">
      <c r="A2163">
        <v>178</v>
      </c>
      <c r="B2163">
        <v>94</v>
      </c>
      <c r="C2163">
        <v>2</v>
      </c>
    </row>
    <row r="2164" spans="1:3" x14ac:dyDescent="0.25">
      <c r="A2164">
        <v>178</v>
      </c>
      <c r="B2164">
        <v>94</v>
      </c>
      <c r="C2164">
        <v>1</v>
      </c>
    </row>
    <row r="2165" spans="1:3" x14ac:dyDescent="0.25">
      <c r="A2165">
        <v>199</v>
      </c>
      <c r="B2165">
        <v>94</v>
      </c>
      <c r="C2165">
        <v>5</v>
      </c>
    </row>
    <row r="2166" spans="1:3" x14ac:dyDescent="0.25">
      <c r="A2166">
        <v>210</v>
      </c>
      <c r="B2166">
        <v>94</v>
      </c>
      <c r="C2166">
        <v>5</v>
      </c>
    </row>
    <row r="2167" spans="1:3" x14ac:dyDescent="0.25">
      <c r="A2167">
        <v>255</v>
      </c>
      <c r="B2167">
        <v>94</v>
      </c>
      <c r="C2167">
        <v>2</v>
      </c>
    </row>
    <row r="2168" spans="1:3" x14ac:dyDescent="0.25">
      <c r="A2168">
        <v>270</v>
      </c>
      <c r="B2168">
        <v>94</v>
      </c>
      <c r="C2168">
        <v>5</v>
      </c>
    </row>
    <row r="2169" spans="1:3" x14ac:dyDescent="0.25">
      <c r="A2169">
        <v>274</v>
      </c>
      <c r="B2169">
        <v>94</v>
      </c>
      <c r="C2169">
        <v>3</v>
      </c>
    </row>
    <row r="2170" spans="1:3" x14ac:dyDescent="0.25">
      <c r="A2170">
        <v>275</v>
      </c>
      <c r="B2170">
        <v>94</v>
      </c>
      <c r="C2170">
        <v>1</v>
      </c>
    </row>
    <row r="2171" spans="1:3" x14ac:dyDescent="0.25">
      <c r="A2171">
        <v>276</v>
      </c>
      <c r="B2171">
        <v>94</v>
      </c>
      <c r="C2171">
        <v>5</v>
      </c>
    </row>
    <row r="2172" spans="1:3" x14ac:dyDescent="0.25">
      <c r="A2172">
        <v>284</v>
      </c>
      <c r="B2172">
        <v>94</v>
      </c>
      <c r="C2172">
        <v>2</v>
      </c>
    </row>
    <row r="2173" spans="1:3" x14ac:dyDescent="0.25">
      <c r="A2173">
        <v>287</v>
      </c>
      <c r="B2173">
        <v>94</v>
      </c>
      <c r="C2173">
        <v>4</v>
      </c>
    </row>
    <row r="2174" spans="1:3" x14ac:dyDescent="0.25">
      <c r="A2174">
        <v>287</v>
      </c>
      <c r="B2174">
        <v>94</v>
      </c>
      <c r="C2174">
        <v>3</v>
      </c>
    </row>
    <row r="2175" spans="1:3" x14ac:dyDescent="0.25">
      <c r="A2175">
        <v>9</v>
      </c>
      <c r="B2175">
        <v>95</v>
      </c>
      <c r="C2175">
        <v>5</v>
      </c>
    </row>
    <row r="2176" spans="1:3" x14ac:dyDescent="0.25">
      <c r="A2176">
        <v>10</v>
      </c>
      <c r="B2176">
        <v>95</v>
      </c>
      <c r="C2176">
        <v>5</v>
      </c>
    </row>
    <row r="2177" spans="1:3" x14ac:dyDescent="0.25">
      <c r="A2177">
        <v>15</v>
      </c>
      <c r="B2177">
        <v>95</v>
      </c>
      <c r="C2177">
        <v>3</v>
      </c>
    </row>
    <row r="2178" spans="1:3" x14ac:dyDescent="0.25">
      <c r="A2178">
        <v>27</v>
      </c>
      <c r="B2178">
        <v>95</v>
      </c>
      <c r="C2178">
        <v>2</v>
      </c>
    </row>
    <row r="2179" spans="1:3" x14ac:dyDescent="0.25">
      <c r="A2179">
        <v>27</v>
      </c>
      <c r="B2179">
        <v>95</v>
      </c>
      <c r="C2179">
        <v>4</v>
      </c>
    </row>
    <row r="2180" spans="1:3" x14ac:dyDescent="0.25">
      <c r="A2180">
        <v>29</v>
      </c>
      <c r="B2180">
        <v>95</v>
      </c>
      <c r="C2180">
        <v>3</v>
      </c>
    </row>
    <row r="2181" spans="1:3" x14ac:dyDescent="0.25">
      <c r="A2181">
        <v>36</v>
      </c>
      <c r="B2181">
        <v>95</v>
      </c>
      <c r="C2181">
        <v>2</v>
      </c>
    </row>
    <row r="2182" spans="1:3" x14ac:dyDescent="0.25">
      <c r="A2182">
        <v>55</v>
      </c>
      <c r="B2182">
        <v>95</v>
      </c>
      <c r="C2182">
        <v>3</v>
      </c>
    </row>
    <row r="2183" spans="1:3" x14ac:dyDescent="0.25">
      <c r="A2183">
        <v>57</v>
      </c>
      <c r="B2183">
        <v>95</v>
      </c>
      <c r="C2183">
        <v>4</v>
      </c>
    </row>
    <row r="2184" spans="1:3" x14ac:dyDescent="0.25">
      <c r="A2184">
        <v>59</v>
      </c>
      <c r="B2184">
        <v>95</v>
      </c>
      <c r="C2184">
        <v>1</v>
      </c>
    </row>
    <row r="2185" spans="1:3" x14ac:dyDescent="0.25">
      <c r="A2185">
        <v>66</v>
      </c>
      <c r="B2185">
        <v>95</v>
      </c>
      <c r="C2185">
        <v>1</v>
      </c>
    </row>
    <row r="2186" spans="1:3" x14ac:dyDescent="0.25">
      <c r="A2186">
        <v>67</v>
      </c>
      <c r="B2186">
        <v>95</v>
      </c>
      <c r="C2186">
        <v>2</v>
      </c>
    </row>
    <row r="2187" spans="1:3" x14ac:dyDescent="0.25">
      <c r="A2187">
        <v>86</v>
      </c>
      <c r="B2187">
        <v>95</v>
      </c>
      <c r="C2187">
        <v>4</v>
      </c>
    </row>
    <row r="2188" spans="1:3" x14ac:dyDescent="0.25">
      <c r="A2188">
        <v>141</v>
      </c>
      <c r="B2188">
        <v>95</v>
      </c>
      <c r="C2188">
        <v>5</v>
      </c>
    </row>
    <row r="2189" spans="1:3" x14ac:dyDescent="0.25">
      <c r="A2189">
        <v>166</v>
      </c>
      <c r="B2189">
        <v>95</v>
      </c>
      <c r="C2189">
        <v>3</v>
      </c>
    </row>
    <row r="2190" spans="1:3" x14ac:dyDescent="0.25">
      <c r="A2190">
        <v>171</v>
      </c>
      <c r="B2190">
        <v>95</v>
      </c>
      <c r="C2190">
        <v>2</v>
      </c>
    </row>
    <row r="2191" spans="1:3" x14ac:dyDescent="0.25">
      <c r="A2191">
        <v>178</v>
      </c>
      <c r="B2191">
        <v>95</v>
      </c>
      <c r="C2191">
        <v>5</v>
      </c>
    </row>
    <row r="2192" spans="1:3" x14ac:dyDescent="0.25">
      <c r="A2192">
        <v>212</v>
      </c>
      <c r="B2192">
        <v>95</v>
      </c>
      <c r="C2192">
        <v>4</v>
      </c>
    </row>
    <row r="2193" spans="1:3" x14ac:dyDescent="0.25">
      <c r="A2193">
        <v>221</v>
      </c>
      <c r="B2193">
        <v>95</v>
      </c>
      <c r="C2193">
        <v>2</v>
      </c>
    </row>
    <row r="2194" spans="1:3" x14ac:dyDescent="0.25">
      <c r="A2194">
        <v>223</v>
      </c>
      <c r="B2194">
        <v>95</v>
      </c>
      <c r="C2194">
        <v>4</v>
      </c>
    </row>
    <row r="2195" spans="1:3" x14ac:dyDescent="0.25">
      <c r="A2195">
        <v>239</v>
      </c>
      <c r="B2195">
        <v>95</v>
      </c>
      <c r="C2195">
        <v>5</v>
      </c>
    </row>
    <row r="2196" spans="1:3" x14ac:dyDescent="0.25">
      <c r="A2196">
        <v>247</v>
      </c>
      <c r="B2196">
        <v>95</v>
      </c>
      <c r="C2196">
        <v>5</v>
      </c>
    </row>
    <row r="2197" spans="1:3" x14ac:dyDescent="0.25">
      <c r="A2197">
        <v>270</v>
      </c>
      <c r="B2197">
        <v>95</v>
      </c>
      <c r="C2197">
        <v>4</v>
      </c>
    </row>
    <row r="2198" spans="1:3" x14ac:dyDescent="0.25">
      <c r="A2198">
        <v>293</v>
      </c>
      <c r="B2198">
        <v>95</v>
      </c>
      <c r="C2198">
        <v>2</v>
      </c>
    </row>
    <row r="2199" spans="1:3" x14ac:dyDescent="0.25">
      <c r="A2199">
        <v>297</v>
      </c>
      <c r="B2199">
        <v>95</v>
      </c>
      <c r="C2199">
        <v>3</v>
      </c>
    </row>
    <row r="2200" spans="1:3" x14ac:dyDescent="0.25">
      <c r="A2200">
        <v>14</v>
      </c>
      <c r="B2200">
        <v>96</v>
      </c>
      <c r="C2200">
        <v>2</v>
      </c>
    </row>
    <row r="2201" spans="1:3" x14ac:dyDescent="0.25">
      <c r="A2201">
        <v>24</v>
      </c>
      <c r="B2201">
        <v>96</v>
      </c>
      <c r="C2201">
        <v>2</v>
      </c>
    </row>
    <row r="2202" spans="1:3" x14ac:dyDescent="0.25">
      <c r="A2202">
        <v>27</v>
      </c>
      <c r="B2202">
        <v>96</v>
      </c>
      <c r="C2202">
        <v>2</v>
      </c>
    </row>
    <row r="2203" spans="1:3" x14ac:dyDescent="0.25">
      <c r="A2203">
        <v>28</v>
      </c>
      <c r="B2203">
        <v>96</v>
      </c>
      <c r="C2203">
        <v>4</v>
      </c>
    </row>
    <row r="2204" spans="1:3" x14ac:dyDescent="0.25">
      <c r="A2204">
        <v>44</v>
      </c>
      <c r="B2204">
        <v>96</v>
      </c>
      <c r="C2204">
        <v>2</v>
      </c>
    </row>
    <row r="2205" spans="1:3" x14ac:dyDescent="0.25">
      <c r="A2205">
        <v>61</v>
      </c>
      <c r="B2205">
        <v>96</v>
      </c>
      <c r="C2205">
        <v>3</v>
      </c>
    </row>
    <row r="2206" spans="1:3" x14ac:dyDescent="0.25">
      <c r="A2206">
        <v>66</v>
      </c>
      <c r="B2206">
        <v>96</v>
      </c>
      <c r="C2206">
        <v>4</v>
      </c>
    </row>
    <row r="2207" spans="1:3" x14ac:dyDescent="0.25">
      <c r="A2207">
        <v>67</v>
      </c>
      <c r="B2207">
        <v>96</v>
      </c>
      <c r="C2207">
        <v>3</v>
      </c>
    </row>
    <row r="2208" spans="1:3" x14ac:dyDescent="0.25">
      <c r="A2208">
        <v>71</v>
      </c>
      <c r="B2208">
        <v>96</v>
      </c>
      <c r="C2208">
        <v>4</v>
      </c>
    </row>
    <row r="2209" spans="1:3" x14ac:dyDescent="0.25">
      <c r="A2209">
        <v>113</v>
      </c>
      <c r="B2209">
        <v>96</v>
      </c>
      <c r="C2209">
        <v>2</v>
      </c>
    </row>
    <row r="2210" spans="1:3" x14ac:dyDescent="0.25">
      <c r="A2210">
        <v>135</v>
      </c>
      <c r="B2210">
        <v>96</v>
      </c>
      <c r="C2210">
        <v>5</v>
      </c>
    </row>
    <row r="2211" spans="1:3" x14ac:dyDescent="0.25">
      <c r="A2211">
        <v>143</v>
      </c>
      <c r="B2211">
        <v>96</v>
      </c>
      <c r="C2211">
        <v>1</v>
      </c>
    </row>
    <row r="2212" spans="1:3" x14ac:dyDescent="0.25">
      <c r="A2212">
        <v>151</v>
      </c>
      <c r="B2212">
        <v>96</v>
      </c>
      <c r="C2212">
        <v>4</v>
      </c>
    </row>
    <row r="2213" spans="1:3" x14ac:dyDescent="0.25">
      <c r="A2213">
        <v>153</v>
      </c>
      <c r="B2213">
        <v>96</v>
      </c>
      <c r="C2213">
        <v>2</v>
      </c>
    </row>
    <row r="2214" spans="1:3" x14ac:dyDescent="0.25">
      <c r="A2214">
        <v>156</v>
      </c>
      <c r="B2214">
        <v>96</v>
      </c>
      <c r="C2214">
        <v>1</v>
      </c>
    </row>
    <row r="2215" spans="1:3" x14ac:dyDescent="0.25">
      <c r="A2215">
        <v>168</v>
      </c>
      <c r="B2215">
        <v>96</v>
      </c>
      <c r="C2215">
        <v>4</v>
      </c>
    </row>
    <row r="2216" spans="1:3" x14ac:dyDescent="0.25">
      <c r="A2216">
        <v>175</v>
      </c>
      <c r="B2216">
        <v>96</v>
      </c>
      <c r="C2216">
        <v>4</v>
      </c>
    </row>
    <row r="2217" spans="1:3" x14ac:dyDescent="0.25">
      <c r="A2217">
        <v>206</v>
      </c>
      <c r="B2217">
        <v>96</v>
      </c>
      <c r="C2217">
        <v>1</v>
      </c>
    </row>
    <row r="2218" spans="1:3" x14ac:dyDescent="0.25">
      <c r="A2218">
        <v>209</v>
      </c>
      <c r="B2218">
        <v>96</v>
      </c>
      <c r="C2218">
        <v>1</v>
      </c>
    </row>
    <row r="2219" spans="1:3" x14ac:dyDescent="0.25">
      <c r="A2219">
        <v>227</v>
      </c>
      <c r="B2219">
        <v>96</v>
      </c>
      <c r="C2219">
        <v>5</v>
      </c>
    </row>
    <row r="2220" spans="1:3" x14ac:dyDescent="0.25">
      <c r="A2220">
        <v>230</v>
      </c>
      <c r="B2220">
        <v>96</v>
      </c>
      <c r="C2220">
        <v>2</v>
      </c>
    </row>
    <row r="2221" spans="1:3" x14ac:dyDescent="0.25">
      <c r="A2221">
        <v>244</v>
      </c>
      <c r="B2221">
        <v>96</v>
      </c>
      <c r="C2221">
        <v>5</v>
      </c>
    </row>
    <row r="2222" spans="1:3" x14ac:dyDescent="0.25">
      <c r="A2222">
        <v>244</v>
      </c>
      <c r="B2222">
        <v>96</v>
      </c>
      <c r="C2222">
        <v>5</v>
      </c>
    </row>
    <row r="2223" spans="1:3" x14ac:dyDescent="0.25">
      <c r="A2223">
        <v>283</v>
      </c>
      <c r="B2223">
        <v>96</v>
      </c>
      <c r="C2223">
        <v>3</v>
      </c>
    </row>
    <row r="2224" spans="1:3" x14ac:dyDescent="0.25">
      <c r="A2224">
        <v>286</v>
      </c>
      <c r="B2224">
        <v>96</v>
      </c>
      <c r="C2224">
        <v>3</v>
      </c>
    </row>
    <row r="2225" spans="1:3" x14ac:dyDescent="0.25">
      <c r="A2225">
        <v>289</v>
      </c>
      <c r="B2225">
        <v>96</v>
      </c>
      <c r="C2225">
        <v>2</v>
      </c>
    </row>
    <row r="2226" spans="1:3" x14ac:dyDescent="0.25">
      <c r="A2226">
        <v>4</v>
      </c>
      <c r="B2226">
        <v>97</v>
      </c>
      <c r="C2226">
        <v>2</v>
      </c>
    </row>
    <row r="2227" spans="1:3" x14ac:dyDescent="0.25">
      <c r="A2227">
        <v>11</v>
      </c>
      <c r="B2227">
        <v>97</v>
      </c>
      <c r="C2227">
        <v>4</v>
      </c>
    </row>
    <row r="2228" spans="1:3" x14ac:dyDescent="0.25">
      <c r="A2228">
        <v>23</v>
      </c>
      <c r="B2228">
        <v>97</v>
      </c>
      <c r="C2228">
        <v>5</v>
      </c>
    </row>
    <row r="2229" spans="1:3" x14ac:dyDescent="0.25">
      <c r="A2229">
        <v>55</v>
      </c>
      <c r="B2229">
        <v>97</v>
      </c>
      <c r="C2229">
        <v>3</v>
      </c>
    </row>
    <row r="2230" spans="1:3" x14ac:dyDescent="0.25">
      <c r="A2230">
        <v>64</v>
      </c>
      <c r="B2230">
        <v>97</v>
      </c>
      <c r="C2230">
        <v>4</v>
      </c>
    </row>
    <row r="2231" spans="1:3" x14ac:dyDescent="0.25">
      <c r="A2231">
        <v>84</v>
      </c>
      <c r="B2231">
        <v>97</v>
      </c>
      <c r="C2231">
        <v>4</v>
      </c>
    </row>
    <row r="2232" spans="1:3" x14ac:dyDescent="0.25">
      <c r="A2232">
        <v>92</v>
      </c>
      <c r="B2232">
        <v>97</v>
      </c>
      <c r="C2232">
        <v>5</v>
      </c>
    </row>
    <row r="2233" spans="1:3" x14ac:dyDescent="0.25">
      <c r="A2233">
        <v>124</v>
      </c>
      <c r="B2233">
        <v>97</v>
      </c>
      <c r="C2233">
        <v>3</v>
      </c>
    </row>
    <row r="2234" spans="1:3" x14ac:dyDescent="0.25">
      <c r="A2234">
        <v>127</v>
      </c>
      <c r="B2234">
        <v>97</v>
      </c>
      <c r="C2234">
        <v>3</v>
      </c>
    </row>
    <row r="2235" spans="1:3" x14ac:dyDescent="0.25">
      <c r="A2235">
        <v>165</v>
      </c>
      <c r="B2235">
        <v>97</v>
      </c>
      <c r="C2235">
        <v>5</v>
      </c>
    </row>
    <row r="2236" spans="1:3" x14ac:dyDescent="0.25">
      <c r="A2236">
        <v>186</v>
      </c>
      <c r="B2236">
        <v>97</v>
      </c>
      <c r="C2236">
        <v>4</v>
      </c>
    </row>
    <row r="2237" spans="1:3" x14ac:dyDescent="0.25">
      <c r="A2237">
        <v>198</v>
      </c>
      <c r="B2237">
        <v>97</v>
      </c>
      <c r="C2237">
        <v>5</v>
      </c>
    </row>
    <row r="2238" spans="1:3" x14ac:dyDescent="0.25">
      <c r="A2238">
        <v>213</v>
      </c>
      <c r="B2238">
        <v>97</v>
      </c>
      <c r="C2238">
        <v>4</v>
      </c>
    </row>
    <row r="2239" spans="1:3" x14ac:dyDescent="0.25">
      <c r="A2239">
        <v>223</v>
      </c>
      <c r="B2239">
        <v>97</v>
      </c>
      <c r="C2239">
        <v>4</v>
      </c>
    </row>
    <row r="2240" spans="1:3" x14ac:dyDescent="0.25">
      <c r="A2240">
        <v>227</v>
      </c>
      <c r="B2240">
        <v>97</v>
      </c>
      <c r="C2240">
        <v>4</v>
      </c>
    </row>
    <row r="2241" spans="1:3" x14ac:dyDescent="0.25">
      <c r="A2241">
        <v>227</v>
      </c>
      <c r="B2241">
        <v>97</v>
      </c>
      <c r="C2241">
        <v>4</v>
      </c>
    </row>
    <row r="2242" spans="1:3" x14ac:dyDescent="0.25">
      <c r="A2242">
        <v>234</v>
      </c>
      <c r="B2242">
        <v>97</v>
      </c>
      <c r="C2242">
        <v>1</v>
      </c>
    </row>
    <row r="2243" spans="1:3" x14ac:dyDescent="0.25">
      <c r="A2243">
        <v>268</v>
      </c>
      <c r="B2243">
        <v>97</v>
      </c>
      <c r="C2243">
        <v>3</v>
      </c>
    </row>
    <row r="2244" spans="1:3" x14ac:dyDescent="0.25">
      <c r="A2244">
        <v>278</v>
      </c>
      <c r="B2244">
        <v>97</v>
      </c>
      <c r="C2244">
        <v>5</v>
      </c>
    </row>
    <row r="2245" spans="1:3" x14ac:dyDescent="0.25">
      <c r="A2245">
        <v>290</v>
      </c>
      <c r="B2245">
        <v>97</v>
      </c>
      <c r="C2245">
        <v>4</v>
      </c>
    </row>
    <row r="2246" spans="1:3" x14ac:dyDescent="0.25">
      <c r="A2246">
        <v>295</v>
      </c>
      <c r="B2246">
        <v>97</v>
      </c>
      <c r="C2246">
        <v>5</v>
      </c>
    </row>
    <row r="2247" spans="1:3" x14ac:dyDescent="0.25">
      <c r="A2247">
        <v>296</v>
      </c>
      <c r="B2247">
        <v>97</v>
      </c>
      <c r="C2247">
        <v>2</v>
      </c>
    </row>
    <row r="2248" spans="1:3" x14ac:dyDescent="0.25">
      <c r="A2248">
        <v>8</v>
      </c>
      <c r="B2248">
        <v>98</v>
      </c>
      <c r="C2248">
        <v>5</v>
      </c>
    </row>
    <row r="2249" spans="1:3" x14ac:dyDescent="0.25">
      <c r="A2249">
        <v>8</v>
      </c>
      <c r="B2249">
        <v>98</v>
      </c>
      <c r="C2249">
        <v>2</v>
      </c>
    </row>
    <row r="2250" spans="1:3" x14ac:dyDescent="0.25">
      <c r="A2250">
        <v>12</v>
      </c>
      <c r="B2250">
        <v>98</v>
      </c>
      <c r="C2250">
        <v>2</v>
      </c>
    </row>
    <row r="2251" spans="1:3" x14ac:dyDescent="0.25">
      <c r="A2251">
        <v>17</v>
      </c>
      <c r="B2251">
        <v>98</v>
      </c>
      <c r="C2251">
        <v>5</v>
      </c>
    </row>
    <row r="2252" spans="1:3" x14ac:dyDescent="0.25">
      <c r="A2252">
        <v>24</v>
      </c>
      <c r="B2252">
        <v>98</v>
      </c>
      <c r="C2252">
        <v>4</v>
      </c>
    </row>
    <row r="2253" spans="1:3" x14ac:dyDescent="0.25">
      <c r="A2253">
        <v>39</v>
      </c>
      <c r="B2253">
        <v>98</v>
      </c>
      <c r="C2253">
        <v>4</v>
      </c>
    </row>
    <row r="2254" spans="1:3" x14ac:dyDescent="0.25">
      <c r="A2254">
        <v>74</v>
      </c>
      <c r="B2254">
        <v>98</v>
      </c>
      <c r="C2254">
        <v>5</v>
      </c>
    </row>
    <row r="2255" spans="1:3" x14ac:dyDescent="0.25">
      <c r="A2255">
        <v>91</v>
      </c>
      <c r="B2255">
        <v>98</v>
      </c>
      <c r="C2255">
        <v>2</v>
      </c>
    </row>
    <row r="2256" spans="1:3" x14ac:dyDescent="0.25">
      <c r="A2256">
        <v>113</v>
      </c>
      <c r="B2256">
        <v>98</v>
      </c>
      <c r="C2256">
        <v>2</v>
      </c>
    </row>
    <row r="2257" spans="1:3" x14ac:dyDescent="0.25">
      <c r="A2257">
        <v>137</v>
      </c>
      <c r="B2257">
        <v>98</v>
      </c>
      <c r="C2257">
        <v>2</v>
      </c>
    </row>
    <row r="2258" spans="1:3" x14ac:dyDescent="0.25">
      <c r="A2258">
        <v>139</v>
      </c>
      <c r="B2258">
        <v>98</v>
      </c>
      <c r="C2258">
        <v>2</v>
      </c>
    </row>
    <row r="2259" spans="1:3" x14ac:dyDescent="0.25">
      <c r="A2259">
        <v>173</v>
      </c>
      <c r="B2259">
        <v>98</v>
      </c>
      <c r="C2259">
        <v>1</v>
      </c>
    </row>
    <row r="2260" spans="1:3" x14ac:dyDescent="0.25">
      <c r="A2260">
        <v>195</v>
      </c>
      <c r="B2260">
        <v>98</v>
      </c>
      <c r="C2260">
        <v>5</v>
      </c>
    </row>
    <row r="2261" spans="1:3" x14ac:dyDescent="0.25">
      <c r="A2261">
        <v>209</v>
      </c>
      <c r="B2261">
        <v>98</v>
      </c>
      <c r="C2261">
        <v>1</v>
      </c>
    </row>
    <row r="2262" spans="1:3" x14ac:dyDescent="0.25">
      <c r="A2262">
        <v>219</v>
      </c>
      <c r="B2262">
        <v>98</v>
      </c>
      <c r="C2262">
        <v>5</v>
      </c>
    </row>
    <row r="2263" spans="1:3" x14ac:dyDescent="0.25">
      <c r="A2263">
        <v>234</v>
      </c>
      <c r="B2263">
        <v>98</v>
      </c>
      <c r="C2263">
        <v>5</v>
      </c>
    </row>
    <row r="2264" spans="1:3" x14ac:dyDescent="0.25">
      <c r="A2264">
        <v>269</v>
      </c>
      <c r="B2264">
        <v>98</v>
      </c>
      <c r="C2264">
        <v>4</v>
      </c>
    </row>
    <row r="2265" spans="1:3" x14ac:dyDescent="0.25">
      <c r="A2265">
        <v>272</v>
      </c>
      <c r="B2265">
        <v>98</v>
      </c>
      <c r="C2265">
        <v>5</v>
      </c>
    </row>
    <row r="2266" spans="1:3" x14ac:dyDescent="0.25">
      <c r="A2266">
        <v>280</v>
      </c>
      <c r="B2266">
        <v>98</v>
      </c>
      <c r="C2266">
        <v>5</v>
      </c>
    </row>
    <row r="2267" spans="1:3" x14ac:dyDescent="0.25">
      <c r="A2267">
        <v>288</v>
      </c>
      <c r="B2267">
        <v>98</v>
      </c>
      <c r="C2267">
        <v>3</v>
      </c>
    </row>
    <row r="2268" spans="1:3" x14ac:dyDescent="0.25">
      <c r="A2268">
        <v>7</v>
      </c>
      <c r="B2268">
        <v>99</v>
      </c>
      <c r="C2268">
        <v>4</v>
      </c>
    </row>
    <row r="2269" spans="1:3" x14ac:dyDescent="0.25">
      <c r="A2269">
        <v>20</v>
      </c>
      <c r="B2269">
        <v>99</v>
      </c>
      <c r="C2269">
        <v>2</v>
      </c>
    </row>
    <row r="2270" spans="1:3" x14ac:dyDescent="0.25">
      <c r="A2270">
        <v>40</v>
      </c>
      <c r="B2270">
        <v>99</v>
      </c>
      <c r="C2270">
        <v>3</v>
      </c>
    </row>
    <row r="2271" spans="1:3" x14ac:dyDescent="0.25">
      <c r="A2271">
        <v>41</v>
      </c>
      <c r="B2271">
        <v>99</v>
      </c>
      <c r="C2271">
        <v>2</v>
      </c>
    </row>
    <row r="2272" spans="1:3" x14ac:dyDescent="0.25">
      <c r="A2272">
        <v>43</v>
      </c>
      <c r="B2272">
        <v>99</v>
      </c>
      <c r="C2272">
        <v>4</v>
      </c>
    </row>
    <row r="2273" spans="1:3" x14ac:dyDescent="0.25">
      <c r="A2273">
        <v>56</v>
      </c>
      <c r="B2273">
        <v>99</v>
      </c>
      <c r="C2273">
        <v>1</v>
      </c>
    </row>
    <row r="2274" spans="1:3" x14ac:dyDescent="0.25">
      <c r="A2274">
        <v>57</v>
      </c>
      <c r="B2274">
        <v>99</v>
      </c>
      <c r="C2274">
        <v>1</v>
      </c>
    </row>
    <row r="2275" spans="1:3" x14ac:dyDescent="0.25">
      <c r="A2275">
        <v>131</v>
      </c>
      <c r="B2275">
        <v>99</v>
      </c>
      <c r="C2275">
        <v>5</v>
      </c>
    </row>
    <row r="2276" spans="1:3" x14ac:dyDescent="0.25">
      <c r="A2276">
        <v>137</v>
      </c>
      <c r="B2276">
        <v>99</v>
      </c>
      <c r="C2276">
        <v>4</v>
      </c>
    </row>
    <row r="2277" spans="1:3" x14ac:dyDescent="0.25">
      <c r="A2277">
        <v>147</v>
      </c>
      <c r="B2277">
        <v>99</v>
      </c>
      <c r="C2277">
        <v>1</v>
      </c>
    </row>
    <row r="2278" spans="1:3" x14ac:dyDescent="0.25">
      <c r="A2278">
        <v>160</v>
      </c>
      <c r="B2278">
        <v>99</v>
      </c>
      <c r="C2278">
        <v>5</v>
      </c>
    </row>
    <row r="2279" spans="1:3" x14ac:dyDescent="0.25">
      <c r="A2279">
        <v>197</v>
      </c>
      <c r="B2279">
        <v>99</v>
      </c>
      <c r="C2279">
        <v>4</v>
      </c>
    </row>
    <row r="2280" spans="1:3" x14ac:dyDescent="0.25">
      <c r="A2280">
        <v>206</v>
      </c>
      <c r="B2280">
        <v>99</v>
      </c>
      <c r="C2280">
        <v>1</v>
      </c>
    </row>
    <row r="2281" spans="1:3" x14ac:dyDescent="0.25">
      <c r="A2281">
        <v>214</v>
      </c>
      <c r="B2281">
        <v>99</v>
      </c>
      <c r="C2281">
        <v>3</v>
      </c>
    </row>
    <row r="2282" spans="1:3" x14ac:dyDescent="0.25">
      <c r="A2282">
        <v>264</v>
      </c>
      <c r="B2282">
        <v>99</v>
      </c>
      <c r="C2282">
        <v>4</v>
      </c>
    </row>
    <row r="2283" spans="1:3" x14ac:dyDescent="0.25">
      <c r="A2283">
        <v>264</v>
      </c>
      <c r="B2283">
        <v>99</v>
      </c>
      <c r="C2283">
        <v>5</v>
      </c>
    </row>
    <row r="2284" spans="1:3" x14ac:dyDescent="0.25">
      <c r="A2284">
        <v>267</v>
      </c>
      <c r="B2284">
        <v>99</v>
      </c>
      <c r="C2284">
        <v>4</v>
      </c>
    </row>
    <row r="2285" spans="1:3" x14ac:dyDescent="0.25">
      <c r="A2285">
        <v>268</v>
      </c>
      <c r="B2285">
        <v>99</v>
      </c>
      <c r="C2285">
        <v>3</v>
      </c>
    </row>
    <row r="2286" spans="1:3" x14ac:dyDescent="0.25">
      <c r="A2286">
        <v>280</v>
      </c>
      <c r="B2286">
        <v>99</v>
      </c>
      <c r="C2286">
        <v>3</v>
      </c>
    </row>
    <row r="2287" spans="1:3" x14ac:dyDescent="0.25">
      <c r="A2287">
        <v>280</v>
      </c>
      <c r="B2287">
        <v>99</v>
      </c>
      <c r="C2287">
        <v>5</v>
      </c>
    </row>
    <row r="2288" spans="1:3" x14ac:dyDescent="0.25">
      <c r="A2288">
        <v>283</v>
      </c>
      <c r="B2288">
        <v>99</v>
      </c>
      <c r="C2288">
        <v>2</v>
      </c>
    </row>
    <row r="2289" spans="1:3" x14ac:dyDescent="0.25">
      <c r="A2289">
        <v>292</v>
      </c>
      <c r="B2289">
        <v>99</v>
      </c>
      <c r="C2289">
        <v>5</v>
      </c>
    </row>
    <row r="2290" spans="1:3" x14ac:dyDescent="0.25">
      <c r="A2290">
        <v>294</v>
      </c>
      <c r="B2290">
        <v>99</v>
      </c>
      <c r="C2290">
        <v>2</v>
      </c>
    </row>
    <row r="2291" spans="1:3" x14ac:dyDescent="0.25">
      <c r="A2291">
        <v>295</v>
      </c>
      <c r="B2291">
        <v>99</v>
      </c>
      <c r="C2291">
        <v>3</v>
      </c>
    </row>
    <row r="2292" spans="1:3" x14ac:dyDescent="0.25">
      <c r="A2292">
        <v>3</v>
      </c>
      <c r="B2292">
        <v>100</v>
      </c>
      <c r="C2292">
        <v>4</v>
      </c>
    </row>
    <row r="2293" spans="1:3" x14ac:dyDescent="0.25">
      <c r="A2293">
        <v>61</v>
      </c>
      <c r="B2293">
        <v>100</v>
      </c>
      <c r="C2293">
        <v>4</v>
      </c>
    </row>
    <row r="2294" spans="1:3" x14ac:dyDescent="0.25">
      <c r="A2294">
        <v>80</v>
      </c>
      <c r="B2294">
        <v>100</v>
      </c>
      <c r="C2294">
        <v>1</v>
      </c>
    </row>
    <row r="2295" spans="1:3" x14ac:dyDescent="0.25">
      <c r="A2295">
        <v>109</v>
      </c>
      <c r="B2295">
        <v>100</v>
      </c>
      <c r="C2295">
        <v>4</v>
      </c>
    </row>
    <row r="2296" spans="1:3" x14ac:dyDescent="0.25">
      <c r="A2296">
        <v>143</v>
      </c>
      <c r="B2296">
        <v>100</v>
      </c>
      <c r="C2296">
        <v>5</v>
      </c>
    </row>
    <row r="2297" spans="1:3" x14ac:dyDescent="0.25">
      <c r="A2297">
        <v>159</v>
      </c>
      <c r="B2297">
        <v>100</v>
      </c>
      <c r="C2297">
        <v>5</v>
      </c>
    </row>
    <row r="2298" spans="1:3" x14ac:dyDescent="0.25">
      <c r="A2298">
        <v>163</v>
      </c>
      <c r="B2298">
        <v>100</v>
      </c>
      <c r="C2298">
        <v>2</v>
      </c>
    </row>
    <row r="2299" spans="1:3" x14ac:dyDescent="0.25">
      <c r="A2299">
        <v>164</v>
      </c>
      <c r="B2299">
        <v>100</v>
      </c>
      <c r="C2299">
        <v>1</v>
      </c>
    </row>
    <row r="2300" spans="1:3" x14ac:dyDescent="0.25">
      <c r="A2300">
        <v>176</v>
      </c>
      <c r="B2300">
        <v>100</v>
      </c>
      <c r="C2300">
        <v>5</v>
      </c>
    </row>
    <row r="2301" spans="1:3" x14ac:dyDescent="0.25">
      <c r="A2301">
        <v>177</v>
      </c>
      <c r="B2301">
        <v>100</v>
      </c>
      <c r="C2301">
        <v>5</v>
      </c>
    </row>
    <row r="2302" spans="1:3" x14ac:dyDescent="0.25">
      <c r="A2302">
        <v>178</v>
      </c>
      <c r="B2302">
        <v>100</v>
      </c>
      <c r="C2302">
        <v>4</v>
      </c>
    </row>
    <row r="2303" spans="1:3" x14ac:dyDescent="0.25">
      <c r="A2303">
        <v>212</v>
      </c>
      <c r="B2303">
        <v>100</v>
      </c>
      <c r="C2303">
        <v>5</v>
      </c>
    </row>
    <row r="2304" spans="1:3" x14ac:dyDescent="0.25">
      <c r="A2304">
        <v>212</v>
      </c>
      <c r="B2304">
        <v>100</v>
      </c>
      <c r="C2304">
        <v>3</v>
      </c>
    </row>
    <row r="2305" spans="1:3" x14ac:dyDescent="0.25">
      <c r="A2305">
        <v>213</v>
      </c>
      <c r="B2305">
        <v>100</v>
      </c>
      <c r="C2305">
        <v>2</v>
      </c>
    </row>
    <row r="2306" spans="1:3" x14ac:dyDescent="0.25">
      <c r="A2306">
        <v>215</v>
      </c>
      <c r="B2306">
        <v>100</v>
      </c>
      <c r="C2306">
        <v>5</v>
      </c>
    </row>
    <row r="2307" spans="1:3" x14ac:dyDescent="0.25">
      <c r="A2307">
        <v>219</v>
      </c>
      <c r="B2307">
        <v>100</v>
      </c>
      <c r="C2307">
        <v>2</v>
      </c>
    </row>
    <row r="2308" spans="1:3" x14ac:dyDescent="0.25">
      <c r="A2308">
        <v>231</v>
      </c>
      <c r="B2308">
        <v>100</v>
      </c>
      <c r="C2308">
        <v>1</v>
      </c>
    </row>
    <row r="2309" spans="1:3" x14ac:dyDescent="0.25">
      <c r="A2309">
        <v>245</v>
      </c>
      <c r="B2309">
        <v>100</v>
      </c>
      <c r="C2309">
        <v>1</v>
      </c>
    </row>
    <row r="2310" spans="1:3" x14ac:dyDescent="0.25">
      <c r="A2310">
        <v>276</v>
      </c>
      <c r="B2310">
        <v>100</v>
      </c>
      <c r="C2310">
        <v>5</v>
      </c>
    </row>
    <row r="2311" spans="1:3" x14ac:dyDescent="0.25">
      <c r="A2311">
        <v>289</v>
      </c>
      <c r="B2311">
        <v>100</v>
      </c>
      <c r="C2311">
        <v>2</v>
      </c>
    </row>
    <row r="2312" spans="1:3" x14ac:dyDescent="0.25">
      <c r="A2312">
        <v>290</v>
      </c>
      <c r="B2312">
        <v>100</v>
      </c>
      <c r="C2312">
        <v>2</v>
      </c>
    </row>
    <row r="2313" spans="1:3" x14ac:dyDescent="0.25">
      <c r="A2313">
        <v>1</v>
      </c>
      <c r="B2313">
        <v>101</v>
      </c>
      <c r="C2313">
        <v>4</v>
      </c>
    </row>
    <row r="2314" spans="1:3" x14ac:dyDescent="0.25">
      <c r="A2314">
        <v>18</v>
      </c>
      <c r="B2314">
        <v>101</v>
      </c>
      <c r="C2314">
        <v>5</v>
      </c>
    </row>
    <row r="2315" spans="1:3" x14ac:dyDescent="0.25">
      <c r="A2315">
        <v>21</v>
      </c>
      <c r="B2315">
        <v>101</v>
      </c>
      <c r="C2315">
        <v>4</v>
      </c>
    </row>
    <row r="2316" spans="1:3" x14ac:dyDescent="0.25">
      <c r="A2316">
        <v>31</v>
      </c>
      <c r="B2316">
        <v>101</v>
      </c>
      <c r="C2316">
        <v>2</v>
      </c>
    </row>
    <row r="2317" spans="1:3" x14ac:dyDescent="0.25">
      <c r="A2317">
        <v>71</v>
      </c>
      <c r="B2317">
        <v>101</v>
      </c>
      <c r="C2317">
        <v>1</v>
      </c>
    </row>
    <row r="2318" spans="1:3" x14ac:dyDescent="0.25">
      <c r="A2318">
        <v>83</v>
      </c>
      <c r="B2318">
        <v>101</v>
      </c>
      <c r="C2318">
        <v>3</v>
      </c>
    </row>
    <row r="2319" spans="1:3" x14ac:dyDescent="0.25">
      <c r="A2319">
        <v>96</v>
      </c>
      <c r="B2319">
        <v>101</v>
      </c>
      <c r="C2319">
        <v>2</v>
      </c>
    </row>
    <row r="2320" spans="1:3" x14ac:dyDescent="0.25">
      <c r="A2320">
        <v>123</v>
      </c>
      <c r="B2320">
        <v>101</v>
      </c>
      <c r="C2320">
        <v>1</v>
      </c>
    </row>
    <row r="2321" spans="1:3" x14ac:dyDescent="0.25">
      <c r="A2321">
        <v>125</v>
      </c>
      <c r="B2321">
        <v>101</v>
      </c>
      <c r="C2321">
        <v>4</v>
      </c>
    </row>
    <row r="2322" spans="1:3" x14ac:dyDescent="0.25">
      <c r="A2322">
        <v>159</v>
      </c>
      <c r="B2322">
        <v>101</v>
      </c>
      <c r="C2322">
        <v>4</v>
      </c>
    </row>
    <row r="2323" spans="1:3" x14ac:dyDescent="0.25">
      <c r="A2323">
        <v>170</v>
      </c>
      <c r="B2323">
        <v>101</v>
      </c>
      <c r="C2323">
        <v>1</v>
      </c>
    </row>
    <row r="2324" spans="1:3" x14ac:dyDescent="0.25">
      <c r="A2324">
        <v>192</v>
      </c>
      <c r="B2324">
        <v>101</v>
      </c>
      <c r="C2324">
        <v>2</v>
      </c>
    </row>
    <row r="2325" spans="1:3" x14ac:dyDescent="0.25">
      <c r="A2325">
        <v>201</v>
      </c>
      <c r="B2325">
        <v>101</v>
      </c>
      <c r="C2325">
        <v>2</v>
      </c>
    </row>
    <row r="2326" spans="1:3" x14ac:dyDescent="0.25">
      <c r="A2326">
        <v>210</v>
      </c>
      <c r="B2326">
        <v>101</v>
      </c>
      <c r="C2326">
        <v>1</v>
      </c>
    </row>
    <row r="2327" spans="1:3" x14ac:dyDescent="0.25">
      <c r="A2327">
        <v>232</v>
      </c>
      <c r="B2327">
        <v>101</v>
      </c>
      <c r="C2327">
        <v>5</v>
      </c>
    </row>
    <row r="2328" spans="1:3" x14ac:dyDescent="0.25">
      <c r="A2328">
        <v>247</v>
      </c>
      <c r="B2328">
        <v>101</v>
      </c>
      <c r="C2328">
        <v>2</v>
      </c>
    </row>
    <row r="2329" spans="1:3" x14ac:dyDescent="0.25">
      <c r="A2329">
        <v>249</v>
      </c>
      <c r="B2329">
        <v>101</v>
      </c>
      <c r="C2329">
        <v>2</v>
      </c>
    </row>
    <row r="2330" spans="1:3" x14ac:dyDescent="0.25">
      <c r="A2330">
        <v>252</v>
      </c>
      <c r="B2330">
        <v>101</v>
      </c>
      <c r="C2330">
        <v>2</v>
      </c>
    </row>
    <row r="2331" spans="1:3" x14ac:dyDescent="0.25">
      <c r="A2331">
        <v>260</v>
      </c>
      <c r="B2331">
        <v>101</v>
      </c>
      <c r="C2331">
        <v>4</v>
      </c>
    </row>
    <row r="2332" spans="1:3" x14ac:dyDescent="0.25">
      <c r="A2332">
        <v>260</v>
      </c>
      <c r="B2332">
        <v>101</v>
      </c>
      <c r="C2332">
        <v>3</v>
      </c>
    </row>
    <row r="2333" spans="1:3" x14ac:dyDescent="0.25">
      <c r="A2333">
        <v>265</v>
      </c>
      <c r="B2333">
        <v>101</v>
      </c>
      <c r="C2333">
        <v>1</v>
      </c>
    </row>
    <row r="2334" spans="1:3" x14ac:dyDescent="0.25">
      <c r="A2334">
        <v>275</v>
      </c>
      <c r="B2334">
        <v>101</v>
      </c>
      <c r="C2334">
        <v>2</v>
      </c>
    </row>
    <row r="2335" spans="1:3" x14ac:dyDescent="0.25">
      <c r="A2335">
        <v>283</v>
      </c>
      <c r="B2335">
        <v>101</v>
      </c>
      <c r="C2335">
        <v>5</v>
      </c>
    </row>
    <row r="2336" spans="1:3" x14ac:dyDescent="0.25">
      <c r="A2336">
        <v>299</v>
      </c>
      <c r="B2336">
        <v>101</v>
      </c>
      <c r="C2336">
        <v>4</v>
      </c>
    </row>
    <row r="2337" spans="1:3" x14ac:dyDescent="0.25">
      <c r="A2337">
        <v>6</v>
      </c>
      <c r="B2337">
        <v>102</v>
      </c>
      <c r="C2337">
        <v>4</v>
      </c>
    </row>
    <row r="2338" spans="1:3" x14ac:dyDescent="0.25">
      <c r="A2338">
        <v>12</v>
      </c>
      <c r="B2338">
        <v>102</v>
      </c>
      <c r="C2338">
        <v>5</v>
      </c>
    </row>
    <row r="2339" spans="1:3" x14ac:dyDescent="0.25">
      <c r="A2339">
        <v>18</v>
      </c>
      <c r="B2339">
        <v>102</v>
      </c>
      <c r="C2339">
        <v>3</v>
      </c>
    </row>
    <row r="2340" spans="1:3" x14ac:dyDescent="0.25">
      <c r="A2340">
        <v>21</v>
      </c>
      <c r="B2340">
        <v>102</v>
      </c>
      <c r="C2340">
        <v>2</v>
      </c>
    </row>
    <row r="2341" spans="1:3" x14ac:dyDescent="0.25">
      <c r="A2341">
        <v>31</v>
      </c>
      <c r="B2341">
        <v>102</v>
      </c>
      <c r="C2341">
        <v>3</v>
      </c>
    </row>
    <row r="2342" spans="1:3" x14ac:dyDescent="0.25">
      <c r="A2342">
        <v>42</v>
      </c>
      <c r="B2342">
        <v>102</v>
      </c>
      <c r="C2342">
        <v>5</v>
      </c>
    </row>
    <row r="2343" spans="1:3" x14ac:dyDescent="0.25">
      <c r="A2343">
        <v>46</v>
      </c>
      <c r="B2343">
        <v>102</v>
      </c>
      <c r="C2343">
        <v>2</v>
      </c>
    </row>
    <row r="2344" spans="1:3" x14ac:dyDescent="0.25">
      <c r="A2344">
        <v>53</v>
      </c>
      <c r="B2344">
        <v>102</v>
      </c>
      <c r="C2344">
        <v>1</v>
      </c>
    </row>
    <row r="2345" spans="1:3" x14ac:dyDescent="0.25">
      <c r="A2345">
        <v>100</v>
      </c>
      <c r="B2345">
        <v>102</v>
      </c>
      <c r="C2345">
        <v>5</v>
      </c>
    </row>
    <row r="2346" spans="1:3" x14ac:dyDescent="0.25">
      <c r="A2346">
        <v>101</v>
      </c>
      <c r="B2346">
        <v>102</v>
      </c>
      <c r="C2346">
        <v>1</v>
      </c>
    </row>
    <row r="2347" spans="1:3" x14ac:dyDescent="0.25">
      <c r="A2347">
        <v>117</v>
      </c>
      <c r="B2347">
        <v>102</v>
      </c>
      <c r="C2347">
        <v>5</v>
      </c>
    </row>
    <row r="2348" spans="1:3" x14ac:dyDescent="0.25">
      <c r="A2348">
        <v>123</v>
      </c>
      <c r="B2348">
        <v>102</v>
      </c>
      <c r="C2348">
        <v>1</v>
      </c>
    </row>
    <row r="2349" spans="1:3" x14ac:dyDescent="0.25">
      <c r="A2349">
        <v>133</v>
      </c>
      <c r="B2349">
        <v>102</v>
      </c>
      <c r="C2349">
        <v>1</v>
      </c>
    </row>
    <row r="2350" spans="1:3" x14ac:dyDescent="0.25">
      <c r="A2350">
        <v>135</v>
      </c>
      <c r="B2350">
        <v>102</v>
      </c>
      <c r="C2350">
        <v>4</v>
      </c>
    </row>
    <row r="2351" spans="1:3" x14ac:dyDescent="0.25">
      <c r="A2351">
        <v>159</v>
      </c>
      <c r="B2351">
        <v>102</v>
      </c>
      <c r="C2351">
        <v>4</v>
      </c>
    </row>
    <row r="2352" spans="1:3" x14ac:dyDescent="0.25">
      <c r="A2352">
        <v>164</v>
      </c>
      <c r="B2352">
        <v>102</v>
      </c>
      <c r="C2352">
        <v>4</v>
      </c>
    </row>
    <row r="2353" spans="1:3" x14ac:dyDescent="0.25">
      <c r="A2353">
        <v>187</v>
      </c>
      <c r="B2353">
        <v>102</v>
      </c>
      <c r="C2353">
        <v>3</v>
      </c>
    </row>
    <row r="2354" spans="1:3" x14ac:dyDescent="0.25">
      <c r="A2354">
        <v>195</v>
      </c>
      <c r="B2354">
        <v>102</v>
      </c>
      <c r="C2354">
        <v>3</v>
      </c>
    </row>
    <row r="2355" spans="1:3" x14ac:dyDescent="0.25">
      <c r="A2355">
        <v>207</v>
      </c>
      <c r="B2355">
        <v>102</v>
      </c>
      <c r="C2355">
        <v>1</v>
      </c>
    </row>
    <row r="2356" spans="1:3" x14ac:dyDescent="0.25">
      <c r="A2356">
        <v>208</v>
      </c>
      <c r="B2356">
        <v>102</v>
      </c>
      <c r="C2356">
        <v>2</v>
      </c>
    </row>
    <row r="2357" spans="1:3" x14ac:dyDescent="0.25">
      <c r="A2357">
        <v>242</v>
      </c>
      <c r="B2357">
        <v>102</v>
      </c>
      <c r="C2357">
        <v>4</v>
      </c>
    </row>
    <row r="2358" spans="1:3" x14ac:dyDescent="0.25">
      <c r="A2358">
        <v>244</v>
      </c>
      <c r="B2358">
        <v>102</v>
      </c>
      <c r="C2358">
        <v>3</v>
      </c>
    </row>
    <row r="2359" spans="1:3" x14ac:dyDescent="0.25">
      <c r="A2359">
        <v>265</v>
      </c>
      <c r="B2359">
        <v>102</v>
      </c>
      <c r="C2359">
        <v>3</v>
      </c>
    </row>
    <row r="2360" spans="1:3" x14ac:dyDescent="0.25">
      <c r="A2360">
        <v>268</v>
      </c>
      <c r="B2360">
        <v>102</v>
      </c>
      <c r="C2360">
        <v>1</v>
      </c>
    </row>
    <row r="2361" spans="1:3" x14ac:dyDescent="0.25">
      <c r="A2361">
        <v>1</v>
      </c>
      <c r="B2361">
        <v>103</v>
      </c>
      <c r="C2361">
        <v>3</v>
      </c>
    </row>
    <row r="2362" spans="1:3" x14ac:dyDescent="0.25">
      <c r="A2362">
        <v>22</v>
      </c>
      <c r="B2362">
        <v>103</v>
      </c>
      <c r="C2362">
        <v>5</v>
      </c>
    </row>
    <row r="2363" spans="1:3" x14ac:dyDescent="0.25">
      <c r="A2363">
        <v>27</v>
      </c>
      <c r="B2363">
        <v>103</v>
      </c>
      <c r="C2363">
        <v>5</v>
      </c>
    </row>
    <row r="2364" spans="1:3" x14ac:dyDescent="0.25">
      <c r="A2364">
        <v>34</v>
      </c>
      <c r="B2364">
        <v>103</v>
      </c>
      <c r="C2364">
        <v>3</v>
      </c>
    </row>
    <row r="2365" spans="1:3" x14ac:dyDescent="0.25">
      <c r="A2365">
        <v>37</v>
      </c>
      <c r="B2365">
        <v>103</v>
      </c>
      <c r="C2365">
        <v>3</v>
      </c>
    </row>
    <row r="2366" spans="1:3" x14ac:dyDescent="0.25">
      <c r="A2366">
        <v>40</v>
      </c>
      <c r="B2366">
        <v>103</v>
      </c>
      <c r="C2366">
        <v>3</v>
      </c>
    </row>
    <row r="2367" spans="1:3" x14ac:dyDescent="0.25">
      <c r="A2367">
        <v>42</v>
      </c>
      <c r="B2367">
        <v>103</v>
      </c>
      <c r="C2367">
        <v>4</v>
      </c>
    </row>
    <row r="2368" spans="1:3" x14ac:dyDescent="0.25">
      <c r="A2368">
        <v>46</v>
      </c>
      <c r="B2368">
        <v>103</v>
      </c>
      <c r="C2368">
        <v>2</v>
      </c>
    </row>
    <row r="2369" spans="1:3" x14ac:dyDescent="0.25">
      <c r="A2369">
        <v>53</v>
      </c>
      <c r="B2369">
        <v>103</v>
      </c>
      <c r="C2369">
        <v>2</v>
      </c>
    </row>
    <row r="2370" spans="1:3" x14ac:dyDescent="0.25">
      <c r="A2370">
        <v>54</v>
      </c>
      <c r="B2370">
        <v>103</v>
      </c>
      <c r="C2370">
        <v>3</v>
      </c>
    </row>
    <row r="2371" spans="1:3" x14ac:dyDescent="0.25">
      <c r="A2371">
        <v>54</v>
      </c>
      <c r="B2371">
        <v>103</v>
      </c>
      <c r="C2371">
        <v>4</v>
      </c>
    </row>
    <row r="2372" spans="1:3" x14ac:dyDescent="0.25">
      <c r="A2372">
        <v>56</v>
      </c>
      <c r="B2372">
        <v>103</v>
      </c>
      <c r="C2372">
        <v>4</v>
      </c>
    </row>
    <row r="2373" spans="1:3" x14ac:dyDescent="0.25">
      <c r="A2373">
        <v>85</v>
      </c>
      <c r="B2373">
        <v>103</v>
      </c>
      <c r="C2373">
        <v>4</v>
      </c>
    </row>
    <row r="2374" spans="1:3" x14ac:dyDescent="0.25">
      <c r="A2374">
        <v>127</v>
      </c>
      <c r="B2374">
        <v>103</v>
      </c>
      <c r="C2374">
        <v>2</v>
      </c>
    </row>
    <row r="2375" spans="1:3" x14ac:dyDescent="0.25">
      <c r="A2375">
        <v>139</v>
      </c>
      <c r="B2375">
        <v>103</v>
      </c>
      <c r="C2375">
        <v>2</v>
      </c>
    </row>
    <row r="2376" spans="1:3" x14ac:dyDescent="0.25">
      <c r="A2376">
        <v>148</v>
      </c>
      <c r="B2376">
        <v>103</v>
      </c>
      <c r="C2376">
        <v>3</v>
      </c>
    </row>
    <row r="2377" spans="1:3" x14ac:dyDescent="0.25">
      <c r="A2377">
        <v>159</v>
      </c>
      <c r="B2377">
        <v>103</v>
      </c>
      <c r="C2377">
        <v>4</v>
      </c>
    </row>
    <row r="2378" spans="1:3" x14ac:dyDescent="0.25">
      <c r="A2378">
        <v>184</v>
      </c>
      <c r="B2378">
        <v>103</v>
      </c>
      <c r="C2378">
        <v>4</v>
      </c>
    </row>
    <row r="2379" spans="1:3" x14ac:dyDescent="0.25">
      <c r="A2379">
        <v>225</v>
      </c>
      <c r="B2379">
        <v>103</v>
      </c>
      <c r="C2379">
        <v>3</v>
      </c>
    </row>
    <row r="2380" spans="1:3" x14ac:dyDescent="0.25">
      <c r="A2380">
        <v>231</v>
      </c>
      <c r="B2380">
        <v>103</v>
      </c>
      <c r="C2380">
        <v>3</v>
      </c>
    </row>
    <row r="2381" spans="1:3" x14ac:dyDescent="0.25">
      <c r="A2381">
        <v>236</v>
      </c>
      <c r="B2381">
        <v>103</v>
      </c>
      <c r="C2381">
        <v>1</v>
      </c>
    </row>
    <row r="2382" spans="1:3" x14ac:dyDescent="0.25">
      <c r="A2382">
        <v>246</v>
      </c>
      <c r="B2382">
        <v>103</v>
      </c>
      <c r="C2382">
        <v>2</v>
      </c>
    </row>
    <row r="2383" spans="1:3" x14ac:dyDescent="0.25">
      <c r="A2383">
        <v>252</v>
      </c>
      <c r="B2383">
        <v>103</v>
      </c>
      <c r="C2383">
        <v>4</v>
      </c>
    </row>
    <row r="2384" spans="1:3" x14ac:dyDescent="0.25">
      <c r="A2384">
        <v>266</v>
      </c>
      <c r="B2384">
        <v>103</v>
      </c>
      <c r="C2384">
        <v>1</v>
      </c>
    </row>
    <row r="2385" spans="1:3" x14ac:dyDescent="0.25">
      <c r="A2385">
        <v>269</v>
      </c>
      <c r="B2385">
        <v>103</v>
      </c>
      <c r="C2385">
        <v>1</v>
      </c>
    </row>
    <row r="2386" spans="1:3" x14ac:dyDescent="0.25">
      <c r="A2386">
        <v>287</v>
      </c>
      <c r="B2386">
        <v>103</v>
      </c>
      <c r="C2386">
        <v>1</v>
      </c>
    </row>
    <row r="2387" spans="1:3" x14ac:dyDescent="0.25">
      <c r="A2387">
        <v>300</v>
      </c>
      <c r="B2387">
        <v>103</v>
      </c>
      <c r="C2387">
        <v>5</v>
      </c>
    </row>
    <row r="2388" spans="1:3" x14ac:dyDescent="0.25">
      <c r="A2388">
        <v>3</v>
      </c>
      <c r="B2388">
        <v>104</v>
      </c>
      <c r="C2388">
        <v>3</v>
      </c>
    </row>
    <row r="2389" spans="1:3" x14ac:dyDescent="0.25">
      <c r="A2389">
        <v>17</v>
      </c>
      <c r="B2389">
        <v>104</v>
      </c>
      <c r="C2389">
        <v>4</v>
      </c>
    </row>
    <row r="2390" spans="1:3" x14ac:dyDescent="0.25">
      <c r="A2390">
        <v>29</v>
      </c>
      <c r="B2390">
        <v>104</v>
      </c>
      <c r="C2390">
        <v>3</v>
      </c>
    </row>
    <row r="2391" spans="1:3" x14ac:dyDescent="0.25">
      <c r="A2391">
        <v>84</v>
      </c>
      <c r="B2391">
        <v>104</v>
      </c>
      <c r="C2391">
        <v>1</v>
      </c>
    </row>
    <row r="2392" spans="1:3" x14ac:dyDescent="0.25">
      <c r="A2392">
        <v>85</v>
      </c>
      <c r="B2392">
        <v>104</v>
      </c>
      <c r="C2392">
        <v>3</v>
      </c>
    </row>
    <row r="2393" spans="1:3" x14ac:dyDescent="0.25">
      <c r="A2393">
        <v>89</v>
      </c>
      <c r="B2393">
        <v>104</v>
      </c>
      <c r="C2393">
        <v>4</v>
      </c>
    </row>
    <row r="2394" spans="1:3" x14ac:dyDescent="0.25">
      <c r="A2394">
        <v>94</v>
      </c>
      <c r="B2394">
        <v>104</v>
      </c>
      <c r="C2394">
        <v>2</v>
      </c>
    </row>
    <row r="2395" spans="1:3" x14ac:dyDescent="0.25">
      <c r="A2395">
        <v>107</v>
      </c>
      <c r="B2395">
        <v>104</v>
      </c>
      <c r="C2395">
        <v>3</v>
      </c>
    </row>
    <row r="2396" spans="1:3" x14ac:dyDescent="0.25">
      <c r="A2396">
        <v>119</v>
      </c>
      <c r="B2396">
        <v>104</v>
      </c>
      <c r="C2396">
        <v>2</v>
      </c>
    </row>
    <row r="2397" spans="1:3" x14ac:dyDescent="0.25">
      <c r="A2397">
        <v>119</v>
      </c>
      <c r="B2397">
        <v>104</v>
      </c>
      <c r="C2397">
        <v>1</v>
      </c>
    </row>
    <row r="2398" spans="1:3" x14ac:dyDescent="0.25">
      <c r="A2398">
        <v>133</v>
      </c>
      <c r="B2398">
        <v>104</v>
      </c>
      <c r="C2398">
        <v>3</v>
      </c>
    </row>
    <row r="2399" spans="1:3" x14ac:dyDescent="0.25">
      <c r="A2399">
        <v>160</v>
      </c>
      <c r="B2399">
        <v>104</v>
      </c>
      <c r="C2399">
        <v>4</v>
      </c>
    </row>
    <row r="2400" spans="1:3" x14ac:dyDescent="0.25">
      <c r="A2400">
        <v>183</v>
      </c>
      <c r="B2400">
        <v>104</v>
      </c>
      <c r="C2400">
        <v>3</v>
      </c>
    </row>
    <row r="2401" spans="1:3" x14ac:dyDescent="0.25">
      <c r="A2401">
        <v>185</v>
      </c>
      <c r="B2401">
        <v>104</v>
      </c>
      <c r="C2401">
        <v>1</v>
      </c>
    </row>
    <row r="2402" spans="1:3" x14ac:dyDescent="0.25">
      <c r="A2402">
        <v>203</v>
      </c>
      <c r="B2402">
        <v>104</v>
      </c>
      <c r="C2402">
        <v>2</v>
      </c>
    </row>
    <row r="2403" spans="1:3" x14ac:dyDescent="0.25">
      <c r="A2403">
        <v>214</v>
      </c>
      <c r="B2403">
        <v>104</v>
      </c>
      <c r="C2403">
        <v>1</v>
      </c>
    </row>
    <row r="2404" spans="1:3" x14ac:dyDescent="0.25">
      <c r="A2404">
        <v>222</v>
      </c>
      <c r="B2404">
        <v>104</v>
      </c>
      <c r="C2404">
        <v>2</v>
      </c>
    </row>
    <row r="2405" spans="1:3" x14ac:dyDescent="0.25">
      <c r="A2405">
        <v>227</v>
      </c>
      <c r="B2405">
        <v>104</v>
      </c>
      <c r="C2405">
        <v>2</v>
      </c>
    </row>
    <row r="2406" spans="1:3" x14ac:dyDescent="0.25">
      <c r="A2406">
        <v>234</v>
      </c>
      <c r="B2406">
        <v>104</v>
      </c>
      <c r="C2406">
        <v>2</v>
      </c>
    </row>
    <row r="2407" spans="1:3" x14ac:dyDescent="0.25">
      <c r="A2407">
        <v>242</v>
      </c>
      <c r="B2407">
        <v>104</v>
      </c>
      <c r="C2407">
        <v>1</v>
      </c>
    </row>
    <row r="2408" spans="1:3" x14ac:dyDescent="0.25">
      <c r="A2408">
        <v>253</v>
      </c>
      <c r="B2408">
        <v>104</v>
      </c>
      <c r="C2408">
        <v>1</v>
      </c>
    </row>
    <row r="2409" spans="1:3" x14ac:dyDescent="0.25">
      <c r="A2409">
        <v>275</v>
      </c>
      <c r="B2409">
        <v>104</v>
      </c>
      <c r="C2409">
        <v>1</v>
      </c>
    </row>
    <row r="2410" spans="1:3" x14ac:dyDescent="0.25">
      <c r="A2410">
        <v>287</v>
      </c>
      <c r="B2410">
        <v>104</v>
      </c>
      <c r="C2410">
        <v>1</v>
      </c>
    </row>
    <row r="2411" spans="1:3" x14ac:dyDescent="0.25">
      <c r="A2411">
        <v>2</v>
      </c>
      <c r="B2411">
        <v>105</v>
      </c>
      <c r="C2411">
        <v>2</v>
      </c>
    </row>
    <row r="2412" spans="1:3" x14ac:dyDescent="0.25">
      <c r="A2412">
        <v>3</v>
      </c>
      <c r="B2412">
        <v>105</v>
      </c>
      <c r="C2412">
        <v>5</v>
      </c>
    </row>
    <row r="2413" spans="1:3" x14ac:dyDescent="0.25">
      <c r="A2413">
        <v>9</v>
      </c>
      <c r="B2413">
        <v>105</v>
      </c>
      <c r="C2413">
        <v>2</v>
      </c>
    </row>
    <row r="2414" spans="1:3" x14ac:dyDescent="0.25">
      <c r="A2414">
        <v>31</v>
      </c>
      <c r="B2414">
        <v>105</v>
      </c>
      <c r="C2414">
        <v>3</v>
      </c>
    </row>
    <row r="2415" spans="1:3" x14ac:dyDescent="0.25">
      <c r="A2415">
        <v>74</v>
      </c>
      <c r="B2415">
        <v>105</v>
      </c>
      <c r="C2415">
        <v>4</v>
      </c>
    </row>
    <row r="2416" spans="1:3" x14ac:dyDescent="0.25">
      <c r="A2416">
        <v>76</v>
      </c>
      <c r="B2416">
        <v>105</v>
      </c>
      <c r="C2416">
        <v>2</v>
      </c>
    </row>
    <row r="2417" spans="1:3" x14ac:dyDescent="0.25">
      <c r="A2417">
        <v>92</v>
      </c>
      <c r="B2417">
        <v>105</v>
      </c>
      <c r="C2417">
        <v>5</v>
      </c>
    </row>
    <row r="2418" spans="1:3" x14ac:dyDescent="0.25">
      <c r="A2418">
        <v>98</v>
      </c>
      <c r="B2418">
        <v>105</v>
      </c>
      <c r="C2418">
        <v>5</v>
      </c>
    </row>
    <row r="2419" spans="1:3" x14ac:dyDescent="0.25">
      <c r="A2419">
        <v>151</v>
      </c>
      <c r="B2419">
        <v>105</v>
      </c>
      <c r="C2419">
        <v>4</v>
      </c>
    </row>
    <row r="2420" spans="1:3" x14ac:dyDescent="0.25">
      <c r="A2420">
        <v>158</v>
      </c>
      <c r="B2420">
        <v>105</v>
      </c>
      <c r="C2420">
        <v>2</v>
      </c>
    </row>
    <row r="2421" spans="1:3" x14ac:dyDescent="0.25">
      <c r="A2421">
        <v>167</v>
      </c>
      <c r="B2421">
        <v>105</v>
      </c>
      <c r="C2421">
        <v>5</v>
      </c>
    </row>
    <row r="2422" spans="1:3" x14ac:dyDescent="0.25">
      <c r="A2422">
        <v>190</v>
      </c>
      <c r="B2422">
        <v>105</v>
      </c>
      <c r="C2422">
        <v>2</v>
      </c>
    </row>
    <row r="2423" spans="1:3" x14ac:dyDescent="0.25">
      <c r="A2423">
        <v>211</v>
      </c>
      <c r="B2423">
        <v>105</v>
      </c>
      <c r="C2423">
        <v>2</v>
      </c>
    </row>
    <row r="2424" spans="1:3" x14ac:dyDescent="0.25">
      <c r="A2424">
        <v>226</v>
      </c>
      <c r="B2424">
        <v>105</v>
      </c>
      <c r="C2424">
        <v>1</v>
      </c>
    </row>
    <row r="2425" spans="1:3" x14ac:dyDescent="0.25">
      <c r="A2425">
        <v>233</v>
      </c>
      <c r="B2425">
        <v>105</v>
      </c>
      <c r="C2425">
        <v>4</v>
      </c>
    </row>
    <row r="2426" spans="1:3" x14ac:dyDescent="0.25">
      <c r="A2426">
        <v>247</v>
      </c>
      <c r="B2426">
        <v>105</v>
      </c>
      <c r="C2426">
        <v>1</v>
      </c>
    </row>
    <row r="2427" spans="1:3" x14ac:dyDescent="0.25">
      <c r="A2427">
        <v>275</v>
      </c>
      <c r="B2427">
        <v>105</v>
      </c>
      <c r="C2427">
        <v>3</v>
      </c>
    </row>
    <row r="2428" spans="1:3" x14ac:dyDescent="0.25">
      <c r="A2428">
        <v>277</v>
      </c>
      <c r="B2428">
        <v>105</v>
      </c>
      <c r="C2428">
        <v>1</v>
      </c>
    </row>
    <row r="2429" spans="1:3" x14ac:dyDescent="0.25">
      <c r="A2429">
        <v>288</v>
      </c>
      <c r="B2429">
        <v>105</v>
      </c>
      <c r="C2429">
        <v>3</v>
      </c>
    </row>
    <row r="2430" spans="1:3" x14ac:dyDescent="0.25">
      <c r="A2430">
        <v>297</v>
      </c>
      <c r="B2430">
        <v>105</v>
      </c>
      <c r="C2430">
        <v>4</v>
      </c>
    </row>
    <row r="2431" spans="1:3" x14ac:dyDescent="0.25">
      <c r="A2431">
        <v>299</v>
      </c>
      <c r="B2431">
        <v>105</v>
      </c>
      <c r="C2431">
        <v>3</v>
      </c>
    </row>
    <row r="2432" spans="1:3" x14ac:dyDescent="0.25">
      <c r="A2432">
        <v>40</v>
      </c>
      <c r="B2432">
        <v>106</v>
      </c>
      <c r="C2432">
        <v>4</v>
      </c>
    </row>
    <row r="2433" spans="1:3" x14ac:dyDescent="0.25">
      <c r="A2433">
        <v>55</v>
      </c>
      <c r="B2433">
        <v>106</v>
      </c>
      <c r="C2433">
        <v>4</v>
      </c>
    </row>
    <row r="2434" spans="1:3" x14ac:dyDescent="0.25">
      <c r="A2434">
        <v>83</v>
      </c>
      <c r="B2434">
        <v>106</v>
      </c>
      <c r="C2434">
        <v>4</v>
      </c>
    </row>
    <row r="2435" spans="1:3" x14ac:dyDescent="0.25">
      <c r="A2435">
        <v>86</v>
      </c>
      <c r="B2435">
        <v>106</v>
      </c>
      <c r="C2435">
        <v>5</v>
      </c>
    </row>
    <row r="2436" spans="1:3" x14ac:dyDescent="0.25">
      <c r="A2436">
        <v>96</v>
      </c>
      <c r="B2436">
        <v>106</v>
      </c>
      <c r="C2436">
        <v>1</v>
      </c>
    </row>
    <row r="2437" spans="1:3" x14ac:dyDescent="0.25">
      <c r="A2437">
        <v>115</v>
      </c>
      <c r="B2437">
        <v>106</v>
      </c>
      <c r="C2437">
        <v>3</v>
      </c>
    </row>
    <row r="2438" spans="1:3" x14ac:dyDescent="0.25">
      <c r="A2438">
        <v>124</v>
      </c>
      <c r="B2438">
        <v>106</v>
      </c>
      <c r="C2438">
        <v>5</v>
      </c>
    </row>
    <row r="2439" spans="1:3" x14ac:dyDescent="0.25">
      <c r="A2439">
        <v>142</v>
      </c>
      <c r="B2439">
        <v>106</v>
      </c>
      <c r="C2439">
        <v>4</v>
      </c>
    </row>
    <row r="2440" spans="1:3" x14ac:dyDescent="0.25">
      <c r="A2440">
        <v>149</v>
      </c>
      <c r="B2440">
        <v>106</v>
      </c>
      <c r="C2440">
        <v>1</v>
      </c>
    </row>
    <row r="2441" spans="1:3" x14ac:dyDescent="0.25">
      <c r="A2441">
        <v>157</v>
      </c>
      <c r="B2441">
        <v>106</v>
      </c>
      <c r="C2441">
        <v>1</v>
      </c>
    </row>
    <row r="2442" spans="1:3" x14ac:dyDescent="0.25">
      <c r="A2442">
        <v>161</v>
      </c>
      <c r="B2442">
        <v>106</v>
      </c>
      <c r="C2442">
        <v>4</v>
      </c>
    </row>
    <row r="2443" spans="1:3" x14ac:dyDescent="0.25">
      <c r="A2443">
        <v>180</v>
      </c>
      <c r="B2443">
        <v>106</v>
      </c>
      <c r="C2443">
        <v>3</v>
      </c>
    </row>
    <row r="2444" spans="1:3" x14ac:dyDescent="0.25">
      <c r="A2444">
        <v>185</v>
      </c>
      <c r="B2444">
        <v>106</v>
      </c>
      <c r="C2444">
        <v>1</v>
      </c>
    </row>
    <row r="2445" spans="1:3" x14ac:dyDescent="0.25">
      <c r="A2445">
        <v>187</v>
      </c>
      <c r="B2445">
        <v>106</v>
      </c>
      <c r="C2445">
        <v>5</v>
      </c>
    </row>
    <row r="2446" spans="1:3" x14ac:dyDescent="0.25">
      <c r="A2446">
        <v>191</v>
      </c>
      <c r="B2446">
        <v>106</v>
      </c>
      <c r="C2446">
        <v>4</v>
      </c>
    </row>
    <row r="2447" spans="1:3" x14ac:dyDescent="0.25">
      <c r="A2447">
        <v>194</v>
      </c>
      <c r="B2447">
        <v>106</v>
      </c>
      <c r="C2447">
        <v>1</v>
      </c>
    </row>
    <row r="2448" spans="1:3" x14ac:dyDescent="0.25">
      <c r="A2448">
        <v>216</v>
      </c>
      <c r="B2448">
        <v>106</v>
      </c>
      <c r="C2448">
        <v>4</v>
      </c>
    </row>
    <row r="2449" spans="1:3" x14ac:dyDescent="0.25">
      <c r="A2449">
        <v>218</v>
      </c>
      <c r="B2449">
        <v>106</v>
      </c>
      <c r="C2449">
        <v>3</v>
      </c>
    </row>
    <row r="2450" spans="1:3" x14ac:dyDescent="0.25">
      <c r="A2450">
        <v>223</v>
      </c>
      <c r="B2450">
        <v>106</v>
      </c>
      <c r="C2450">
        <v>3</v>
      </c>
    </row>
    <row r="2451" spans="1:3" x14ac:dyDescent="0.25">
      <c r="A2451">
        <v>267</v>
      </c>
      <c r="B2451">
        <v>106</v>
      </c>
      <c r="C2451">
        <v>4</v>
      </c>
    </row>
    <row r="2452" spans="1:3" x14ac:dyDescent="0.25">
      <c r="A2452">
        <v>277</v>
      </c>
      <c r="B2452">
        <v>106</v>
      </c>
      <c r="C2452">
        <v>4</v>
      </c>
    </row>
    <row r="2453" spans="1:3" x14ac:dyDescent="0.25">
      <c r="A2453">
        <v>293</v>
      </c>
      <c r="B2453">
        <v>106</v>
      </c>
      <c r="C2453">
        <v>2</v>
      </c>
    </row>
    <row r="2454" spans="1:3" x14ac:dyDescent="0.25">
      <c r="A2454">
        <v>2</v>
      </c>
      <c r="B2454">
        <v>107</v>
      </c>
      <c r="C2454">
        <v>2</v>
      </c>
    </row>
    <row r="2455" spans="1:3" x14ac:dyDescent="0.25">
      <c r="A2455">
        <v>7</v>
      </c>
      <c r="B2455">
        <v>107</v>
      </c>
      <c r="C2455">
        <v>2</v>
      </c>
    </row>
    <row r="2456" spans="1:3" x14ac:dyDescent="0.25">
      <c r="A2456">
        <v>11</v>
      </c>
      <c r="B2456">
        <v>107</v>
      </c>
      <c r="C2456">
        <v>3</v>
      </c>
    </row>
    <row r="2457" spans="1:3" x14ac:dyDescent="0.25">
      <c r="A2457">
        <v>31</v>
      </c>
      <c r="B2457">
        <v>107</v>
      </c>
      <c r="C2457">
        <v>5</v>
      </c>
    </row>
    <row r="2458" spans="1:3" x14ac:dyDescent="0.25">
      <c r="A2458">
        <v>42</v>
      </c>
      <c r="B2458">
        <v>107</v>
      </c>
      <c r="C2458">
        <v>5</v>
      </c>
    </row>
    <row r="2459" spans="1:3" x14ac:dyDescent="0.25">
      <c r="A2459">
        <v>46</v>
      </c>
      <c r="B2459">
        <v>107</v>
      </c>
      <c r="C2459">
        <v>4</v>
      </c>
    </row>
    <row r="2460" spans="1:3" x14ac:dyDescent="0.25">
      <c r="A2460">
        <v>51</v>
      </c>
      <c r="B2460">
        <v>107</v>
      </c>
      <c r="C2460">
        <v>2</v>
      </c>
    </row>
    <row r="2461" spans="1:3" x14ac:dyDescent="0.25">
      <c r="A2461">
        <v>60</v>
      </c>
      <c r="B2461">
        <v>107</v>
      </c>
      <c r="C2461">
        <v>3</v>
      </c>
    </row>
    <row r="2462" spans="1:3" x14ac:dyDescent="0.25">
      <c r="A2462">
        <v>88</v>
      </c>
      <c r="B2462">
        <v>107</v>
      </c>
      <c r="C2462">
        <v>1</v>
      </c>
    </row>
    <row r="2463" spans="1:3" x14ac:dyDescent="0.25">
      <c r="A2463">
        <v>98</v>
      </c>
      <c r="B2463">
        <v>107</v>
      </c>
      <c r="C2463">
        <v>1</v>
      </c>
    </row>
    <row r="2464" spans="1:3" x14ac:dyDescent="0.25">
      <c r="A2464">
        <v>110</v>
      </c>
      <c r="B2464">
        <v>107</v>
      </c>
      <c r="C2464">
        <v>4</v>
      </c>
    </row>
    <row r="2465" spans="1:3" x14ac:dyDescent="0.25">
      <c r="A2465">
        <v>126</v>
      </c>
      <c r="B2465">
        <v>107</v>
      </c>
      <c r="C2465">
        <v>5</v>
      </c>
    </row>
    <row r="2466" spans="1:3" x14ac:dyDescent="0.25">
      <c r="A2466">
        <v>134</v>
      </c>
      <c r="B2466">
        <v>107</v>
      </c>
      <c r="C2466">
        <v>3</v>
      </c>
    </row>
    <row r="2467" spans="1:3" x14ac:dyDescent="0.25">
      <c r="A2467">
        <v>134</v>
      </c>
      <c r="B2467">
        <v>107</v>
      </c>
      <c r="C2467">
        <v>4</v>
      </c>
    </row>
    <row r="2468" spans="1:3" x14ac:dyDescent="0.25">
      <c r="A2468">
        <v>138</v>
      </c>
      <c r="B2468">
        <v>107</v>
      </c>
      <c r="C2468">
        <v>4</v>
      </c>
    </row>
    <row r="2469" spans="1:3" x14ac:dyDescent="0.25">
      <c r="A2469">
        <v>146</v>
      </c>
      <c r="B2469">
        <v>107</v>
      </c>
      <c r="C2469">
        <v>2</v>
      </c>
    </row>
    <row r="2470" spans="1:3" x14ac:dyDescent="0.25">
      <c r="A2470">
        <v>149</v>
      </c>
      <c r="B2470">
        <v>107</v>
      </c>
      <c r="C2470">
        <v>1</v>
      </c>
    </row>
    <row r="2471" spans="1:3" x14ac:dyDescent="0.25">
      <c r="A2471">
        <v>174</v>
      </c>
      <c r="B2471">
        <v>107</v>
      </c>
      <c r="C2471">
        <v>2</v>
      </c>
    </row>
    <row r="2472" spans="1:3" x14ac:dyDescent="0.25">
      <c r="A2472">
        <v>183</v>
      </c>
      <c r="B2472">
        <v>107</v>
      </c>
      <c r="C2472">
        <v>5</v>
      </c>
    </row>
    <row r="2473" spans="1:3" x14ac:dyDescent="0.25">
      <c r="A2473">
        <v>192</v>
      </c>
      <c r="B2473">
        <v>107</v>
      </c>
      <c r="C2473">
        <v>2</v>
      </c>
    </row>
    <row r="2474" spans="1:3" x14ac:dyDescent="0.25">
      <c r="A2474">
        <v>210</v>
      </c>
      <c r="B2474">
        <v>107</v>
      </c>
      <c r="C2474">
        <v>1</v>
      </c>
    </row>
    <row r="2475" spans="1:3" x14ac:dyDescent="0.25">
      <c r="A2475">
        <v>223</v>
      </c>
      <c r="B2475">
        <v>107</v>
      </c>
      <c r="C2475">
        <v>5</v>
      </c>
    </row>
    <row r="2476" spans="1:3" x14ac:dyDescent="0.25">
      <c r="A2476">
        <v>228</v>
      </c>
      <c r="B2476">
        <v>107</v>
      </c>
      <c r="C2476">
        <v>2</v>
      </c>
    </row>
    <row r="2477" spans="1:3" x14ac:dyDescent="0.25">
      <c r="A2477">
        <v>248</v>
      </c>
      <c r="B2477">
        <v>107</v>
      </c>
      <c r="C2477">
        <v>5</v>
      </c>
    </row>
    <row r="2478" spans="1:3" x14ac:dyDescent="0.25">
      <c r="A2478">
        <v>257</v>
      </c>
      <c r="B2478">
        <v>107</v>
      </c>
      <c r="C2478">
        <v>1</v>
      </c>
    </row>
    <row r="2479" spans="1:3" x14ac:dyDescent="0.25">
      <c r="A2479">
        <v>295</v>
      </c>
      <c r="B2479">
        <v>107</v>
      </c>
      <c r="C2479">
        <v>5</v>
      </c>
    </row>
    <row r="2480" spans="1:3" x14ac:dyDescent="0.25">
      <c r="A2480">
        <v>297</v>
      </c>
      <c r="B2480">
        <v>107</v>
      </c>
      <c r="C2480">
        <v>3</v>
      </c>
    </row>
    <row r="2481" spans="1:3" x14ac:dyDescent="0.25">
      <c r="A2481">
        <v>300</v>
      </c>
      <c r="B2481">
        <v>107</v>
      </c>
      <c r="C2481">
        <v>2</v>
      </c>
    </row>
    <row r="2482" spans="1:3" x14ac:dyDescent="0.25">
      <c r="A2482">
        <v>20</v>
      </c>
      <c r="B2482">
        <v>108</v>
      </c>
      <c r="C2482">
        <v>4</v>
      </c>
    </row>
    <row r="2483" spans="1:3" x14ac:dyDescent="0.25">
      <c r="A2483">
        <v>78</v>
      </c>
      <c r="B2483">
        <v>108</v>
      </c>
      <c r="C2483">
        <v>3</v>
      </c>
    </row>
    <row r="2484" spans="1:3" x14ac:dyDescent="0.25">
      <c r="A2484">
        <v>80</v>
      </c>
      <c r="B2484">
        <v>108</v>
      </c>
      <c r="C2484">
        <v>2</v>
      </c>
    </row>
    <row r="2485" spans="1:3" x14ac:dyDescent="0.25">
      <c r="A2485">
        <v>85</v>
      </c>
      <c r="B2485">
        <v>108</v>
      </c>
      <c r="C2485">
        <v>3</v>
      </c>
    </row>
    <row r="2486" spans="1:3" x14ac:dyDescent="0.25">
      <c r="A2486">
        <v>87</v>
      </c>
      <c r="B2486">
        <v>108</v>
      </c>
      <c r="C2486">
        <v>2</v>
      </c>
    </row>
    <row r="2487" spans="1:3" x14ac:dyDescent="0.25">
      <c r="A2487">
        <v>90</v>
      </c>
      <c r="B2487">
        <v>108</v>
      </c>
      <c r="C2487">
        <v>2</v>
      </c>
    </row>
    <row r="2488" spans="1:3" x14ac:dyDescent="0.25">
      <c r="A2488">
        <v>90</v>
      </c>
      <c r="B2488">
        <v>108</v>
      </c>
      <c r="C2488">
        <v>2</v>
      </c>
    </row>
    <row r="2489" spans="1:3" x14ac:dyDescent="0.25">
      <c r="A2489">
        <v>100</v>
      </c>
      <c r="B2489">
        <v>108</v>
      </c>
      <c r="C2489">
        <v>3</v>
      </c>
    </row>
    <row r="2490" spans="1:3" x14ac:dyDescent="0.25">
      <c r="A2490">
        <v>128</v>
      </c>
      <c r="B2490">
        <v>108</v>
      </c>
      <c r="C2490">
        <v>5</v>
      </c>
    </row>
    <row r="2491" spans="1:3" x14ac:dyDescent="0.25">
      <c r="A2491">
        <v>129</v>
      </c>
      <c r="B2491">
        <v>108</v>
      </c>
      <c r="C2491">
        <v>2</v>
      </c>
    </row>
    <row r="2492" spans="1:3" x14ac:dyDescent="0.25">
      <c r="A2492">
        <v>135</v>
      </c>
      <c r="B2492">
        <v>108</v>
      </c>
      <c r="C2492">
        <v>2</v>
      </c>
    </row>
    <row r="2493" spans="1:3" x14ac:dyDescent="0.25">
      <c r="A2493">
        <v>143</v>
      </c>
      <c r="B2493">
        <v>108</v>
      </c>
      <c r="C2493">
        <v>5</v>
      </c>
    </row>
    <row r="2494" spans="1:3" x14ac:dyDescent="0.25">
      <c r="A2494">
        <v>146</v>
      </c>
      <c r="B2494">
        <v>108</v>
      </c>
      <c r="C2494">
        <v>3</v>
      </c>
    </row>
    <row r="2495" spans="1:3" x14ac:dyDescent="0.25">
      <c r="A2495">
        <v>163</v>
      </c>
      <c r="B2495">
        <v>108</v>
      </c>
      <c r="C2495">
        <v>5</v>
      </c>
    </row>
    <row r="2496" spans="1:3" x14ac:dyDescent="0.25">
      <c r="A2496">
        <v>174</v>
      </c>
      <c r="B2496">
        <v>108</v>
      </c>
      <c r="C2496">
        <v>1</v>
      </c>
    </row>
    <row r="2497" spans="1:3" x14ac:dyDescent="0.25">
      <c r="A2497">
        <v>189</v>
      </c>
      <c r="B2497">
        <v>108</v>
      </c>
      <c r="C2497">
        <v>5</v>
      </c>
    </row>
    <row r="2498" spans="1:3" x14ac:dyDescent="0.25">
      <c r="A2498">
        <v>234</v>
      </c>
      <c r="B2498">
        <v>108</v>
      </c>
      <c r="C2498">
        <v>5</v>
      </c>
    </row>
    <row r="2499" spans="1:3" x14ac:dyDescent="0.25">
      <c r="A2499">
        <v>247</v>
      </c>
      <c r="B2499">
        <v>108</v>
      </c>
      <c r="C2499">
        <v>1</v>
      </c>
    </row>
    <row r="2500" spans="1:3" x14ac:dyDescent="0.25">
      <c r="A2500">
        <v>257</v>
      </c>
      <c r="B2500">
        <v>108</v>
      </c>
      <c r="C2500">
        <v>3</v>
      </c>
    </row>
    <row r="2501" spans="1:3" x14ac:dyDescent="0.25">
      <c r="A2501">
        <v>300</v>
      </c>
      <c r="B2501">
        <v>108</v>
      </c>
      <c r="C2501">
        <v>5</v>
      </c>
    </row>
    <row r="2502" spans="1:3" x14ac:dyDescent="0.25">
      <c r="A2502">
        <v>11</v>
      </c>
      <c r="B2502">
        <v>109</v>
      </c>
      <c r="C2502">
        <v>2</v>
      </c>
    </row>
    <row r="2503" spans="1:3" x14ac:dyDescent="0.25">
      <c r="A2503">
        <v>44</v>
      </c>
      <c r="B2503">
        <v>109</v>
      </c>
      <c r="C2503">
        <v>3</v>
      </c>
    </row>
    <row r="2504" spans="1:3" x14ac:dyDescent="0.25">
      <c r="A2504">
        <v>45</v>
      </c>
      <c r="B2504">
        <v>109</v>
      </c>
      <c r="C2504">
        <v>2</v>
      </c>
    </row>
    <row r="2505" spans="1:3" x14ac:dyDescent="0.25">
      <c r="A2505">
        <v>50</v>
      </c>
      <c r="B2505">
        <v>109</v>
      </c>
      <c r="C2505">
        <v>5</v>
      </c>
    </row>
    <row r="2506" spans="1:3" x14ac:dyDescent="0.25">
      <c r="A2506">
        <v>53</v>
      </c>
      <c r="B2506">
        <v>109</v>
      </c>
      <c r="C2506">
        <v>2</v>
      </c>
    </row>
    <row r="2507" spans="1:3" x14ac:dyDescent="0.25">
      <c r="A2507">
        <v>61</v>
      </c>
      <c r="B2507">
        <v>109</v>
      </c>
      <c r="C2507">
        <v>4</v>
      </c>
    </row>
    <row r="2508" spans="1:3" x14ac:dyDescent="0.25">
      <c r="A2508">
        <v>72</v>
      </c>
      <c r="B2508">
        <v>109</v>
      </c>
      <c r="C2508">
        <v>3</v>
      </c>
    </row>
    <row r="2509" spans="1:3" x14ac:dyDescent="0.25">
      <c r="A2509">
        <v>105</v>
      </c>
      <c r="B2509">
        <v>109</v>
      </c>
      <c r="C2509">
        <v>1</v>
      </c>
    </row>
    <row r="2510" spans="1:3" x14ac:dyDescent="0.25">
      <c r="A2510">
        <v>169</v>
      </c>
      <c r="B2510">
        <v>109</v>
      </c>
      <c r="C2510">
        <v>3</v>
      </c>
    </row>
    <row r="2511" spans="1:3" x14ac:dyDescent="0.25">
      <c r="A2511">
        <v>173</v>
      </c>
      <c r="B2511">
        <v>109</v>
      </c>
      <c r="C2511">
        <v>2</v>
      </c>
    </row>
    <row r="2512" spans="1:3" x14ac:dyDescent="0.25">
      <c r="A2512">
        <v>193</v>
      </c>
      <c r="B2512">
        <v>109</v>
      </c>
      <c r="C2512">
        <v>3</v>
      </c>
    </row>
    <row r="2513" spans="1:3" x14ac:dyDescent="0.25">
      <c r="A2513">
        <v>194</v>
      </c>
      <c r="B2513">
        <v>109</v>
      </c>
      <c r="C2513">
        <v>5</v>
      </c>
    </row>
    <row r="2514" spans="1:3" x14ac:dyDescent="0.25">
      <c r="A2514">
        <v>210</v>
      </c>
      <c r="B2514">
        <v>109</v>
      </c>
      <c r="C2514">
        <v>3</v>
      </c>
    </row>
    <row r="2515" spans="1:3" x14ac:dyDescent="0.25">
      <c r="A2515">
        <v>212</v>
      </c>
      <c r="B2515">
        <v>109</v>
      </c>
      <c r="C2515">
        <v>1</v>
      </c>
    </row>
    <row r="2516" spans="1:3" x14ac:dyDescent="0.25">
      <c r="A2516">
        <v>215</v>
      </c>
      <c r="B2516">
        <v>109</v>
      </c>
      <c r="C2516">
        <v>4</v>
      </c>
    </row>
    <row r="2517" spans="1:3" x14ac:dyDescent="0.25">
      <c r="A2517">
        <v>261</v>
      </c>
      <c r="B2517">
        <v>109</v>
      </c>
      <c r="C2517">
        <v>1</v>
      </c>
    </row>
    <row r="2518" spans="1:3" x14ac:dyDescent="0.25">
      <c r="A2518">
        <v>261</v>
      </c>
      <c r="B2518">
        <v>109</v>
      </c>
      <c r="C2518">
        <v>2</v>
      </c>
    </row>
    <row r="2519" spans="1:3" x14ac:dyDescent="0.25">
      <c r="A2519">
        <v>285</v>
      </c>
      <c r="B2519">
        <v>109</v>
      </c>
      <c r="C2519">
        <v>5</v>
      </c>
    </row>
    <row r="2520" spans="1:3" x14ac:dyDescent="0.25">
      <c r="A2520">
        <v>285</v>
      </c>
      <c r="B2520">
        <v>109</v>
      </c>
      <c r="C2520">
        <v>4</v>
      </c>
    </row>
    <row r="2521" spans="1:3" x14ac:dyDescent="0.25">
      <c r="A2521">
        <v>287</v>
      </c>
      <c r="B2521">
        <v>109</v>
      </c>
      <c r="C2521">
        <v>2</v>
      </c>
    </row>
    <row r="2522" spans="1:3" x14ac:dyDescent="0.25">
      <c r="A2522">
        <v>290</v>
      </c>
      <c r="B2522">
        <v>109</v>
      </c>
      <c r="C2522">
        <v>1</v>
      </c>
    </row>
    <row r="2523" spans="1:3" x14ac:dyDescent="0.25">
      <c r="A2523">
        <v>299</v>
      </c>
      <c r="B2523">
        <v>109</v>
      </c>
      <c r="C2523">
        <v>1</v>
      </c>
    </row>
    <row r="2524" spans="1:3" x14ac:dyDescent="0.25">
      <c r="A2524">
        <v>28</v>
      </c>
      <c r="B2524">
        <v>110</v>
      </c>
      <c r="C2524">
        <v>5</v>
      </c>
    </row>
    <row r="2525" spans="1:3" x14ac:dyDescent="0.25">
      <c r="A2525">
        <v>31</v>
      </c>
      <c r="B2525">
        <v>110</v>
      </c>
      <c r="C2525">
        <v>2</v>
      </c>
    </row>
    <row r="2526" spans="1:3" x14ac:dyDescent="0.25">
      <c r="A2526">
        <v>39</v>
      </c>
      <c r="B2526">
        <v>110</v>
      </c>
      <c r="C2526">
        <v>4</v>
      </c>
    </row>
    <row r="2527" spans="1:3" x14ac:dyDescent="0.25">
      <c r="A2527">
        <v>50</v>
      </c>
      <c r="B2527">
        <v>110</v>
      </c>
      <c r="C2527">
        <v>1</v>
      </c>
    </row>
    <row r="2528" spans="1:3" x14ac:dyDescent="0.25">
      <c r="A2528">
        <v>63</v>
      </c>
      <c r="B2528">
        <v>110</v>
      </c>
      <c r="C2528">
        <v>1</v>
      </c>
    </row>
    <row r="2529" spans="1:3" x14ac:dyDescent="0.25">
      <c r="A2529">
        <v>91</v>
      </c>
      <c r="B2529">
        <v>110</v>
      </c>
      <c r="C2529">
        <v>3</v>
      </c>
    </row>
    <row r="2530" spans="1:3" x14ac:dyDescent="0.25">
      <c r="A2530">
        <v>103</v>
      </c>
      <c r="B2530">
        <v>110</v>
      </c>
      <c r="C2530">
        <v>2</v>
      </c>
    </row>
    <row r="2531" spans="1:3" x14ac:dyDescent="0.25">
      <c r="A2531">
        <v>201</v>
      </c>
      <c r="B2531">
        <v>110</v>
      </c>
      <c r="C2531">
        <v>5</v>
      </c>
    </row>
    <row r="2532" spans="1:3" x14ac:dyDescent="0.25">
      <c r="A2532">
        <v>216</v>
      </c>
      <c r="B2532">
        <v>110</v>
      </c>
      <c r="C2532">
        <v>4</v>
      </c>
    </row>
    <row r="2533" spans="1:3" x14ac:dyDescent="0.25">
      <c r="A2533">
        <v>221</v>
      </c>
      <c r="B2533">
        <v>110</v>
      </c>
      <c r="C2533">
        <v>4</v>
      </c>
    </row>
    <row r="2534" spans="1:3" x14ac:dyDescent="0.25">
      <c r="A2534">
        <v>242</v>
      </c>
      <c r="B2534">
        <v>110</v>
      </c>
      <c r="C2534">
        <v>4</v>
      </c>
    </row>
    <row r="2535" spans="1:3" x14ac:dyDescent="0.25">
      <c r="A2535">
        <v>255</v>
      </c>
      <c r="B2535">
        <v>110</v>
      </c>
      <c r="C2535">
        <v>4</v>
      </c>
    </row>
    <row r="2536" spans="1:3" x14ac:dyDescent="0.25">
      <c r="A2536">
        <v>261</v>
      </c>
      <c r="B2536">
        <v>110</v>
      </c>
      <c r="C2536">
        <v>1</v>
      </c>
    </row>
    <row r="2537" spans="1:3" x14ac:dyDescent="0.25">
      <c r="A2537">
        <v>276</v>
      </c>
      <c r="B2537">
        <v>110</v>
      </c>
      <c r="C2537">
        <v>3</v>
      </c>
    </row>
    <row r="2538" spans="1:3" x14ac:dyDescent="0.25">
      <c r="A2538">
        <v>284</v>
      </c>
      <c r="B2538">
        <v>110</v>
      </c>
      <c r="C2538">
        <v>2</v>
      </c>
    </row>
    <row r="2539" spans="1:3" x14ac:dyDescent="0.25">
      <c r="A2539">
        <v>295</v>
      </c>
      <c r="B2539">
        <v>110</v>
      </c>
      <c r="C2539">
        <v>1</v>
      </c>
    </row>
    <row r="2540" spans="1:3" x14ac:dyDescent="0.25">
      <c r="A2540">
        <v>2</v>
      </c>
      <c r="B2540">
        <v>111</v>
      </c>
      <c r="C2540">
        <v>2</v>
      </c>
    </row>
    <row r="2541" spans="1:3" x14ac:dyDescent="0.25">
      <c r="A2541">
        <v>18</v>
      </c>
      <c r="B2541">
        <v>111</v>
      </c>
      <c r="C2541">
        <v>4</v>
      </c>
    </row>
    <row r="2542" spans="1:3" x14ac:dyDescent="0.25">
      <c r="A2542">
        <v>57</v>
      </c>
      <c r="B2542">
        <v>111</v>
      </c>
      <c r="C2542">
        <v>2</v>
      </c>
    </row>
    <row r="2543" spans="1:3" x14ac:dyDescent="0.25">
      <c r="A2543">
        <v>58</v>
      </c>
      <c r="B2543">
        <v>111</v>
      </c>
      <c r="C2543">
        <v>3</v>
      </c>
    </row>
    <row r="2544" spans="1:3" x14ac:dyDescent="0.25">
      <c r="A2544">
        <v>67</v>
      </c>
      <c r="B2544">
        <v>111</v>
      </c>
      <c r="C2544">
        <v>1</v>
      </c>
    </row>
    <row r="2545" spans="1:3" x14ac:dyDescent="0.25">
      <c r="A2545">
        <v>99</v>
      </c>
      <c r="B2545">
        <v>111</v>
      </c>
      <c r="C2545">
        <v>5</v>
      </c>
    </row>
    <row r="2546" spans="1:3" x14ac:dyDescent="0.25">
      <c r="A2546">
        <v>102</v>
      </c>
      <c r="B2546">
        <v>111</v>
      </c>
      <c r="C2546">
        <v>3</v>
      </c>
    </row>
    <row r="2547" spans="1:3" x14ac:dyDescent="0.25">
      <c r="A2547">
        <v>115</v>
      </c>
      <c r="B2547">
        <v>111</v>
      </c>
      <c r="C2547">
        <v>4</v>
      </c>
    </row>
    <row r="2548" spans="1:3" x14ac:dyDescent="0.25">
      <c r="A2548">
        <v>123</v>
      </c>
      <c r="B2548">
        <v>111</v>
      </c>
      <c r="C2548">
        <v>2</v>
      </c>
    </row>
    <row r="2549" spans="1:3" x14ac:dyDescent="0.25">
      <c r="A2549">
        <v>126</v>
      </c>
      <c r="B2549">
        <v>111</v>
      </c>
      <c r="C2549">
        <v>4</v>
      </c>
    </row>
    <row r="2550" spans="1:3" x14ac:dyDescent="0.25">
      <c r="A2550">
        <v>130</v>
      </c>
      <c r="B2550">
        <v>111</v>
      </c>
      <c r="C2550">
        <v>3</v>
      </c>
    </row>
    <row r="2551" spans="1:3" x14ac:dyDescent="0.25">
      <c r="A2551">
        <v>131</v>
      </c>
      <c r="B2551">
        <v>111</v>
      </c>
      <c r="C2551">
        <v>4</v>
      </c>
    </row>
    <row r="2552" spans="1:3" x14ac:dyDescent="0.25">
      <c r="A2552">
        <v>144</v>
      </c>
      <c r="B2552">
        <v>111</v>
      </c>
      <c r="C2552">
        <v>4</v>
      </c>
    </row>
    <row r="2553" spans="1:3" x14ac:dyDescent="0.25">
      <c r="A2553">
        <v>145</v>
      </c>
      <c r="B2553">
        <v>111</v>
      </c>
      <c r="C2553">
        <v>1</v>
      </c>
    </row>
    <row r="2554" spans="1:3" x14ac:dyDescent="0.25">
      <c r="A2554">
        <v>158</v>
      </c>
      <c r="B2554">
        <v>111</v>
      </c>
      <c r="C2554">
        <v>3</v>
      </c>
    </row>
    <row r="2555" spans="1:3" x14ac:dyDescent="0.25">
      <c r="A2555">
        <v>159</v>
      </c>
      <c r="B2555">
        <v>111</v>
      </c>
      <c r="C2555">
        <v>2</v>
      </c>
    </row>
    <row r="2556" spans="1:3" x14ac:dyDescent="0.25">
      <c r="A2556">
        <v>181</v>
      </c>
      <c r="B2556">
        <v>111</v>
      </c>
      <c r="C2556">
        <v>2</v>
      </c>
    </row>
    <row r="2557" spans="1:3" x14ac:dyDescent="0.25">
      <c r="A2557">
        <v>212</v>
      </c>
      <c r="B2557">
        <v>111</v>
      </c>
      <c r="C2557">
        <v>5</v>
      </c>
    </row>
    <row r="2558" spans="1:3" x14ac:dyDescent="0.25">
      <c r="A2558">
        <v>219</v>
      </c>
      <c r="B2558">
        <v>111</v>
      </c>
      <c r="C2558">
        <v>3</v>
      </c>
    </row>
    <row r="2559" spans="1:3" x14ac:dyDescent="0.25">
      <c r="A2559">
        <v>219</v>
      </c>
      <c r="B2559">
        <v>111</v>
      </c>
      <c r="C2559">
        <v>3</v>
      </c>
    </row>
    <row r="2560" spans="1:3" x14ac:dyDescent="0.25">
      <c r="A2560">
        <v>256</v>
      </c>
      <c r="B2560">
        <v>111</v>
      </c>
      <c r="C2560">
        <v>5</v>
      </c>
    </row>
    <row r="2561" spans="1:3" x14ac:dyDescent="0.25">
      <c r="A2561">
        <v>279</v>
      </c>
      <c r="B2561">
        <v>111</v>
      </c>
      <c r="C2561">
        <v>4</v>
      </c>
    </row>
    <row r="2562" spans="1:3" x14ac:dyDescent="0.25">
      <c r="A2562">
        <v>280</v>
      </c>
      <c r="B2562">
        <v>111</v>
      </c>
      <c r="C2562">
        <v>2</v>
      </c>
    </row>
    <row r="2563" spans="1:3" x14ac:dyDescent="0.25">
      <c r="A2563">
        <v>285</v>
      </c>
      <c r="B2563">
        <v>111</v>
      </c>
      <c r="C2563">
        <v>2</v>
      </c>
    </row>
    <row r="2564" spans="1:3" x14ac:dyDescent="0.25">
      <c r="A2564">
        <v>19</v>
      </c>
      <c r="B2564">
        <v>112</v>
      </c>
      <c r="C2564">
        <v>3</v>
      </c>
    </row>
    <row r="2565" spans="1:3" x14ac:dyDescent="0.25">
      <c r="A2565">
        <v>23</v>
      </c>
      <c r="B2565">
        <v>112</v>
      </c>
      <c r="C2565">
        <v>5</v>
      </c>
    </row>
    <row r="2566" spans="1:3" x14ac:dyDescent="0.25">
      <c r="A2566">
        <v>44</v>
      </c>
      <c r="B2566">
        <v>112</v>
      </c>
      <c r="C2566">
        <v>5</v>
      </c>
    </row>
    <row r="2567" spans="1:3" x14ac:dyDescent="0.25">
      <c r="A2567">
        <v>52</v>
      </c>
      <c r="B2567">
        <v>112</v>
      </c>
      <c r="C2567">
        <v>5</v>
      </c>
    </row>
    <row r="2568" spans="1:3" x14ac:dyDescent="0.25">
      <c r="A2568">
        <v>56</v>
      </c>
      <c r="B2568">
        <v>112</v>
      </c>
      <c r="C2568">
        <v>1</v>
      </c>
    </row>
    <row r="2569" spans="1:3" x14ac:dyDescent="0.25">
      <c r="A2569">
        <v>64</v>
      </c>
      <c r="B2569">
        <v>112</v>
      </c>
      <c r="C2569">
        <v>4</v>
      </c>
    </row>
    <row r="2570" spans="1:3" x14ac:dyDescent="0.25">
      <c r="A2570">
        <v>95</v>
      </c>
      <c r="B2570">
        <v>112</v>
      </c>
      <c r="C2570">
        <v>5</v>
      </c>
    </row>
    <row r="2571" spans="1:3" x14ac:dyDescent="0.25">
      <c r="A2571">
        <v>98</v>
      </c>
      <c r="B2571">
        <v>112</v>
      </c>
      <c r="C2571">
        <v>2</v>
      </c>
    </row>
    <row r="2572" spans="1:3" x14ac:dyDescent="0.25">
      <c r="A2572">
        <v>134</v>
      </c>
      <c r="B2572">
        <v>112</v>
      </c>
      <c r="C2572">
        <v>4</v>
      </c>
    </row>
    <row r="2573" spans="1:3" x14ac:dyDescent="0.25">
      <c r="A2573">
        <v>138</v>
      </c>
      <c r="B2573">
        <v>112</v>
      </c>
      <c r="C2573">
        <v>3</v>
      </c>
    </row>
    <row r="2574" spans="1:3" x14ac:dyDescent="0.25">
      <c r="A2574">
        <v>144</v>
      </c>
      <c r="B2574">
        <v>112</v>
      </c>
      <c r="C2574">
        <v>5</v>
      </c>
    </row>
    <row r="2575" spans="1:3" x14ac:dyDescent="0.25">
      <c r="A2575">
        <v>157</v>
      </c>
      <c r="B2575">
        <v>112</v>
      </c>
      <c r="C2575">
        <v>5</v>
      </c>
    </row>
    <row r="2576" spans="1:3" x14ac:dyDescent="0.25">
      <c r="A2576">
        <v>196</v>
      </c>
      <c r="B2576">
        <v>112</v>
      </c>
      <c r="C2576">
        <v>5</v>
      </c>
    </row>
    <row r="2577" spans="1:3" x14ac:dyDescent="0.25">
      <c r="A2577">
        <v>207</v>
      </c>
      <c r="B2577">
        <v>112</v>
      </c>
      <c r="C2577">
        <v>3</v>
      </c>
    </row>
    <row r="2578" spans="1:3" x14ac:dyDescent="0.25">
      <c r="A2578">
        <v>276</v>
      </c>
      <c r="B2578">
        <v>112</v>
      </c>
      <c r="C2578">
        <v>2</v>
      </c>
    </row>
    <row r="2579" spans="1:3" x14ac:dyDescent="0.25">
      <c r="A2579">
        <v>287</v>
      </c>
      <c r="B2579">
        <v>112</v>
      </c>
      <c r="C2579">
        <v>4</v>
      </c>
    </row>
    <row r="2580" spans="1:3" x14ac:dyDescent="0.25">
      <c r="A2580">
        <v>294</v>
      </c>
      <c r="B2580">
        <v>112</v>
      </c>
      <c r="C2580">
        <v>3</v>
      </c>
    </row>
    <row r="2581" spans="1:3" x14ac:dyDescent="0.25">
      <c r="A2581">
        <v>18</v>
      </c>
      <c r="B2581">
        <v>113</v>
      </c>
      <c r="C2581">
        <v>2</v>
      </c>
    </row>
    <row r="2582" spans="1:3" x14ac:dyDescent="0.25">
      <c r="A2582">
        <v>21</v>
      </c>
      <c r="B2582">
        <v>113</v>
      </c>
      <c r="C2582">
        <v>3</v>
      </c>
    </row>
    <row r="2583" spans="1:3" x14ac:dyDescent="0.25">
      <c r="A2583">
        <v>22</v>
      </c>
      <c r="B2583">
        <v>113</v>
      </c>
      <c r="C2583">
        <v>2</v>
      </c>
    </row>
    <row r="2584" spans="1:3" x14ac:dyDescent="0.25">
      <c r="A2584">
        <v>24</v>
      </c>
      <c r="B2584">
        <v>113</v>
      </c>
      <c r="C2584">
        <v>2</v>
      </c>
    </row>
    <row r="2585" spans="1:3" x14ac:dyDescent="0.25">
      <c r="A2585">
        <v>33</v>
      </c>
      <c r="B2585">
        <v>113</v>
      </c>
      <c r="C2585">
        <v>3</v>
      </c>
    </row>
    <row r="2586" spans="1:3" x14ac:dyDescent="0.25">
      <c r="A2586">
        <v>35</v>
      </c>
      <c r="B2586">
        <v>113</v>
      </c>
      <c r="C2586">
        <v>3</v>
      </c>
    </row>
    <row r="2587" spans="1:3" x14ac:dyDescent="0.25">
      <c r="A2587">
        <v>55</v>
      </c>
      <c r="B2587">
        <v>113</v>
      </c>
      <c r="C2587">
        <v>3</v>
      </c>
    </row>
    <row r="2588" spans="1:3" x14ac:dyDescent="0.25">
      <c r="A2588">
        <v>69</v>
      </c>
      <c r="B2588">
        <v>113</v>
      </c>
      <c r="C2588">
        <v>1</v>
      </c>
    </row>
    <row r="2589" spans="1:3" x14ac:dyDescent="0.25">
      <c r="A2589">
        <v>78</v>
      </c>
      <c r="B2589">
        <v>113</v>
      </c>
      <c r="C2589">
        <v>4</v>
      </c>
    </row>
    <row r="2590" spans="1:3" x14ac:dyDescent="0.25">
      <c r="A2590">
        <v>96</v>
      </c>
      <c r="B2590">
        <v>113</v>
      </c>
      <c r="C2590">
        <v>3</v>
      </c>
    </row>
    <row r="2591" spans="1:3" x14ac:dyDescent="0.25">
      <c r="A2591">
        <v>97</v>
      </c>
      <c r="B2591">
        <v>113</v>
      </c>
      <c r="C2591">
        <v>5</v>
      </c>
    </row>
    <row r="2592" spans="1:3" x14ac:dyDescent="0.25">
      <c r="A2592">
        <v>102</v>
      </c>
      <c r="B2592">
        <v>113</v>
      </c>
      <c r="C2592">
        <v>1</v>
      </c>
    </row>
    <row r="2593" spans="1:3" x14ac:dyDescent="0.25">
      <c r="A2593">
        <v>110</v>
      </c>
      <c r="B2593">
        <v>113</v>
      </c>
      <c r="C2593">
        <v>4</v>
      </c>
    </row>
    <row r="2594" spans="1:3" x14ac:dyDescent="0.25">
      <c r="A2594">
        <v>127</v>
      </c>
      <c r="B2594">
        <v>113</v>
      </c>
      <c r="C2594">
        <v>2</v>
      </c>
    </row>
    <row r="2595" spans="1:3" x14ac:dyDescent="0.25">
      <c r="A2595">
        <v>131</v>
      </c>
      <c r="B2595">
        <v>113</v>
      </c>
      <c r="C2595">
        <v>4</v>
      </c>
    </row>
    <row r="2596" spans="1:3" x14ac:dyDescent="0.25">
      <c r="A2596">
        <v>134</v>
      </c>
      <c r="B2596">
        <v>113</v>
      </c>
      <c r="C2596">
        <v>5</v>
      </c>
    </row>
    <row r="2597" spans="1:3" x14ac:dyDescent="0.25">
      <c r="A2597">
        <v>147</v>
      </c>
      <c r="B2597">
        <v>113</v>
      </c>
      <c r="C2597">
        <v>4</v>
      </c>
    </row>
    <row r="2598" spans="1:3" x14ac:dyDescent="0.25">
      <c r="A2598">
        <v>167</v>
      </c>
      <c r="B2598">
        <v>113</v>
      </c>
      <c r="C2598">
        <v>4</v>
      </c>
    </row>
    <row r="2599" spans="1:3" x14ac:dyDescent="0.25">
      <c r="A2599">
        <v>206</v>
      </c>
      <c r="B2599">
        <v>113</v>
      </c>
      <c r="C2599">
        <v>5</v>
      </c>
    </row>
    <row r="2600" spans="1:3" x14ac:dyDescent="0.25">
      <c r="A2600">
        <v>209</v>
      </c>
      <c r="B2600">
        <v>113</v>
      </c>
      <c r="C2600">
        <v>3</v>
      </c>
    </row>
    <row r="2601" spans="1:3" x14ac:dyDescent="0.25">
      <c r="A2601">
        <v>227</v>
      </c>
      <c r="B2601">
        <v>113</v>
      </c>
      <c r="C2601">
        <v>1</v>
      </c>
    </row>
    <row r="2602" spans="1:3" x14ac:dyDescent="0.25">
      <c r="A2602">
        <v>244</v>
      </c>
      <c r="B2602">
        <v>113</v>
      </c>
      <c r="C2602">
        <v>3</v>
      </c>
    </row>
    <row r="2603" spans="1:3" x14ac:dyDescent="0.25">
      <c r="A2603">
        <v>264</v>
      </c>
      <c r="B2603">
        <v>113</v>
      </c>
      <c r="C2603">
        <v>2</v>
      </c>
    </row>
    <row r="2604" spans="1:3" x14ac:dyDescent="0.25">
      <c r="A2604">
        <v>265</v>
      </c>
      <c r="B2604">
        <v>113</v>
      </c>
      <c r="C2604">
        <v>3</v>
      </c>
    </row>
    <row r="2605" spans="1:3" x14ac:dyDescent="0.25">
      <c r="A2605">
        <v>283</v>
      </c>
      <c r="B2605">
        <v>113</v>
      </c>
      <c r="C2605">
        <v>3</v>
      </c>
    </row>
    <row r="2606" spans="1:3" x14ac:dyDescent="0.25">
      <c r="A2606">
        <v>293</v>
      </c>
      <c r="B2606">
        <v>113</v>
      </c>
      <c r="C2606">
        <v>4</v>
      </c>
    </row>
    <row r="2607" spans="1:3" x14ac:dyDescent="0.25">
      <c r="A2607">
        <v>296</v>
      </c>
      <c r="B2607">
        <v>113</v>
      </c>
      <c r="C2607">
        <v>2</v>
      </c>
    </row>
    <row r="2608" spans="1:3" x14ac:dyDescent="0.25">
      <c r="A2608">
        <v>13</v>
      </c>
      <c r="B2608">
        <v>114</v>
      </c>
      <c r="C2608">
        <v>5</v>
      </c>
    </row>
    <row r="2609" spans="1:3" x14ac:dyDescent="0.25">
      <c r="A2609">
        <v>29</v>
      </c>
      <c r="B2609">
        <v>114</v>
      </c>
      <c r="C2609">
        <v>2</v>
      </c>
    </row>
    <row r="2610" spans="1:3" x14ac:dyDescent="0.25">
      <c r="A2610">
        <v>46</v>
      </c>
      <c r="B2610">
        <v>114</v>
      </c>
      <c r="C2610">
        <v>4</v>
      </c>
    </row>
    <row r="2611" spans="1:3" x14ac:dyDescent="0.25">
      <c r="A2611">
        <v>49</v>
      </c>
      <c r="B2611">
        <v>114</v>
      </c>
      <c r="C2611">
        <v>4</v>
      </c>
    </row>
    <row r="2612" spans="1:3" x14ac:dyDescent="0.25">
      <c r="A2612">
        <v>54</v>
      </c>
      <c r="B2612">
        <v>114</v>
      </c>
      <c r="C2612">
        <v>2</v>
      </c>
    </row>
    <row r="2613" spans="1:3" x14ac:dyDescent="0.25">
      <c r="A2613">
        <v>57</v>
      </c>
      <c r="B2613">
        <v>114</v>
      </c>
      <c r="C2613">
        <v>1</v>
      </c>
    </row>
    <row r="2614" spans="1:3" x14ac:dyDescent="0.25">
      <c r="A2614">
        <v>58</v>
      </c>
      <c r="B2614">
        <v>114</v>
      </c>
      <c r="C2614">
        <v>2</v>
      </c>
    </row>
    <row r="2615" spans="1:3" x14ac:dyDescent="0.25">
      <c r="A2615">
        <v>68</v>
      </c>
      <c r="B2615">
        <v>114</v>
      </c>
      <c r="C2615">
        <v>1</v>
      </c>
    </row>
    <row r="2616" spans="1:3" x14ac:dyDescent="0.25">
      <c r="A2616">
        <v>96</v>
      </c>
      <c r="B2616">
        <v>114</v>
      </c>
      <c r="C2616">
        <v>1</v>
      </c>
    </row>
    <row r="2617" spans="1:3" x14ac:dyDescent="0.25">
      <c r="A2617">
        <v>100</v>
      </c>
      <c r="B2617">
        <v>114</v>
      </c>
      <c r="C2617">
        <v>2</v>
      </c>
    </row>
    <row r="2618" spans="1:3" x14ac:dyDescent="0.25">
      <c r="A2618">
        <v>104</v>
      </c>
      <c r="B2618">
        <v>114</v>
      </c>
      <c r="C2618">
        <v>3</v>
      </c>
    </row>
    <row r="2619" spans="1:3" x14ac:dyDescent="0.25">
      <c r="A2619">
        <v>108</v>
      </c>
      <c r="B2619">
        <v>114</v>
      </c>
      <c r="C2619">
        <v>5</v>
      </c>
    </row>
    <row r="2620" spans="1:3" x14ac:dyDescent="0.25">
      <c r="A2620">
        <v>116</v>
      </c>
      <c r="B2620">
        <v>114</v>
      </c>
      <c r="C2620">
        <v>3</v>
      </c>
    </row>
    <row r="2621" spans="1:3" x14ac:dyDescent="0.25">
      <c r="A2621">
        <v>131</v>
      </c>
      <c r="B2621">
        <v>114</v>
      </c>
      <c r="C2621">
        <v>4</v>
      </c>
    </row>
    <row r="2622" spans="1:3" x14ac:dyDescent="0.25">
      <c r="A2622">
        <v>133</v>
      </c>
      <c r="B2622">
        <v>114</v>
      </c>
      <c r="C2622">
        <v>1</v>
      </c>
    </row>
    <row r="2623" spans="1:3" x14ac:dyDescent="0.25">
      <c r="A2623">
        <v>139</v>
      </c>
      <c r="B2623">
        <v>114</v>
      </c>
      <c r="C2623">
        <v>5</v>
      </c>
    </row>
    <row r="2624" spans="1:3" x14ac:dyDescent="0.25">
      <c r="A2624">
        <v>139</v>
      </c>
      <c r="B2624">
        <v>114</v>
      </c>
      <c r="C2624">
        <v>4</v>
      </c>
    </row>
    <row r="2625" spans="1:3" x14ac:dyDescent="0.25">
      <c r="A2625">
        <v>142</v>
      </c>
      <c r="B2625">
        <v>114</v>
      </c>
      <c r="C2625">
        <v>4</v>
      </c>
    </row>
    <row r="2626" spans="1:3" x14ac:dyDescent="0.25">
      <c r="A2626">
        <v>155</v>
      </c>
      <c r="B2626">
        <v>114</v>
      </c>
      <c r="C2626">
        <v>2</v>
      </c>
    </row>
    <row r="2627" spans="1:3" x14ac:dyDescent="0.25">
      <c r="A2627">
        <v>163</v>
      </c>
      <c r="B2627">
        <v>114</v>
      </c>
      <c r="C2627">
        <v>2</v>
      </c>
    </row>
    <row r="2628" spans="1:3" x14ac:dyDescent="0.25">
      <c r="A2628">
        <v>174</v>
      </c>
      <c r="B2628">
        <v>114</v>
      </c>
      <c r="C2628">
        <v>2</v>
      </c>
    </row>
    <row r="2629" spans="1:3" x14ac:dyDescent="0.25">
      <c r="A2629">
        <v>192</v>
      </c>
      <c r="B2629">
        <v>114</v>
      </c>
      <c r="C2629">
        <v>4</v>
      </c>
    </row>
    <row r="2630" spans="1:3" x14ac:dyDescent="0.25">
      <c r="A2630">
        <v>209</v>
      </c>
      <c r="B2630">
        <v>114</v>
      </c>
      <c r="C2630">
        <v>4</v>
      </c>
    </row>
    <row r="2631" spans="1:3" x14ac:dyDescent="0.25">
      <c r="A2631">
        <v>209</v>
      </c>
      <c r="B2631">
        <v>114</v>
      </c>
      <c r="C2631">
        <v>5</v>
      </c>
    </row>
    <row r="2632" spans="1:3" x14ac:dyDescent="0.25">
      <c r="A2632">
        <v>234</v>
      </c>
      <c r="B2632">
        <v>114</v>
      </c>
      <c r="C2632">
        <v>4</v>
      </c>
    </row>
    <row r="2633" spans="1:3" x14ac:dyDescent="0.25">
      <c r="A2633">
        <v>239</v>
      </c>
      <c r="B2633">
        <v>114</v>
      </c>
      <c r="C2633">
        <v>3</v>
      </c>
    </row>
    <row r="2634" spans="1:3" x14ac:dyDescent="0.25">
      <c r="A2634">
        <v>244</v>
      </c>
      <c r="B2634">
        <v>114</v>
      </c>
      <c r="C2634">
        <v>4</v>
      </c>
    </row>
    <row r="2635" spans="1:3" x14ac:dyDescent="0.25">
      <c r="A2635">
        <v>244</v>
      </c>
      <c r="B2635">
        <v>114</v>
      </c>
      <c r="C2635">
        <v>4</v>
      </c>
    </row>
    <row r="2636" spans="1:3" x14ac:dyDescent="0.25">
      <c r="A2636">
        <v>247</v>
      </c>
      <c r="B2636">
        <v>114</v>
      </c>
      <c r="C2636">
        <v>3</v>
      </c>
    </row>
    <row r="2637" spans="1:3" x14ac:dyDescent="0.25">
      <c r="A2637">
        <v>252</v>
      </c>
      <c r="B2637">
        <v>114</v>
      </c>
      <c r="C2637">
        <v>1</v>
      </c>
    </row>
    <row r="2638" spans="1:3" x14ac:dyDescent="0.25">
      <c r="A2638">
        <v>275</v>
      </c>
      <c r="B2638">
        <v>114</v>
      </c>
      <c r="C2638">
        <v>1</v>
      </c>
    </row>
    <row r="2639" spans="1:3" x14ac:dyDescent="0.25">
      <c r="A2639">
        <v>5</v>
      </c>
      <c r="B2639">
        <v>115</v>
      </c>
      <c r="C2639">
        <v>3</v>
      </c>
    </row>
    <row r="2640" spans="1:3" x14ac:dyDescent="0.25">
      <c r="A2640">
        <v>74</v>
      </c>
      <c r="B2640">
        <v>115</v>
      </c>
      <c r="C2640">
        <v>5</v>
      </c>
    </row>
    <row r="2641" spans="1:3" x14ac:dyDescent="0.25">
      <c r="A2641">
        <v>81</v>
      </c>
      <c r="B2641">
        <v>115</v>
      </c>
      <c r="C2641">
        <v>3</v>
      </c>
    </row>
    <row r="2642" spans="1:3" x14ac:dyDescent="0.25">
      <c r="A2642">
        <v>94</v>
      </c>
      <c r="B2642">
        <v>115</v>
      </c>
      <c r="C2642">
        <v>5</v>
      </c>
    </row>
    <row r="2643" spans="1:3" x14ac:dyDescent="0.25">
      <c r="A2643">
        <v>99</v>
      </c>
      <c r="B2643">
        <v>115</v>
      </c>
      <c r="C2643">
        <v>4</v>
      </c>
    </row>
    <row r="2644" spans="1:3" x14ac:dyDescent="0.25">
      <c r="A2644">
        <v>138</v>
      </c>
      <c r="B2644">
        <v>115</v>
      </c>
      <c r="C2644">
        <v>5</v>
      </c>
    </row>
    <row r="2645" spans="1:3" x14ac:dyDescent="0.25">
      <c r="A2645">
        <v>152</v>
      </c>
      <c r="B2645">
        <v>115</v>
      </c>
      <c r="C2645">
        <v>1</v>
      </c>
    </row>
    <row r="2646" spans="1:3" x14ac:dyDescent="0.25">
      <c r="A2646">
        <v>171</v>
      </c>
      <c r="B2646">
        <v>115</v>
      </c>
      <c r="C2646">
        <v>5</v>
      </c>
    </row>
    <row r="2647" spans="1:3" x14ac:dyDescent="0.25">
      <c r="A2647">
        <v>174</v>
      </c>
      <c r="B2647">
        <v>115</v>
      </c>
      <c r="C2647">
        <v>2</v>
      </c>
    </row>
    <row r="2648" spans="1:3" x14ac:dyDescent="0.25">
      <c r="A2648">
        <v>174</v>
      </c>
      <c r="B2648">
        <v>115</v>
      </c>
      <c r="C2648">
        <v>1</v>
      </c>
    </row>
    <row r="2649" spans="1:3" x14ac:dyDescent="0.25">
      <c r="A2649">
        <v>189</v>
      </c>
      <c r="B2649">
        <v>115</v>
      </c>
      <c r="C2649">
        <v>5</v>
      </c>
    </row>
    <row r="2650" spans="1:3" x14ac:dyDescent="0.25">
      <c r="A2650">
        <v>192</v>
      </c>
      <c r="B2650">
        <v>115</v>
      </c>
      <c r="C2650">
        <v>1</v>
      </c>
    </row>
    <row r="2651" spans="1:3" x14ac:dyDescent="0.25">
      <c r="A2651">
        <v>194</v>
      </c>
      <c r="B2651">
        <v>115</v>
      </c>
      <c r="C2651">
        <v>4</v>
      </c>
    </row>
    <row r="2652" spans="1:3" x14ac:dyDescent="0.25">
      <c r="A2652">
        <v>195</v>
      </c>
      <c r="B2652">
        <v>115</v>
      </c>
      <c r="C2652">
        <v>2</v>
      </c>
    </row>
    <row r="2653" spans="1:3" x14ac:dyDescent="0.25">
      <c r="A2653">
        <v>213</v>
      </c>
      <c r="B2653">
        <v>115</v>
      </c>
      <c r="C2653">
        <v>5</v>
      </c>
    </row>
    <row r="2654" spans="1:3" x14ac:dyDescent="0.25">
      <c r="A2654">
        <v>227</v>
      </c>
      <c r="B2654">
        <v>115</v>
      </c>
      <c r="C2654">
        <v>4</v>
      </c>
    </row>
    <row r="2655" spans="1:3" x14ac:dyDescent="0.25">
      <c r="A2655">
        <v>230</v>
      </c>
      <c r="B2655">
        <v>115</v>
      </c>
      <c r="C2655">
        <v>1</v>
      </c>
    </row>
    <row r="2656" spans="1:3" x14ac:dyDescent="0.25">
      <c r="A2656">
        <v>257</v>
      </c>
      <c r="B2656">
        <v>115</v>
      </c>
      <c r="C2656">
        <v>5</v>
      </c>
    </row>
    <row r="2657" spans="1:3" x14ac:dyDescent="0.25">
      <c r="A2657">
        <v>263</v>
      </c>
      <c r="B2657">
        <v>115</v>
      </c>
      <c r="C2657">
        <v>4</v>
      </c>
    </row>
    <row r="2658" spans="1:3" x14ac:dyDescent="0.25">
      <c r="A2658">
        <v>272</v>
      </c>
      <c r="B2658">
        <v>115</v>
      </c>
      <c r="C2658">
        <v>3</v>
      </c>
    </row>
    <row r="2659" spans="1:3" x14ac:dyDescent="0.25">
      <c r="A2659">
        <v>6</v>
      </c>
      <c r="B2659">
        <v>116</v>
      </c>
      <c r="C2659">
        <v>5</v>
      </c>
    </row>
    <row r="2660" spans="1:3" x14ac:dyDescent="0.25">
      <c r="A2660">
        <v>25</v>
      </c>
      <c r="B2660">
        <v>116</v>
      </c>
      <c r="C2660">
        <v>3</v>
      </c>
    </row>
    <row r="2661" spans="1:3" x14ac:dyDescent="0.25">
      <c r="A2661">
        <v>27</v>
      </c>
      <c r="B2661">
        <v>116</v>
      </c>
      <c r="C2661">
        <v>5</v>
      </c>
    </row>
    <row r="2662" spans="1:3" x14ac:dyDescent="0.25">
      <c r="A2662">
        <v>63</v>
      </c>
      <c r="B2662">
        <v>116</v>
      </c>
      <c r="C2662">
        <v>2</v>
      </c>
    </row>
    <row r="2663" spans="1:3" x14ac:dyDescent="0.25">
      <c r="A2663">
        <v>67</v>
      </c>
      <c r="B2663">
        <v>116</v>
      </c>
      <c r="C2663">
        <v>3</v>
      </c>
    </row>
    <row r="2664" spans="1:3" x14ac:dyDescent="0.25">
      <c r="A2664">
        <v>89</v>
      </c>
      <c r="B2664">
        <v>116</v>
      </c>
      <c r="C2664">
        <v>5</v>
      </c>
    </row>
    <row r="2665" spans="1:3" x14ac:dyDescent="0.25">
      <c r="A2665">
        <v>95</v>
      </c>
      <c r="B2665">
        <v>116</v>
      </c>
      <c r="C2665">
        <v>4</v>
      </c>
    </row>
    <row r="2666" spans="1:3" x14ac:dyDescent="0.25">
      <c r="A2666">
        <v>113</v>
      </c>
      <c r="B2666">
        <v>116</v>
      </c>
      <c r="C2666">
        <v>5</v>
      </c>
    </row>
    <row r="2667" spans="1:3" x14ac:dyDescent="0.25">
      <c r="A2667">
        <v>121</v>
      </c>
      <c r="B2667">
        <v>116</v>
      </c>
      <c r="C2667">
        <v>1</v>
      </c>
    </row>
    <row r="2668" spans="1:3" x14ac:dyDescent="0.25">
      <c r="A2668">
        <v>122</v>
      </c>
      <c r="B2668">
        <v>116</v>
      </c>
      <c r="C2668">
        <v>5</v>
      </c>
    </row>
    <row r="2669" spans="1:3" x14ac:dyDescent="0.25">
      <c r="A2669">
        <v>136</v>
      </c>
      <c r="B2669">
        <v>116</v>
      </c>
      <c r="C2669">
        <v>2</v>
      </c>
    </row>
    <row r="2670" spans="1:3" x14ac:dyDescent="0.25">
      <c r="A2670">
        <v>142</v>
      </c>
      <c r="B2670">
        <v>116</v>
      </c>
      <c r="C2670">
        <v>1</v>
      </c>
    </row>
    <row r="2671" spans="1:3" x14ac:dyDescent="0.25">
      <c r="A2671">
        <v>147</v>
      </c>
      <c r="B2671">
        <v>116</v>
      </c>
      <c r="C2671">
        <v>2</v>
      </c>
    </row>
    <row r="2672" spans="1:3" x14ac:dyDescent="0.25">
      <c r="A2672">
        <v>160</v>
      </c>
      <c r="B2672">
        <v>116</v>
      </c>
      <c r="C2672">
        <v>5</v>
      </c>
    </row>
    <row r="2673" spans="1:3" x14ac:dyDescent="0.25">
      <c r="A2673">
        <v>192</v>
      </c>
      <c r="B2673">
        <v>116</v>
      </c>
      <c r="C2673">
        <v>3</v>
      </c>
    </row>
    <row r="2674" spans="1:3" x14ac:dyDescent="0.25">
      <c r="A2674">
        <v>194</v>
      </c>
      <c r="B2674">
        <v>116</v>
      </c>
      <c r="C2674">
        <v>3</v>
      </c>
    </row>
    <row r="2675" spans="1:3" x14ac:dyDescent="0.25">
      <c r="A2675">
        <v>229</v>
      </c>
      <c r="B2675">
        <v>116</v>
      </c>
      <c r="C2675">
        <v>3</v>
      </c>
    </row>
    <row r="2676" spans="1:3" x14ac:dyDescent="0.25">
      <c r="A2676">
        <v>247</v>
      </c>
      <c r="B2676">
        <v>116</v>
      </c>
      <c r="C2676">
        <v>5</v>
      </c>
    </row>
    <row r="2677" spans="1:3" x14ac:dyDescent="0.25">
      <c r="A2677">
        <v>255</v>
      </c>
      <c r="B2677">
        <v>116</v>
      </c>
      <c r="C2677">
        <v>3</v>
      </c>
    </row>
    <row r="2678" spans="1:3" x14ac:dyDescent="0.25">
      <c r="A2678">
        <v>259</v>
      </c>
      <c r="B2678">
        <v>116</v>
      </c>
      <c r="C2678">
        <v>1</v>
      </c>
    </row>
    <row r="2679" spans="1:3" x14ac:dyDescent="0.25">
      <c r="A2679">
        <v>276</v>
      </c>
      <c r="B2679">
        <v>116</v>
      </c>
      <c r="C2679">
        <v>1</v>
      </c>
    </row>
    <row r="2680" spans="1:3" x14ac:dyDescent="0.25">
      <c r="A2680">
        <v>277</v>
      </c>
      <c r="B2680">
        <v>116</v>
      </c>
      <c r="C2680">
        <v>2</v>
      </c>
    </row>
    <row r="2681" spans="1:3" x14ac:dyDescent="0.25">
      <c r="A2681">
        <v>36</v>
      </c>
      <c r="B2681">
        <v>117</v>
      </c>
      <c r="C2681">
        <v>5</v>
      </c>
    </row>
    <row r="2682" spans="1:3" x14ac:dyDescent="0.25">
      <c r="A2682">
        <v>38</v>
      </c>
      <c r="B2682">
        <v>117</v>
      </c>
      <c r="C2682">
        <v>5</v>
      </c>
    </row>
    <row r="2683" spans="1:3" x14ac:dyDescent="0.25">
      <c r="A2683">
        <v>47</v>
      </c>
      <c r="B2683">
        <v>117</v>
      </c>
      <c r="C2683">
        <v>1</v>
      </c>
    </row>
    <row r="2684" spans="1:3" x14ac:dyDescent="0.25">
      <c r="A2684">
        <v>65</v>
      </c>
      <c r="B2684">
        <v>117</v>
      </c>
      <c r="C2684">
        <v>4</v>
      </c>
    </row>
    <row r="2685" spans="1:3" x14ac:dyDescent="0.25">
      <c r="A2685">
        <v>66</v>
      </c>
      <c r="B2685">
        <v>117</v>
      </c>
      <c r="C2685">
        <v>2</v>
      </c>
    </row>
    <row r="2686" spans="1:3" x14ac:dyDescent="0.25">
      <c r="A2686">
        <v>72</v>
      </c>
      <c r="B2686">
        <v>117</v>
      </c>
      <c r="C2686">
        <v>3</v>
      </c>
    </row>
    <row r="2687" spans="1:3" x14ac:dyDescent="0.25">
      <c r="A2687">
        <v>78</v>
      </c>
      <c r="B2687">
        <v>117</v>
      </c>
      <c r="C2687">
        <v>5</v>
      </c>
    </row>
    <row r="2688" spans="1:3" x14ac:dyDescent="0.25">
      <c r="A2688">
        <v>116</v>
      </c>
      <c r="B2688">
        <v>117</v>
      </c>
      <c r="C2688">
        <v>3</v>
      </c>
    </row>
    <row r="2689" spans="1:3" x14ac:dyDescent="0.25">
      <c r="A2689">
        <v>145</v>
      </c>
      <c r="B2689">
        <v>117</v>
      </c>
      <c r="C2689">
        <v>3</v>
      </c>
    </row>
    <row r="2690" spans="1:3" x14ac:dyDescent="0.25">
      <c r="A2690">
        <v>152</v>
      </c>
      <c r="B2690">
        <v>117</v>
      </c>
      <c r="C2690">
        <v>5</v>
      </c>
    </row>
    <row r="2691" spans="1:3" x14ac:dyDescent="0.25">
      <c r="A2691">
        <v>159</v>
      </c>
      <c r="B2691">
        <v>117</v>
      </c>
      <c r="C2691">
        <v>2</v>
      </c>
    </row>
    <row r="2692" spans="1:3" x14ac:dyDescent="0.25">
      <c r="A2692">
        <v>239</v>
      </c>
      <c r="B2692">
        <v>117</v>
      </c>
      <c r="C2692">
        <v>2</v>
      </c>
    </row>
    <row r="2693" spans="1:3" x14ac:dyDescent="0.25">
      <c r="A2693">
        <v>250</v>
      </c>
      <c r="B2693">
        <v>117</v>
      </c>
      <c r="C2693">
        <v>5</v>
      </c>
    </row>
    <row r="2694" spans="1:3" x14ac:dyDescent="0.25">
      <c r="A2694">
        <v>253</v>
      </c>
      <c r="B2694">
        <v>117</v>
      </c>
      <c r="C2694">
        <v>5</v>
      </c>
    </row>
    <row r="2695" spans="1:3" x14ac:dyDescent="0.25">
      <c r="A2695">
        <v>260</v>
      </c>
      <c r="B2695">
        <v>117</v>
      </c>
      <c r="C2695">
        <v>4</v>
      </c>
    </row>
    <row r="2696" spans="1:3" x14ac:dyDescent="0.25">
      <c r="A2696">
        <v>260</v>
      </c>
      <c r="B2696">
        <v>117</v>
      </c>
      <c r="C2696">
        <v>2</v>
      </c>
    </row>
    <row r="2697" spans="1:3" x14ac:dyDescent="0.25">
      <c r="A2697">
        <v>271</v>
      </c>
      <c r="B2697">
        <v>117</v>
      </c>
      <c r="C2697">
        <v>1</v>
      </c>
    </row>
    <row r="2698" spans="1:3" x14ac:dyDescent="0.25">
      <c r="A2698">
        <v>283</v>
      </c>
      <c r="B2698">
        <v>117</v>
      </c>
      <c r="C2698">
        <v>3</v>
      </c>
    </row>
    <row r="2699" spans="1:3" x14ac:dyDescent="0.25">
      <c r="A2699">
        <v>286</v>
      </c>
      <c r="B2699">
        <v>117</v>
      </c>
      <c r="C2699">
        <v>5</v>
      </c>
    </row>
    <row r="2700" spans="1:3" x14ac:dyDescent="0.25">
      <c r="A2700">
        <v>289</v>
      </c>
      <c r="B2700">
        <v>117</v>
      </c>
      <c r="C2700">
        <v>4</v>
      </c>
    </row>
    <row r="2701" spans="1:3" x14ac:dyDescent="0.25">
      <c r="A2701">
        <v>298</v>
      </c>
      <c r="B2701">
        <v>117</v>
      </c>
      <c r="C2701">
        <v>5</v>
      </c>
    </row>
    <row r="2702" spans="1:3" x14ac:dyDescent="0.25">
      <c r="A2702">
        <v>3</v>
      </c>
      <c r="B2702">
        <v>118</v>
      </c>
      <c r="C2702">
        <v>2</v>
      </c>
    </row>
    <row r="2703" spans="1:3" x14ac:dyDescent="0.25">
      <c r="A2703">
        <v>14</v>
      </c>
      <c r="B2703">
        <v>118</v>
      </c>
      <c r="C2703">
        <v>4</v>
      </c>
    </row>
    <row r="2704" spans="1:3" x14ac:dyDescent="0.25">
      <c r="A2704">
        <v>30</v>
      </c>
      <c r="B2704">
        <v>118</v>
      </c>
      <c r="C2704">
        <v>5</v>
      </c>
    </row>
    <row r="2705" spans="1:3" x14ac:dyDescent="0.25">
      <c r="A2705">
        <v>38</v>
      </c>
      <c r="B2705">
        <v>118</v>
      </c>
      <c r="C2705">
        <v>4</v>
      </c>
    </row>
    <row r="2706" spans="1:3" x14ac:dyDescent="0.25">
      <c r="A2706">
        <v>47</v>
      </c>
      <c r="B2706">
        <v>118</v>
      </c>
      <c r="C2706">
        <v>2</v>
      </c>
    </row>
    <row r="2707" spans="1:3" x14ac:dyDescent="0.25">
      <c r="A2707">
        <v>49</v>
      </c>
      <c r="B2707">
        <v>118</v>
      </c>
      <c r="C2707">
        <v>2</v>
      </c>
    </row>
    <row r="2708" spans="1:3" x14ac:dyDescent="0.25">
      <c r="A2708">
        <v>76</v>
      </c>
      <c r="B2708">
        <v>118</v>
      </c>
      <c r="C2708">
        <v>4</v>
      </c>
    </row>
    <row r="2709" spans="1:3" x14ac:dyDescent="0.25">
      <c r="A2709">
        <v>88</v>
      </c>
      <c r="B2709">
        <v>118</v>
      </c>
      <c r="C2709">
        <v>2</v>
      </c>
    </row>
    <row r="2710" spans="1:3" x14ac:dyDescent="0.25">
      <c r="A2710">
        <v>113</v>
      </c>
      <c r="B2710">
        <v>118</v>
      </c>
      <c r="C2710">
        <v>5</v>
      </c>
    </row>
    <row r="2711" spans="1:3" x14ac:dyDescent="0.25">
      <c r="A2711">
        <v>119</v>
      </c>
      <c r="B2711">
        <v>118</v>
      </c>
      <c r="C2711">
        <v>4</v>
      </c>
    </row>
    <row r="2712" spans="1:3" x14ac:dyDescent="0.25">
      <c r="A2712">
        <v>126</v>
      </c>
      <c r="B2712">
        <v>118</v>
      </c>
      <c r="C2712">
        <v>5</v>
      </c>
    </row>
    <row r="2713" spans="1:3" x14ac:dyDescent="0.25">
      <c r="A2713">
        <v>126</v>
      </c>
      <c r="B2713">
        <v>118</v>
      </c>
      <c r="C2713">
        <v>5</v>
      </c>
    </row>
    <row r="2714" spans="1:3" x14ac:dyDescent="0.25">
      <c r="A2714">
        <v>131</v>
      </c>
      <c r="B2714">
        <v>118</v>
      </c>
      <c r="C2714">
        <v>1</v>
      </c>
    </row>
    <row r="2715" spans="1:3" x14ac:dyDescent="0.25">
      <c r="A2715">
        <v>132</v>
      </c>
      <c r="B2715">
        <v>118</v>
      </c>
      <c r="C2715">
        <v>1</v>
      </c>
    </row>
    <row r="2716" spans="1:3" x14ac:dyDescent="0.25">
      <c r="A2716">
        <v>167</v>
      </c>
      <c r="B2716">
        <v>118</v>
      </c>
      <c r="C2716">
        <v>4</v>
      </c>
    </row>
    <row r="2717" spans="1:3" x14ac:dyDescent="0.25">
      <c r="A2717">
        <v>173</v>
      </c>
      <c r="B2717">
        <v>118</v>
      </c>
      <c r="C2717">
        <v>5</v>
      </c>
    </row>
    <row r="2718" spans="1:3" x14ac:dyDescent="0.25">
      <c r="A2718">
        <v>187</v>
      </c>
      <c r="B2718">
        <v>118</v>
      </c>
      <c r="C2718">
        <v>3</v>
      </c>
    </row>
    <row r="2719" spans="1:3" x14ac:dyDescent="0.25">
      <c r="A2719">
        <v>188</v>
      </c>
      <c r="B2719">
        <v>118</v>
      </c>
      <c r="C2719">
        <v>4</v>
      </c>
    </row>
    <row r="2720" spans="1:3" x14ac:dyDescent="0.25">
      <c r="A2720">
        <v>206</v>
      </c>
      <c r="B2720">
        <v>118</v>
      </c>
      <c r="C2720">
        <v>1</v>
      </c>
    </row>
    <row r="2721" spans="1:3" x14ac:dyDescent="0.25">
      <c r="A2721">
        <v>221</v>
      </c>
      <c r="B2721">
        <v>118</v>
      </c>
      <c r="C2721">
        <v>3</v>
      </c>
    </row>
    <row r="2722" spans="1:3" x14ac:dyDescent="0.25">
      <c r="A2722">
        <v>227</v>
      </c>
      <c r="B2722">
        <v>118</v>
      </c>
      <c r="C2722">
        <v>2</v>
      </c>
    </row>
    <row r="2723" spans="1:3" x14ac:dyDescent="0.25">
      <c r="A2723">
        <v>254</v>
      </c>
      <c r="B2723">
        <v>118</v>
      </c>
      <c r="C2723">
        <v>4</v>
      </c>
    </row>
    <row r="2724" spans="1:3" x14ac:dyDescent="0.25">
      <c r="A2724">
        <v>296</v>
      </c>
      <c r="B2724">
        <v>118</v>
      </c>
      <c r="C2724">
        <v>1</v>
      </c>
    </row>
    <row r="2725" spans="1:3" x14ac:dyDescent="0.25">
      <c r="A2725">
        <v>6</v>
      </c>
      <c r="B2725">
        <v>119</v>
      </c>
      <c r="C2725">
        <v>2</v>
      </c>
    </row>
    <row r="2726" spans="1:3" x14ac:dyDescent="0.25">
      <c r="A2726">
        <v>15</v>
      </c>
      <c r="B2726">
        <v>119</v>
      </c>
      <c r="C2726">
        <v>4</v>
      </c>
    </row>
    <row r="2727" spans="1:3" x14ac:dyDescent="0.25">
      <c r="A2727">
        <v>60</v>
      </c>
      <c r="B2727">
        <v>119</v>
      </c>
      <c r="C2727">
        <v>4</v>
      </c>
    </row>
    <row r="2728" spans="1:3" x14ac:dyDescent="0.25">
      <c r="A2728">
        <v>61</v>
      </c>
      <c r="B2728">
        <v>119</v>
      </c>
      <c r="C2728">
        <v>2</v>
      </c>
    </row>
    <row r="2729" spans="1:3" x14ac:dyDescent="0.25">
      <c r="A2729">
        <v>62</v>
      </c>
      <c r="B2729">
        <v>119</v>
      </c>
      <c r="C2729">
        <v>4</v>
      </c>
    </row>
    <row r="2730" spans="1:3" x14ac:dyDescent="0.25">
      <c r="A2730">
        <v>87</v>
      </c>
      <c r="B2730">
        <v>119</v>
      </c>
      <c r="C2730">
        <v>1</v>
      </c>
    </row>
    <row r="2731" spans="1:3" x14ac:dyDescent="0.25">
      <c r="A2731">
        <v>95</v>
      </c>
      <c r="B2731">
        <v>119</v>
      </c>
      <c r="C2731">
        <v>2</v>
      </c>
    </row>
    <row r="2732" spans="1:3" x14ac:dyDescent="0.25">
      <c r="A2732">
        <v>104</v>
      </c>
      <c r="B2732">
        <v>119</v>
      </c>
      <c r="C2732">
        <v>1</v>
      </c>
    </row>
    <row r="2733" spans="1:3" x14ac:dyDescent="0.25">
      <c r="A2733">
        <v>111</v>
      </c>
      <c r="B2733">
        <v>119</v>
      </c>
      <c r="C2733">
        <v>4</v>
      </c>
    </row>
    <row r="2734" spans="1:3" x14ac:dyDescent="0.25">
      <c r="A2734">
        <v>140</v>
      </c>
      <c r="B2734">
        <v>119</v>
      </c>
      <c r="C2734">
        <v>5</v>
      </c>
    </row>
    <row r="2735" spans="1:3" x14ac:dyDescent="0.25">
      <c r="A2735">
        <v>144</v>
      </c>
      <c r="B2735">
        <v>119</v>
      </c>
      <c r="C2735">
        <v>3</v>
      </c>
    </row>
    <row r="2736" spans="1:3" x14ac:dyDescent="0.25">
      <c r="A2736">
        <v>175</v>
      </c>
      <c r="B2736">
        <v>119</v>
      </c>
      <c r="C2736">
        <v>1</v>
      </c>
    </row>
    <row r="2737" spans="1:3" x14ac:dyDescent="0.25">
      <c r="A2737">
        <v>177</v>
      </c>
      <c r="B2737">
        <v>119</v>
      </c>
      <c r="C2737">
        <v>1</v>
      </c>
    </row>
    <row r="2738" spans="1:3" x14ac:dyDescent="0.25">
      <c r="A2738">
        <v>183</v>
      </c>
      <c r="B2738">
        <v>119</v>
      </c>
      <c r="C2738">
        <v>3</v>
      </c>
    </row>
    <row r="2739" spans="1:3" x14ac:dyDescent="0.25">
      <c r="A2739">
        <v>208</v>
      </c>
      <c r="B2739">
        <v>119</v>
      </c>
      <c r="C2739">
        <v>3</v>
      </c>
    </row>
    <row r="2740" spans="1:3" x14ac:dyDescent="0.25">
      <c r="A2740">
        <v>231</v>
      </c>
      <c r="B2740">
        <v>119</v>
      </c>
      <c r="C2740">
        <v>1</v>
      </c>
    </row>
    <row r="2741" spans="1:3" x14ac:dyDescent="0.25">
      <c r="A2741">
        <v>243</v>
      </c>
      <c r="B2741">
        <v>119</v>
      </c>
      <c r="C2741">
        <v>1</v>
      </c>
    </row>
    <row r="2742" spans="1:3" x14ac:dyDescent="0.25">
      <c r="A2742">
        <v>261</v>
      </c>
      <c r="B2742">
        <v>119</v>
      </c>
      <c r="C2742">
        <v>4</v>
      </c>
    </row>
    <row r="2743" spans="1:3" x14ac:dyDescent="0.25">
      <c r="A2743">
        <v>269</v>
      </c>
      <c r="B2743">
        <v>119</v>
      </c>
      <c r="C2743">
        <v>5</v>
      </c>
    </row>
    <row r="2744" spans="1:3" x14ac:dyDescent="0.25">
      <c r="A2744">
        <v>282</v>
      </c>
      <c r="B2744">
        <v>119</v>
      </c>
      <c r="C2744">
        <v>2</v>
      </c>
    </row>
    <row r="2745" spans="1:3" x14ac:dyDescent="0.25">
      <c r="A2745">
        <v>30</v>
      </c>
      <c r="B2745">
        <v>120</v>
      </c>
      <c r="C2745">
        <v>2</v>
      </c>
    </row>
    <row r="2746" spans="1:3" x14ac:dyDescent="0.25">
      <c r="A2746">
        <v>34</v>
      </c>
      <c r="B2746">
        <v>120</v>
      </c>
      <c r="C2746">
        <v>2</v>
      </c>
    </row>
    <row r="2747" spans="1:3" x14ac:dyDescent="0.25">
      <c r="A2747">
        <v>61</v>
      </c>
      <c r="B2747">
        <v>120</v>
      </c>
      <c r="C2747">
        <v>3</v>
      </c>
    </row>
    <row r="2748" spans="1:3" x14ac:dyDescent="0.25">
      <c r="A2748">
        <v>62</v>
      </c>
      <c r="B2748">
        <v>120</v>
      </c>
      <c r="C2748">
        <v>5</v>
      </c>
    </row>
    <row r="2749" spans="1:3" x14ac:dyDescent="0.25">
      <c r="A2749">
        <v>69</v>
      </c>
      <c r="B2749">
        <v>120</v>
      </c>
      <c r="C2749">
        <v>1</v>
      </c>
    </row>
    <row r="2750" spans="1:3" x14ac:dyDescent="0.25">
      <c r="A2750">
        <v>78</v>
      </c>
      <c r="B2750">
        <v>120</v>
      </c>
      <c r="C2750">
        <v>3</v>
      </c>
    </row>
    <row r="2751" spans="1:3" x14ac:dyDescent="0.25">
      <c r="A2751">
        <v>81</v>
      </c>
      <c r="B2751">
        <v>120</v>
      </c>
      <c r="C2751">
        <v>1</v>
      </c>
    </row>
    <row r="2752" spans="1:3" x14ac:dyDescent="0.25">
      <c r="A2752">
        <v>94</v>
      </c>
      <c r="B2752">
        <v>120</v>
      </c>
      <c r="C2752">
        <v>4</v>
      </c>
    </row>
    <row r="2753" spans="1:3" x14ac:dyDescent="0.25">
      <c r="A2753">
        <v>105</v>
      </c>
      <c r="B2753">
        <v>120</v>
      </c>
      <c r="C2753">
        <v>1</v>
      </c>
    </row>
    <row r="2754" spans="1:3" x14ac:dyDescent="0.25">
      <c r="A2754">
        <v>109</v>
      </c>
      <c r="B2754">
        <v>120</v>
      </c>
      <c r="C2754">
        <v>1</v>
      </c>
    </row>
    <row r="2755" spans="1:3" x14ac:dyDescent="0.25">
      <c r="A2755">
        <v>117</v>
      </c>
      <c r="B2755">
        <v>120</v>
      </c>
      <c r="C2755">
        <v>1</v>
      </c>
    </row>
    <row r="2756" spans="1:3" x14ac:dyDescent="0.25">
      <c r="A2756">
        <v>141</v>
      </c>
      <c r="B2756">
        <v>120</v>
      </c>
      <c r="C2756">
        <v>5</v>
      </c>
    </row>
    <row r="2757" spans="1:3" x14ac:dyDescent="0.25">
      <c r="A2757">
        <v>163</v>
      </c>
      <c r="B2757">
        <v>120</v>
      </c>
      <c r="C2757">
        <v>4</v>
      </c>
    </row>
    <row r="2758" spans="1:3" x14ac:dyDescent="0.25">
      <c r="A2758">
        <v>190</v>
      </c>
      <c r="B2758">
        <v>120</v>
      </c>
      <c r="C2758">
        <v>5</v>
      </c>
    </row>
    <row r="2759" spans="1:3" x14ac:dyDescent="0.25">
      <c r="A2759">
        <v>226</v>
      </c>
      <c r="B2759">
        <v>120</v>
      </c>
      <c r="C2759">
        <v>2</v>
      </c>
    </row>
    <row r="2760" spans="1:3" x14ac:dyDescent="0.25">
      <c r="A2760">
        <v>228</v>
      </c>
      <c r="B2760">
        <v>120</v>
      </c>
      <c r="C2760">
        <v>3</v>
      </c>
    </row>
    <row r="2761" spans="1:3" x14ac:dyDescent="0.25">
      <c r="A2761">
        <v>228</v>
      </c>
      <c r="B2761">
        <v>120</v>
      </c>
      <c r="C2761">
        <v>1</v>
      </c>
    </row>
    <row r="2762" spans="1:3" x14ac:dyDescent="0.25">
      <c r="A2762">
        <v>239</v>
      </c>
      <c r="B2762">
        <v>120</v>
      </c>
      <c r="C2762">
        <v>5</v>
      </c>
    </row>
    <row r="2763" spans="1:3" x14ac:dyDescent="0.25">
      <c r="A2763">
        <v>261</v>
      </c>
      <c r="B2763">
        <v>120</v>
      </c>
      <c r="C2763">
        <v>2</v>
      </c>
    </row>
    <row r="2764" spans="1:3" x14ac:dyDescent="0.25">
      <c r="A2764">
        <v>262</v>
      </c>
      <c r="B2764">
        <v>120</v>
      </c>
      <c r="C2764">
        <v>5</v>
      </c>
    </row>
    <row r="2765" spans="1:3" x14ac:dyDescent="0.25">
      <c r="A2765">
        <v>263</v>
      </c>
      <c r="B2765">
        <v>120</v>
      </c>
      <c r="C2765">
        <v>5</v>
      </c>
    </row>
    <row r="2766" spans="1:3" x14ac:dyDescent="0.25">
      <c r="A2766">
        <v>264</v>
      </c>
      <c r="B2766">
        <v>120</v>
      </c>
      <c r="C2766">
        <v>3</v>
      </c>
    </row>
    <row r="2767" spans="1:3" x14ac:dyDescent="0.25">
      <c r="A2767">
        <v>273</v>
      </c>
      <c r="B2767">
        <v>120</v>
      </c>
      <c r="C2767">
        <v>1</v>
      </c>
    </row>
    <row r="2768" spans="1:3" x14ac:dyDescent="0.25">
      <c r="A2768">
        <v>285</v>
      </c>
      <c r="B2768">
        <v>120</v>
      </c>
      <c r="C2768">
        <v>4</v>
      </c>
    </row>
    <row r="2769" spans="1:3" x14ac:dyDescent="0.25">
      <c r="A2769">
        <v>298</v>
      </c>
      <c r="B2769">
        <v>120</v>
      </c>
      <c r="C2769">
        <v>2</v>
      </c>
    </row>
    <row r="2770" spans="1:3" x14ac:dyDescent="0.25">
      <c r="A2770">
        <v>6</v>
      </c>
      <c r="B2770">
        <v>121</v>
      </c>
      <c r="C2770">
        <v>4</v>
      </c>
    </row>
    <row r="2771" spans="1:3" x14ac:dyDescent="0.25">
      <c r="A2771">
        <v>16</v>
      </c>
      <c r="B2771">
        <v>121</v>
      </c>
      <c r="C2771">
        <v>3</v>
      </c>
    </row>
    <row r="2772" spans="1:3" x14ac:dyDescent="0.25">
      <c r="A2772">
        <v>16</v>
      </c>
      <c r="B2772">
        <v>121</v>
      </c>
      <c r="C2772">
        <v>4</v>
      </c>
    </row>
    <row r="2773" spans="1:3" x14ac:dyDescent="0.25">
      <c r="A2773">
        <v>21</v>
      </c>
      <c r="B2773">
        <v>121</v>
      </c>
      <c r="C2773">
        <v>2</v>
      </c>
    </row>
    <row r="2774" spans="1:3" x14ac:dyDescent="0.25">
      <c r="A2774">
        <v>27</v>
      </c>
      <c r="B2774">
        <v>121</v>
      </c>
      <c r="C2774">
        <v>3</v>
      </c>
    </row>
    <row r="2775" spans="1:3" x14ac:dyDescent="0.25">
      <c r="A2775">
        <v>54</v>
      </c>
      <c r="B2775">
        <v>121</v>
      </c>
      <c r="C2775">
        <v>1</v>
      </c>
    </row>
    <row r="2776" spans="1:3" x14ac:dyDescent="0.25">
      <c r="A2776">
        <v>64</v>
      </c>
      <c r="B2776">
        <v>121</v>
      </c>
      <c r="C2776">
        <v>4</v>
      </c>
    </row>
    <row r="2777" spans="1:3" x14ac:dyDescent="0.25">
      <c r="A2777">
        <v>103</v>
      </c>
      <c r="B2777">
        <v>121</v>
      </c>
      <c r="C2777">
        <v>4</v>
      </c>
    </row>
    <row r="2778" spans="1:3" x14ac:dyDescent="0.25">
      <c r="A2778">
        <v>111</v>
      </c>
      <c r="B2778">
        <v>121</v>
      </c>
      <c r="C2778">
        <v>1</v>
      </c>
    </row>
    <row r="2779" spans="1:3" x14ac:dyDescent="0.25">
      <c r="A2779">
        <v>131</v>
      </c>
      <c r="B2779">
        <v>121</v>
      </c>
      <c r="C2779">
        <v>4</v>
      </c>
    </row>
    <row r="2780" spans="1:3" x14ac:dyDescent="0.25">
      <c r="A2780">
        <v>134</v>
      </c>
      <c r="B2780">
        <v>121</v>
      </c>
      <c r="C2780">
        <v>3</v>
      </c>
    </row>
    <row r="2781" spans="1:3" x14ac:dyDescent="0.25">
      <c r="A2781">
        <v>141</v>
      </c>
      <c r="B2781">
        <v>121</v>
      </c>
      <c r="C2781">
        <v>3</v>
      </c>
    </row>
    <row r="2782" spans="1:3" x14ac:dyDescent="0.25">
      <c r="A2782">
        <v>151</v>
      </c>
      <c r="B2782">
        <v>121</v>
      </c>
      <c r="C2782">
        <v>1</v>
      </c>
    </row>
    <row r="2783" spans="1:3" x14ac:dyDescent="0.25">
      <c r="A2783">
        <v>163</v>
      </c>
      <c r="B2783">
        <v>121</v>
      </c>
      <c r="C2783">
        <v>3</v>
      </c>
    </row>
    <row r="2784" spans="1:3" x14ac:dyDescent="0.25">
      <c r="A2784">
        <v>233</v>
      </c>
      <c r="B2784">
        <v>121</v>
      </c>
      <c r="C2784">
        <v>3</v>
      </c>
    </row>
    <row r="2785" spans="1:3" x14ac:dyDescent="0.25">
      <c r="A2785">
        <v>233</v>
      </c>
      <c r="B2785">
        <v>121</v>
      </c>
      <c r="C2785">
        <v>1</v>
      </c>
    </row>
    <row r="2786" spans="1:3" x14ac:dyDescent="0.25">
      <c r="A2786">
        <v>261</v>
      </c>
      <c r="B2786">
        <v>121</v>
      </c>
      <c r="C2786">
        <v>3</v>
      </c>
    </row>
    <row r="2787" spans="1:3" x14ac:dyDescent="0.25">
      <c r="A2787">
        <v>263</v>
      </c>
      <c r="B2787">
        <v>121</v>
      </c>
      <c r="C2787">
        <v>3</v>
      </c>
    </row>
    <row r="2788" spans="1:3" x14ac:dyDescent="0.25">
      <c r="A2788">
        <v>284</v>
      </c>
      <c r="B2788">
        <v>121</v>
      </c>
      <c r="C2788">
        <v>5</v>
      </c>
    </row>
    <row r="2789" spans="1:3" x14ac:dyDescent="0.25">
      <c r="A2789">
        <v>299</v>
      </c>
      <c r="B2789">
        <v>121</v>
      </c>
      <c r="C2789">
        <v>3</v>
      </c>
    </row>
    <row r="2790" spans="1:3" x14ac:dyDescent="0.25">
      <c r="A2790">
        <v>32</v>
      </c>
      <c r="B2790">
        <v>122</v>
      </c>
      <c r="C2790">
        <v>4</v>
      </c>
    </row>
    <row r="2791" spans="1:3" x14ac:dyDescent="0.25">
      <c r="A2791">
        <v>33</v>
      </c>
      <c r="B2791">
        <v>122</v>
      </c>
      <c r="C2791">
        <v>2</v>
      </c>
    </row>
    <row r="2792" spans="1:3" x14ac:dyDescent="0.25">
      <c r="A2792">
        <v>49</v>
      </c>
      <c r="B2792">
        <v>122</v>
      </c>
      <c r="C2792">
        <v>4</v>
      </c>
    </row>
    <row r="2793" spans="1:3" x14ac:dyDescent="0.25">
      <c r="A2793">
        <v>70</v>
      </c>
      <c r="B2793">
        <v>122</v>
      </c>
      <c r="C2793">
        <v>2</v>
      </c>
    </row>
    <row r="2794" spans="1:3" x14ac:dyDescent="0.25">
      <c r="A2794">
        <v>87</v>
      </c>
      <c r="B2794">
        <v>122</v>
      </c>
      <c r="C2794">
        <v>4</v>
      </c>
    </row>
    <row r="2795" spans="1:3" x14ac:dyDescent="0.25">
      <c r="A2795">
        <v>106</v>
      </c>
      <c r="B2795">
        <v>122</v>
      </c>
      <c r="C2795">
        <v>5</v>
      </c>
    </row>
    <row r="2796" spans="1:3" x14ac:dyDescent="0.25">
      <c r="A2796">
        <v>134</v>
      </c>
      <c r="B2796">
        <v>122</v>
      </c>
      <c r="C2796">
        <v>2</v>
      </c>
    </row>
    <row r="2797" spans="1:3" x14ac:dyDescent="0.25">
      <c r="A2797">
        <v>146</v>
      </c>
      <c r="B2797">
        <v>122</v>
      </c>
      <c r="C2797">
        <v>5</v>
      </c>
    </row>
    <row r="2798" spans="1:3" x14ac:dyDescent="0.25">
      <c r="A2798">
        <v>150</v>
      </c>
      <c r="B2798">
        <v>122</v>
      </c>
      <c r="C2798">
        <v>1</v>
      </c>
    </row>
    <row r="2799" spans="1:3" x14ac:dyDescent="0.25">
      <c r="A2799">
        <v>152</v>
      </c>
      <c r="B2799">
        <v>122</v>
      </c>
      <c r="C2799">
        <v>2</v>
      </c>
    </row>
    <row r="2800" spans="1:3" x14ac:dyDescent="0.25">
      <c r="A2800">
        <v>178</v>
      </c>
      <c r="B2800">
        <v>122</v>
      </c>
      <c r="C2800">
        <v>3</v>
      </c>
    </row>
    <row r="2801" spans="1:3" x14ac:dyDescent="0.25">
      <c r="A2801">
        <v>206</v>
      </c>
      <c r="B2801">
        <v>122</v>
      </c>
      <c r="C2801">
        <v>5</v>
      </c>
    </row>
    <row r="2802" spans="1:3" x14ac:dyDescent="0.25">
      <c r="A2802">
        <v>210</v>
      </c>
      <c r="B2802">
        <v>122</v>
      </c>
      <c r="C2802">
        <v>4</v>
      </c>
    </row>
    <row r="2803" spans="1:3" x14ac:dyDescent="0.25">
      <c r="A2803">
        <v>244</v>
      </c>
      <c r="B2803">
        <v>122</v>
      </c>
      <c r="C2803">
        <v>4</v>
      </c>
    </row>
    <row r="2804" spans="1:3" x14ac:dyDescent="0.25">
      <c r="A2804">
        <v>258</v>
      </c>
      <c r="B2804">
        <v>122</v>
      </c>
      <c r="C2804">
        <v>5</v>
      </c>
    </row>
    <row r="2805" spans="1:3" x14ac:dyDescent="0.25">
      <c r="A2805">
        <v>268</v>
      </c>
      <c r="B2805">
        <v>122</v>
      </c>
      <c r="C2805">
        <v>1</v>
      </c>
    </row>
    <row r="2806" spans="1:3" x14ac:dyDescent="0.25">
      <c r="A2806">
        <v>276</v>
      </c>
      <c r="B2806">
        <v>122</v>
      </c>
      <c r="C2806">
        <v>4</v>
      </c>
    </row>
    <row r="2807" spans="1:3" x14ac:dyDescent="0.25">
      <c r="A2807">
        <v>285</v>
      </c>
      <c r="B2807">
        <v>122</v>
      </c>
      <c r="C2807">
        <v>5</v>
      </c>
    </row>
    <row r="2808" spans="1:3" x14ac:dyDescent="0.25">
      <c r="A2808">
        <v>27</v>
      </c>
      <c r="B2808">
        <v>123</v>
      </c>
      <c r="C2808">
        <v>5</v>
      </c>
    </row>
    <row r="2809" spans="1:3" x14ac:dyDescent="0.25">
      <c r="A2809">
        <v>29</v>
      </c>
      <c r="B2809">
        <v>123</v>
      </c>
      <c r="C2809">
        <v>3</v>
      </c>
    </row>
    <row r="2810" spans="1:3" x14ac:dyDescent="0.25">
      <c r="A2810">
        <v>45</v>
      </c>
      <c r="B2810">
        <v>123</v>
      </c>
      <c r="C2810">
        <v>4</v>
      </c>
    </row>
    <row r="2811" spans="1:3" x14ac:dyDescent="0.25">
      <c r="A2811">
        <v>47</v>
      </c>
      <c r="B2811">
        <v>123</v>
      </c>
      <c r="C2811">
        <v>2</v>
      </c>
    </row>
    <row r="2812" spans="1:3" x14ac:dyDescent="0.25">
      <c r="A2812">
        <v>53</v>
      </c>
      <c r="B2812">
        <v>123</v>
      </c>
      <c r="C2812">
        <v>2</v>
      </c>
    </row>
    <row r="2813" spans="1:3" x14ac:dyDescent="0.25">
      <c r="A2813">
        <v>68</v>
      </c>
      <c r="B2813">
        <v>123</v>
      </c>
      <c r="C2813">
        <v>1</v>
      </c>
    </row>
    <row r="2814" spans="1:3" x14ac:dyDescent="0.25">
      <c r="A2814">
        <v>94</v>
      </c>
      <c r="B2814">
        <v>123</v>
      </c>
      <c r="C2814">
        <v>2</v>
      </c>
    </row>
    <row r="2815" spans="1:3" x14ac:dyDescent="0.25">
      <c r="A2815">
        <v>110</v>
      </c>
      <c r="B2815">
        <v>123</v>
      </c>
      <c r="C2815">
        <v>4</v>
      </c>
    </row>
    <row r="2816" spans="1:3" x14ac:dyDescent="0.25">
      <c r="A2816">
        <v>161</v>
      </c>
      <c r="B2816">
        <v>123</v>
      </c>
      <c r="C2816">
        <v>4</v>
      </c>
    </row>
    <row r="2817" spans="1:3" x14ac:dyDescent="0.25">
      <c r="A2817">
        <v>173</v>
      </c>
      <c r="B2817">
        <v>123</v>
      </c>
      <c r="C2817">
        <v>3</v>
      </c>
    </row>
    <row r="2818" spans="1:3" x14ac:dyDescent="0.25">
      <c r="A2818">
        <v>175</v>
      </c>
      <c r="B2818">
        <v>123</v>
      </c>
      <c r="C2818">
        <v>1</v>
      </c>
    </row>
    <row r="2819" spans="1:3" x14ac:dyDescent="0.25">
      <c r="A2819">
        <v>179</v>
      </c>
      <c r="B2819">
        <v>123</v>
      </c>
      <c r="C2819">
        <v>1</v>
      </c>
    </row>
    <row r="2820" spans="1:3" x14ac:dyDescent="0.25">
      <c r="A2820">
        <v>185</v>
      </c>
      <c r="B2820">
        <v>123</v>
      </c>
      <c r="C2820">
        <v>1</v>
      </c>
    </row>
    <row r="2821" spans="1:3" x14ac:dyDescent="0.25">
      <c r="A2821">
        <v>206</v>
      </c>
      <c r="B2821">
        <v>123</v>
      </c>
      <c r="C2821">
        <v>5</v>
      </c>
    </row>
    <row r="2822" spans="1:3" x14ac:dyDescent="0.25">
      <c r="A2822">
        <v>210</v>
      </c>
      <c r="B2822">
        <v>123</v>
      </c>
      <c r="C2822">
        <v>5</v>
      </c>
    </row>
    <row r="2823" spans="1:3" x14ac:dyDescent="0.25">
      <c r="A2823">
        <v>210</v>
      </c>
      <c r="B2823">
        <v>123</v>
      </c>
      <c r="C2823">
        <v>3</v>
      </c>
    </row>
    <row r="2824" spans="1:3" x14ac:dyDescent="0.25">
      <c r="A2824">
        <v>215</v>
      </c>
      <c r="B2824">
        <v>123</v>
      </c>
      <c r="C2824">
        <v>3</v>
      </c>
    </row>
    <row r="2825" spans="1:3" x14ac:dyDescent="0.25">
      <c r="A2825">
        <v>225</v>
      </c>
      <c r="B2825">
        <v>123</v>
      </c>
      <c r="C2825">
        <v>3</v>
      </c>
    </row>
    <row r="2826" spans="1:3" x14ac:dyDescent="0.25">
      <c r="A2826">
        <v>239</v>
      </c>
      <c r="B2826">
        <v>123</v>
      </c>
      <c r="C2826">
        <v>4</v>
      </c>
    </row>
    <row r="2827" spans="1:3" x14ac:dyDescent="0.25">
      <c r="A2827">
        <v>255</v>
      </c>
      <c r="B2827">
        <v>123</v>
      </c>
      <c r="C2827">
        <v>5</v>
      </c>
    </row>
    <row r="2828" spans="1:3" x14ac:dyDescent="0.25">
      <c r="A2828">
        <v>19</v>
      </c>
      <c r="B2828">
        <v>124</v>
      </c>
      <c r="C2828">
        <v>4</v>
      </c>
    </row>
    <row r="2829" spans="1:3" x14ac:dyDescent="0.25">
      <c r="A2829">
        <v>22</v>
      </c>
      <c r="B2829">
        <v>124</v>
      </c>
      <c r="C2829">
        <v>3</v>
      </c>
    </row>
    <row r="2830" spans="1:3" x14ac:dyDescent="0.25">
      <c r="A2830">
        <v>29</v>
      </c>
      <c r="B2830">
        <v>124</v>
      </c>
      <c r="C2830">
        <v>2</v>
      </c>
    </row>
    <row r="2831" spans="1:3" x14ac:dyDescent="0.25">
      <c r="A2831">
        <v>115</v>
      </c>
      <c r="B2831">
        <v>124</v>
      </c>
      <c r="C2831">
        <v>3</v>
      </c>
    </row>
    <row r="2832" spans="1:3" x14ac:dyDescent="0.25">
      <c r="A2832">
        <v>160</v>
      </c>
      <c r="B2832">
        <v>124</v>
      </c>
      <c r="C2832">
        <v>5</v>
      </c>
    </row>
    <row r="2833" spans="1:3" x14ac:dyDescent="0.25">
      <c r="A2833">
        <v>161</v>
      </c>
      <c r="B2833">
        <v>124</v>
      </c>
      <c r="C2833">
        <v>2</v>
      </c>
    </row>
    <row r="2834" spans="1:3" x14ac:dyDescent="0.25">
      <c r="A2834">
        <v>185</v>
      </c>
      <c r="B2834">
        <v>124</v>
      </c>
      <c r="C2834">
        <v>2</v>
      </c>
    </row>
    <row r="2835" spans="1:3" x14ac:dyDescent="0.25">
      <c r="A2835">
        <v>190</v>
      </c>
      <c r="B2835">
        <v>124</v>
      </c>
      <c r="C2835">
        <v>1</v>
      </c>
    </row>
    <row r="2836" spans="1:3" x14ac:dyDescent="0.25">
      <c r="A2836">
        <v>212</v>
      </c>
      <c r="B2836">
        <v>124</v>
      </c>
      <c r="C2836">
        <v>3</v>
      </c>
    </row>
    <row r="2837" spans="1:3" x14ac:dyDescent="0.25">
      <c r="A2837">
        <v>223</v>
      </c>
      <c r="B2837">
        <v>124</v>
      </c>
      <c r="C2837">
        <v>2</v>
      </c>
    </row>
    <row r="2838" spans="1:3" x14ac:dyDescent="0.25">
      <c r="A2838">
        <v>234</v>
      </c>
      <c r="B2838">
        <v>124</v>
      </c>
      <c r="C2838">
        <v>1</v>
      </c>
    </row>
    <row r="2839" spans="1:3" x14ac:dyDescent="0.25">
      <c r="A2839">
        <v>260</v>
      </c>
      <c r="B2839">
        <v>124</v>
      </c>
      <c r="C2839">
        <v>4</v>
      </c>
    </row>
    <row r="2840" spans="1:3" x14ac:dyDescent="0.25">
      <c r="A2840">
        <v>261</v>
      </c>
      <c r="B2840">
        <v>124</v>
      </c>
      <c r="C2840">
        <v>1</v>
      </c>
    </row>
    <row r="2841" spans="1:3" x14ac:dyDescent="0.25">
      <c r="A2841">
        <v>26</v>
      </c>
      <c r="B2841">
        <v>125</v>
      </c>
      <c r="C2841">
        <v>5</v>
      </c>
    </row>
    <row r="2842" spans="1:3" x14ac:dyDescent="0.25">
      <c r="A2842">
        <v>63</v>
      </c>
      <c r="B2842">
        <v>125</v>
      </c>
      <c r="C2842">
        <v>1</v>
      </c>
    </row>
    <row r="2843" spans="1:3" x14ac:dyDescent="0.25">
      <c r="A2843">
        <v>71</v>
      </c>
      <c r="B2843">
        <v>125</v>
      </c>
      <c r="C2843">
        <v>3</v>
      </c>
    </row>
    <row r="2844" spans="1:3" x14ac:dyDescent="0.25">
      <c r="A2844">
        <v>73</v>
      </c>
      <c r="B2844">
        <v>125</v>
      </c>
      <c r="C2844">
        <v>5</v>
      </c>
    </row>
    <row r="2845" spans="1:3" x14ac:dyDescent="0.25">
      <c r="A2845">
        <v>81</v>
      </c>
      <c r="B2845">
        <v>125</v>
      </c>
      <c r="C2845">
        <v>1</v>
      </c>
    </row>
    <row r="2846" spans="1:3" x14ac:dyDescent="0.25">
      <c r="A2846">
        <v>126</v>
      </c>
      <c r="B2846">
        <v>125</v>
      </c>
      <c r="C2846">
        <v>5</v>
      </c>
    </row>
    <row r="2847" spans="1:3" x14ac:dyDescent="0.25">
      <c r="A2847">
        <v>169</v>
      </c>
      <c r="B2847">
        <v>125</v>
      </c>
      <c r="C2847">
        <v>5</v>
      </c>
    </row>
    <row r="2848" spans="1:3" x14ac:dyDescent="0.25">
      <c r="A2848">
        <v>184</v>
      </c>
      <c r="B2848">
        <v>125</v>
      </c>
      <c r="C2848">
        <v>1</v>
      </c>
    </row>
    <row r="2849" spans="1:3" x14ac:dyDescent="0.25">
      <c r="A2849">
        <v>196</v>
      </c>
      <c r="B2849">
        <v>125</v>
      </c>
      <c r="C2849">
        <v>4</v>
      </c>
    </row>
    <row r="2850" spans="1:3" x14ac:dyDescent="0.25">
      <c r="A2850">
        <v>197</v>
      </c>
      <c r="B2850">
        <v>125</v>
      </c>
      <c r="C2850">
        <v>1</v>
      </c>
    </row>
    <row r="2851" spans="1:3" x14ac:dyDescent="0.25">
      <c r="A2851">
        <v>198</v>
      </c>
      <c r="B2851">
        <v>125</v>
      </c>
      <c r="C2851">
        <v>1</v>
      </c>
    </row>
    <row r="2852" spans="1:3" x14ac:dyDescent="0.25">
      <c r="A2852">
        <v>207</v>
      </c>
      <c r="B2852">
        <v>125</v>
      </c>
      <c r="C2852">
        <v>5</v>
      </c>
    </row>
    <row r="2853" spans="1:3" x14ac:dyDescent="0.25">
      <c r="A2853">
        <v>211</v>
      </c>
      <c r="B2853">
        <v>125</v>
      </c>
      <c r="C2853">
        <v>5</v>
      </c>
    </row>
    <row r="2854" spans="1:3" x14ac:dyDescent="0.25">
      <c r="A2854">
        <v>252</v>
      </c>
      <c r="B2854">
        <v>125</v>
      </c>
      <c r="C2854">
        <v>5</v>
      </c>
    </row>
    <row r="2855" spans="1:3" x14ac:dyDescent="0.25">
      <c r="A2855">
        <v>268</v>
      </c>
      <c r="B2855">
        <v>125</v>
      </c>
      <c r="C2855">
        <v>3</v>
      </c>
    </row>
    <row r="2856" spans="1:3" x14ac:dyDescent="0.25">
      <c r="A2856">
        <v>277</v>
      </c>
      <c r="B2856">
        <v>125</v>
      </c>
      <c r="C2856">
        <v>2</v>
      </c>
    </row>
    <row r="2857" spans="1:3" x14ac:dyDescent="0.25">
      <c r="A2857">
        <v>296</v>
      </c>
      <c r="B2857">
        <v>125</v>
      </c>
      <c r="C2857">
        <v>4</v>
      </c>
    </row>
    <row r="2858" spans="1:3" x14ac:dyDescent="0.25">
      <c r="A2858">
        <v>7</v>
      </c>
      <c r="B2858">
        <v>126</v>
      </c>
      <c r="C2858">
        <v>5</v>
      </c>
    </row>
    <row r="2859" spans="1:3" x14ac:dyDescent="0.25">
      <c r="A2859">
        <v>31</v>
      </c>
      <c r="B2859">
        <v>126</v>
      </c>
      <c r="C2859">
        <v>5</v>
      </c>
    </row>
    <row r="2860" spans="1:3" x14ac:dyDescent="0.25">
      <c r="A2860">
        <v>35</v>
      </c>
      <c r="B2860">
        <v>126</v>
      </c>
      <c r="C2860">
        <v>3</v>
      </c>
    </row>
    <row r="2861" spans="1:3" x14ac:dyDescent="0.25">
      <c r="A2861">
        <v>57</v>
      </c>
      <c r="B2861">
        <v>126</v>
      </c>
      <c r="C2861">
        <v>1</v>
      </c>
    </row>
    <row r="2862" spans="1:3" x14ac:dyDescent="0.25">
      <c r="A2862">
        <v>62</v>
      </c>
      <c r="B2862">
        <v>126</v>
      </c>
      <c r="C2862">
        <v>4</v>
      </c>
    </row>
    <row r="2863" spans="1:3" x14ac:dyDescent="0.25">
      <c r="A2863">
        <v>64</v>
      </c>
      <c r="B2863">
        <v>126</v>
      </c>
      <c r="C2863">
        <v>4</v>
      </c>
    </row>
    <row r="2864" spans="1:3" x14ac:dyDescent="0.25">
      <c r="A2864">
        <v>77</v>
      </c>
      <c r="B2864">
        <v>126</v>
      </c>
      <c r="C2864">
        <v>3</v>
      </c>
    </row>
    <row r="2865" spans="1:3" x14ac:dyDescent="0.25">
      <c r="A2865">
        <v>90</v>
      </c>
      <c r="B2865">
        <v>126</v>
      </c>
      <c r="C2865">
        <v>1</v>
      </c>
    </row>
    <row r="2866" spans="1:3" x14ac:dyDescent="0.25">
      <c r="A2866">
        <v>92</v>
      </c>
      <c r="B2866">
        <v>126</v>
      </c>
      <c r="C2866">
        <v>3</v>
      </c>
    </row>
    <row r="2867" spans="1:3" x14ac:dyDescent="0.25">
      <c r="A2867">
        <v>115</v>
      </c>
      <c r="B2867">
        <v>126</v>
      </c>
      <c r="C2867">
        <v>1</v>
      </c>
    </row>
    <row r="2868" spans="1:3" x14ac:dyDescent="0.25">
      <c r="A2868">
        <v>125</v>
      </c>
      <c r="B2868">
        <v>126</v>
      </c>
      <c r="C2868">
        <v>3</v>
      </c>
    </row>
    <row r="2869" spans="1:3" x14ac:dyDescent="0.25">
      <c r="A2869">
        <v>135</v>
      </c>
      <c r="B2869">
        <v>126</v>
      </c>
      <c r="C2869">
        <v>4</v>
      </c>
    </row>
    <row r="2870" spans="1:3" x14ac:dyDescent="0.25">
      <c r="A2870">
        <v>144</v>
      </c>
      <c r="B2870">
        <v>126</v>
      </c>
      <c r="C2870">
        <v>4</v>
      </c>
    </row>
    <row r="2871" spans="1:3" x14ac:dyDescent="0.25">
      <c r="A2871">
        <v>174</v>
      </c>
      <c r="B2871">
        <v>126</v>
      </c>
      <c r="C2871">
        <v>2</v>
      </c>
    </row>
    <row r="2872" spans="1:3" x14ac:dyDescent="0.25">
      <c r="A2872">
        <v>176</v>
      </c>
      <c r="B2872">
        <v>126</v>
      </c>
      <c r="C2872">
        <v>4</v>
      </c>
    </row>
    <row r="2873" spans="1:3" x14ac:dyDescent="0.25">
      <c r="A2873">
        <v>184</v>
      </c>
      <c r="B2873">
        <v>126</v>
      </c>
      <c r="C2873">
        <v>1</v>
      </c>
    </row>
    <row r="2874" spans="1:3" x14ac:dyDescent="0.25">
      <c r="A2874">
        <v>185</v>
      </c>
      <c r="B2874">
        <v>126</v>
      </c>
      <c r="C2874">
        <v>5</v>
      </c>
    </row>
    <row r="2875" spans="1:3" x14ac:dyDescent="0.25">
      <c r="A2875">
        <v>204</v>
      </c>
      <c r="B2875">
        <v>126</v>
      </c>
      <c r="C2875">
        <v>5</v>
      </c>
    </row>
    <row r="2876" spans="1:3" x14ac:dyDescent="0.25">
      <c r="A2876">
        <v>230</v>
      </c>
      <c r="B2876">
        <v>126</v>
      </c>
      <c r="C2876">
        <v>4</v>
      </c>
    </row>
    <row r="2877" spans="1:3" x14ac:dyDescent="0.25">
      <c r="A2877">
        <v>237</v>
      </c>
      <c r="B2877">
        <v>126</v>
      </c>
      <c r="C2877">
        <v>1</v>
      </c>
    </row>
    <row r="2878" spans="1:3" x14ac:dyDescent="0.25">
      <c r="A2878">
        <v>298</v>
      </c>
      <c r="B2878">
        <v>126</v>
      </c>
      <c r="C2878">
        <v>1</v>
      </c>
    </row>
    <row r="2879" spans="1:3" x14ac:dyDescent="0.25">
      <c r="A2879">
        <v>11</v>
      </c>
      <c r="B2879">
        <v>127</v>
      </c>
      <c r="C2879">
        <v>3</v>
      </c>
    </row>
    <row r="2880" spans="1:3" x14ac:dyDescent="0.25">
      <c r="A2880">
        <v>19</v>
      </c>
      <c r="B2880">
        <v>127</v>
      </c>
      <c r="C2880">
        <v>5</v>
      </c>
    </row>
    <row r="2881" spans="1:3" x14ac:dyDescent="0.25">
      <c r="A2881">
        <v>44</v>
      </c>
      <c r="B2881">
        <v>127</v>
      </c>
      <c r="C2881">
        <v>5</v>
      </c>
    </row>
    <row r="2882" spans="1:3" x14ac:dyDescent="0.25">
      <c r="A2882">
        <v>49</v>
      </c>
      <c r="B2882">
        <v>127</v>
      </c>
      <c r="C2882">
        <v>1</v>
      </c>
    </row>
    <row r="2883" spans="1:3" x14ac:dyDescent="0.25">
      <c r="A2883">
        <v>54</v>
      </c>
      <c r="B2883">
        <v>127</v>
      </c>
      <c r="C2883">
        <v>1</v>
      </c>
    </row>
    <row r="2884" spans="1:3" x14ac:dyDescent="0.25">
      <c r="A2884">
        <v>68</v>
      </c>
      <c r="B2884">
        <v>127</v>
      </c>
      <c r="C2884">
        <v>3</v>
      </c>
    </row>
    <row r="2885" spans="1:3" x14ac:dyDescent="0.25">
      <c r="A2885">
        <v>69</v>
      </c>
      <c r="B2885">
        <v>127</v>
      </c>
      <c r="C2885">
        <v>3</v>
      </c>
    </row>
    <row r="2886" spans="1:3" x14ac:dyDescent="0.25">
      <c r="A2886">
        <v>75</v>
      </c>
      <c r="B2886">
        <v>127</v>
      </c>
      <c r="C2886">
        <v>3</v>
      </c>
    </row>
    <row r="2887" spans="1:3" x14ac:dyDescent="0.25">
      <c r="A2887">
        <v>77</v>
      </c>
      <c r="B2887">
        <v>127</v>
      </c>
      <c r="C2887">
        <v>2</v>
      </c>
    </row>
    <row r="2888" spans="1:3" x14ac:dyDescent="0.25">
      <c r="A2888">
        <v>81</v>
      </c>
      <c r="B2888">
        <v>127</v>
      </c>
      <c r="C2888">
        <v>4</v>
      </c>
    </row>
    <row r="2889" spans="1:3" x14ac:dyDescent="0.25">
      <c r="A2889">
        <v>86</v>
      </c>
      <c r="B2889">
        <v>127</v>
      </c>
      <c r="C2889">
        <v>1</v>
      </c>
    </row>
    <row r="2890" spans="1:3" x14ac:dyDescent="0.25">
      <c r="A2890">
        <v>90</v>
      </c>
      <c r="B2890">
        <v>127</v>
      </c>
      <c r="C2890">
        <v>3</v>
      </c>
    </row>
    <row r="2891" spans="1:3" x14ac:dyDescent="0.25">
      <c r="A2891">
        <v>104</v>
      </c>
      <c r="B2891">
        <v>127</v>
      </c>
      <c r="C2891">
        <v>4</v>
      </c>
    </row>
    <row r="2892" spans="1:3" x14ac:dyDescent="0.25">
      <c r="A2892">
        <v>114</v>
      </c>
      <c r="B2892">
        <v>127</v>
      </c>
      <c r="C2892">
        <v>4</v>
      </c>
    </row>
    <row r="2893" spans="1:3" x14ac:dyDescent="0.25">
      <c r="A2893">
        <v>143</v>
      </c>
      <c r="B2893">
        <v>127</v>
      </c>
      <c r="C2893">
        <v>5</v>
      </c>
    </row>
    <row r="2894" spans="1:3" x14ac:dyDescent="0.25">
      <c r="A2894">
        <v>143</v>
      </c>
      <c r="B2894">
        <v>127</v>
      </c>
      <c r="C2894">
        <v>5</v>
      </c>
    </row>
    <row r="2895" spans="1:3" x14ac:dyDescent="0.25">
      <c r="A2895">
        <v>168</v>
      </c>
      <c r="B2895">
        <v>127</v>
      </c>
      <c r="C2895">
        <v>2</v>
      </c>
    </row>
    <row r="2896" spans="1:3" x14ac:dyDescent="0.25">
      <c r="A2896">
        <v>178</v>
      </c>
      <c r="B2896">
        <v>127</v>
      </c>
      <c r="C2896">
        <v>2</v>
      </c>
    </row>
    <row r="2897" spans="1:3" x14ac:dyDescent="0.25">
      <c r="A2897">
        <v>186</v>
      </c>
      <c r="B2897">
        <v>127</v>
      </c>
      <c r="C2897">
        <v>4</v>
      </c>
    </row>
    <row r="2898" spans="1:3" x14ac:dyDescent="0.25">
      <c r="A2898">
        <v>203</v>
      </c>
      <c r="B2898">
        <v>127</v>
      </c>
      <c r="C2898">
        <v>2</v>
      </c>
    </row>
    <row r="2899" spans="1:3" x14ac:dyDescent="0.25">
      <c r="A2899">
        <v>222</v>
      </c>
      <c r="B2899">
        <v>127</v>
      </c>
      <c r="C2899">
        <v>4</v>
      </c>
    </row>
    <row r="2900" spans="1:3" x14ac:dyDescent="0.25">
      <c r="A2900">
        <v>240</v>
      </c>
      <c r="B2900">
        <v>127</v>
      </c>
      <c r="C2900">
        <v>3</v>
      </c>
    </row>
    <row r="2901" spans="1:3" x14ac:dyDescent="0.25">
      <c r="A2901">
        <v>248</v>
      </c>
      <c r="B2901">
        <v>127</v>
      </c>
      <c r="C2901">
        <v>2</v>
      </c>
    </row>
    <row r="2902" spans="1:3" x14ac:dyDescent="0.25">
      <c r="A2902">
        <v>259</v>
      </c>
      <c r="B2902">
        <v>127</v>
      </c>
      <c r="C2902">
        <v>2</v>
      </c>
    </row>
    <row r="2903" spans="1:3" x14ac:dyDescent="0.25">
      <c r="A2903">
        <v>261</v>
      </c>
      <c r="B2903">
        <v>127</v>
      </c>
      <c r="C2903">
        <v>5</v>
      </c>
    </row>
    <row r="2904" spans="1:3" x14ac:dyDescent="0.25">
      <c r="A2904">
        <v>273</v>
      </c>
      <c r="B2904">
        <v>127</v>
      </c>
      <c r="C2904">
        <v>3</v>
      </c>
    </row>
    <row r="2905" spans="1:3" x14ac:dyDescent="0.25">
      <c r="A2905">
        <v>278</v>
      </c>
      <c r="B2905">
        <v>127</v>
      </c>
      <c r="C2905">
        <v>5</v>
      </c>
    </row>
    <row r="2906" spans="1:3" x14ac:dyDescent="0.25">
      <c r="A2906">
        <v>283</v>
      </c>
      <c r="B2906">
        <v>127</v>
      </c>
      <c r="C2906">
        <v>5</v>
      </c>
    </row>
    <row r="2907" spans="1:3" x14ac:dyDescent="0.25">
      <c r="A2907">
        <v>288</v>
      </c>
      <c r="B2907">
        <v>127</v>
      </c>
      <c r="C2907">
        <v>3</v>
      </c>
    </row>
    <row r="2908" spans="1:3" x14ac:dyDescent="0.25">
      <c r="A2908">
        <v>295</v>
      </c>
      <c r="B2908">
        <v>127</v>
      </c>
      <c r="C2908">
        <v>2</v>
      </c>
    </row>
    <row r="2909" spans="1:3" x14ac:dyDescent="0.25">
      <c r="A2909">
        <v>3</v>
      </c>
      <c r="B2909">
        <v>128</v>
      </c>
      <c r="C2909">
        <v>5</v>
      </c>
    </row>
    <row r="2910" spans="1:3" x14ac:dyDescent="0.25">
      <c r="A2910">
        <v>12</v>
      </c>
      <c r="B2910">
        <v>128</v>
      </c>
      <c r="C2910">
        <v>2</v>
      </c>
    </row>
    <row r="2911" spans="1:3" x14ac:dyDescent="0.25">
      <c r="A2911">
        <v>36</v>
      </c>
      <c r="B2911">
        <v>128</v>
      </c>
      <c r="C2911">
        <v>4</v>
      </c>
    </row>
    <row r="2912" spans="1:3" x14ac:dyDescent="0.25">
      <c r="A2912">
        <v>64</v>
      </c>
      <c r="B2912">
        <v>128</v>
      </c>
      <c r="C2912">
        <v>2</v>
      </c>
    </row>
    <row r="2913" spans="1:3" x14ac:dyDescent="0.25">
      <c r="A2913">
        <v>90</v>
      </c>
      <c r="B2913">
        <v>128</v>
      </c>
      <c r="C2913">
        <v>4</v>
      </c>
    </row>
    <row r="2914" spans="1:3" x14ac:dyDescent="0.25">
      <c r="A2914">
        <v>95</v>
      </c>
      <c r="B2914">
        <v>128</v>
      </c>
      <c r="C2914">
        <v>3</v>
      </c>
    </row>
    <row r="2915" spans="1:3" x14ac:dyDescent="0.25">
      <c r="A2915">
        <v>100</v>
      </c>
      <c r="B2915">
        <v>128</v>
      </c>
      <c r="C2915">
        <v>5</v>
      </c>
    </row>
    <row r="2916" spans="1:3" x14ac:dyDescent="0.25">
      <c r="A2916">
        <v>124</v>
      </c>
      <c r="B2916">
        <v>128</v>
      </c>
      <c r="C2916">
        <v>2</v>
      </c>
    </row>
    <row r="2917" spans="1:3" x14ac:dyDescent="0.25">
      <c r="A2917">
        <v>127</v>
      </c>
      <c r="B2917">
        <v>128</v>
      </c>
      <c r="C2917">
        <v>4</v>
      </c>
    </row>
    <row r="2918" spans="1:3" x14ac:dyDescent="0.25">
      <c r="A2918">
        <v>134</v>
      </c>
      <c r="B2918">
        <v>128</v>
      </c>
      <c r="C2918">
        <v>5</v>
      </c>
    </row>
    <row r="2919" spans="1:3" x14ac:dyDescent="0.25">
      <c r="A2919">
        <v>140</v>
      </c>
      <c r="B2919">
        <v>128</v>
      </c>
      <c r="C2919">
        <v>1</v>
      </c>
    </row>
    <row r="2920" spans="1:3" x14ac:dyDescent="0.25">
      <c r="A2920">
        <v>163</v>
      </c>
      <c r="B2920">
        <v>128</v>
      </c>
      <c r="C2920">
        <v>5</v>
      </c>
    </row>
    <row r="2921" spans="1:3" x14ac:dyDescent="0.25">
      <c r="A2921">
        <v>174</v>
      </c>
      <c r="B2921">
        <v>128</v>
      </c>
      <c r="C2921">
        <v>5</v>
      </c>
    </row>
    <row r="2922" spans="1:3" x14ac:dyDescent="0.25">
      <c r="A2922">
        <v>185</v>
      </c>
      <c r="B2922">
        <v>128</v>
      </c>
      <c r="C2922">
        <v>4</v>
      </c>
    </row>
    <row r="2923" spans="1:3" x14ac:dyDescent="0.25">
      <c r="A2923">
        <v>203</v>
      </c>
      <c r="B2923">
        <v>128</v>
      </c>
      <c r="C2923">
        <v>4</v>
      </c>
    </row>
    <row r="2924" spans="1:3" x14ac:dyDescent="0.25">
      <c r="A2924">
        <v>205</v>
      </c>
      <c r="B2924">
        <v>128</v>
      </c>
      <c r="C2924">
        <v>2</v>
      </c>
    </row>
    <row r="2925" spans="1:3" x14ac:dyDescent="0.25">
      <c r="A2925">
        <v>232</v>
      </c>
      <c r="B2925">
        <v>128</v>
      </c>
      <c r="C2925">
        <v>2</v>
      </c>
    </row>
    <row r="2926" spans="1:3" x14ac:dyDescent="0.25">
      <c r="A2926">
        <v>235</v>
      </c>
      <c r="B2926">
        <v>128</v>
      </c>
      <c r="C2926">
        <v>4</v>
      </c>
    </row>
    <row r="2927" spans="1:3" x14ac:dyDescent="0.25">
      <c r="A2927">
        <v>239</v>
      </c>
      <c r="B2927">
        <v>128</v>
      </c>
      <c r="C2927">
        <v>1</v>
      </c>
    </row>
    <row r="2928" spans="1:3" x14ac:dyDescent="0.25">
      <c r="A2928">
        <v>295</v>
      </c>
      <c r="B2928">
        <v>128</v>
      </c>
      <c r="C2928">
        <v>1</v>
      </c>
    </row>
    <row r="2929" spans="1:3" x14ac:dyDescent="0.25">
      <c r="A2929">
        <v>7</v>
      </c>
      <c r="B2929">
        <v>129</v>
      </c>
      <c r="C2929">
        <v>4</v>
      </c>
    </row>
    <row r="2930" spans="1:3" x14ac:dyDescent="0.25">
      <c r="A2930">
        <v>13</v>
      </c>
      <c r="B2930">
        <v>129</v>
      </c>
      <c r="C2930">
        <v>4</v>
      </c>
    </row>
    <row r="2931" spans="1:3" x14ac:dyDescent="0.25">
      <c r="A2931">
        <v>33</v>
      </c>
      <c r="B2931">
        <v>129</v>
      </c>
      <c r="C2931">
        <v>2</v>
      </c>
    </row>
    <row r="2932" spans="1:3" x14ac:dyDescent="0.25">
      <c r="A2932">
        <v>57</v>
      </c>
      <c r="B2932">
        <v>129</v>
      </c>
      <c r="C2932">
        <v>4</v>
      </c>
    </row>
    <row r="2933" spans="1:3" x14ac:dyDescent="0.25">
      <c r="A2933">
        <v>60</v>
      </c>
      <c r="B2933">
        <v>129</v>
      </c>
      <c r="C2933">
        <v>2</v>
      </c>
    </row>
    <row r="2934" spans="1:3" x14ac:dyDescent="0.25">
      <c r="A2934">
        <v>93</v>
      </c>
      <c r="B2934">
        <v>129</v>
      </c>
      <c r="C2934">
        <v>4</v>
      </c>
    </row>
    <row r="2935" spans="1:3" x14ac:dyDescent="0.25">
      <c r="A2935">
        <v>117</v>
      </c>
      <c r="B2935">
        <v>129</v>
      </c>
      <c r="C2935">
        <v>4</v>
      </c>
    </row>
    <row r="2936" spans="1:3" x14ac:dyDescent="0.25">
      <c r="A2936">
        <v>127</v>
      </c>
      <c r="B2936">
        <v>129</v>
      </c>
      <c r="C2936">
        <v>1</v>
      </c>
    </row>
    <row r="2937" spans="1:3" x14ac:dyDescent="0.25">
      <c r="A2937">
        <v>128</v>
      </c>
      <c r="B2937">
        <v>129</v>
      </c>
      <c r="C2937">
        <v>3</v>
      </c>
    </row>
    <row r="2938" spans="1:3" x14ac:dyDescent="0.25">
      <c r="A2938">
        <v>151</v>
      </c>
      <c r="B2938">
        <v>129</v>
      </c>
      <c r="C2938">
        <v>1</v>
      </c>
    </row>
    <row r="2939" spans="1:3" x14ac:dyDescent="0.25">
      <c r="A2939">
        <v>155</v>
      </c>
      <c r="B2939">
        <v>129</v>
      </c>
      <c r="C2939">
        <v>1</v>
      </c>
    </row>
    <row r="2940" spans="1:3" x14ac:dyDescent="0.25">
      <c r="A2940">
        <v>160</v>
      </c>
      <c r="B2940">
        <v>129</v>
      </c>
      <c r="C2940">
        <v>5</v>
      </c>
    </row>
    <row r="2941" spans="1:3" x14ac:dyDescent="0.25">
      <c r="A2941">
        <v>164</v>
      </c>
      <c r="B2941">
        <v>129</v>
      </c>
      <c r="C2941">
        <v>3</v>
      </c>
    </row>
    <row r="2942" spans="1:3" x14ac:dyDescent="0.25">
      <c r="A2942">
        <v>172</v>
      </c>
      <c r="B2942">
        <v>129</v>
      </c>
      <c r="C2942">
        <v>4</v>
      </c>
    </row>
    <row r="2943" spans="1:3" x14ac:dyDescent="0.25">
      <c r="A2943">
        <v>177</v>
      </c>
      <c r="B2943">
        <v>129</v>
      </c>
      <c r="C2943">
        <v>4</v>
      </c>
    </row>
    <row r="2944" spans="1:3" x14ac:dyDescent="0.25">
      <c r="A2944">
        <v>206</v>
      </c>
      <c r="B2944">
        <v>129</v>
      </c>
      <c r="C2944">
        <v>3</v>
      </c>
    </row>
    <row r="2945" spans="1:3" x14ac:dyDescent="0.25">
      <c r="A2945">
        <v>286</v>
      </c>
      <c r="B2945">
        <v>129</v>
      </c>
      <c r="C2945">
        <v>5</v>
      </c>
    </row>
    <row r="2946" spans="1:3" x14ac:dyDescent="0.25">
      <c r="A2946">
        <v>8</v>
      </c>
      <c r="B2946">
        <v>130</v>
      </c>
      <c r="C2946">
        <v>3</v>
      </c>
    </row>
    <row r="2947" spans="1:3" x14ac:dyDescent="0.25">
      <c r="A2947">
        <v>31</v>
      </c>
      <c r="B2947">
        <v>130</v>
      </c>
      <c r="C2947">
        <v>2</v>
      </c>
    </row>
    <row r="2948" spans="1:3" x14ac:dyDescent="0.25">
      <c r="A2948">
        <v>62</v>
      </c>
      <c r="B2948">
        <v>130</v>
      </c>
      <c r="C2948">
        <v>5</v>
      </c>
    </row>
    <row r="2949" spans="1:3" x14ac:dyDescent="0.25">
      <c r="A2949">
        <v>83</v>
      </c>
      <c r="B2949">
        <v>130</v>
      </c>
      <c r="C2949">
        <v>3</v>
      </c>
    </row>
    <row r="2950" spans="1:3" x14ac:dyDescent="0.25">
      <c r="A2950">
        <v>91</v>
      </c>
      <c r="B2950">
        <v>130</v>
      </c>
      <c r="C2950">
        <v>1</v>
      </c>
    </row>
    <row r="2951" spans="1:3" x14ac:dyDescent="0.25">
      <c r="A2951">
        <v>91</v>
      </c>
      <c r="B2951">
        <v>130</v>
      </c>
      <c r="C2951">
        <v>2</v>
      </c>
    </row>
    <row r="2952" spans="1:3" x14ac:dyDescent="0.25">
      <c r="A2952">
        <v>95</v>
      </c>
      <c r="B2952">
        <v>130</v>
      </c>
      <c r="C2952">
        <v>2</v>
      </c>
    </row>
    <row r="2953" spans="1:3" x14ac:dyDescent="0.25">
      <c r="A2953">
        <v>145</v>
      </c>
      <c r="B2953">
        <v>130</v>
      </c>
      <c r="C2953">
        <v>4</v>
      </c>
    </row>
    <row r="2954" spans="1:3" x14ac:dyDescent="0.25">
      <c r="A2954">
        <v>155</v>
      </c>
      <c r="B2954">
        <v>130</v>
      </c>
      <c r="C2954">
        <v>3</v>
      </c>
    </row>
    <row r="2955" spans="1:3" x14ac:dyDescent="0.25">
      <c r="A2955">
        <v>155</v>
      </c>
      <c r="B2955">
        <v>130</v>
      </c>
      <c r="C2955">
        <v>3</v>
      </c>
    </row>
    <row r="2956" spans="1:3" x14ac:dyDescent="0.25">
      <c r="A2956">
        <v>183</v>
      </c>
      <c r="B2956">
        <v>130</v>
      </c>
      <c r="C2956">
        <v>5</v>
      </c>
    </row>
    <row r="2957" spans="1:3" x14ac:dyDescent="0.25">
      <c r="A2957">
        <v>230</v>
      </c>
      <c r="B2957">
        <v>130</v>
      </c>
      <c r="C2957">
        <v>2</v>
      </c>
    </row>
    <row r="2958" spans="1:3" x14ac:dyDescent="0.25">
      <c r="A2958">
        <v>234</v>
      </c>
      <c r="B2958">
        <v>130</v>
      </c>
      <c r="C2958">
        <v>5</v>
      </c>
    </row>
    <row r="2959" spans="1:3" x14ac:dyDescent="0.25">
      <c r="A2959">
        <v>280</v>
      </c>
      <c r="B2959">
        <v>130</v>
      </c>
      <c r="C2959">
        <v>1</v>
      </c>
    </row>
    <row r="2960" spans="1:3" x14ac:dyDescent="0.25">
      <c r="A2960">
        <v>295</v>
      </c>
      <c r="B2960">
        <v>130</v>
      </c>
      <c r="C2960">
        <v>1</v>
      </c>
    </row>
    <row r="2961" spans="1:3" x14ac:dyDescent="0.25">
      <c r="A2961">
        <v>3</v>
      </c>
      <c r="B2961">
        <v>131</v>
      </c>
      <c r="C2961">
        <v>4</v>
      </c>
    </row>
    <row r="2962" spans="1:3" x14ac:dyDescent="0.25">
      <c r="A2962">
        <v>28</v>
      </c>
      <c r="B2962">
        <v>131</v>
      </c>
      <c r="C2962">
        <v>5</v>
      </c>
    </row>
    <row r="2963" spans="1:3" x14ac:dyDescent="0.25">
      <c r="A2963">
        <v>60</v>
      </c>
      <c r="B2963">
        <v>131</v>
      </c>
      <c r="C2963">
        <v>4</v>
      </c>
    </row>
    <row r="2964" spans="1:3" x14ac:dyDescent="0.25">
      <c r="A2964">
        <v>62</v>
      </c>
      <c r="B2964">
        <v>131</v>
      </c>
      <c r="C2964">
        <v>4</v>
      </c>
    </row>
    <row r="2965" spans="1:3" x14ac:dyDescent="0.25">
      <c r="A2965">
        <v>62</v>
      </c>
      <c r="B2965">
        <v>131</v>
      </c>
      <c r="C2965">
        <v>1</v>
      </c>
    </row>
    <row r="2966" spans="1:3" x14ac:dyDescent="0.25">
      <c r="A2966">
        <v>70</v>
      </c>
      <c r="B2966">
        <v>131</v>
      </c>
      <c r="C2966">
        <v>5</v>
      </c>
    </row>
    <row r="2967" spans="1:3" x14ac:dyDescent="0.25">
      <c r="A2967">
        <v>84</v>
      </c>
      <c r="B2967">
        <v>131</v>
      </c>
      <c r="C2967">
        <v>2</v>
      </c>
    </row>
    <row r="2968" spans="1:3" x14ac:dyDescent="0.25">
      <c r="A2968">
        <v>93</v>
      </c>
      <c r="B2968">
        <v>131</v>
      </c>
      <c r="C2968">
        <v>3</v>
      </c>
    </row>
    <row r="2969" spans="1:3" x14ac:dyDescent="0.25">
      <c r="A2969">
        <v>106</v>
      </c>
      <c r="B2969">
        <v>131</v>
      </c>
      <c r="C2969">
        <v>5</v>
      </c>
    </row>
    <row r="2970" spans="1:3" x14ac:dyDescent="0.25">
      <c r="A2970">
        <v>111</v>
      </c>
      <c r="B2970">
        <v>131</v>
      </c>
      <c r="C2970">
        <v>3</v>
      </c>
    </row>
    <row r="2971" spans="1:3" x14ac:dyDescent="0.25">
      <c r="A2971">
        <v>143</v>
      </c>
      <c r="B2971">
        <v>131</v>
      </c>
      <c r="C2971">
        <v>2</v>
      </c>
    </row>
    <row r="2972" spans="1:3" x14ac:dyDescent="0.25">
      <c r="A2972">
        <v>149</v>
      </c>
      <c r="B2972">
        <v>131</v>
      </c>
      <c r="C2972">
        <v>5</v>
      </c>
    </row>
    <row r="2973" spans="1:3" x14ac:dyDescent="0.25">
      <c r="A2973">
        <v>166</v>
      </c>
      <c r="B2973">
        <v>131</v>
      </c>
      <c r="C2973">
        <v>4</v>
      </c>
    </row>
    <row r="2974" spans="1:3" x14ac:dyDescent="0.25">
      <c r="A2974">
        <v>169</v>
      </c>
      <c r="B2974">
        <v>131</v>
      </c>
      <c r="C2974">
        <v>1</v>
      </c>
    </row>
    <row r="2975" spans="1:3" x14ac:dyDescent="0.25">
      <c r="A2975">
        <v>178</v>
      </c>
      <c r="B2975">
        <v>131</v>
      </c>
      <c r="C2975">
        <v>1</v>
      </c>
    </row>
    <row r="2976" spans="1:3" x14ac:dyDescent="0.25">
      <c r="A2976">
        <v>232</v>
      </c>
      <c r="B2976">
        <v>131</v>
      </c>
      <c r="C2976">
        <v>5</v>
      </c>
    </row>
    <row r="2977" spans="1:3" x14ac:dyDescent="0.25">
      <c r="A2977">
        <v>253</v>
      </c>
      <c r="B2977">
        <v>131</v>
      </c>
      <c r="C2977">
        <v>3</v>
      </c>
    </row>
    <row r="2978" spans="1:3" x14ac:dyDescent="0.25">
      <c r="A2978">
        <v>269</v>
      </c>
      <c r="B2978">
        <v>131</v>
      </c>
      <c r="C2978">
        <v>5</v>
      </c>
    </row>
    <row r="2979" spans="1:3" x14ac:dyDescent="0.25">
      <c r="A2979">
        <v>294</v>
      </c>
      <c r="B2979">
        <v>131</v>
      </c>
      <c r="C2979">
        <v>1</v>
      </c>
    </row>
    <row r="2980" spans="1:3" x14ac:dyDescent="0.25">
      <c r="A2980">
        <v>16</v>
      </c>
      <c r="B2980">
        <v>132</v>
      </c>
      <c r="C2980">
        <v>5</v>
      </c>
    </row>
    <row r="2981" spans="1:3" x14ac:dyDescent="0.25">
      <c r="A2981">
        <v>37</v>
      </c>
      <c r="B2981">
        <v>132</v>
      </c>
      <c r="C2981">
        <v>3</v>
      </c>
    </row>
    <row r="2982" spans="1:3" x14ac:dyDescent="0.25">
      <c r="A2982">
        <v>38</v>
      </c>
      <c r="B2982">
        <v>132</v>
      </c>
      <c r="C2982">
        <v>5</v>
      </c>
    </row>
    <row r="2983" spans="1:3" x14ac:dyDescent="0.25">
      <c r="A2983">
        <v>61</v>
      </c>
      <c r="B2983">
        <v>132</v>
      </c>
      <c r="C2983">
        <v>2</v>
      </c>
    </row>
    <row r="2984" spans="1:3" x14ac:dyDescent="0.25">
      <c r="A2984">
        <v>79</v>
      </c>
      <c r="B2984">
        <v>132</v>
      </c>
      <c r="C2984">
        <v>2</v>
      </c>
    </row>
    <row r="2985" spans="1:3" x14ac:dyDescent="0.25">
      <c r="A2985">
        <v>85</v>
      </c>
      <c r="B2985">
        <v>132</v>
      </c>
      <c r="C2985">
        <v>3</v>
      </c>
    </row>
    <row r="2986" spans="1:3" x14ac:dyDescent="0.25">
      <c r="A2986">
        <v>108</v>
      </c>
      <c r="B2986">
        <v>132</v>
      </c>
      <c r="C2986">
        <v>5</v>
      </c>
    </row>
    <row r="2987" spans="1:3" x14ac:dyDescent="0.25">
      <c r="A2987">
        <v>117</v>
      </c>
      <c r="B2987">
        <v>132</v>
      </c>
      <c r="C2987">
        <v>4</v>
      </c>
    </row>
    <row r="2988" spans="1:3" x14ac:dyDescent="0.25">
      <c r="A2988">
        <v>135</v>
      </c>
      <c r="B2988">
        <v>132</v>
      </c>
      <c r="C2988">
        <v>5</v>
      </c>
    </row>
    <row r="2989" spans="1:3" x14ac:dyDescent="0.25">
      <c r="A2989">
        <v>143</v>
      </c>
      <c r="B2989">
        <v>132</v>
      </c>
      <c r="C2989">
        <v>5</v>
      </c>
    </row>
    <row r="2990" spans="1:3" x14ac:dyDescent="0.25">
      <c r="A2990">
        <v>152</v>
      </c>
      <c r="B2990">
        <v>132</v>
      </c>
      <c r="C2990">
        <v>3</v>
      </c>
    </row>
    <row r="2991" spans="1:3" x14ac:dyDescent="0.25">
      <c r="A2991">
        <v>176</v>
      </c>
      <c r="B2991">
        <v>132</v>
      </c>
      <c r="C2991">
        <v>5</v>
      </c>
    </row>
    <row r="2992" spans="1:3" x14ac:dyDescent="0.25">
      <c r="A2992">
        <v>188</v>
      </c>
      <c r="B2992">
        <v>132</v>
      </c>
      <c r="C2992">
        <v>1</v>
      </c>
    </row>
    <row r="2993" spans="1:3" x14ac:dyDescent="0.25">
      <c r="A2993">
        <v>217</v>
      </c>
      <c r="B2993">
        <v>132</v>
      </c>
      <c r="C2993">
        <v>1</v>
      </c>
    </row>
    <row r="2994" spans="1:3" x14ac:dyDescent="0.25">
      <c r="A2994">
        <v>223</v>
      </c>
      <c r="B2994">
        <v>132</v>
      </c>
      <c r="C2994">
        <v>2</v>
      </c>
    </row>
    <row r="2995" spans="1:3" x14ac:dyDescent="0.25">
      <c r="A2995">
        <v>243</v>
      </c>
      <c r="B2995">
        <v>132</v>
      </c>
      <c r="C2995">
        <v>5</v>
      </c>
    </row>
    <row r="2996" spans="1:3" x14ac:dyDescent="0.25">
      <c r="A2996">
        <v>244</v>
      </c>
      <c r="B2996">
        <v>132</v>
      </c>
      <c r="C2996">
        <v>4</v>
      </c>
    </row>
    <row r="2997" spans="1:3" x14ac:dyDescent="0.25">
      <c r="A2997">
        <v>261</v>
      </c>
      <c r="B2997">
        <v>132</v>
      </c>
      <c r="C2997">
        <v>4</v>
      </c>
    </row>
    <row r="2998" spans="1:3" x14ac:dyDescent="0.25">
      <c r="A2998">
        <v>267</v>
      </c>
      <c r="B2998">
        <v>132</v>
      </c>
      <c r="C2998">
        <v>4</v>
      </c>
    </row>
    <row r="2999" spans="1:3" x14ac:dyDescent="0.25">
      <c r="A2999">
        <v>276</v>
      </c>
      <c r="B2999">
        <v>132</v>
      </c>
      <c r="C2999">
        <v>1</v>
      </c>
    </row>
    <row r="3000" spans="1:3" x14ac:dyDescent="0.25">
      <c r="A3000">
        <v>281</v>
      </c>
      <c r="B3000">
        <v>132</v>
      </c>
      <c r="C3000">
        <v>5</v>
      </c>
    </row>
    <row r="3001" spans="1:3" x14ac:dyDescent="0.25">
      <c r="A3001">
        <v>283</v>
      </c>
      <c r="B3001">
        <v>132</v>
      </c>
      <c r="C3001">
        <v>5</v>
      </c>
    </row>
    <row r="3002" spans="1:3" x14ac:dyDescent="0.25">
      <c r="A3002">
        <v>36</v>
      </c>
      <c r="B3002">
        <v>133</v>
      </c>
      <c r="C3002">
        <v>3</v>
      </c>
    </row>
    <row r="3003" spans="1:3" x14ac:dyDescent="0.25">
      <c r="A3003">
        <v>45</v>
      </c>
      <c r="B3003">
        <v>133</v>
      </c>
      <c r="C3003">
        <v>5</v>
      </c>
    </row>
    <row r="3004" spans="1:3" x14ac:dyDescent="0.25">
      <c r="A3004">
        <v>47</v>
      </c>
      <c r="B3004">
        <v>133</v>
      </c>
      <c r="C3004">
        <v>2</v>
      </c>
    </row>
    <row r="3005" spans="1:3" x14ac:dyDescent="0.25">
      <c r="A3005">
        <v>73</v>
      </c>
      <c r="B3005">
        <v>133</v>
      </c>
      <c r="C3005">
        <v>3</v>
      </c>
    </row>
    <row r="3006" spans="1:3" x14ac:dyDescent="0.25">
      <c r="A3006">
        <v>111</v>
      </c>
      <c r="B3006">
        <v>133</v>
      </c>
      <c r="C3006">
        <v>3</v>
      </c>
    </row>
    <row r="3007" spans="1:3" x14ac:dyDescent="0.25">
      <c r="A3007">
        <v>158</v>
      </c>
      <c r="B3007">
        <v>133</v>
      </c>
      <c r="C3007">
        <v>1</v>
      </c>
    </row>
    <row r="3008" spans="1:3" x14ac:dyDescent="0.25">
      <c r="A3008">
        <v>163</v>
      </c>
      <c r="B3008">
        <v>133</v>
      </c>
      <c r="C3008">
        <v>2</v>
      </c>
    </row>
    <row r="3009" spans="1:3" x14ac:dyDescent="0.25">
      <c r="A3009">
        <v>172</v>
      </c>
      <c r="B3009">
        <v>133</v>
      </c>
      <c r="C3009">
        <v>3</v>
      </c>
    </row>
    <row r="3010" spans="1:3" x14ac:dyDescent="0.25">
      <c r="A3010">
        <v>173</v>
      </c>
      <c r="B3010">
        <v>133</v>
      </c>
      <c r="C3010">
        <v>1</v>
      </c>
    </row>
    <row r="3011" spans="1:3" x14ac:dyDescent="0.25">
      <c r="A3011">
        <v>180</v>
      </c>
      <c r="B3011">
        <v>133</v>
      </c>
      <c r="C3011">
        <v>1</v>
      </c>
    </row>
    <row r="3012" spans="1:3" x14ac:dyDescent="0.25">
      <c r="A3012">
        <v>187</v>
      </c>
      <c r="B3012">
        <v>133</v>
      </c>
      <c r="C3012">
        <v>3</v>
      </c>
    </row>
    <row r="3013" spans="1:3" x14ac:dyDescent="0.25">
      <c r="A3013">
        <v>193</v>
      </c>
      <c r="B3013">
        <v>133</v>
      </c>
      <c r="C3013">
        <v>2</v>
      </c>
    </row>
    <row r="3014" spans="1:3" x14ac:dyDescent="0.25">
      <c r="A3014">
        <v>201</v>
      </c>
      <c r="B3014">
        <v>133</v>
      </c>
      <c r="C3014">
        <v>3</v>
      </c>
    </row>
    <row r="3015" spans="1:3" x14ac:dyDescent="0.25">
      <c r="A3015">
        <v>216</v>
      </c>
      <c r="B3015">
        <v>133</v>
      </c>
      <c r="C3015">
        <v>1</v>
      </c>
    </row>
    <row r="3016" spans="1:3" x14ac:dyDescent="0.25">
      <c r="A3016">
        <v>238</v>
      </c>
      <c r="B3016">
        <v>133</v>
      </c>
      <c r="C3016">
        <v>5</v>
      </c>
    </row>
    <row r="3017" spans="1:3" x14ac:dyDescent="0.25">
      <c r="A3017">
        <v>260</v>
      </c>
      <c r="B3017">
        <v>133</v>
      </c>
      <c r="C3017">
        <v>3</v>
      </c>
    </row>
    <row r="3018" spans="1:3" x14ac:dyDescent="0.25">
      <c r="A3018">
        <v>277</v>
      </c>
      <c r="B3018">
        <v>133</v>
      </c>
      <c r="C3018">
        <v>1</v>
      </c>
    </row>
    <row r="3019" spans="1:3" x14ac:dyDescent="0.25">
      <c r="A3019">
        <v>278</v>
      </c>
      <c r="B3019">
        <v>133</v>
      </c>
      <c r="C3019">
        <v>5</v>
      </c>
    </row>
    <row r="3020" spans="1:3" x14ac:dyDescent="0.25">
      <c r="A3020">
        <v>279</v>
      </c>
      <c r="B3020">
        <v>133</v>
      </c>
      <c r="C3020">
        <v>5</v>
      </c>
    </row>
    <row r="3021" spans="1:3" x14ac:dyDescent="0.25">
      <c r="A3021">
        <v>282</v>
      </c>
      <c r="B3021">
        <v>133</v>
      </c>
      <c r="C3021">
        <v>5</v>
      </c>
    </row>
    <row r="3022" spans="1:3" x14ac:dyDescent="0.25">
      <c r="A3022">
        <v>3</v>
      </c>
      <c r="B3022">
        <v>134</v>
      </c>
      <c r="C3022">
        <v>3</v>
      </c>
    </row>
    <row r="3023" spans="1:3" x14ac:dyDescent="0.25">
      <c r="A3023">
        <v>10</v>
      </c>
      <c r="B3023">
        <v>134</v>
      </c>
      <c r="C3023">
        <v>5</v>
      </c>
    </row>
    <row r="3024" spans="1:3" x14ac:dyDescent="0.25">
      <c r="A3024">
        <v>17</v>
      </c>
      <c r="B3024">
        <v>134</v>
      </c>
      <c r="C3024">
        <v>4</v>
      </c>
    </row>
    <row r="3025" spans="1:3" x14ac:dyDescent="0.25">
      <c r="A3025">
        <v>33</v>
      </c>
      <c r="B3025">
        <v>134</v>
      </c>
      <c r="C3025">
        <v>4</v>
      </c>
    </row>
    <row r="3026" spans="1:3" x14ac:dyDescent="0.25">
      <c r="A3026">
        <v>33</v>
      </c>
      <c r="B3026">
        <v>134</v>
      </c>
      <c r="C3026">
        <v>5</v>
      </c>
    </row>
    <row r="3027" spans="1:3" x14ac:dyDescent="0.25">
      <c r="A3027">
        <v>49</v>
      </c>
      <c r="B3027">
        <v>134</v>
      </c>
      <c r="C3027">
        <v>5</v>
      </c>
    </row>
    <row r="3028" spans="1:3" x14ac:dyDescent="0.25">
      <c r="A3028">
        <v>56</v>
      </c>
      <c r="B3028">
        <v>134</v>
      </c>
      <c r="C3028">
        <v>1</v>
      </c>
    </row>
    <row r="3029" spans="1:3" x14ac:dyDescent="0.25">
      <c r="A3029">
        <v>71</v>
      </c>
      <c r="B3029">
        <v>134</v>
      </c>
      <c r="C3029">
        <v>2</v>
      </c>
    </row>
    <row r="3030" spans="1:3" x14ac:dyDescent="0.25">
      <c r="A3030">
        <v>75</v>
      </c>
      <c r="B3030">
        <v>134</v>
      </c>
      <c r="C3030">
        <v>3</v>
      </c>
    </row>
    <row r="3031" spans="1:3" x14ac:dyDescent="0.25">
      <c r="A3031">
        <v>99</v>
      </c>
      <c r="B3031">
        <v>134</v>
      </c>
      <c r="C3031">
        <v>3</v>
      </c>
    </row>
    <row r="3032" spans="1:3" x14ac:dyDescent="0.25">
      <c r="A3032">
        <v>115</v>
      </c>
      <c r="B3032">
        <v>134</v>
      </c>
      <c r="C3032">
        <v>4</v>
      </c>
    </row>
    <row r="3033" spans="1:3" x14ac:dyDescent="0.25">
      <c r="A3033">
        <v>122</v>
      </c>
      <c r="B3033">
        <v>134</v>
      </c>
      <c r="C3033">
        <v>4</v>
      </c>
    </row>
    <row r="3034" spans="1:3" x14ac:dyDescent="0.25">
      <c r="A3034">
        <v>138</v>
      </c>
      <c r="B3034">
        <v>134</v>
      </c>
      <c r="C3034">
        <v>3</v>
      </c>
    </row>
    <row r="3035" spans="1:3" x14ac:dyDescent="0.25">
      <c r="A3035">
        <v>160</v>
      </c>
      <c r="B3035">
        <v>134</v>
      </c>
      <c r="C3035">
        <v>1</v>
      </c>
    </row>
    <row r="3036" spans="1:3" x14ac:dyDescent="0.25">
      <c r="A3036">
        <v>164</v>
      </c>
      <c r="B3036">
        <v>134</v>
      </c>
      <c r="C3036">
        <v>5</v>
      </c>
    </row>
    <row r="3037" spans="1:3" x14ac:dyDescent="0.25">
      <c r="A3037">
        <v>172</v>
      </c>
      <c r="B3037">
        <v>134</v>
      </c>
      <c r="C3037">
        <v>4</v>
      </c>
    </row>
    <row r="3038" spans="1:3" x14ac:dyDescent="0.25">
      <c r="A3038">
        <v>198</v>
      </c>
      <c r="B3038">
        <v>134</v>
      </c>
      <c r="C3038">
        <v>3</v>
      </c>
    </row>
    <row r="3039" spans="1:3" x14ac:dyDescent="0.25">
      <c r="A3039">
        <v>214</v>
      </c>
      <c r="B3039">
        <v>134</v>
      </c>
      <c r="C3039">
        <v>5</v>
      </c>
    </row>
    <row r="3040" spans="1:3" x14ac:dyDescent="0.25">
      <c r="A3040">
        <v>222</v>
      </c>
      <c r="B3040">
        <v>134</v>
      </c>
      <c r="C3040">
        <v>4</v>
      </c>
    </row>
    <row r="3041" spans="1:3" x14ac:dyDescent="0.25">
      <c r="A3041">
        <v>241</v>
      </c>
      <c r="B3041">
        <v>134</v>
      </c>
      <c r="C3041">
        <v>4</v>
      </c>
    </row>
    <row r="3042" spans="1:3" x14ac:dyDescent="0.25">
      <c r="A3042">
        <v>243</v>
      </c>
      <c r="B3042">
        <v>134</v>
      </c>
      <c r="C3042">
        <v>5</v>
      </c>
    </row>
    <row r="3043" spans="1:3" x14ac:dyDescent="0.25">
      <c r="A3043">
        <v>248</v>
      </c>
      <c r="B3043">
        <v>134</v>
      </c>
      <c r="C3043">
        <v>5</v>
      </c>
    </row>
    <row r="3044" spans="1:3" x14ac:dyDescent="0.25">
      <c r="A3044">
        <v>264</v>
      </c>
      <c r="B3044">
        <v>134</v>
      </c>
      <c r="C3044">
        <v>4</v>
      </c>
    </row>
    <row r="3045" spans="1:3" x14ac:dyDescent="0.25">
      <c r="A3045">
        <v>267</v>
      </c>
      <c r="B3045">
        <v>134</v>
      </c>
      <c r="C3045">
        <v>1</v>
      </c>
    </row>
    <row r="3046" spans="1:3" x14ac:dyDescent="0.25">
      <c r="A3046">
        <v>271</v>
      </c>
      <c r="B3046">
        <v>134</v>
      </c>
      <c r="C3046">
        <v>4</v>
      </c>
    </row>
    <row r="3047" spans="1:3" x14ac:dyDescent="0.25">
      <c r="A3047">
        <v>274</v>
      </c>
      <c r="B3047">
        <v>134</v>
      </c>
      <c r="C3047">
        <v>4</v>
      </c>
    </row>
    <row r="3048" spans="1:3" x14ac:dyDescent="0.25">
      <c r="A3048">
        <v>284</v>
      </c>
      <c r="B3048">
        <v>134</v>
      </c>
      <c r="C3048">
        <v>4</v>
      </c>
    </row>
    <row r="3049" spans="1:3" x14ac:dyDescent="0.25">
      <c r="A3049">
        <v>288</v>
      </c>
      <c r="B3049">
        <v>134</v>
      </c>
      <c r="C3049">
        <v>2</v>
      </c>
    </row>
    <row r="3050" spans="1:3" x14ac:dyDescent="0.25">
      <c r="A3050">
        <v>292</v>
      </c>
      <c r="B3050">
        <v>134</v>
      </c>
      <c r="C3050">
        <v>4</v>
      </c>
    </row>
    <row r="3051" spans="1:3" x14ac:dyDescent="0.25">
      <c r="A3051">
        <v>293</v>
      </c>
      <c r="B3051">
        <v>134</v>
      </c>
      <c r="C3051">
        <v>4</v>
      </c>
    </row>
    <row r="3052" spans="1:3" x14ac:dyDescent="0.25">
      <c r="A3052">
        <v>22</v>
      </c>
      <c r="B3052">
        <v>135</v>
      </c>
      <c r="C3052">
        <v>3</v>
      </c>
    </row>
    <row r="3053" spans="1:3" x14ac:dyDescent="0.25">
      <c r="A3053">
        <v>44</v>
      </c>
      <c r="B3053">
        <v>135</v>
      </c>
      <c r="C3053">
        <v>3</v>
      </c>
    </row>
    <row r="3054" spans="1:3" x14ac:dyDescent="0.25">
      <c r="A3054">
        <v>53</v>
      </c>
      <c r="B3054">
        <v>135</v>
      </c>
      <c r="C3054">
        <v>5</v>
      </c>
    </row>
    <row r="3055" spans="1:3" x14ac:dyDescent="0.25">
      <c r="A3055">
        <v>54</v>
      </c>
      <c r="B3055">
        <v>135</v>
      </c>
      <c r="C3055">
        <v>2</v>
      </c>
    </row>
    <row r="3056" spans="1:3" x14ac:dyDescent="0.25">
      <c r="A3056">
        <v>57</v>
      </c>
      <c r="B3056">
        <v>135</v>
      </c>
      <c r="C3056">
        <v>4</v>
      </c>
    </row>
    <row r="3057" spans="1:3" x14ac:dyDescent="0.25">
      <c r="A3057">
        <v>58</v>
      </c>
      <c r="B3057">
        <v>135</v>
      </c>
      <c r="C3057">
        <v>4</v>
      </c>
    </row>
    <row r="3058" spans="1:3" x14ac:dyDescent="0.25">
      <c r="A3058">
        <v>64</v>
      </c>
      <c r="B3058">
        <v>135</v>
      </c>
      <c r="C3058">
        <v>3</v>
      </c>
    </row>
    <row r="3059" spans="1:3" x14ac:dyDescent="0.25">
      <c r="A3059">
        <v>75</v>
      </c>
      <c r="B3059">
        <v>135</v>
      </c>
      <c r="C3059">
        <v>5</v>
      </c>
    </row>
    <row r="3060" spans="1:3" x14ac:dyDescent="0.25">
      <c r="A3060">
        <v>81</v>
      </c>
      <c r="B3060">
        <v>135</v>
      </c>
      <c r="C3060">
        <v>3</v>
      </c>
    </row>
    <row r="3061" spans="1:3" x14ac:dyDescent="0.25">
      <c r="A3061">
        <v>88</v>
      </c>
      <c r="B3061">
        <v>135</v>
      </c>
      <c r="C3061">
        <v>4</v>
      </c>
    </row>
    <row r="3062" spans="1:3" x14ac:dyDescent="0.25">
      <c r="A3062">
        <v>103</v>
      </c>
      <c r="B3062">
        <v>135</v>
      </c>
      <c r="C3062">
        <v>2</v>
      </c>
    </row>
    <row r="3063" spans="1:3" x14ac:dyDescent="0.25">
      <c r="A3063">
        <v>126</v>
      </c>
      <c r="B3063">
        <v>135</v>
      </c>
      <c r="C3063">
        <v>3</v>
      </c>
    </row>
    <row r="3064" spans="1:3" x14ac:dyDescent="0.25">
      <c r="A3064">
        <v>132</v>
      </c>
      <c r="B3064">
        <v>135</v>
      </c>
      <c r="C3064">
        <v>1</v>
      </c>
    </row>
    <row r="3065" spans="1:3" x14ac:dyDescent="0.25">
      <c r="A3065">
        <v>142</v>
      </c>
      <c r="B3065">
        <v>135</v>
      </c>
      <c r="C3065">
        <v>2</v>
      </c>
    </row>
    <row r="3066" spans="1:3" x14ac:dyDescent="0.25">
      <c r="A3066">
        <v>148</v>
      </c>
      <c r="B3066">
        <v>135</v>
      </c>
      <c r="C3066">
        <v>3</v>
      </c>
    </row>
    <row r="3067" spans="1:3" x14ac:dyDescent="0.25">
      <c r="A3067">
        <v>159</v>
      </c>
      <c r="B3067">
        <v>135</v>
      </c>
      <c r="C3067">
        <v>3</v>
      </c>
    </row>
    <row r="3068" spans="1:3" x14ac:dyDescent="0.25">
      <c r="A3068">
        <v>195</v>
      </c>
      <c r="B3068">
        <v>135</v>
      </c>
      <c r="C3068">
        <v>3</v>
      </c>
    </row>
    <row r="3069" spans="1:3" x14ac:dyDescent="0.25">
      <c r="A3069">
        <v>199</v>
      </c>
      <c r="B3069">
        <v>135</v>
      </c>
      <c r="C3069">
        <v>3</v>
      </c>
    </row>
    <row r="3070" spans="1:3" x14ac:dyDescent="0.25">
      <c r="A3070">
        <v>229</v>
      </c>
      <c r="B3070">
        <v>135</v>
      </c>
      <c r="C3070">
        <v>4</v>
      </c>
    </row>
    <row r="3071" spans="1:3" x14ac:dyDescent="0.25">
      <c r="A3071">
        <v>234</v>
      </c>
      <c r="B3071">
        <v>135</v>
      </c>
      <c r="C3071">
        <v>1</v>
      </c>
    </row>
    <row r="3072" spans="1:3" x14ac:dyDescent="0.25">
      <c r="A3072">
        <v>259</v>
      </c>
      <c r="B3072">
        <v>135</v>
      </c>
      <c r="C3072">
        <v>4</v>
      </c>
    </row>
    <row r="3073" spans="1:3" x14ac:dyDescent="0.25">
      <c r="A3073">
        <v>279</v>
      </c>
      <c r="B3073">
        <v>135</v>
      </c>
      <c r="C3073">
        <v>2</v>
      </c>
    </row>
    <row r="3074" spans="1:3" x14ac:dyDescent="0.25">
      <c r="A3074">
        <v>286</v>
      </c>
      <c r="B3074">
        <v>135</v>
      </c>
      <c r="C3074">
        <v>1</v>
      </c>
    </row>
    <row r="3075" spans="1:3" x14ac:dyDescent="0.25">
      <c r="A3075">
        <v>20</v>
      </c>
      <c r="B3075">
        <v>136</v>
      </c>
      <c r="C3075">
        <v>3</v>
      </c>
    </row>
    <row r="3076" spans="1:3" x14ac:dyDescent="0.25">
      <c r="A3076">
        <v>33</v>
      </c>
      <c r="B3076">
        <v>136</v>
      </c>
      <c r="C3076">
        <v>5</v>
      </c>
    </row>
    <row r="3077" spans="1:3" x14ac:dyDescent="0.25">
      <c r="A3077">
        <v>35</v>
      </c>
      <c r="B3077">
        <v>136</v>
      </c>
      <c r="C3077">
        <v>3</v>
      </c>
    </row>
    <row r="3078" spans="1:3" x14ac:dyDescent="0.25">
      <c r="A3078">
        <v>36</v>
      </c>
      <c r="B3078">
        <v>136</v>
      </c>
      <c r="C3078">
        <v>3</v>
      </c>
    </row>
    <row r="3079" spans="1:3" x14ac:dyDescent="0.25">
      <c r="A3079">
        <v>47</v>
      </c>
      <c r="B3079">
        <v>136</v>
      </c>
      <c r="C3079">
        <v>1</v>
      </c>
    </row>
    <row r="3080" spans="1:3" x14ac:dyDescent="0.25">
      <c r="A3080">
        <v>56</v>
      </c>
      <c r="B3080">
        <v>136</v>
      </c>
      <c r="C3080">
        <v>4</v>
      </c>
    </row>
    <row r="3081" spans="1:3" x14ac:dyDescent="0.25">
      <c r="A3081">
        <v>71</v>
      </c>
      <c r="B3081">
        <v>136</v>
      </c>
      <c r="C3081">
        <v>5</v>
      </c>
    </row>
    <row r="3082" spans="1:3" x14ac:dyDescent="0.25">
      <c r="A3082">
        <v>136</v>
      </c>
      <c r="B3082">
        <v>136</v>
      </c>
      <c r="C3082">
        <v>1</v>
      </c>
    </row>
    <row r="3083" spans="1:3" x14ac:dyDescent="0.25">
      <c r="A3083">
        <v>140</v>
      </c>
      <c r="B3083">
        <v>136</v>
      </c>
      <c r="C3083">
        <v>4</v>
      </c>
    </row>
    <row r="3084" spans="1:3" x14ac:dyDescent="0.25">
      <c r="A3084">
        <v>144</v>
      </c>
      <c r="B3084">
        <v>136</v>
      </c>
      <c r="C3084">
        <v>2</v>
      </c>
    </row>
    <row r="3085" spans="1:3" x14ac:dyDescent="0.25">
      <c r="A3085">
        <v>154</v>
      </c>
      <c r="B3085">
        <v>136</v>
      </c>
      <c r="C3085">
        <v>4</v>
      </c>
    </row>
    <row r="3086" spans="1:3" x14ac:dyDescent="0.25">
      <c r="A3086">
        <v>168</v>
      </c>
      <c r="B3086">
        <v>136</v>
      </c>
      <c r="C3086">
        <v>4</v>
      </c>
    </row>
    <row r="3087" spans="1:3" x14ac:dyDescent="0.25">
      <c r="A3087">
        <v>183</v>
      </c>
      <c r="B3087">
        <v>136</v>
      </c>
      <c r="C3087">
        <v>3</v>
      </c>
    </row>
    <row r="3088" spans="1:3" x14ac:dyDescent="0.25">
      <c r="A3088">
        <v>207</v>
      </c>
      <c r="B3088">
        <v>136</v>
      </c>
      <c r="C3088">
        <v>5</v>
      </c>
    </row>
    <row r="3089" spans="1:3" x14ac:dyDescent="0.25">
      <c r="A3089">
        <v>207</v>
      </c>
      <c r="B3089">
        <v>136</v>
      </c>
      <c r="C3089">
        <v>2</v>
      </c>
    </row>
    <row r="3090" spans="1:3" x14ac:dyDescent="0.25">
      <c r="A3090">
        <v>210</v>
      </c>
      <c r="B3090">
        <v>136</v>
      </c>
      <c r="C3090">
        <v>1</v>
      </c>
    </row>
    <row r="3091" spans="1:3" x14ac:dyDescent="0.25">
      <c r="A3091">
        <v>214</v>
      </c>
      <c r="B3091">
        <v>136</v>
      </c>
      <c r="C3091">
        <v>5</v>
      </c>
    </row>
    <row r="3092" spans="1:3" x14ac:dyDescent="0.25">
      <c r="A3092">
        <v>220</v>
      </c>
      <c r="B3092">
        <v>136</v>
      </c>
      <c r="C3092">
        <v>5</v>
      </c>
    </row>
    <row r="3093" spans="1:3" x14ac:dyDescent="0.25">
      <c r="A3093">
        <v>252</v>
      </c>
      <c r="B3093">
        <v>136</v>
      </c>
      <c r="C3093">
        <v>5</v>
      </c>
    </row>
    <row r="3094" spans="1:3" x14ac:dyDescent="0.25">
      <c r="A3094">
        <v>253</v>
      </c>
      <c r="B3094">
        <v>136</v>
      </c>
      <c r="C3094">
        <v>3</v>
      </c>
    </row>
    <row r="3095" spans="1:3" x14ac:dyDescent="0.25">
      <c r="A3095">
        <v>282</v>
      </c>
      <c r="B3095">
        <v>136</v>
      </c>
      <c r="C3095">
        <v>4</v>
      </c>
    </row>
    <row r="3096" spans="1:3" x14ac:dyDescent="0.25">
      <c r="A3096">
        <v>22</v>
      </c>
      <c r="B3096">
        <v>137</v>
      </c>
      <c r="C3096">
        <v>2</v>
      </c>
    </row>
    <row r="3097" spans="1:3" x14ac:dyDescent="0.25">
      <c r="A3097">
        <v>26</v>
      </c>
      <c r="B3097">
        <v>137</v>
      </c>
      <c r="C3097">
        <v>3</v>
      </c>
    </row>
    <row r="3098" spans="1:3" x14ac:dyDescent="0.25">
      <c r="A3098">
        <v>146</v>
      </c>
      <c r="B3098">
        <v>137</v>
      </c>
      <c r="C3098">
        <v>5</v>
      </c>
    </row>
    <row r="3099" spans="1:3" x14ac:dyDescent="0.25">
      <c r="A3099">
        <v>148</v>
      </c>
      <c r="B3099">
        <v>137</v>
      </c>
      <c r="C3099">
        <v>4</v>
      </c>
    </row>
    <row r="3100" spans="1:3" x14ac:dyDescent="0.25">
      <c r="A3100">
        <v>155</v>
      </c>
      <c r="B3100">
        <v>137</v>
      </c>
      <c r="C3100">
        <v>2</v>
      </c>
    </row>
    <row r="3101" spans="1:3" x14ac:dyDescent="0.25">
      <c r="A3101">
        <v>161</v>
      </c>
      <c r="B3101">
        <v>137</v>
      </c>
      <c r="C3101">
        <v>1</v>
      </c>
    </row>
    <row r="3102" spans="1:3" x14ac:dyDescent="0.25">
      <c r="A3102">
        <v>181</v>
      </c>
      <c r="B3102">
        <v>137</v>
      </c>
      <c r="C3102">
        <v>4</v>
      </c>
    </row>
    <row r="3103" spans="1:3" x14ac:dyDescent="0.25">
      <c r="A3103">
        <v>195</v>
      </c>
      <c r="B3103">
        <v>137</v>
      </c>
      <c r="C3103">
        <v>4</v>
      </c>
    </row>
    <row r="3104" spans="1:3" x14ac:dyDescent="0.25">
      <c r="A3104">
        <v>197</v>
      </c>
      <c r="B3104">
        <v>137</v>
      </c>
      <c r="C3104">
        <v>1</v>
      </c>
    </row>
    <row r="3105" spans="1:3" x14ac:dyDescent="0.25">
      <c r="A3105">
        <v>208</v>
      </c>
      <c r="B3105">
        <v>137</v>
      </c>
      <c r="C3105">
        <v>4</v>
      </c>
    </row>
    <row r="3106" spans="1:3" x14ac:dyDescent="0.25">
      <c r="A3106">
        <v>219</v>
      </c>
      <c r="B3106">
        <v>137</v>
      </c>
      <c r="C3106">
        <v>1</v>
      </c>
    </row>
    <row r="3107" spans="1:3" x14ac:dyDescent="0.25">
      <c r="A3107">
        <v>258</v>
      </c>
      <c r="B3107">
        <v>137</v>
      </c>
      <c r="C3107">
        <v>4</v>
      </c>
    </row>
    <row r="3108" spans="1:3" x14ac:dyDescent="0.25">
      <c r="A3108">
        <v>262</v>
      </c>
      <c r="B3108">
        <v>137</v>
      </c>
      <c r="C3108">
        <v>4</v>
      </c>
    </row>
    <row r="3109" spans="1:3" x14ac:dyDescent="0.25">
      <c r="A3109">
        <v>263</v>
      </c>
      <c r="B3109">
        <v>137</v>
      </c>
      <c r="C3109">
        <v>1</v>
      </c>
    </row>
    <row r="3110" spans="1:3" x14ac:dyDescent="0.25">
      <c r="A3110">
        <v>292</v>
      </c>
      <c r="B3110">
        <v>137</v>
      </c>
      <c r="C3110">
        <v>5</v>
      </c>
    </row>
    <row r="3111" spans="1:3" x14ac:dyDescent="0.25">
      <c r="A3111">
        <v>298</v>
      </c>
      <c r="B3111">
        <v>137</v>
      </c>
      <c r="C3111">
        <v>5</v>
      </c>
    </row>
    <row r="3112" spans="1:3" x14ac:dyDescent="0.25">
      <c r="A3112">
        <v>5</v>
      </c>
      <c r="B3112">
        <v>138</v>
      </c>
      <c r="C3112">
        <v>2</v>
      </c>
    </row>
    <row r="3113" spans="1:3" x14ac:dyDescent="0.25">
      <c r="A3113">
        <v>36</v>
      </c>
      <c r="B3113">
        <v>138</v>
      </c>
      <c r="C3113">
        <v>4</v>
      </c>
    </row>
    <row r="3114" spans="1:3" x14ac:dyDescent="0.25">
      <c r="A3114">
        <v>54</v>
      </c>
      <c r="B3114">
        <v>138</v>
      </c>
      <c r="C3114">
        <v>5</v>
      </c>
    </row>
    <row r="3115" spans="1:3" x14ac:dyDescent="0.25">
      <c r="A3115">
        <v>68</v>
      </c>
      <c r="B3115">
        <v>138</v>
      </c>
      <c r="C3115">
        <v>1</v>
      </c>
    </row>
    <row r="3116" spans="1:3" x14ac:dyDescent="0.25">
      <c r="A3116">
        <v>68</v>
      </c>
      <c r="B3116">
        <v>138</v>
      </c>
      <c r="C3116">
        <v>1</v>
      </c>
    </row>
    <row r="3117" spans="1:3" x14ac:dyDescent="0.25">
      <c r="A3117">
        <v>74</v>
      </c>
      <c r="B3117">
        <v>138</v>
      </c>
      <c r="C3117">
        <v>5</v>
      </c>
    </row>
    <row r="3118" spans="1:3" x14ac:dyDescent="0.25">
      <c r="A3118">
        <v>118</v>
      </c>
      <c r="B3118">
        <v>138</v>
      </c>
      <c r="C3118">
        <v>2</v>
      </c>
    </row>
    <row r="3119" spans="1:3" x14ac:dyDescent="0.25">
      <c r="A3119">
        <v>131</v>
      </c>
      <c r="B3119">
        <v>138</v>
      </c>
      <c r="C3119">
        <v>1</v>
      </c>
    </row>
    <row r="3120" spans="1:3" x14ac:dyDescent="0.25">
      <c r="A3120">
        <v>158</v>
      </c>
      <c r="B3120">
        <v>138</v>
      </c>
      <c r="C3120">
        <v>4</v>
      </c>
    </row>
    <row r="3121" spans="1:3" x14ac:dyDescent="0.25">
      <c r="A3121">
        <v>161</v>
      </c>
      <c r="B3121">
        <v>138</v>
      </c>
      <c r="C3121">
        <v>4</v>
      </c>
    </row>
    <row r="3122" spans="1:3" x14ac:dyDescent="0.25">
      <c r="A3122">
        <v>162</v>
      </c>
      <c r="B3122">
        <v>138</v>
      </c>
      <c r="C3122">
        <v>5</v>
      </c>
    </row>
    <row r="3123" spans="1:3" x14ac:dyDescent="0.25">
      <c r="A3123">
        <v>171</v>
      </c>
      <c r="B3123">
        <v>138</v>
      </c>
      <c r="C3123">
        <v>2</v>
      </c>
    </row>
    <row r="3124" spans="1:3" x14ac:dyDescent="0.25">
      <c r="A3124">
        <v>180</v>
      </c>
      <c r="B3124">
        <v>138</v>
      </c>
      <c r="C3124">
        <v>5</v>
      </c>
    </row>
    <row r="3125" spans="1:3" x14ac:dyDescent="0.25">
      <c r="A3125">
        <v>186</v>
      </c>
      <c r="B3125">
        <v>138</v>
      </c>
      <c r="C3125">
        <v>1</v>
      </c>
    </row>
    <row r="3126" spans="1:3" x14ac:dyDescent="0.25">
      <c r="A3126">
        <v>205</v>
      </c>
      <c r="B3126">
        <v>138</v>
      </c>
      <c r="C3126">
        <v>4</v>
      </c>
    </row>
    <row r="3127" spans="1:3" x14ac:dyDescent="0.25">
      <c r="A3127">
        <v>221</v>
      </c>
      <c r="B3127">
        <v>138</v>
      </c>
      <c r="C3127">
        <v>5</v>
      </c>
    </row>
    <row r="3128" spans="1:3" x14ac:dyDescent="0.25">
      <c r="A3128">
        <v>222</v>
      </c>
      <c r="B3128">
        <v>138</v>
      </c>
      <c r="C3128">
        <v>5</v>
      </c>
    </row>
    <row r="3129" spans="1:3" x14ac:dyDescent="0.25">
      <c r="A3129">
        <v>234</v>
      </c>
      <c r="B3129">
        <v>138</v>
      </c>
      <c r="C3129">
        <v>4</v>
      </c>
    </row>
    <row r="3130" spans="1:3" x14ac:dyDescent="0.25">
      <c r="A3130">
        <v>238</v>
      </c>
      <c r="B3130">
        <v>138</v>
      </c>
      <c r="C3130">
        <v>5</v>
      </c>
    </row>
    <row r="3131" spans="1:3" x14ac:dyDescent="0.25">
      <c r="A3131">
        <v>238</v>
      </c>
      <c r="B3131">
        <v>138</v>
      </c>
      <c r="C3131">
        <v>4</v>
      </c>
    </row>
    <row r="3132" spans="1:3" x14ac:dyDescent="0.25">
      <c r="A3132">
        <v>251</v>
      </c>
      <c r="B3132">
        <v>138</v>
      </c>
      <c r="C3132">
        <v>2</v>
      </c>
    </row>
    <row r="3133" spans="1:3" x14ac:dyDescent="0.25">
      <c r="A3133">
        <v>252</v>
      </c>
      <c r="B3133">
        <v>138</v>
      </c>
      <c r="C3133">
        <v>3</v>
      </c>
    </row>
    <row r="3134" spans="1:3" x14ac:dyDescent="0.25">
      <c r="A3134">
        <v>272</v>
      </c>
      <c r="B3134">
        <v>138</v>
      </c>
      <c r="C3134">
        <v>4</v>
      </c>
    </row>
    <row r="3135" spans="1:3" x14ac:dyDescent="0.25">
      <c r="A3135">
        <v>289</v>
      </c>
      <c r="B3135">
        <v>138</v>
      </c>
      <c r="C3135">
        <v>4</v>
      </c>
    </row>
    <row r="3136" spans="1:3" x14ac:dyDescent="0.25">
      <c r="A3136">
        <v>294</v>
      </c>
      <c r="B3136">
        <v>138</v>
      </c>
      <c r="C3136">
        <v>4</v>
      </c>
    </row>
    <row r="3137" spans="1:3" x14ac:dyDescent="0.25">
      <c r="A3137">
        <v>12</v>
      </c>
      <c r="B3137">
        <v>139</v>
      </c>
      <c r="C3137">
        <v>4</v>
      </c>
    </row>
    <row r="3138" spans="1:3" x14ac:dyDescent="0.25">
      <c r="A3138">
        <v>22</v>
      </c>
      <c r="B3138">
        <v>139</v>
      </c>
      <c r="C3138">
        <v>5</v>
      </c>
    </row>
    <row r="3139" spans="1:3" x14ac:dyDescent="0.25">
      <c r="A3139">
        <v>36</v>
      </c>
      <c r="B3139">
        <v>139</v>
      </c>
      <c r="C3139">
        <v>4</v>
      </c>
    </row>
    <row r="3140" spans="1:3" x14ac:dyDescent="0.25">
      <c r="A3140">
        <v>61</v>
      </c>
      <c r="B3140">
        <v>139</v>
      </c>
      <c r="C3140">
        <v>5</v>
      </c>
    </row>
    <row r="3141" spans="1:3" x14ac:dyDescent="0.25">
      <c r="A3141">
        <v>79</v>
      </c>
      <c r="B3141">
        <v>139</v>
      </c>
      <c r="C3141">
        <v>5</v>
      </c>
    </row>
    <row r="3142" spans="1:3" x14ac:dyDescent="0.25">
      <c r="A3142">
        <v>90</v>
      </c>
      <c r="B3142">
        <v>139</v>
      </c>
      <c r="C3142">
        <v>3</v>
      </c>
    </row>
    <row r="3143" spans="1:3" x14ac:dyDescent="0.25">
      <c r="A3143">
        <v>108</v>
      </c>
      <c r="B3143">
        <v>139</v>
      </c>
      <c r="C3143">
        <v>5</v>
      </c>
    </row>
    <row r="3144" spans="1:3" x14ac:dyDescent="0.25">
      <c r="A3144">
        <v>153</v>
      </c>
      <c r="B3144">
        <v>139</v>
      </c>
      <c r="C3144">
        <v>5</v>
      </c>
    </row>
    <row r="3145" spans="1:3" x14ac:dyDescent="0.25">
      <c r="A3145">
        <v>162</v>
      </c>
      <c r="B3145">
        <v>139</v>
      </c>
      <c r="C3145">
        <v>5</v>
      </c>
    </row>
    <row r="3146" spans="1:3" x14ac:dyDescent="0.25">
      <c r="A3146">
        <v>178</v>
      </c>
      <c r="B3146">
        <v>139</v>
      </c>
      <c r="C3146">
        <v>1</v>
      </c>
    </row>
    <row r="3147" spans="1:3" x14ac:dyDescent="0.25">
      <c r="A3147">
        <v>204</v>
      </c>
      <c r="B3147">
        <v>139</v>
      </c>
      <c r="C3147">
        <v>3</v>
      </c>
    </row>
    <row r="3148" spans="1:3" x14ac:dyDescent="0.25">
      <c r="A3148">
        <v>206</v>
      </c>
      <c r="B3148">
        <v>139</v>
      </c>
      <c r="C3148">
        <v>5</v>
      </c>
    </row>
    <row r="3149" spans="1:3" x14ac:dyDescent="0.25">
      <c r="A3149">
        <v>220</v>
      </c>
      <c r="B3149">
        <v>139</v>
      </c>
      <c r="C3149">
        <v>1</v>
      </c>
    </row>
    <row r="3150" spans="1:3" x14ac:dyDescent="0.25">
      <c r="A3150">
        <v>224</v>
      </c>
      <c r="B3150">
        <v>139</v>
      </c>
      <c r="C3150">
        <v>5</v>
      </c>
    </row>
    <row r="3151" spans="1:3" x14ac:dyDescent="0.25">
      <c r="A3151">
        <v>251</v>
      </c>
      <c r="B3151">
        <v>139</v>
      </c>
      <c r="C3151">
        <v>4</v>
      </c>
    </row>
    <row r="3152" spans="1:3" x14ac:dyDescent="0.25">
      <c r="A3152">
        <v>257</v>
      </c>
      <c r="B3152">
        <v>139</v>
      </c>
      <c r="C3152">
        <v>5</v>
      </c>
    </row>
    <row r="3153" spans="1:3" x14ac:dyDescent="0.25">
      <c r="A3153">
        <v>291</v>
      </c>
      <c r="B3153">
        <v>139</v>
      </c>
      <c r="C3153">
        <v>1</v>
      </c>
    </row>
    <row r="3154" spans="1:3" x14ac:dyDescent="0.25">
      <c r="A3154">
        <v>90</v>
      </c>
      <c r="B3154">
        <v>140</v>
      </c>
      <c r="C3154">
        <v>1</v>
      </c>
    </row>
    <row r="3155" spans="1:3" x14ac:dyDescent="0.25">
      <c r="A3155">
        <v>94</v>
      </c>
      <c r="B3155">
        <v>140</v>
      </c>
      <c r="C3155">
        <v>5</v>
      </c>
    </row>
    <row r="3156" spans="1:3" x14ac:dyDescent="0.25">
      <c r="A3156">
        <v>105</v>
      </c>
      <c r="B3156">
        <v>140</v>
      </c>
      <c r="C3156">
        <v>2</v>
      </c>
    </row>
    <row r="3157" spans="1:3" x14ac:dyDescent="0.25">
      <c r="A3157">
        <v>107</v>
      </c>
      <c r="B3157">
        <v>140</v>
      </c>
      <c r="C3157">
        <v>2</v>
      </c>
    </row>
    <row r="3158" spans="1:3" x14ac:dyDescent="0.25">
      <c r="A3158">
        <v>108</v>
      </c>
      <c r="B3158">
        <v>140</v>
      </c>
      <c r="C3158">
        <v>2</v>
      </c>
    </row>
    <row r="3159" spans="1:3" x14ac:dyDescent="0.25">
      <c r="A3159">
        <v>108</v>
      </c>
      <c r="B3159">
        <v>140</v>
      </c>
      <c r="C3159">
        <v>4</v>
      </c>
    </row>
    <row r="3160" spans="1:3" x14ac:dyDescent="0.25">
      <c r="A3160">
        <v>163</v>
      </c>
      <c r="B3160">
        <v>140</v>
      </c>
      <c r="C3160">
        <v>5</v>
      </c>
    </row>
    <row r="3161" spans="1:3" x14ac:dyDescent="0.25">
      <c r="A3161">
        <v>190</v>
      </c>
      <c r="B3161">
        <v>140</v>
      </c>
      <c r="C3161">
        <v>3</v>
      </c>
    </row>
    <row r="3162" spans="1:3" x14ac:dyDescent="0.25">
      <c r="A3162">
        <v>212</v>
      </c>
      <c r="B3162">
        <v>140</v>
      </c>
      <c r="C3162">
        <v>4</v>
      </c>
    </row>
    <row r="3163" spans="1:3" x14ac:dyDescent="0.25">
      <c r="A3163">
        <v>216</v>
      </c>
      <c r="B3163">
        <v>140</v>
      </c>
      <c r="C3163">
        <v>4</v>
      </c>
    </row>
    <row r="3164" spans="1:3" x14ac:dyDescent="0.25">
      <c r="A3164">
        <v>218</v>
      </c>
      <c r="B3164">
        <v>140</v>
      </c>
      <c r="C3164">
        <v>4</v>
      </c>
    </row>
    <row r="3165" spans="1:3" x14ac:dyDescent="0.25">
      <c r="A3165">
        <v>240</v>
      </c>
      <c r="B3165">
        <v>140</v>
      </c>
      <c r="C3165">
        <v>3</v>
      </c>
    </row>
    <row r="3166" spans="1:3" x14ac:dyDescent="0.25">
      <c r="A3166">
        <v>247</v>
      </c>
      <c r="B3166">
        <v>140</v>
      </c>
      <c r="C3166">
        <v>4</v>
      </c>
    </row>
    <row r="3167" spans="1:3" x14ac:dyDescent="0.25">
      <c r="A3167">
        <v>261</v>
      </c>
      <c r="B3167">
        <v>140</v>
      </c>
      <c r="C3167">
        <v>4</v>
      </c>
    </row>
    <row r="3168" spans="1:3" x14ac:dyDescent="0.25">
      <c r="A3168">
        <v>267</v>
      </c>
      <c r="B3168">
        <v>140</v>
      </c>
      <c r="C3168">
        <v>3</v>
      </c>
    </row>
    <row r="3169" spans="1:3" x14ac:dyDescent="0.25">
      <c r="A3169">
        <v>268</v>
      </c>
      <c r="B3169">
        <v>140</v>
      </c>
      <c r="C3169">
        <v>2</v>
      </c>
    </row>
    <row r="3170" spans="1:3" x14ac:dyDescent="0.25">
      <c r="A3170">
        <v>12</v>
      </c>
      <c r="B3170">
        <v>141</v>
      </c>
      <c r="C3170">
        <v>2</v>
      </c>
    </row>
    <row r="3171" spans="1:3" x14ac:dyDescent="0.25">
      <c r="A3171">
        <v>32</v>
      </c>
      <c r="B3171">
        <v>141</v>
      </c>
      <c r="C3171">
        <v>2</v>
      </c>
    </row>
    <row r="3172" spans="1:3" x14ac:dyDescent="0.25">
      <c r="A3172">
        <v>44</v>
      </c>
      <c r="B3172">
        <v>141</v>
      </c>
      <c r="C3172">
        <v>3</v>
      </c>
    </row>
    <row r="3173" spans="1:3" x14ac:dyDescent="0.25">
      <c r="A3173">
        <v>48</v>
      </c>
      <c r="B3173">
        <v>141</v>
      </c>
      <c r="C3173">
        <v>5</v>
      </c>
    </row>
    <row r="3174" spans="1:3" x14ac:dyDescent="0.25">
      <c r="A3174">
        <v>51</v>
      </c>
      <c r="B3174">
        <v>141</v>
      </c>
      <c r="C3174">
        <v>4</v>
      </c>
    </row>
    <row r="3175" spans="1:3" x14ac:dyDescent="0.25">
      <c r="A3175">
        <v>108</v>
      </c>
      <c r="B3175">
        <v>141</v>
      </c>
      <c r="C3175">
        <v>5</v>
      </c>
    </row>
    <row r="3176" spans="1:3" x14ac:dyDescent="0.25">
      <c r="A3176">
        <v>125</v>
      </c>
      <c r="B3176">
        <v>141</v>
      </c>
      <c r="C3176">
        <v>4</v>
      </c>
    </row>
    <row r="3177" spans="1:3" x14ac:dyDescent="0.25">
      <c r="A3177">
        <v>129</v>
      </c>
      <c r="B3177">
        <v>141</v>
      </c>
      <c r="C3177">
        <v>2</v>
      </c>
    </row>
    <row r="3178" spans="1:3" x14ac:dyDescent="0.25">
      <c r="A3178">
        <v>134</v>
      </c>
      <c r="B3178">
        <v>141</v>
      </c>
      <c r="C3178">
        <v>3</v>
      </c>
    </row>
    <row r="3179" spans="1:3" x14ac:dyDescent="0.25">
      <c r="A3179">
        <v>137</v>
      </c>
      <c r="B3179">
        <v>141</v>
      </c>
      <c r="C3179">
        <v>2</v>
      </c>
    </row>
    <row r="3180" spans="1:3" x14ac:dyDescent="0.25">
      <c r="A3180">
        <v>137</v>
      </c>
      <c r="B3180">
        <v>141</v>
      </c>
      <c r="C3180">
        <v>1</v>
      </c>
    </row>
    <row r="3181" spans="1:3" x14ac:dyDescent="0.25">
      <c r="A3181">
        <v>139</v>
      </c>
      <c r="B3181">
        <v>141</v>
      </c>
      <c r="C3181">
        <v>4</v>
      </c>
    </row>
    <row r="3182" spans="1:3" x14ac:dyDescent="0.25">
      <c r="A3182">
        <v>166</v>
      </c>
      <c r="B3182">
        <v>141</v>
      </c>
      <c r="C3182">
        <v>4</v>
      </c>
    </row>
    <row r="3183" spans="1:3" x14ac:dyDescent="0.25">
      <c r="A3183">
        <v>193</v>
      </c>
      <c r="B3183">
        <v>141</v>
      </c>
      <c r="C3183">
        <v>4</v>
      </c>
    </row>
    <row r="3184" spans="1:3" x14ac:dyDescent="0.25">
      <c r="A3184">
        <v>233</v>
      </c>
      <c r="B3184">
        <v>141</v>
      </c>
      <c r="C3184">
        <v>5</v>
      </c>
    </row>
    <row r="3185" spans="1:3" x14ac:dyDescent="0.25">
      <c r="A3185">
        <v>245</v>
      </c>
      <c r="B3185">
        <v>141</v>
      </c>
      <c r="C3185">
        <v>1</v>
      </c>
    </row>
    <row r="3186" spans="1:3" x14ac:dyDescent="0.25">
      <c r="A3186">
        <v>256</v>
      </c>
      <c r="B3186">
        <v>141</v>
      </c>
      <c r="C3186">
        <v>3</v>
      </c>
    </row>
    <row r="3187" spans="1:3" x14ac:dyDescent="0.25">
      <c r="A3187">
        <v>257</v>
      </c>
      <c r="B3187">
        <v>141</v>
      </c>
      <c r="C3187">
        <v>2</v>
      </c>
    </row>
    <row r="3188" spans="1:3" x14ac:dyDescent="0.25">
      <c r="A3188">
        <v>257</v>
      </c>
      <c r="B3188">
        <v>141</v>
      </c>
      <c r="C3188">
        <v>3</v>
      </c>
    </row>
    <row r="3189" spans="1:3" x14ac:dyDescent="0.25">
      <c r="A3189">
        <v>272</v>
      </c>
      <c r="B3189">
        <v>141</v>
      </c>
      <c r="C3189">
        <v>5</v>
      </c>
    </row>
    <row r="3190" spans="1:3" x14ac:dyDescent="0.25">
      <c r="A3190">
        <v>13</v>
      </c>
      <c r="B3190">
        <v>142</v>
      </c>
      <c r="C3190">
        <v>5</v>
      </c>
    </row>
    <row r="3191" spans="1:3" x14ac:dyDescent="0.25">
      <c r="A3191">
        <v>15</v>
      </c>
      <c r="B3191">
        <v>142</v>
      </c>
      <c r="C3191">
        <v>2</v>
      </c>
    </row>
    <row r="3192" spans="1:3" x14ac:dyDescent="0.25">
      <c r="A3192">
        <v>20</v>
      </c>
      <c r="B3192">
        <v>142</v>
      </c>
      <c r="C3192">
        <v>2</v>
      </c>
    </row>
    <row r="3193" spans="1:3" x14ac:dyDescent="0.25">
      <c r="A3193">
        <v>23</v>
      </c>
      <c r="B3193">
        <v>142</v>
      </c>
      <c r="C3193">
        <v>4</v>
      </c>
    </row>
    <row r="3194" spans="1:3" x14ac:dyDescent="0.25">
      <c r="A3194">
        <v>31</v>
      </c>
      <c r="B3194">
        <v>142</v>
      </c>
      <c r="C3194">
        <v>3</v>
      </c>
    </row>
    <row r="3195" spans="1:3" x14ac:dyDescent="0.25">
      <c r="A3195">
        <v>61</v>
      </c>
      <c r="B3195">
        <v>142</v>
      </c>
      <c r="C3195">
        <v>5</v>
      </c>
    </row>
    <row r="3196" spans="1:3" x14ac:dyDescent="0.25">
      <c r="A3196">
        <v>64</v>
      </c>
      <c r="B3196">
        <v>142</v>
      </c>
      <c r="C3196">
        <v>5</v>
      </c>
    </row>
    <row r="3197" spans="1:3" x14ac:dyDescent="0.25">
      <c r="A3197">
        <v>72</v>
      </c>
      <c r="B3197">
        <v>142</v>
      </c>
      <c r="C3197">
        <v>4</v>
      </c>
    </row>
    <row r="3198" spans="1:3" x14ac:dyDescent="0.25">
      <c r="A3198">
        <v>92</v>
      </c>
      <c r="B3198">
        <v>142</v>
      </c>
      <c r="C3198">
        <v>4</v>
      </c>
    </row>
    <row r="3199" spans="1:3" x14ac:dyDescent="0.25">
      <c r="A3199">
        <v>92</v>
      </c>
      <c r="B3199">
        <v>142</v>
      </c>
      <c r="C3199">
        <v>3</v>
      </c>
    </row>
    <row r="3200" spans="1:3" x14ac:dyDescent="0.25">
      <c r="A3200">
        <v>96</v>
      </c>
      <c r="B3200">
        <v>142</v>
      </c>
      <c r="C3200">
        <v>5</v>
      </c>
    </row>
    <row r="3201" spans="1:3" x14ac:dyDescent="0.25">
      <c r="A3201">
        <v>103</v>
      </c>
      <c r="B3201">
        <v>142</v>
      </c>
      <c r="C3201">
        <v>2</v>
      </c>
    </row>
    <row r="3202" spans="1:3" x14ac:dyDescent="0.25">
      <c r="A3202">
        <v>139</v>
      </c>
      <c r="B3202">
        <v>142</v>
      </c>
      <c r="C3202">
        <v>2</v>
      </c>
    </row>
    <row r="3203" spans="1:3" x14ac:dyDescent="0.25">
      <c r="A3203">
        <v>152</v>
      </c>
      <c r="B3203">
        <v>142</v>
      </c>
      <c r="C3203">
        <v>3</v>
      </c>
    </row>
    <row r="3204" spans="1:3" x14ac:dyDescent="0.25">
      <c r="A3204">
        <v>156</v>
      </c>
      <c r="B3204">
        <v>142</v>
      </c>
      <c r="C3204">
        <v>4</v>
      </c>
    </row>
    <row r="3205" spans="1:3" x14ac:dyDescent="0.25">
      <c r="A3205">
        <v>157</v>
      </c>
      <c r="B3205">
        <v>142</v>
      </c>
      <c r="C3205">
        <v>4</v>
      </c>
    </row>
    <row r="3206" spans="1:3" x14ac:dyDescent="0.25">
      <c r="A3206">
        <v>172</v>
      </c>
      <c r="B3206">
        <v>142</v>
      </c>
      <c r="C3206">
        <v>2</v>
      </c>
    </row>
    <row r="3207" spans="1:3" x14ac:dyDescent="0.25">
      <c r="A3207">
        <v>174</v>
      </c>
      <c r="B3207">
        <v>142</v>
      </c>
      <c r="C3207">
        <v>1</v>
      </c>
    </row>
    <row r="3208" spans="1:3" x14ac:dyDescent="0.25">
      <c r="A3208">
        <v>183</v>
      </c>
      <c r="B3208">
        <v>142</v>
      </c>
      <c r="C3208">
        <v>1</v>
      </c>
    </row>
    <row r="3209" spans="1:3" x14ac:dyDescent="0.25">
      <c r="A3209">
        <v>193</v>
      </c>
      <c r="B3209">
        <v>142</v>
      </c>
      <c r="C3209">
        <v>5</v>
      </c>
    </row>
    <row r="3210" spans="1:3" x14ac:dyDescent="0.25">
      <c r="A3210">
        <v>197</v>
      </c>
      <c r="B3210">
        <v>142</v>
      </c>
      <c r="C3210">
        <v>5</v>
      </c>
    </row>
    <row r="3211" spans="1:3" x14ac:dyDescent="0.25">
      <c r="A3211">
        <v>221</v>
      </c>
      <c r="B3211">
        <v>142</v>
      </c>
      <c r="C3211">
        <v>1</v>
      </c>
    </row>
    <row r="3212" spans="1:3" x14ac:dyDescent="0.25">
      <c r="A3212">
        <v>245</v>
      </c>
      <c r="B3212">
        <v>142</v>
      </c>
      <c r="C3212">
        <v>5</v>
      </c>
    </row>
    <row r="3213" spans="1:3" x14ac:dyDescent="0.25">
      <c r="A3213">
        <v>251</v>
      </c>
      <c r="B3213">
        <v>142</v>
      </c>
      <c r="C3213">
        <v>3</v>
      </c>
    </row>
    <row r="3214" spans="1:3" x14ac:dyDescent="0.25">
      <c r="A3214">
        <v>259</v>
      </c>
      <c r="B3214">
        <v>142</v>
      </c>
      <c r="C3214">
        <v>4</v>
      </c>
    </row>
    <row r="3215" spans="1:3" x14ac:dyDescent="0.25">
      <c r="A3215">
        <v>264</v>
      </c>
      <c r="B3215">
        <v>142</v>
      </c>
      <c r="C3215">
        <v>4</v>
      </c>
    </row>
    <row r="3216" spans="1:3" x14ac:dyDescent="0.25">
      <c r="A3216">
        <v>271</v>
      </c>
      <c r="B3216">
        <v>142</v>
      </c>
      <c r="C3216">
        <v>5</v>
      </c>
    </row>
    <row r="3217" spans="1:3" x14ac:dyDescent="0.25">
      <c r="A3217">
        <v>293</v>
      </c>
      <c r="B3217">
        <v>142</v>
      </c>
      <c r="C3217">
        <v>2</v>
      </c>
    </row>
    <row r="3218" spans="1:3" x14ac:dyDescent="0.25">
      <c r="A3218">
        <v>5</v>
      </c>
      <c r="B3218">
        <v>143</v>
      </c>
      <c r="C3218">
        <v>4</v>
      </c>
    </row>
    <row r="3219" spans="1:3" x14ac:dyDescent="0.25">
      <c r="A3219">
        <v>8</v>
      </c>
      <c r="B3219">
        <v>143</v>
      </c>
      <c r="C3219">
        <v>5</v>
      </c>
    </row>
    <row r="3220" spans="1:3" x14ac:dyDescent="0.25">
      <c r="A3220">
        <v>28</v>
      </c>
      <c r="B3220">
        <v>143</v>
      </c>
      <c r="C3220">
        <v>5</v>
      </c>
    </row>
    <row r="3221" spans="1:3" x14ac:dyDescent="0.25">
      <c r="A3221">
        <v>59</v>
      </c>
      <c r="B3221">
        <v>143</v>
      </c>
      <c r="C3221">
        <v>1</v>
      </c>
    </row>
    <row r="3222" spans="1:3" x14ac:dyDescent="0.25">
      <c r="A3222">
        <v>91</v>
      </c>
      <c r="B3222">
        <v>143</v>
      </c>
      <c r="C3222">
        <v>3</v>
      </c>
    </row>
    <row r="3223" spans="1:3" x14ac:dyDescent="0.25">
      <c r="A3223">
        <v>91</v>
      </c>
      <c r="B3223">
        <v>143</v>
      </c>
      <c r="C3223">
        <v>5</v>
      </c>
    </row>
    <row r="3224" spans="1:3" x14ac:dyDescent="0.25">
      <c r="A3224">
        <v>93</v>
      </c>
      <c r="B3224">
        <v>143</v>
      </c>
      <c r="C3224">
        <v>3</v>
      </c>
    </row>
    <row r="3225" spans="1:3" x14ac:dyDescent="0.25">
      <c r="A3225">
        <v>105</v>
      </c>
      <c r="B3225">
        <v>143</v>
      </c>
      <c r="C3225">
        <v>3</v>
      </c>
    </row>
    <row r="3226" spans="1:3" x14ac:dyDescent="0.25">
      <c r="A3226">
        <v>107</v>
      </c>
      <c r="B3226">
        <v>143</v>
      </c>
      <c r="C3226">
        <v>5</v>
      </c>
    </row>
    <row r="3227" spans="1:3" x14ac:dyDescent="0.25">
      <c r="A3227">
        <v>136</v>
      </c>
      <c r="B3227">
        <v>143</v>
      </c>
      <c r="C3227">
        <v>2</v>
      </c>
    </row>
    <row r="3228" spans="1:3" x14ac:dyDescent="0.25">
      <c r="A3228">
        <v>139</v>
      </c>
      <c r="B3228">
        <v>143</v>
      </c>
      <c r="C3228">
        <v>1</v>
      </c>
    </row>
    <row r="3229" spans="1:3" x14ac:dyDescent="0.25">
      <c r="A3229">
        <v>140</v>
      </c>
      <c r="B3229">
        <v>143</v>
      </c>
      <c r="C3229">
        <v>5</v>
      </c>
    </row>
    <row r="3230" spans="1:3" x14ac:dyDescent="0.25">
      <c r="A3230">
        <v>141</v>
      </c>
      <c r="B3230">
        <v>143</v>
      </c>
      <c r="C3230">
        <v>3</v>
      </c>
    </row>
    <row r="3231" spans="1:3" x14ac:dyDescent="0.25">
      <c r="A3231">
        <v>142</v>
      </c>
      <c r="B3231">
        <v>143</v>
      </c>
      <c r="C3231">
        <v>3</v>
      </c>
    </row>
    <row r="3232" spans="1:3" x14ac:dyDescent="0.25">
      <c r="A3232">
        <v>144</v>
      </c>
      <c r="B3232">
        <v>143</v>
      </c>
      <c r="C3232">
        <v>2</v>
      </c>
    </row>
    <row r="3233" spans="1:3" x14ac:dyDescent="0.25">
      <c r="A3233">
        <v>183</v>
      </c>
      <c r="B3233">
        <v>143</v>
      </c>
      <c r="C3233">
        <v>5</v>
      </c>
    </row>
    <row r="3234" spans="1:3" x14ac:dyDescent="0.25">
      <c r="A3234">
        <v>187</v>
      </c>
      <c r="B3234">
        <v>143</v>
      </c>
      <c r="C3234">
        <v>3</v>
      </c>
    </row>
    <row r="3235" spans="1:3" x14ac:dyDescent="0.25">
      <c r="A3235">
        <v>231</v>
      </c>
      <c r="B3235">
        <v>143</v>
      </c>
      <c r="C3235">
        <v>4</v>
      </c>
    </row>
    <row r="3236" spans="1:3" x14ac:dyDescent="0.25">
      <c r="A3236">
        <v>256</v>
      </c>
      <c r="B3236">
        <v>143</v>
      </c>
      <c r="C3236">
        <v>1</v>
      </c>
    </row>
    <row r="3237" spans="1:3" x14ac:dyDescent="0.25">
      <c r="A3237">
        <v>261</v>
      </c>
      <c r="B3237">
        <v>143</v>
      </c>
      <c r="C3237">
        <v>3</v>
      </c>
    </row>
    <row r="3238" spans="1:3" x14ac:dyDescent="0.25">
      <c r="A3238">
        <v>290</v>
      </c>
      <c r="B3238">
        <v>143</v>
      </c>
      <c r="C3238">
        <v>2</v>
      </c>
    </row>
    <row r="3239" spans="1:3" x14ac:dyDescent="0.25">
      <c r="A3239">
        <v>298</v>
      </c>
      <c r="B3239">
        <v>143</v>
      </c>
      <c r="C3239">
        <v>5</v>
      </c>
    </row>
    <row r="3240" spans="1:3" x14ac:dyDescent="0.25">
      <c r="A3240">
        <v>29</v>
      </c>
      <c r="B3240">
        <v>144</v>
      </c>
      <c r="C3240">
        <v>5</v>
      </c>
    </row>
    <row r="3241" spans="1:3" x14ac:dyDescent="0.25">
      <c r="A3241">
        <v>51</v>
      </c>
      <c r="B3241">
        <v>144</v>
      </c>
      <c r="C3241">
        <v>1</v>
      </c>
    </row>
    <row r="3242" spans="1:3" x14ac:dyDescent="0.25">
      <c r="A3242">
        <v>57</v>
      </c>
      <c r="B3242">
        <v>144</v>
      </c>
      <c r="C3242">
        <v>4</v>
      </c>
    </row>
    <row r="3243" spans="1:3" x14ac:dyDescent="0.25">
      <c r="A3243">
        <v>58</v>
      </c>
      <c r="B3243">
        <v>144</v>
      </c>
      <c r="C3243">
        <v>1</v>
      </c>
    </row>
    <row r="3244" spans="1:3" x14ac:dyDescent="0.25">
      <c r="A3244">
        <v>61</v>
      </c>
      <c r="B3244">
        <v>144</v>
      </c>
      <c r="C3244">
        <v>1</v>
      </c>
    </row>
    <row r="3245" spans="1:3" x14ac:dyDescent="0.25">
      <c r="A3245">
        <v>67</v>
      </c>
      <c r="B3245">
        <v>144</v>
      </c>
      <c r="C3245">
        <v>3</v>
      </c>
    </row>
    <row r="3246" spans="1:3" x14ac:dyDescent="0.25">
      <c r="A3246">
        <v>72</v>
      </c>
      <c r="B3246">
        <v>144</v>
      </c>
      <c r="C3246">
        <v>4</v>
      </c>
    </row>
    <row r="3247" spans="1:3" x14ac:dyDescent="0.25">
      <c r="A3247">
        <v>74</v>
      </c>
      <c r="B3247">
        <v>144</v>
      </c>
      <c r="C3247">
        <v>3</v>
      </c>
    </row>
    <row r="3248" spans="1:3" x14ac:dyDescent="0.25">
      <c r="A3248">
        <v>79</v>
      </c>
      <c r="B3248">
        <v>144</v>
      </c>
      <c r="C3248">
        <v>1</v>
      </c>
    </row>
    <row r="3249" spans="1:3" x14ac:dyDescent="0.25">
      <c r="A3249">
        <v>89</v>
      </c>
      <c r="B3249">
        <v>144</v>
      </c>
      <c r="C3249">
        <v>2</v>
      </c>
    </row>
    <row r="3250" spans="1:3" x14ac:dyDescent="0.25">
      <c r="A3250">
        <v>103</v>
      </c>
      <c r="B3250">
        <v>144</v>
      </c>
      <c r="C3250">
        <v>3</v>
      </c>
    </row>
    <row r="3251" spans="1:3" x14ac:dyDescent="0.25">
      <c r="A3251">
        <v>114</v>
      </c>
      <c r="B3251">
        <v>144</v>
      </c>
      <c r="C3251">
        <v>3</v>
      </c>
    </row>
    <row r="3252" spans="1:3" x14ac:dyDescent="0.25">
      <c r="A3252">
        <v>174</v>
      </c>
      <c r="B3252">
        <v>144</v>
      </c>
      <c r="C3252">
        <v>4</v>
      </c>
    </row>
    <row r="3253" spans="1:3" x14ac:dyDescent="0.25">
      <c r="A3253">
        <v>185</v>
      </c>
      <c r="B3253">
        <v>144</v>
      </c>
      <c r="C3253">
        <v>4</v>
      </c>
    </row>
    <row r="3254" spans="1:3" x14ac:dyDescent="0.25">
      <c r="A3254">
        <v>207</v>
      </c>
      <c r="B3254">
        <v>144</v>
      </c>
      <c r="C3254">
        <v>2</v>
      </c>
    </row>
    <row r="3255" spans="1:3" x14ac:dyDescent="0.25">
      <c r="A3255">
        <v>211</v>
      </c>
      <c r="B3255">
        <v>144</v>
      </c>
      <c r="C3255">
        <v>4</v>
      </c>
    </row>
    <row r="3256" spans="1:3" x14ac:dyDescent="0.25">
      <c r="A3256">
        <v>215</v>
      </c>
      <c r="B3256">
        <v>144</v>
      </c>
      <c r="C3256">
        <v>5</v>
      </c>
    </row>
    <row r="3257" spans="1:3" x14ac:dyDescent="0.25">
      <c r="A3257">
        <v>222</v>
      </c>
      <c r="B3257">
        <v>144</v>
      </c>
      <c r="C3257">
        <v>1</v>
      </c>
    </row>
    <row r="3258" spans="1:3" x14ac:dyDescent="0.25">
      <c r="A3258">
        <v>265</v>
      </c>
      <c r="B3258">
        <v>144</v>
      </c>
      <c r="C3258">
        <v>2</v>
      </c>
    </row>
    <row r="3259" spans="1:3" x14ac:dyDescent="0.25">
      <c r="A3259">
        <v>265</v>
      </c>
      <c r="B3259">
        <v>144</v>
      </c>
      <c r="C3259">
        <v>3</v>
      </c>
    </row>
    <row r="3260" spans="1:3" x14ac:dyDescent="0.25">
      <c r="A3260">
        <v>300</v>
      </c>
      <c r="B3260">
        <v>144</v>
      </c>
      <c r="C3260">
        <v>5</v>
      </c>
    </row>
    <row r="3261" spans="1:3" x14ac:dyDescent="0.25">
      <c r="A3261">
        <v>10</v>
      </c>
      <c r="B3261">
        <v>145</v>
      </c>
      <c r="C3261">
        <v>3</v>
      </c>
    </row>
    <row r="3262" spans="1:3" x14ac:dyDescent="0.25">
      <c r="A3262">
        <v>17</v>
      </c>
      <c r="B3262">
        <v>145</v>
      </c>
      <c r="C3262">
        <v>3</v>
      </c>
    </row>
    <row r="3263" spans="1:3" x14ac:dyDescent="0.25">
      <c r="A3263">
        <v>20</v>
      </c>
      <c r="B3263">
        <v>145</v>
      </c>
      <c r="C3263">
        <v>2</v>
      </c>
    </row>
    <row r="3264" spans="1:3" x14ac:dyDescent="0.25">
      <c r="A3264">
        <v>33</v>
      </c>
      <c r="B3264">
        <v>145</v>
      </c>
      <c r="C3264">
        <v>3</v>
      </c>
    </row>
    <row r="3265" spans="1:3" x14ac:dyDescent="0.25">
      <c r="A3265">
        <v>46</v>
      </c>
      <c r="B3265">
        <v>145</v>
      </c>
      <c r="C3265">
        <v>2</v>
      </c>
    </row>
    <row r="3266" spans="1:3" x14ac:dyDescent="0.25">
      <c r="A3266">
        <v>55</v>
      </c>
      <c r="B3266">
        <v>145</v>
      </c>
      <c r="C3266">
        <v>5</v>
      </c>
    </row>
    <row r="3267" spans="1:3" x14ac:dyDescent="0.25">
      <c r="A3267">
        <v>103</v>
      </c>
      <c r="B3267">
        <v>145</v>
      </c>
      <c r="C3267">
        <v>3</v>
      </c>
    </row>
    <row r="3268" spans="1:3" x14ac:dyDescent="0.25">
      <c r="A3268">
        <v>113</v>
      </c>
      <c r="B3268">
        <v>145</v>
      </c>
      <c r="C3268">
        <v>2</v>
      </c>
    </row>
    <row r="3269" spans="1:3" x14ac:dyDescent="0.25">
      <c r="A3269">
        <v>123</v>
      </c>
      <c r="B3269">
        <v>145</v>
      </c>
      <c r="C3269">
        <v>2</v>
      </c>
    </row>
    <row r="3270" spans="1:3" x14ac:dyDescent="0.25">
      <c r="A3270">
        <v>126</v>
      </c>
      <c r="B3270">
        <v>145</v>
      </c>
      <c r="C3270">
        <v>4</v>
      </c>
    </row>
    <row r="3271" spans="1:3" x14ac:dyDescent="0.25">
      <c r="A3271">
        <v>135</v>
      </c>
      <c r="B3271">
        <v>145</v>
      </c>
      <c r="C3271">
        <v>2</v>
      </c>
    </row>
    <row r="3272" spans="1:3" x14ac:dyDescent="0.25">
      <c r="A3272">
        <v>139</v>
      </c>
      <c r="B3272">
        <v>145</v>
      </c>
      <c r="C3272">
        <v>5</v>
      </c>
    </row>
    <row r="3273" spans="1:3" x14ac:dyDescent="0.25">
      <c r="A3273">
        <v>178</v>
      </c>
      <c r="B3273">
        <v>145</v>
      </c>
      <c r="C3273">
        <v>4</v>
      </c>
    </row>
    <row r="3274" spans="1:3" x14ac:dyDescent="0.25">
      <c r="A3274">
        <v>179</v>
      </c>
      <c r="B3274">
        <v>145</v>
      </c>
      <c r="C3274">
        <v>2</v>
      </c>
    </row>
    <row r="3275" spans="1:3" x14ac:dyDescent="0.25">
      <c r="A3275">
        <v>252</v>
      </c>
      <c r="B3275">
        <v>145</v>
      </c>
      <c r="C3275">
        <v>3</v>
      </c>
    </row>
    <row r="3276" spans="1:3" x14ac:dyDescent="0.25">
      <c r="A3276">
        <v>267</v>
      </c>
      <c r="B3276">
        <v>145</v>
      </c>
      <c r="C3276">
        <v>5</v>
      </c>
    </row>
    <row r="3277" spans="1:3" x14ac:dyDescent="0.25">
      <c r="A3277">
        <v>273</v>
      </c>
      <c r="B3277">
        <v>145</v>
      </c>
      <c r="C3277">
        <v>3</v>
      </c>
    </row>
    <row r="3278" spans="1:3" x14ac:dyDescent="0.25">
      <c r="A3278">
        <v>276</v>
      </c>
      <c r="B3278">
        <v>145</v>
      </c>
      <c r="C3278">
        <v>2</v>
      </c>
    </row>
    <row r="3279" spans="1:3" x14ac:dyDescent="0.25">
      <c r="A3279">
        <v>281</v>
      </c>
      <c r="B3279">
        <v>145</v>
      </c>
      <c r="C3279">
        <v>1</v>
      </c>
    </row>
    <row r="3280" spans="1:3" x14ac:dyDescent="0.25">
      <c r="A3280">
        <v>286</v>
      </c>
      <c r="B3280">
        <v>145</v>
      </c>
      <c r="C3280">
        <v>2</v>
      </c>
    </row>
    <row r="3281" spans="1:3" x14ac:dyDescent="0.25">
      <c r="A3281">
        <v>293</v>
      </c>
      <c r="B3281">
        <v>145</v>
      </c>
      <c r="C3281">
        <v>2</v>
      </c>
    </row>
    <row r="3282" spans="1:3" x14ac:dyDescent="0.25">
      <c r="A3282">
        <v>295</v>
      </c>
      <c r="B3282">
        <v>145</v>
      </c>
      <c r="C3282">
        <v>5</v>
      </c>
    </row>
    <row r="3283" spans="1:3" x14ac:dyDescent="0.25">
      <c r="A3283">
        <v>45</v>
      </c>
      <c r="B3283">
        <v>146</v>
      </c>
      <c r="C3283">
        <v>4</v>
      </c>
    </row>
    <row r="3284" spans="1:3" x14ac:dyDescent="0.25">
      <c r="A3284">
        <v>61</v>
      </c>
      <c r="B3284">
        <v>146</v>
      </c>
      <c r="C3284">
        <v>3</v>
      </c>
    </row>
    <row r="3285" spans="1:3" x14ac:dyDescent="0.25">
      <c r="A3285">
        <v>67</v>
      </c>
      <c r="B3285">
        <v>146</v>
      </c>
      <c r="C3285">
        <v>5</v>
      </c>
    </row>
    <row r="3286" spans="1:3" x14ac:dyDescent="0.25">
      <c r="A3286">
        <v>91</v>
      </c>
      <c r="B3286">
        <v>146</v>
      </c>
      <c r="C3286">
        <v>5</v>
      </c>
    </row>
    <row r="3287" spans="1:3" x14ac:dyDescent="0.25">
      <c r="A3287">
        <v>104</v>
      </c>
      <c r="B3287">
        <v>146</v>
      </c>
      <c r="C3287">
        <v>3</v>
      </c>
    </row>
    <row r="3288" spans="1:3" x14ac:dyDescent="0.25">
      <c r="A3288">
        <v>108</v>
      </c>
      <c r="B3288">
        <v>146</v>
      </c>
      <c r="C3288">
        <v>3</v>
      </c>
    </row>
    <row r="3289" spans="1:3" x14ac:dyDescent="0.25">
      <c r="A3289">
        <v>118</v>
      </c>
      <c r="B3289">
        <v>146</v>
      </c>
      <c r="C3289">
        <v>3</v>
      </c>
    </row>
    <row r="3290" spans="1:3" x14ac:dyDescent="0.25">
      <c r="A3290">
        <v>138</v>
      </c>
      <c r="B3290">
        <v>146</v>
      </c>
      <c r="C3290">
        <v>1</v>
      </c>
    </row>
    <row r="3291" spans="1:3" x14ac:dyDescent="0.25">
      <c r="A3291">
        <v>144</v>
      </c>
      <c r="B3291">
        <v>146</v>
      </c>
      <c r="C3291">
        <v>5</v>
      </c>
    </row>
    <row r="3292" spans="1:3" x14ac:dyDescent="0.25">
      <c r="A3292">
        <v>156</v>
      </c>
      <c r="B3292">
        <v>146</v>
      </c>
      <c r="C3292">
        <v>5</v>
      </c>
    </row>
    <row r="3293" spans="1:3" x14ac:dyDescent="0.25">
      <c r="A3293">
        <v>165</v>
      </c>
      <c r="B3293">
        <v>146</v>
      </c>
      <c r="C3293">
        <v>3</v>
      </c>
    </row>
    <row r="3294" spans="1:3" x14ac:dyDescent="0.25">
      <c r="A3294">
        <v>186</v>
      </c>
      <c r="B3294">
        <v>146</v>
      </c>
      <c r="C3294">
        <v>5</v>
      </c>
    </row>
    <row r="3295" spans="1:3" x14ac:dyDescent="0.25">
      <c r="A3295">
        <v>188</v>
      </c>
      <c r="B3295">
        <v>146</v>
      </c>
      <c r="C3295">
        <v>2</v>
      </c>
    </row>
    <row r="3296" spans="1:3" x14ac:dyDescent="0.25">
      <c r="A3296">
        <v>213</v>
      </c>
      <c r="B3296">
        <v>146</v>
      </c>
      <c r="C3296">
        <v>3</v>
      </c>
    </row>
    <row r="3297" spans="1:3" x14ac:dyDescent="0.25">
      <c r="A3297">
        <v>214</v>
      </c>
      <c r="B3297">
        <v>146</v>
      </c>
      <c r="C3297">
        <v>3</v>
      </c>
    </row>
    <row r="3298" spans="1:3" x14ac:dyDescent="0.25">
      <c r="A3298">
        <v>219</v>
      </c>
      <c r="B3298">
        <v>146</v>
      </c>
      <c r="C3298">
        <v>2</v>
      </c>
    </row>
    <row r="3299" spans="1:3" x14ac:dyDescent="0.25">
      <c r="A3299">
        <v>230</v>
      </c>
      <c r="B3299">
        <v>146</v>
      </c>
      <c r="C3299">
        <v>4</v>
      </c>
    </row>
    <row r="3300" spans="1:3" x14ac:dyDescent="0.25">
      <c r="A3300">
        <v>256</v>
      </c>
      <c r="B3300">
        <v>146</v>
      </c>
      <c r="C3300">
        <v>2</v>
      </c>
    </row>
    <row r="3301" spans="1:3" x14ac:dyDescent="0.25">
      <c r="A3301">
        <v>257</v>
      </c>
      <c r="B3301">
        <v>146</v>
      </c>
      <c r="C3301">
        <v>5</v>
      </c>
    </row>
    <row r="3302" spans="1:3" x14ac:dyDescent="0.25">
      <c r="A3302">
        <v>258</v>
      </c>
      <c r="B3302">
        <v>146</v>
      </c>
      <c r="C3302">
        <v>5</v>
      </c>
    </row>
    <row r="3303" spans="1:3" x14ac:dyDescent="0.25">
      <c r="A3303">
        <v>268</v>
      </c>
      <c r="B3303">
        <v>146</v>
      </c>
      <c r="C3303">
        <v>5</v>
      </c>
    </row>
    <row r="3304" spans="1:3" x14ac:dyDescent="0.25">
      <c r="A3304">
        <v>270</v>
      </c>
      <c r="B3304">
        <v>146</v>
      </c>
      <c r="C3304">
        <v>1</v>
      </c>
    </row>
    <row r="3305" spans="1:3" x14ac:dyDescent="0.25">
      <c r="A3305">
        <v>2</v>
      </c>
      <c r="B3305">
        <v>147</v>
      </c>
      <c r="C3305">
        <v>2</v>
      </c>
    </row>
    <row r="3306" spans="1:3" x14ac:dyDescent="0.25">
      <c r="A3306">
        <v>18</v>
      </c>
      <c r="B3306">
        <v>147</v>
      </c>
      <c r="C3306">
        <v>4</v>
      </c>
    </row>
    <row r="3307" spans="1:3" x14ac:dyDescent="0.25">
      <c r="A3307">
        <v>21</v>
      </c>
      <c r="B3307">
        <v>147</v>
      </c>
      <c r="C3307">
        <v>3</v>
      </c>
    </row>
    <row r="3308" spans="1:3" x14ac:dyDescent="0.25">
      <c r="A3308">
        <v>23</v>
      </c>
      <c r="B3308">
        <v>147</v>
      </c>
      <c r="C3308">
        <v>5</v>
      </c>
    </row>
    <row r="3309" spans="1:3" x14ac:dyDescent="0.25">
      <c r="A3309">
        <v>32</v>
      </c>
      <c r="B3309">
        <v>147</v>
      </c>
      <c r="C3309">
        <v>2</v>
      </c>
    </row>
    <row r="3310" spans="1:3" x14ac:dyDescent="0.25">
      <c r="A3310">
        <v>45</v>
      </c>
      <c r="B3310">
        <v>147</v>
      </c>
      <c r="C3310">
        <v>5</v>
      </c>
    </row>
    <row r="3311" spans="1:3" x14ac:dyDescent="0.25">
      <c r="A3311">
        <v>59</v>
      </c>
      <c r="B3311">
        <v>147</v>
      </c>
      <c r="C3311">
        <v>5</v>
      </c>
    </row>
    <row r="3312" spans="1:3" x14ac:dyDescent="0.25">
      <c r="A3312">
        <v>101</v>
      </c>
      <c r="B3312">
        <v>147</v>
      </c>
      <c r="C3312">
        <v>4</v>
      </c>
    </row>
    <row r="3313" spans="1:3" x14ac:dyDescent="0.25">
      <c r="A3313">
        <v>115</v>
      </c>
      <c r="B3313">
        <v>147</v>
      </c>
      <c r="C3313">
        <v>5</v>
      </c>
    </row>
    <row r="3314" spans="1:3" x14ac:dyDescent="0.25">
      <c r="A3314">
        <v>126</v>
      </c>
      <c r="B3314">
        <v>147</v>
      </c>
      <c r="C3314">
        <v>1</v>
      </c>
    </row>
    <row r="3315" spans="1:3" x14ac:dyDescent="0.25">
      <c r="A3315">
        <v>129</v>
      </c>
      <c r="B3315">
        <v>147</v>
      </c>
      <c r="C3315">
        <v>4</v>
      </c>
    </row>
    <row r="3316" spans="1:3" x14ac:dyDescent="0.25">
      <c r="A3316">
        <v>133</v>
      </c>
      <c r="B3316">
        <v>147</v>
      </c>
      <c r="C3316">
        <v>3</v>
      </c>
    </row>
    <row r="3317" spans="1:3" x14ac:dyDescent="0.25">
      <c r="A3317">
        <v>148</v>
      </c>
      <c r="B3317">
        <v>147</v>
      </c>
      <c r="C3317">
        <v>2</v>
      </c>
    </row>
    <row r="3318" spans="1:3" x14ac:dyDescent="0.25">
      <c r="A3318">
        <v>154</v>
      </c>
      <c r="B3318">
        <v>147</v>
      </c>
      <c r="C3318">
        <v>1</v>
      </c>
    </row>
    <row r="3319" spans="1:3" x14ac:dyDescent="0.25">
      <c r="A3319">
        <v>167</v>
      </c>
      <c r="B3319">
        <v>147</v>
      </c>
      <c r="C3319">
        <v>1</v>
      </c>
    </row>
    <row r="3320" spans="1:3" x14ac:dyDescent="0.25">
      <c r="A3320">
        <v>217</v>
      </c>
      <c r="B3320">
        <v>147</v>
      </c>
      <c r="C3320">
        <v>2</v>
      </c>
    </row>
    <row r="3321" spans="1:3" x14ac:dyDescent="0.25">
      <c r="A3321">
        <v>257</v>
      </c>
      <c r="B3321">
        <v>147</v>
      </c>
      <c r="C3321">
        <v>1</v>
      </c>
    </row>
    <row r="3322" spans="1:3" x14ac:dyDescent="0.25">
      <c r="A3322">
        <v>267</v>
      </c>
      <c r="B3322">
        <v>147</v>
      </c>
      <c r="C3322">
        <v>3</v>
      </c>
    </row>
    <row r="3323" spans="1:3" x14ac:dyDescent="0.25">
      <c r="A3323">
        <v>292</v>
      </c>
      <c r="B3323">
        <v>147</v>
      </c>
      <c r="C3323">
        <v>5</v>
      </c>
    </row>
    <row r="3324" spans="1:3" x14ac:dyDescent="0.25">
      <c r="A3324">
        <v>7</v>
      </c>
      <c r="B3324">
        <v>148</v>
      </c>
      <c r="C3324">
        <v>3</v>
      </c>
    </row>
    <row r="3325" spans="1:3" x14ac:dyDescent="0.25">
      <c r="A3325">
        <v>24</v>
      </c>
      <c r="B3325">
        <v>148</v>
      </c>
      <c r="C3325">
        <v>3</v>
      </c>
    </row>
    <row r="3326" spans="1:3" x14ac:dyDescent="0.25">
      <c r="A3326">
        <v>26</v>
      </c>
      <c r="B3326">
        <v>148</v>
      </c>
      <c r="C3326">
        <v>5</v>
      </c>
    </row>
    <row r="3327" spans="1:3" x14ac:dyDescent="0.25">
      <c r="A3327">
        <v>41</v>
      </c>
      <c r="B3327">
        <v>148</v>
      </c>
      <c r="C3327">
        <v>4</v>
      </c>
    </row>
    <row r="3328" spans="1:3" x14ac:dyDescent="0.25">
      <c r="A3328">
        <v>45</v>
      </c>
      <c r="B3328">
        <v>148</v>
      </c>
      <c r="C3328">
        <v>3</v>
      </c>
    </row>
    <row r="3329" spans="1:3" x14ac:dyDescent="0.25">
      <c r="A3329">
        <v>54</v>
      </c>
      <c r="B3329">
        <v>148</v>
      </c>
      <c r="C3329">
        <v>4</v>
      </c>
    </row>
    <row r="3330" spans="1:3" x14ac:dyDescent="0.25">
      <c r="A3330">
        <v>121</v>
      </c>
      <c r="B3330">
        <v>148</v>
      </c>
      <c r="C3330">
        <v>4</v>
      </c>
    </row>
    <row r="3331" spans="1:3" x14ac:dyDescent="0.25">
      <c r="A3331">
        <v>129</v>
      </c>
      <c r="B3331">
        <v>148</v>
      </c>
      <c r="C3331">
        <v>3</v>
      </c>
    </row>
    <row r="3332" spans="1:3" x14ac:dyDescent="0.25">
      <c r="A3332">
        <v>130</v>
      </c>
      <c r="B3332">
        <v>148</v>
      </c>
      <c r="C3332">
        <v>5</v>
      </c>
    </row>
    <row r="3333" spans="1:3" x14ac:dyDescent="0.25">
      <c r="A3333">
        <v>143</v>
      </c>
      <c r="B3333">
        <v>148</v>
      </c>
      <c r="C3333">
        <v>1</v>
      </c>
    </row>
    <row r="3334" spans="1:3" x14ac:dyDescent="0.25">
      <c r="A3334">
        <v>157</v>
      </c>
      <c r="B3334">
        <v>148</v>
      </c>
      <c r="C3334">
        <v>1</v>
      </c>
    </row>
    <row r="3335" spans="1:3" x14ac:dyDescent="0.25">
      <c r="A3335">
        <v>168</v>
      </c>
      <c r="B3335">
        <v>148</v>
      </c>
      <c r="C3335">
        <v>4</v>
      </c>
    </row>
    <row r="3336" spans="1:3" x14ac:dyDescent="0.25">
      <c r="A3336">
        <v>172</v>
      </c>
      <c r="B3336">
        <v>148</v>
      </c>
      <c r="C3336">
        <v>2</v>
      </c>
    </row>
    <row r="3337" spans="1:3" x14ac:dyDescent="0.25">
      <c r="A3337">
        <v>172</v>
      </c>
      <c r="B3337">
        <v>148</v>
      </c>
      <c r="C3337">
        <v>4</v>
      </c>
    </row>
    <row r="3338" spans="1:3" x14ac:dyDescent="0.25">
      <c r="A3338">
        <v>174</v>
      </c>
      <c r="B3338">
        <v>148</v>
      </c>
      <c r="C3338">
        <v>2</v>
      </c>
    </row>
    <row r="3339" spans="1:3" x14ac:dyDescent="0.25">
      <c r="A3339">
        <v>226</v>
      </c>
      <c r="B3339">
        <v>148</v>
      </c>
      <c r="C3339">
        <v>4</v>
      </c>
    </row>
    <row r="3340" spans="1:3" x14ac:dyDescent="0.25">
      <c r="A3340">
        <v>265</v>
      </c>
      <c r="B3340">
        <v>148</v>
      </c>
      <c r="C3340">
        <v>4</v>
      </c>
    </row>
    <row r="3341" spans="1:3" x14ac:dyDescent="0.25">
      <c r="A3341">
        <v>273</v>
      </c>
      <c r="B3341">
        <v>148</v>
      </c>
      <c r="C3341">
        <v>1</v>
      </c>
    </row>
    <row r="3342" spans="1:3" x14ac:dyDescent="0.25">
      <c r="A3342">
        <v>276</v>
      </c>
      <c r="B3342">
        <v>148</v>
      </c>
      <c r="C3342">
        <v>1</v>
      </c>
    </row>
    <row r="3343" spans="1:3" x14ac:dyDescent="0.25">
      <c r="A3343">
        <v>278</v>
      </c>
      <c r="B3343">
        <v>148</v>
      </c>
      <c r="C3343">
        <v>4</v>
      </c>
    </row>
    <row r="3344" spans="1:3" x14ac:dyDescent="0.25">
      <c r="A3344">
        <v>291</v>
      </c>
      <c r="B3344">
        <v>148</v>
      </c>
      <c r="C3344">
        <v>4</v>
      </c>
    </row>
    <row r="3345" spans="1:3" x14ac:dyDescent="0.25">
      <c r="A3345">
        <v>11</v>
      </c>
      <c r="B3345">
        <v>149</v>
      </c>
      <c r="C3345">
        <v>2</v>
      </c>
    </row>
    <row r="3346" spans="1:3" x14ac:dyDescent="0.25">
      <c r="A3346">
        <v>51</v>
      </c>
      <c r="B3346">
        <v>149</v>
      </c>
      <c r="C3346">
        <v>4</v>
      </c>
    </row>
    <row r="3347" spans="1:3" x14ac:dyDescent="0.25">
      <c r="A3347">
        <v>56</v>
      </c>
      <c r="B3347">
        <v>149</v>
      </c>
      <c r="C3347">
        <v>5</v>
      </c>
    </row>
    <row r="3348" spans="1:3" x14ac:dyDescent="0.25">
      <c r="A3348">
        <v>75</v>
      </c>
      <c r="B3348">
        <v>149</v>
      </c>
      <c r="C3348">
        <v>5</v>
      </c>
    </row>
    <row r="3349" spans="1:3" x14ac:dyDescent="0.25">
      <c r="A3349">
        <v>89</v>
      </c>
      <c r="B3349">
        <v>149</v>
      </c>
      <c r="C3349">
        <v>4</v>
      </c>
    </row>
    <row r="3350" spans="1:3" x14ac:dyDescent="0.25">
      <c r="A3350">
        <v>89</v>
      </c>
      <c r="B3350">
        <v>149</v>
      </c>
      <c r="C3350">
        <v>3</v>
      </c>
    </row>
    <row r="3351" spans="1:3" x14ac:dyDescent="0.25">
      <c r="A3351">
        <v>102</v>
      </c>
      <c r="B3351">
        <v>149</v>
      </c>
      <c r="C3351">
        <v>1</v>
      </c>
    </row>
    <row r="3352" spans="1:3" x14ac:dyDescent="0.25">
      <c r="A3352">
        <v>112</v>
      </c>
      <c r="B3352">
        <v>149</v>
      </c>
      <c r="C3352">
        <v>2</v>
      </c>
    </row>
    <row r="3353" spans="1:3" x14ac:dyDescent="0.25">
      <c r="A3353">
        <v>112</v>
      </c>
      <c r="B3353">
        <v>149</v>
      </c>
      <c r="C3353">
        <v>2</v>
      </c>
    </row>
    <row r="3354" spans="1:3" x14ac:dyDescent="0.25">
      <c r="A3354">
        <v>127</v>
      </c>
      <c r="B3354">
        <v>149</v>
      </c>
      <c r="C3354">
        <v>3</v>
      </c>
    </row>
    <row r="3355" spans="1:3" x14ac:dyDescent="0.25">
      <c r="A3355">
        <v>128</v>
      </c>
      <c r="B3355">
        <v>149</v>
      </c>
      <c r="C3355">
        <v>4</v>
      </c>
    </row>
    <row r="3356" spans="1:3" x14ac:dyDescent="0.25">
      <c r="A3356">
        <v>137</v>
      </c>
      <c r="B3356">
        <v>149</v>
      </c>
      <c r="C3356">
        <v>1</v>
      </c>
    </row>
    <row r="3357" spans="1:3" x14ac:dyDescent="0.25">
      <c r="A3357">
        <v>141</v>
      </c>
      <c r="B3357">
        <v>149</v>
      </c>
      <c r="C3357">
        <v>4</v>
      </c>
    </row>
    <row r="3358" spans="1:3" x14ac:dyDescent="0.25">
      <c r="A3358">
        <v>149</v>
      </c>
      <c r="B3358">
        <v>149</v>
      </c>
      <c r="C3358">
        <v>2</v>
      </c>
    </row>
    <row r="3359" spans="1:3" x14ac:dyDescent="0.25">
      <c r="A3359">
        <v>157</v>
      </c>
      <c r="B3359">
        <v>149</v>
      </c>
      <c r="C3359">
        <v>3</v>
      </c>
    </row>
    <row r="3360" spans="1:3" x14ac:dyDescent="0.25">
      <c r="A3360">
        <v>158</v>
      </c>
      <c r="B3360">
        <v>149</v>
      </c>
      <c r="C3360">
        <v>4</v>
      </c>
    </row>
    <row r="3361" spans="1:3" x14ac:dyDescent="0.25">
      <c r="A3361">
        <v>165</v>
      </c>
      <c r="B3361">
        <v>149</v>
      </c>
      <c r="C3361">
        <v>4</v>
      </c>
    </row>
    <row r="3362" spans="1:3" x14ac:dyDescent="0.25">
      <c r="A3362">
        <v>175</v>
      </c>
      <c r="B3362">
        <v>149</v>
      </c>
      <c r="C3362">
        <v>2</v>
      </c>
    </row>
    <row r="3363" spans="1:3" x14ac:dyDescent="0.25">
      <c r="A3363">
        <v>195</v>
      </c>
      <c r="B3363">
        <v>149</v>
      </c>
      <c r="C3363">
        <v>1</v>
      </c>
    </row>
    <row r="3364" spans="1:3" x14ac:dyDescent="0.25">
      <c r="A3364">
        <v>252</v>
      </c>
      <c r="B3364">
        <v>149</v>
      </c>
      <c r="C3364">
        <v>2</v>
      </c>
    </row>
    <row r="3365" spans="1:3" x14ac:dyDescent="0.25">
      <c r="A3365">
        <v>253</v>
      </c>
      <c r="B3365">
        <v>149</v>
      </c>
      <c r="C3365">
        <v>5</v>
      </c>
    </row>
    <row r="3366" spans="1:3" x14ac:dyDescent="0.25">
      <c r="A3366">
        <v>265</v>
      </c>
      <c r="B3366">
        <v>149</v>
      </c>
      <c r="C3366">
        <v>4</v>
      </c>
    </row>
    <row r="3367" spans="1:3" x14ac:dyDescent="0.25">
      <c r="A3367">
        <v>284</v>
      </c>
      <c r="B3367">
        <v>149</v>
      </c>
      <c r="C3367">
        <v>2</v>
      </c>
    </row>
    <row r="3368" spans="1:3" x14ac:dyDescent="0.25">
      <c r="A3368">
        <v>11</v>
      </c>
      <c r="B3368">
        <v>150</v>
      </c>
      <c r="C3368">
        <v>2</v>
      </c>
    </row>
    <row r="3369" spans="1:3" x14ac:dyDescent="0.25">
      <c r="A3369">
        <v>16</v>
      </c>
      <c r="B3369">
        <v>150</v>
      </c>
      <c r="C3369">
        <v>4</v>
      </c>
    </row>
    <row r="3370" spans="1:3" x14ac:dyDescent="0.25">
      <c r="A3370">
        <v>33</v>
      </c>
      <c r="B3370">
        <v>150</v>
      </c>
      <c r="C3370">
        <v>5</v>
      </c>
    </row>
    <row r="3371" spans="1:3" x14ac:dyDescent="0.25">
      <c r="A3371">
        <v>54</v>
      </c>
      <c r="B3371">
        <v>150</v>
      </c>
      <c r="C3371">
        <v>1</v>
      </c>
    </row>
    <row r="3372" spans="1:3" x14ac:dyDescent="0.25">
      <c r="A3372">
        <v>60</v>
      </c>
      <c r="B3372">
        <v>150</v>
      </c>
      <c r="C3372">
        <v>1</v>
      </c>
    </row>
    <row r="3373" spans="1:3" x14ac:dyDescent="0.25">
      <c r="A3373">
        <v>67</v>
      </c>
      <c r="B3373">
        <v>150</v>
      </c>
      <c r="C3373">
        <v>2</v>
      </c>
    </row>
    <row r="3374" spans="1:3" x14ac:dyDescent="0.25">
      <c r="A3374">
        <v>80</v>
      </c>
      <c r="B3374">
        <v>150</v>
      </c>
      <c r="C3374">
        <v>3</v>
      </c>
    </row>
    <row r="3375" spans="1:3" x14ac:dyDescent="0.25">
      <c r="A3375">
        <v>88</v>
      </c>
      <c r="B3375">
        <v>150</v>
      </c>
      <c r="C3375">
        <v>5</v>
      </c>
    </row>
    <row r="3376" spans="1:3" x14ac:dyDescent="0.25">
      <c r="A3376">
        <v>92</v>
      </c>
      <c r="B3376">
        <v>150</v>
      </c>
      <c r="C3376">
        <v>4</v>
      </c>
    </row>
    <row r="3377" spans="1:3" x14ac:dyDescent="0.25">
      <c r="A3377">
        <v>97</v>
      </c>
      <c r="B3377">
        <v>150</v>
      </c>
      <c r="C3377">
        <v>2</v>
      </c>
    </row>
    <row r="3378" spans="1:3" x14ac:dyDescent="0.25">
      <c r="A3378">
        <v>124</v>
      </c>
      <c r="B3378">
        <v>150</v>
      </c>
      <c r="C3378">
        <v>2</v>
      </c>
    </row>
    <row r="3379" spans="1:3" x14ac:dyDescent="0.25">
      <c r="A3379">
        <v>126</v>
      </c>
      <c r="B3379">
        <v>150</v>
      </c>
      <c r="C3379">
        <v>1</v>
      </c>
    </row>
    <row r="3380" spans="1:3" x14ac:dyDescent="0.25">
      <c r="A3380">
        <v>129</v>
      </c>
      <c r="B3380">
        <v>150</v>
      </c>
      <c r="C3380">
        <v>5</v>
      </c>
    </row>
    <row r="3381" spans="1:3" x14ac:dyDescent="0.25">
      <c r="A3381">
        <v>153</v>
      </c>
      <c r="B3381">
        <v>150</v>
      </c>
      <c r="C3381">
        <v>5</v>
      </c>
    </row>
    <row r="3382" spans="1:3" x14ac:dyDescent="0.25">
      <c r="A3382">
        <v>156</v>
      </c>
      <c r="B3382">
        <v>150</v>
      </c>
      <c r="C3382">
        <v>5</v>
      </c>
    </row>
    <row r="3383" spans="1:3" x14ac:dyDescent="0.25">
      <c r="A3383">
        <v>165</v>
      </c>
      <c r="B3383">
        <v>150</v>
      </c>
      <c r="C3383">
        <v>1</v>
      </c>
    </row>
    <row r="3384" spans="1:3" x14ac:dyDescent="0.25">
      <c r="A3384">
        <v>167</v>
      </c>
      <c r="B3384">
        <v>150</v>
      </c>
      <c r="C3384">
        <v>4</v>
      </c>
    </row>
    <row r="3385" spans="1:3" x14ac:dyDescent="0.25">
      <c r="A3385">
        <v>184</v>
      </c>
      <c r="B3385">
        <v>150</v>
      </c>
      <c r="C3385">
        <v>3</v>
      </c>
    </row>
    <row r="3386" spans="1:3" x14ac:dyDescent="0.25">
      <c r="A3386">
        <v>185</v>
      </c>
      <c r="B3386">
        <v>150</v>
      </c>
      <c r="C3386">
        <v>3</v>
      </c>
    </row>
    <row r="3387" spans="1:3" x14ac:dyDescent="0.25">
      <c r="A3387">
        <v>192</v>
      </c>
      <c r="B3387">
        <v>150</v>
      </c>
      <c r="C3387">
        <v>2</v>
      </c>
    </row>
    <row r="3388" spans="1:3" x14ac:dyDescent="0.25">
      <c r="A3388">
        <v>5</v>
      </c>
      <c r="B3388">
        <v>151</v>
      </c>
      <c r="C3388">
        <v>5</v>
      </c>
    </row>
    <row r="3389" spans="1:3" x14ac:dyDescent="0.25">
      <c r="A3389">
        <v>11</v>
      </c>
      <c r="B3389">
        <v>151</v>
      </c>
      <c r="C3389">
        <v>5</v>
      </c>
    </row>
    <row r="3390" spans="1:3" x14ac:dyDescent="0.25">
      <c r="A3390">
        <v>18</v>
      </c>
      <c r="B3390">
        <v>151</v>
      </c>
      <c r="C3390">
        <v>5</v>
      </c>
    </row>
    <row r="3391" spans="1:3" x14ac:dyDescent="0.25">
      <c r="A3391">
        <v>19</v>
      </c>
      <c r="B3391">
        <v>151</v>
      </c>
      <c r="C3391">
        <v>3</v>
      </c>
    </row>
    <row r="3392" spans="1:3" x14ac:dyDescent="0.25">
      <c r="A3392">
        <v>23</v>
      </c>
      <c r="B3392">
        <v>151</v>
      </c>
      <c r="C3392">
        <v>2</v>
      </c>
    </row>
    <row r="3393" spans="1:3" x14ac:dyDescent="0.25">
      <c r="A3393">
        <v>50</v>
      </c>
      <c r="B3393">
        <v>151</v>
      </c>
      <c r="C3393">
        <v>2</v>
      </c>
    </row>
    <row r="3394" spans="1:3" x14ac:dyDescent="0.25">
      <c r="A3394">
        <v>78</v>
      </c>
      <c r="B3394">
        <v>151</v>
      </c>
      <c r="C3394">
        <v>3</v>
      </c>
    </row>
    <row r="3395" spans="1:3" x14ac:dyDescent="0.25">
      <c r="A3395">
        <v>94</v>
      </c>
      <c r="B3395">
        <v>151</v>
      </c>
      <c r="C3395">
        <v>2</v>
      </c>
    </row>
    <row r="3396" spans="1:3" x14ac:dyDescent="0.25">
      <c r="A3396">
        <v>97</v>
      </c>
      <c r="B3396">
        <v>151</v>
      </c>
      <c r="C3396">
        <v>3</v>
      </c>
    </row>
    <row r="3397" spans="1:3" x14ac:dyDescent="0.25">
      <c r="A3397">
        <v>97</v>
      </c>
      <c r="B3397">
        <v>151</v>
      </c>
      <c r="C3397">
        <v>2</v>
      </c>
    </row>
    <row r="3398" spans="1:3" x14ac:dyDescent="0.25">
      <c r="A3398">
        <v>115</v>
      </c>
      <c r="B3398">
        <v>151</v>
      </c>
      <c r="C3398">
        <v>2</v>
      </c>
    </row>
    <row r="3399" spans="1:3" x14ac:dyDescent="0.25">
      <c r="A3399">
        <v>143</v>
      </c>
      <c r="B3399">
        <v>151</v>
      </c>
      <c r="C3399">
        <v>2</v>
      </c>
    </row>
    <row r="3400" spans="1:3" x14ac:dyDescent="0.25">
      <c r="A3400">
        <v>159</v>
      </c>
      <c r="B3400">
        <v>151</v>
      </c>
      <c r="C3400">
        <v>1</v>
      </c>
    </row>
    <row r="3401" spans="1:3" x14ac:dyDescent="0.25">
      <c r="A3401">
        <v>165</v>
      </c>
      <c r="B3401">
        <v>151</v>
      </c>
      <c r="C3401">
        <v>3</v>
      </c>
    </row>
    <row r="3402" spans="1:3" x14ac:dyDescent="0.25">
      <c r="A3402">
        <v>166</v>
      </c>
      <c r="B3402">
        <v>151</v>
      </c>
      <c r="C3402">
        <v>1</v>
      </c>
    </row>
    <row r="3403" spans="1:3" x14ac:dyDescent="0.25">
      <c r="A3403">
        <v>178</v>
      </c>
      <c r="B3403">
        <v>151</v>
      </c>
      <c r="C3403">
        <v>5</v>
      </c>
    </row>
    <row r="3404" spans="1:3" x14ac:dyDescent="0.25">
      <c r="A3404">
        <v>197</v>
      </c>
      <c r="B3404">
        <v>151</v>
      </c>
      <c r="C3404">
        <v>3</v>
      </c>
    </row>
    <row r="3405" spans="1:3" x14ac:dyDescent="0.25">
      <c r="A3405">
        <v>235</v>
      </c>
      <c r="B3405">
        <v>151</v>
      </c>
      <c r="C3405">
        <v>1</v>
      </c>
    </row>
    <row r="3406" spans="1:3" x14ac:dyDescent="0.25">
      <c r="A3406">
        <v>245</v>
      </c>
      <c r="B3406">
        <v>151</v>
      </c>
      <c r="C3406">
        <v>5</v>
      </c>
    </row>
    <row r="3407" spans="1:3" x14ac:dyDescent="0.25">
      <c r="A3407">
        <v>266</v>
      </c>
      <c r="B3407">
        <v>151</v>
      </c>
      <c r="C3407">
        <v>2</v>
      </c>
    </row>
    <row r="3408" spans="1:3" x14ac:dyDescent="0.25">
      <c r="A3408">
        <v>271</v>
      </c>
      <c r="B3408">
        <v>151</v>
      </c>
      <c r="C3408">
        <v>5</v>
      </c>
    </row>
    <row r="3409" spans="1:3" x14ac:dyDescent="0.25">
      <c r="A3409">
        <v>274</v>
      </c>
      <c r="B3409">
        <v>151</v>
      </c>
      <c r="C3409">
        <v>3</v>
      </c>
    </row>
    <row r="3410" spans="1:3" x14ac:dyDescent="0.25">
      <c r="A3410">
        <v>276</v>
      </c>
      <c r="B3410">
        <v>151</v>
      </c>
      <c r="C3410">
        <v>2</v>
      </c>
    </row>
    <row r="3411" spans="1:3" x14ac:dyDescent="0.25">
      <c r="A3411">
        <v>288</v>
      </c>
      <c r="B3411">
        <v>151</v>
      </c>
      <c r="C3411">
        <v>3</v>
      </c>
    </row>
    <row r="3412" spans="1:3" x14ac:dyDescent="0.25">
      <c r="A3412">
        <v>293</v>
      </c>
      <c r="B3412">
        <v>151</v>
      </c>
      <c r="C3412">
        <v>2</v>
      </c>
    </row>
    <row r="3413" spans="1:3" x14ac:dyDescent="0.25">
      <c r="A3413">
        <v>23</v>
      </c>
      <c r="B3413">
        <v>152</v>
      </c>
      <c r="C3413">
        <v>3</v>
      </c>
    </row>
    <row r="3414" spans="1:3" x14ac:dyDescent="0.25">
      <c r="A3414">
        <v>49</v>
      </c>
      <c r="B3414">
        <v>152</v>
      </c>
      <c r="C3414">
        <v>3</v>
      </c>
    </row>
    <row r="3415" spans="1:3" x14ac:dyDescent="0.25">
      <c r="A3415">
        <v>71</v>
      </c>
      <c r="B3415">
        <v>152</v>
      </c>
      <c r="C3415">
        <v>2</v>
      </c>
    </row>
    <row r="3416" spans="1:3" x14ac:dyDescent="0.25">
      <c r="A3416">
        <v>83</v>
      </c>
      <c r="B3416">
        <v>152</v>
      </c>
      <c r="C3416">
        <v>1</v>
      </c>
    </row>
    <row r="3417" spans="1:3" x14ac:dyDescent="0.25">
      <c r="A3417">
        <v>159</v>
      </c>
      <c r="B3417">
        <v>152</v>
      </c>
      <c r="C3417">
        <v>5</v>
      </c>
    </row>
    <row r="3418" spans="1:3" x14ac:dyDescent="0.25">
      <c r="A3418">
        <v>174</v>
      </c>
      <c r="B3418">
        <v>152</v>
      </c>
      <c r="C3418">
        <v>5</v>
      </c>
    </row>
    <row r="3419" spans="1:3" x14ac:dyDescent="0.25">
      <c r="A3419">
        <v>182</v>
      </c>
      <c r="B3419">
        <v>152</v>
      </c>
      <c r="C3419">
        <v>3</v>
      </c>
    </row>
    <row r="3420" spans="1:3" x14ac:dyDescent="0.25">
      <c r="A3420">
        <v>206</v>
      </c>
      <c r="B3420">
        <v>152</v>
      </c>
      <c r="C3420">
        <v>1</v>
      </c>
    </row>
    <row r="3421" spans="1:3" x14ac:dyDescent="0.25">
      <c r="A3421">
        <v>220</v>
      </c>
      <c r="B3421">
        <v>152</v>
      </c>
      <c r="C3421">
        <v>2</v>
      </c>
    </row>
    <row r="3422" spans="1:3" x14ac:dyDescent="0.25">
      <c r="A3422">
        <v>247</v>
      </c>
      <c r="B3422">
        <v>152</v>
      </c>
      <c r="C3422">
        <v>4</v>
      </c>
    </row>
    <row r="3423" spans="1:3" x14ac:dyDescent="0.25">
      <c r="A3423">
        <v>249</v>
      </c>
      <c r="B3423">
        <v>152</v>
      </c>
      <c r="C3423">
        <v>3</v>
      </c>
    </row>
    <row r="3424" spans="1:3" x14ac:dyDescent="0.25">
      <c r="A3424">
        <v>252</v>
      </c>
      <c r="B3424">
        <v>152</v>
      </c>
      <c r="C3424">
        <v>5</v>
      </c>
    </row>
    <row r="3425" spans="1:3" x14ac:dyDescent="0.25">
      <c r="A3425">
        <v>255</v>
      </c>
      <c r="B3425">
        <v>152</v>
      </c>
      <c r="C3425">
        <v>4</v>
      </c>
    </row>
    <row r="3426" spans="1:3" x14ac:dyDescent="0.25">
      <c r="A3426">
        <v>256</v>
      </c>
      <c r="B3426">
        <v>152</v>
      </c>
      <c r="C3426">
        <v>4</v>
      </c>
    </row>
    <row r="3427" spans="1:3" x14ac:dyDescent="0.25">
      <c r="A3427">
        <v>260</v>
      </c>
      <c r="B3427">
        <v>152</v>
      </c>
      <c r="C3427">
        <v>1</v>
      </c>
    </row>
    <row r="3428" spans="1:3" x14ac:dyDescent="0.25">
      <c r="A3428">
        <v>266</v>
      </c>
      <c r="B3428">
        <v>152</v>
      </c>
      <c r="C3428">
        <v>4</v>
      </c>
    </row>
    <row r="3429" spans="1:3" x14ac:dyDescent="0.25">
      <c r="A3429">
        <v>279</v>
      </c>
      <c r="B3429">
        <v>152</v>
      </c>
      <c r="C3429">
        <v>3</v>
      </c>
    </row>
    <row r="3430" spans="1:3" x14ac:dyDescent="0.25">
      <c r="A3430">
        <v>280</v>
      </c>
      <c r="B3430">
        <v>152</v>
      </c>
      <c r="C3430">
        <v>4</v>
      </c>
    </row>
    <row r="3431" spans="1:3" x14ac:dyDescent="0.25">
      <c r="A3431">
        <v>286</v>
      </c>
      <c r="B3431">
        <v>152</v>
      </c>
      <c r="C3431">
        <v>1</v>
      </c>
    </row>
    <row r="3432" spans="1:3" x14ac:dyDescent="0.25">
      <c r="A3432">
        <v>290</v>
      </c>
      <c r="B3432">
        <v>152</v>
      </c>
      <c r="C3432">
        <v>1</v>
      </c>
    </row>
    <row r="3433" spans="1:3" x14ac:dyDescent="0.25">
      <c r="A3433">
        <v>292</v>
      </c>
      <c r="B3433">
        <v>152</v>
      </c>
      <c r="C3433">
        <v>4</v>
      </c>
    </row>
    <row r="3434" spans="1:3" x14ac:dyDescent="0.25">
      <c r="A3434">
        <v>15</v>
      </c>
      <c r="B3434">
        <v>153</v>
      </c>
      <c r="C3434">
        <v>5</v>
      </c>
    </row>
    <row r="3435" spans="1:3" x14ac:dyDescent="0.25">
      <c r="A3435">
        <v>56</v>
      </c>
      <c r="B3435">
        <v>153</v>
      </c>
      <c r="C3435">
        <v>1</v>
      </c>
    </row>
    <row r="3436" spans="1:3" x14ac:dyDescent="0.25">
      <c r="A3436">
        <v>87</v>
      </c>
      <c r="B3436">
        <v>153</v>
      </c>
      <c r="C3436">
        <v>4</v>
      </c>
    </row>
    <row r="3437" spans="1:3" x14ac:dyDescent="0.25">
      <c r="A3437">
        <v>102</v>
      </c>
      <c r="B3437">
        <v>153</v>
      </c>
      <c r="C3437">
        <v>3</v>
      </c>
    </row>
    <row r="3438" spans="1:3" x14ac:dyDescent="0.25">
      <c r="A3438">
        <v>106</v>
      </c>
      <c r="B3438">
        <v>153</v>
      </c>
      <c r="C3438">
        <v>5</v>
      </c>
    </row>
    <row r="3439" spans="1:3" x14ac:dyDescent="0.25">
      <c r="A3439">
        <v>116</v>
      </c>
      <c r="B3439">
        <v>153</v>
      </c>
      <c r="C3439">
        <v>1</v>
      </c>
    </row>
    <row r="3440" spans="1:3" x14ac:dyDescent="0.25">
      <c r="A3440">
        <v>146</v>
      </c>
      <c r="B3440">
        <v>153</v>
      </c>
      <c r="C3440">
        <v>1</v>
      </c>
    </row>
    <row r="3441" spans="1:3" x14ac:dyDescent="0.25">
      <c r="A3441">
        <v>148</v>
      </c>
      <c r="B3441">
        <v>153</v>
      </c>
      <c r="C3441">
        <v>1</v>
      </c>
    </row>
    <row r="3442" spans="1:3" x14ac:dyDescent="0.25">
      <c r="A3442">
        <v>158</v>
      </c>
      <c r="B3442">
        <v>153</v>
      </c>
      <c r="C3442">
        <v>3</v>
      </c>
    </row>
    <row r="3443" spans="1:3" x14ac:dyDescent="0.25">
      <c r="A3443">
        <v>160</v>
      </c>
      <c r="B3443">
        <v>153</v>
      </c>
      <c r="C3443">
        <v>5</v>
      </c>
    </row>
    <row r="3444" spans="1:3" x14ac:dyDescent="0.25">
      <c r="A3444">
        <v>165</v>
      </c>
      <c r="B3444">
        <v>153</v>
      </c>
      <c r="C3444">
        <v>1</v>
      </c>
    </row>
    <row r="3445" spans="1:3" x14ac:dyDescent="0.25">
      <c r="A3445">
        <v>166</v>
      </c>
      <c r="B3445">
        <v>153</v>
      </c>
      <c r="C3445">
        <v>3</v>
      </c>
    </row>
    <row r="3446" spans="1:3" x14ac:dyDescent="0.25">
      <c r="A3446">
        <v>169</v>
      </c>
      <c r="B3446">
        <v>153</v>
      </c>
      <c r="C3446">
        <v>2</v>
      </c>
    </row>
    <row r="3447" spans="1:3" x14ac:dyDescent="0.25">
      <c r="A3447">
        <v>175</v>
      </c>
      <c r="B3447">
        <v>153</v>
      </c>
      <c r="C3447">
        <v>3</v>
      </c>
    </row>
    <row r="3448" spans="1:3" x14ac:dyDescent="0.25">
      <c r="A3448">
        <v>217</v>
      </c>
      <c r="B3448">
        <v>153</v>
      </c>
      <c r="C3448">
        <v>5</v>
      </c>
    </row>
    <row r="3449" spans="1:3" x14ac:dyDescent="0.25">
      <c r="A3449">
        <v>243</v>
      </c>
      <c r="B3449">
        <v>153</v>
      </c>
      <c r="C3449">
        <v>4</v>
      </c>
    </row>
    <row r="3450" spans="1:3" x14ac:dyDescent="0.25">
      <c r="A3450">
        <v>251</v>
      </c>
      <c r="B3450">
        <v>153</v>
      </c>
      <c r="C3450">
        <v>1</v>
      </c>
    </row>
    <row r="3451" spans="1:3" x14ac:dyDescent="0.25">
      <c r="A3451">
        <v>284</v>
      </c>
      <c r="B3451">
        <v>153</v>
      </c>
      <c r="C3451">
        <v>2</v>
      </c>
    </row>
    <row r="3452" spans="1:3" x14ac:dyDescent="0.25">
      <c r="A3452">
        <v>299</v>
      </c>
      <c r="B3452">
        <v>153</v>
      </c>
      <c r="C3452">
        <v>3</v>
      </c>
    </row>
    <row r="3453" spans="1:3" x14ac:dyDescent="0.25">
      <c r="A3453">
        <v>1</v>
      </c>
      <c r="B3453">
        <v>154</v>
      </c>
      <c r="C3453">
        <v>2</v>
      </c>
    </row>
    <row r="3454" spans="1:3" x14ac:dyDescent="0.25">
      <c r="A3454">
        <v>12</v>
      </c>
      <c r="B3454">
        <v>154</v>
      </c>
      <c r="C3454">
        <v>5</v>
      </c>
    </row>
    <row r="3455" spans="1:3" x14ac:dyDescent="0.25">
      <c r="A3455">
        <v>17</v>
      </c>
      <c r="B3455">
        <v>154</v>
      </c>
      <c r="C3455">
        <v>5</v>
      </c>
    </row>
    <row r="3456" spans="1:3" x14ac:dyDescent="0.25">
      <c r="A3456">
        <v>46</v>
      </c>
      <c r="B3456">
        <v>154</v>
      </c>
      <c r="C3456">
        <v>5</v>
      </c>
    </row>
    <row r="3457" spans="1:3" x14ac:dyDescent="0.25">
      <c r="A3457">
        <v>58</v>
      </c>
      <c r="B3457">
        <v>154</v>
      </c>
      <c r="C3457">
        <v>4</v>
      </c>
    </row>
    <row r="3458" spans="1:3" x14ac:dyDescent="0.25">
      <c r="A3458">
        <v>61</v>
      </c>
      <c r="B3458">
        <v>154</v>
      </c>
      <c r="C3458">
        <v>5</v>
      </c>
    </row>
    <row r="3459" spans="1:3" x14ac:dyDescent="0.25">
      <c r="A3459">
        <v>82</v>
      </c>
      <c r="B3459">
        <v>154</v>
      </c>
      <c r="C3459">
        <v>2</v>
      </c>
    </row>
    <row r="3460" spans="1:3" x14ac:dyDescent="0.25">
      <c r="A3460">
        <v>139</v>
      </c>
      <c r="B3460">
        <v>154</v>
      </c>
      <c r="C3460">
        <v>1</v>
      </c>
    </row>
    <row r="3461" spans="1:3" x14ac:dyDescent="0.25">
      <c r="A3461">
        <v>139</v>
      </c>
      <c r="B3461">
        <v>154</v>
      </c>
      <c r="C3461">
        <v>4</v>
      </c>
    </row>
    <row r="3462" spans="1:3" x14ac:dyDescent="0.25">
      <c r="A3462">
        <v>142</v>
      </c>
      <c r="B3462">
        <v>154</v>
      </c>
      <c r="C3462">
        <v>3</v>
      </c>
    </row>
    <row r="3463" spans="1:3" x14ac:dyDescent="0.25">
      <c r="A3463">
        <v>148</v>
      </c>
      <c r="B3463">
        <v>154</v>
      </c>
      <c r="C3463">
        <v>1</v>
      </c>
    </row>
    <row r="3464" spans="1:3" x14ac:dyDescent="0.25">
      <c r="A3464">
        <v>173</v>
      </c>
      <c r="B3464">
        <v>154</v>
      </c>
      <c r="C3464">
        <v>2</v>
      </c>
    </row>
    <row r="3465" spans="1:3" x14ac:dyDescent="0.25">
      <c r="A3465">
        <v>175</v>
      </c>
      <c r="B3465">
        <v>154</v>
      </c>
      <c r="C3465">
        <v>2</v>
      </c>
    </row>
    <row r="3466" spans="1:3" x14ac:dyDescent="0.25">
      <c r="A3466">
        <v>192</v>
      </c>
      <c r="B3466">
        <v>154</v>
      </c>
      <c r="C3466">
        <v>5</v>
      </c>
    </row>
    <row r="3467" spans="1:3" x14ac:dyDescent="0.25">
      <c r="A3467">
        <v>194</v>
      </c>
      <c r="B3467">
        <v>154</v>
      </c>
      <c r="C3467">
        <v>4</v>
      </c>
    </row>
    <row r="3468" spans="1:3" x14ac:dyDescent="0.25">
      <c r="A3468">
        <v>220</v>
      </c>
      <c r="B3468">
        <v>154</v>
      </c>
      <c r="C3468">
        <v>5</v>
      </c>
    </row>
    <row r="3469" spans="1:3" x14ac:dyDescent="0.25">
      <c r="A3469">
        <v>222</v>
      </c>
      <c r="B3469">
        <v>154</v>
      </c>
      <c r="C3469">
        <v>4</v>
      </c>
    </row>
    <row r="3470" spans="1:3" x14ac:dyDescent="0.25">
      <c r="A3470">
        <v>228</v>
      </c>
      <c r="B3470">
        <v>154</v>
      </c>
      <c r="C3470">
        <v>2</v>
      </c>
    </row>
    <row r="3471" spans="1:3" x14ac:dyDescent="0.25">
      <c r="A3471">
        <v>252</v>
      </c>
      <c r="B3471">
        <v>154</v>
      </c>
      <c r="C3471">
        <v>1</v>
      </c>
    </row>
    <row r="3472" spans="1:3" x14ac:dyDescent="0.25">
      <c r="A3472">
        <v>263</v>
      </c>
      <c r="B3472">
        <v>154</v>
      </c>
      <c r="C3472">
        <v>3</v>
      </c>
    </row>
    <row r="3473" spans="1:3" x14ac:dyDescent="0.25">
      <c r="A3473">
        <v>277</v>
      </c>
      <c r="B3473">
        <v>154</v>
      </c>
      <c r="C3473">
        <v>3</v>
      </c>
    </row>
    <row r="3474" spans="1:3" x14ac:dyDescent="0.25">
      <c r="A3474">
        <v>279</v>
      </c>
      <c r="B3474">
        <v>154</v>
      </c>
      <c r="C3474">
        <v>1</v>
      </c>
    </row>
    <row r="3475" spans="1:3" x14ac:dyDescent="0.25">
      <c r="A3475">
        <v>280</v>
      </c>
      <c r="B3475">
        <v>154</v>
      </c>
      <c r="C3475">
        <v>4</v>
      </c>
    </row>
    <row r="3476" spans="1:3" x14ac:dyDescent="0.25">
      <c r="A3476">
        <v>281</v>
      </c>
      <c r="B3476">
        <v>154</v>
      </c>
      <c r="C3476">
        <v>2</v>
      </c>
    </row>
    <row r="3477" spans="1:3" x14ac:dyDescent="0.25">
      <c r="A3477">
        <v>284</v>
      </c>
      <c r="B3477">
        <v>154</v>
      </c>
      <c r="C3477">
        <v>4</v>
      </c>
    </row>
    <row r="3478" spans="1:3" x14ac:dyDescent="0.25">
      <c r="A3478">
        <v>287</v>
      </c>
      <c r="B3478">
        <v>154</v>
      </c>
      <c r="C3478">
        <v>5</v>
      </c>
    </row>
    <row r="3479" spans="1:3" x14ac:dyDescent="0.25">
      <c r="A3479">
        <v>38</v>
      </c>
      <c r="B3479">
        <v>155</v>
      </c>
      <c r="C3479">
        <v>3</v>
      </c>
    </row>
    <row r="3480" spans="1:3" x14ac:dyDescent="0.25">
      <c r="A3480">
        <v>69</v>
      </c>
      <c r="B3480">
        <v>155</v>
      </c>
      <c r="C3480">
        <v>3</v>
      </c>
    </row>
    <row r="3481" spans="1:3" x14ac:dyDescent="0.25">
      <c r="A3481">
        <v>78</v>
      </c>
      <c r="B3481">
        <v>155</v>
      </c>
      <c r="C3481">
        <v>5</v>
      </c>
    </row>
    <row r="3482" spans="1:3" x14ac:dyDescent="0.25">
      <c r="A3482">
        <v>85</v>
      </c>
      <c r="B3482">
        <v>155</v>
      </c>
      <c r="C3482">
        <v>4</v>
      </c>
    </row>
    <row r="3483" spans="1:3" x14ac:dyDescent="0.25">
      <c r="A3483">
        <v>86</v>
      </c>
      <c r="B3483">
        <v>155</v>
      </c>
      <c r="C3483">
        <v>1</v>
      </c>
    </row>
    <row r="3484" spans="1:3" x14ac:dyDescent="0.25">
      <c r="A3484">
        <v>104</v>
      </c>
      <c r="B3484">
        <v>155</v>
      </c>
      <c r="C3484">
        <v>4</v>
      </c>
    </row>
    <row r="3485" spans="1:3" x14ac:dyDescent="0.25">
      <c r="A3485">
        <v>120</v>
      </c>
      <c r="B3485">
        <v>155</v>
      </c>
      <c r="C3485">
        <v>5</v>
      </c>
    </row>
    <row r="3486" spans="1:3" x14ac:dyDescent="0.25">
      <c r="A3486">
        <v>124</v>
      </c>
      <c r="B3486">
        <v>155</v>
      </c>
      <c r="C3486">
        <v>2</v>
      </c>
    </row>
    <row r="3487" spans="1:3" x14ac:dyDescent="0.25">
      <c r="A3487">
        <v>127</v>
      </c>
      <c r="B3487">
        <v>155</v>
      </c>
      <c r="C3487">
        <v>4</v>
      </c>
    </row>
    <row r="3488" spans="1:3" x14ac:dyDescent="0.25">
      <c r="A3488">
        <v>129</v>
      </c>
      <c r="B3488">
        <v>155</v>
      </c>
      <c r="C3488">
        <v>5</v>
      </c>
    </row>
    <row r="3489" spans="1:3" x14ac:dyDescent="0.25">
      <c r="A3489">
        <v>143</v>
      </c>
      <c r="B3489">
        <v>155</v>
      </c>
      <c r="C3489">
        <v>2</v>
      </c>
    </row>
    <row r="3490" spans="1:3" x14ac:dyDescent="0.25">
      <c r="A3490">
        <v>162</v>
      </c>
      <c r="B3490">
        <v>155</v>
      </c>
      <c r="C3490">
        <v>3</v>
      </c>
    </row>
    <row r="3491" spans="1:3" x14ac:dyDescent="0.25">
      <c r="A3491">
        <v>167</v>
      </c>
      <c r="B3491">
        <v>155</v>
      </c>
      <c r="C3491">
        <v>2</v>
      </c>
    </row>
    <row r="3492" spans="1:3" x14ac:dyDescent="0.25">
      <c r="A3492">
        <v>168</v>
      </c>
      <c r="B3492">
        <v>155</v>
      </c>
      <c r="C3492">
        <v>4</v>
      </c>
    </row>
    <row r="3493" spans="1:3" x14ac:dyDescent="0.25">
      <c r="A3493">
        <v>170</v>
      </c>
      <c r="B3493">
        <v>155</v>
      </c>
      <c r="C3493">
        <v>1</v>
      </c>
    </row>
    <row r="3494" spans="1:3" x14ac:dyDescent="0.25">
      <c r="A3494">
        <v>189</v>
      </c>
      <c r="B3494">
        <v>155</v>
      </c>
      <c r="C3494">
        <v>5</v>
      </c>
    </row>
    <row r="3495" spans="1:3" x14ac:dyDescent="0.25">
      <c r="A3495">
        <v>192</v>
      </c>
      <c r="B3495">
        <v>155</v>
      </c>
      <c r="C3495">
        <v>1</v>
      </c>
    </row>
    <row r="3496" spans="1:3" x14ac:dyDescent="0.25">
      <c r="A3496">
        <v>192</v>
      </c>
      <c r="B3496">
        <v>155</v>
      </c>
      <c r="C3496">
        <v>4</v>
      </c>
    </row>
    <row r="3497" spans="1:3" x14ac:dyDescent="0.25">
      <c r="A3497">
        <v>269</v>
      </c>
      <c r="B3497">
        <v>155</v>
      </c>
      <c r="C3497">
        <v>3</v>
      </c>
    </row>
    <row r="3498" spans="1:3" x14ac:dyDescent="0.25">
      <c r="A3498">
        <v>270</v>
      </c>
      <c r="B3498">
        <v>155</v>
      </c>
      <c r="C3498">
        <v>1</v>
      </c>
    </row>
    <row r="3499" spans="1:3" x14ac:dyDescent="0.25">
      <c r="A3499">
        <v>289</v>
      </c>
      <c r="B3499">
        <v>155</v>
      </c>
      <c r="C3499">
        <v>2</v>
      </c>
    </row>
    <row r="3500" spans="1:3" x14ac:dyDescent="0.25">
      <c r="A3500">
        <v>294</v>
      </c>
      <c r="B3500">
        <v>155</v>
      </c>
      <c r="C3500">
        <v>4</v>
      </c>
    </row>
    <row r="3501" spans="1:3" x14ac:dyDescent="0.25">
      <c r="A3501">
        <v>13</v>
      </c>
      <c r="B3501">
        <v>156</v>
      </c>
      <c r="C3501">
        <v>3</v>
      </c>
    </row>
    <row r="3502" spans="1:3" x14ac:dyDescent="0.25">
      <c r="A3502">
        <v>23</v>
      </c>
      <c r="B3502">
        <v>156</v>
      </c>
      <c r="C3502">
        <v>4</v>
      </c>
    </row>
    <row r="3503" spans="1:3" x14ac:dyDescent="0.25">
      <c r="A3503">
        <v>46</v>
      </c>
      <c r="B3503">
        <v>156</v>
      </c>
      <c r="C3503">
        <v>3</v>
      </c>
    </row>
    <row r="3504" spans="1:3" x14ac:dyDescent="0.25">
      <c r="A3504">
        <v>84</v>
      </c>
      <c r="B3504">
        <v>156</v>
      </c>
      <c r="C3504">
        <v>2</v>
      </c>
    </row>
    <row r="3505" spans="1:3" x14ac:dyDescent="0.25">
      <c r="A3505">
        <v>85</v>
      </c>
      <c r="B3505">
        <v>156</v>
      </c>
      <c r="C3505">
        <v>4</v>
      </c>
    </row>
    <row r="3506" spans="1:3" x14ac:dyDescent="0.25">
      <c r="A3506">
        <v>89</v>
      </c>
      <c r="B3506">
        <v>156</v>
      </c>
      <c r="C3506">
        <v>5</v>
      </c>
    </row>
    <row r="3507" spans="1:3" x14ac:dyDescent="0.25">
      <c r="A3507">
        <v>91</v>
      </c>
      <c r="B3507">
        <v>156</v>
      </c>
      <c r="C3507">
        <v>2</v>
      </c>
    </row>
    <row r="3508" spans="1:3" x14ac:dyDescent="0.25">
      <c r="A3508">
        <v>92</v>
      </c>
      <c r="B3508">
        <v>156</v>
      </c>
      <c r="C3508">
        <v>5</v>
      </c>
    </row>
    <row r="3509" spans="1:3" x14ac:dyDescent="0.25">
      <c r="A3509">
        <v>99</v>
      </c>
      <c r="B3509">
        <v>156</v>
      </c>
      <c r="C3509">
        <v>4</v>
      </c>
    </row>
    <row r="3510" spans="1:3" x14ac:dyDescent="0.25">
      <c r="A3510">
        <v>101</v>
      </c>
      <c r="B3510">
        <v>156</v>
      </c>
      <c r="C3510">
        <v>3</v>
      </c>
    </row>
    <row r="3511" spans="1:3" x14ac:dyDescent="0.25">
      <c r="A3511">
        <v>106</v>
      </c>
      <c r="B3511">
        <v>156</v>
      </c>
      <c r="C3511">
        <v>3</v>
      </c>
    </row>
    <row r="3512" spans="1:3" x14ac:dyDescent="0.25">
      <c r="A3512">
        <v>124</v>
      </c>
      <c r="B3512">
        <v>156</v>
      </c>
      <c r="C3512">
        <v>5</v>
      </c>
    </row>
    <row r="3513" spans="1:3" x14ac:dyDescent="0.25">
      <c r="A3513">
        <v>147</v>
      </c>
      <c r="B3513">
        <v>156</v>
      </c>
      <c r="C3513">
        <v>5</v>
      </c>
    </row>
    <row r="3514" spans="1:3" x14ac:dyDescent="0.25">
      <c r="A3514">
        <v>150</v>
      </c>
      <c r="B3514">
        <v>156</v>
      </c>
      <c r="C3514">
        <v>3</v>
      </c>
    </row>
    <row r="3515" spans="1:3" x14ac:dyDescent="0.25">
      <c r="A3515">
        <v>153</v>
      </c>
      <c r="B3515">
        <v>156</v>
      </c>
      <c r="C3515">
        <v>3</v>
      </c>
    </row>
    <row r="3516" spans="1:3" x14ac:dyDescent="0.25">
      <c r="A3516">
        <v>175</v>
      </c>
      <c r="B3516">
        <v>156</v>
      </c>
      <c r="C3516">
        <v>2</v>
      </c>
    </row>
    <row r="3517" spans="1:3" x14ac:dyDescent="0.25">
      <c r="A3517">
        <v>178</v>
      </c>
      <c r="B3517">
        <v>156</v>
      </c>
      <c r="C3517">
        <v>3</v>
      </c>
    </row>
    <row r="3518" spans="1:3" x14ac:dyDescent="0.25">
      <c r="A3518">
        <v>205</v>
      </c>
      <c r="B3518">
        <v>156</v>
      </c>
      <c r="C3518">
        <v>5</v>
      </c>
    </row>
    <row r="3519" spans="1:3" x14ac:dyDescent="0.25">
      <c r="A3519">
        <v>214</v>
      </c>
      <c r="B3519">
        <v>156</v>
      </c>
      <c r="C3519">
        <v>3</v>
      </c>
    </row>
    <row r="3520" spans="1:3" x14ac:dyDescent="0.25">
      <c r="A3520">
        <v>226</v>
      </c>
      <c r="B3520">
        <v>156</v>
      </c>
      <c r="C3520">
        <v>1</v>
      </c>
    </row>
    <row r="3521" spans="1:3" x14ac:dyDescent="0.25">
      <c r="A3521">
        <v>243</v>
      </c>
      <c r="B3521">
        <v>156</v>
      </c>
      <c r="C3521">
        <v>3</v>
      </c>
    </row>
    <row r="3522" spans="1:3" x14ac:dyDescent="0.25">
      <c r="A3522">
        <v>250</v>
      </c>
      <c r="B3522">
        <v>156</v>
      </c>
      <c r="C3522">
        <v>5</v>
      </c>
    </row>
    <row r="3523" spans="1:3" x14ac:dyDescent="0.25">
      <c r="A3523">
        <v>255</v>
      </c>
      <c r="B3523">
        <v>156</v>
      </c>
      <c r="C3523">
        <v>1</v>
      </c>
    </row>
    <row r="3524" spans="1:3" x14ac:dyDescent="0.25">
      <c r="A3524">
        <v>265</v>
      </c>
      <c r="B3524">
        <v>156</v>
      </c>
      <c r="C3524">
        <v>4</v>
      </c>
    </row>
    <row r="3525" spans="1:3" x14ac:dyDescent="0.25">
      <c r="A3525">
        <v>266</v>
      </c>
      <c r="B3525">
        <v>156</v>
      </c>
      <c r="C3525">
        <v>4</v>
      </c>
    </row>
    <row r="3526" spans="1:3" x14ac:dyDescent="0.25">
      <c r="A3526">
        <v>273</v>
      </c>
      <c r="B3526">
        <v>156</v>
      </c>
      <c r="C3526">
        <v>1</v>
      </c>
    </row>
    <row r="3527" spans="1:3" x14ac:dyDescent="0.25">
      <c r="A3527">
        <v>286</v>
      </c>
      <c r="B3527">
        <v>156</v>
      </c>
      <c r="C3527">
        <v>2</v>
      </c>
    </row>
    <row r="3528" spans="1:3" x14ac:dyDescent="0.25">
      <c r="A3528">
        <v>287</v>
      </c>
      <c r="B3528">
        <v>156</v>
      </c>
      <c r="C3528">
        <v>3</v>
      </c>
    </row>
    <row r="3529" spans="1:3" x14ac:dyDescent="0.25">
      <c r="A3529">
        <v>30</v>
      </c>
      <c r="B3529">
        <v>157</v>
      </c>
      <c r="C3529">
        <v>5</v>
      </c>
    </row>
    <row r="3530" spans="1:3" x14ac:dyDescent="0.25">
      <c r="A3530">
        <v>45</v>
      </c>
      <c r="B3530">
        <v>157</v>
      </c>
      <c r="C3530">
        <v>4</v>
      </c>
    </row>
    <row r="3531" spans="1:3" x14ac:dyDescent="0.25">
      <c r="A3531">
        <v>55</v>
      </c>
      <c r="B3531">
        <v>157</v>
      </c>
      <c r="C3531">
        <v>3</v>
      </c>
    </row>
    <row r="3532" spans="1:3" x14ac:dyDescent="0.25">
      <c r="A3532">
        <v>57</v>
      </c>
      <c r="B3532">
        <v>157</v>
      </c>
      <c r="C3532">
        <v>2</v>
      </c>
    </row>
    <row r="3533" spans="1:3" x14ac:dyDescent="0.25">
      <c r="A3533">
        <v>59</v>
      </c>
      <c r="B3533">
        <v>157</v>
      </c>
      <c r="C3533">
        <v>1</v>
      </c>
    </row>
    <row r="3534" spans="1:3" x14ac:dyDescent="0.25">
      <c r="A3534">
        <v>68</v>
      </c>
      <c r="B3534">
        <v>157</v>
      </c>
      <c r="C3534">
        <v>4</v>
      </c>
    </row>
    <row r="3535" spans="1:3" x14ac:dyDescent="0.25">
      <c r="A3535">
        <v>95</v>
      </c>
      <c r="B3535">
        <v>157</v>
      </c>
      <c r="C3535">
        <v>5</v>
      </c>
    </row>
    <row r="3536" spans="1:3" x14ac:dyDescent="0.25">
      <c r="A3536">
        <v>95</v>
      </c>
      <c r="B3536">
        <v>157</v>
      </c>
      <c r="C3536">
        <v>3</v>
      </c>
    </row>
    <row r="3537" spans="1:3" x14ac:dyDescent="0.25">
      <c r="A3537">
        <v>100</v>
      </c>
      <c r="B3537">
        <v>157</v>
      </c>
      <c r="C3537">
        <v>5</v>
      </c>
    </row>
    <row r="3538" spans="1:3" x14ac:dyDescent="0.25">
      <c r="A3538">
        <v>114</v>
      </c>
      <c r="B3538">
        <v>157</v>
      </c>
      <c r="C3538">
        <v>2</v>
      </c>
    </row>
    <row r="3539" spans="1:3" x14ac:dyDescent="0.25">
      <c r="A3539">
        <v>118</v>
      </c>
      <c r="B3539">
        <v>157</v>
      </c>
      <c r="C3539">
        <v>4</v>
      </c>
    </row>
    <row r="3540" spans="1:3" x14ac:dyDescent="0.25">
      <c r="A3540">
        <v>124</v>
      </c>
      <c r="B3540">
        <v>157</v>
      </c>
      <c r="C3540">
        <v>2</v>
      </c>
    </row>
    <row r="3541" spans="1:3" x14ac:dyDescent="0.25">
      <c r="A3541">
        <v>127</v>
      </c>
      <c r="B3541">
        <v>157</v>
      </c>
      <c r="C3541">
        <v>4</v>
      </c>
    </row>
    <row r="3542" spans="1:3" x14ac:dyDescent="0.25">
      <c r="A3542">
        <v>131</v>
      </c>
      <c r="B3542">
        <v>157</v>
      </c>
      <c r="C3542">
        <v>4</v>
      </c>
    </row>
    <row r="3543" spans="1:3" x14ac:dyDescent="0.25">
      <c r="A3543">
        <v>140</v>
      </c>
      <c r="B3543">
        <v>157</v>
      </c>
      <c r="C3543">
        <v>5</v>
      </c>
    </row>
    <row r="3544" spans="1:3" x14ac:dyDescent="0.25">
      <c r="A3544">
        <v>149</v>
      </c>
      <c r="B3544">
        <v>157</v>
      </c>
      <c r="C3544">
        <v>5</v>
      </c>
    </row>
    <row r="3545" spans="1:3" x14ac:dyDescent="0.25">
      <c r="A3545">
        <v>154</v>
      </c>
      <c r="B3545">
        <v>157</v>
      </c>
      <c r="C3545">
        <v>5</v>
      </c>
    </row>
    <row r="3546" spans="1:3" x14ac:dyDescent="0.25">
      <c r="A3546">
        <v>165</v>
      </c>
      <c r="B3546">
        <v>157</v>
      </c>
      <c r="C3546">
        <v>5</v>
      </c>
    </row>
    <row r="3547" spans="1:3" x14ac:dyDescent="0.25">
      <c r="A3547">
        <v>229</v>
      </c>
      <c r="B3547">
        <v>157</v>
      </c>
      <c r="C3547">
        <v>4</v>
      </c>
    </row>
    <row r="3548" spans="1:3" x14ac:dyDescent="0.25">
      <c r="A3548">
        <v>231</v>
      </c>
      <c r="B3548">
        <v>157</v>
      </c>
      <c r="C3548">
        <v>5</v>
      </c>
    </row>
    <row r="3549" spans="1:3" x14ac:dyDescent="0.25">
      <c r="A3549">
        <v>234</v>
      </c>
      <c r="B3549">
        <v>157</v>
      </c>
      <c r="C3549">
        <v>4</v>
      </c>
    </row>
    <row r="3550" spans="1:3" x14ac:dyDescent="0.25">
      <c r="A3550">
        <v>249</v>
      </c>
      <c r="B3550">
        <v>157</v>
      </c>
      <c r="C3550">
        <v>1</v>
      </c>
    </row>
    <row r="3551" spans="1:3" x14ac:dyDescent="0.25">
      <c r="A3551">
        <v>257</v>
      </c>
      <c r="B3551">
        <v>157</v>
      </c>
      <c r="C3551">
        <v>3</v>
      </c>
    </row>
    <row r="3552" spans="1:3" x14ac:dyDescent="0.25">
      <c r="A3552">
        <v>8</v>
      </c>
      <c r="B3552">
        <v>158</v>
      </c>
      <c r="C3552">
        <v>5</v>
      </c>
    </row>
    <row r="3553" spans="1:3" x14ac:dyDescent="0.25">
      <c r="A3553">
        <v>27</v>
      </c>
      <c r="B3553">
        <v>158</v>
      </c>
      <c r="C3553">
        <v>3</v>
      </c>
    </row>
    <row r="3554" spans="1:3" x14ac:dyDescent="0.25">
      <c r="A3554">
        <v>28</v>
      </c>
      <c r="B3554">
        <v>158</v>
      </c>
      <c r="C3554">
        <v>2</v>
      </c>
    </row>
    <row r="3555" spans="1:3" x14ac:dyDescent="0.25">
      <c r="A3555">
        <v>35</v>
      </c>
      <c r="B3555">
        <v>158</v>
      </c>
      <c r="C3555">
        <v>2</v>
      </c>
    </row>
    <row r="3556" spans="1:3" x14ac:dyDescent="0.25">
      <c r="A3556">
        <v>49</v>
      </c>
      <c r="B3556">
        <v>158</v>
      </c>
      <c r="C3556">
        <v>3</v>
      </c>
    </row>
    <row r="3557" spans="1:3" x14ac:dyDescent="0.25">
      <c r="A3557">
        <v>86</v>
      </c>
      <c r="B3557">
        <v>158</v>
      </c>
      <c r="C3557">
        <v>3</v>
      </c>
    </row>
    <row r="3558" spans="1:3" x14ac:dyDescent="0.25">
      <c r="A3558">
        <v>90</v>
      </c>
      <c r="B3558">
        <v>158</v>
      </c>
      <c r="C3558">
        <v>2</v>
      </c>
    </row>
    <row r="3559" spans="1:3" x14ac:dyDescent="0.25">
      <c r="A3559">
        <v>102</v>
      </c>
      <c r="B3559">
        <v>158</v>
      </c>
      <c r="C3559">
        <v>1</v>
      </c>
    </row>
    <row r="3560" spans="1:3" x14ac:dyDescent="0.25">
      <c r="A3560">
        <v>124</v>
      </c>
      <c r="B3560">
        <v>158</v>
      </c>
      <c r="C3560">
        <v>3</v>
      </c>
    </row>
    <row r="3561" spans="1:3" x14ac:dyDescent="0.25">
      <c r="A3561">
        <v>131</v>
      </c>
      <c r="B3561">
        <v>158</v>
      </c>
      <c r="C3561">
        <v>2</v>
      </c>
    </row>
    <row r="3562" spans="1:3" x14ac:dyDescent="0.25">
      <c r="A3562">
        <v>148</v>
      </c>
      <c r="B3562">
        <v>158</v>
      </c>
      <c r="C3562">
        <v>1</v>
      </c>
    </row>
    <row r="3563" spans="1:3" x14ac:dyDescent="0.25">
      <c r="A3563">
        <v>158</v>
      </c>
      <c r="B3563">
        <v>158</v>
      </c>
      <c r="C3563">
        <v>4</v>
      </c>
    </row>
    <row r="3564" spans="1:3" x14ac:dyDescent="0.25">
      <c r="A3564">
        <v>159</v>
      </c>
      <c r="B3564">
        <v>158</v>
      </c>
      <c r="C3564">
        <v>2</v>
      </c>
    </row>
    <row r="3565" spans="1:3" x14ac:dyDescent="0.25">
      <c r="A3565">
        <v>175</v>
      </c>
      <c r="B3565">
        <v>158</v>
      </c>
      <c r="C3565">
        <v>3</v>
      </c>
    </row>
    <row r="3566" spans="1:3" x14ac:dyDescent="0.25">
      <c r="A3566">
        <v>177</v>
      </c>
      <c r="B3566">
        <v>158</v>
      </c>
      <c r="C3566">
        <v>3</v>
      </c>
    </row>
    <row r="3567" spans="1:3" x14ac:dyDescent="0.25">
      <c r="A3567">
        <v>186</v>
      </c>
      <c r="B3567">
        <v>158</v>
      </c>
      <c r="C3567">
        <v>5</v>
      </c>
    </row>
    <row r="3568" spans="1:3" x14ac:dyDescent="0.25">
      <c r="A3568">
        <v>193</v>
      </c>
      <c r="B3568">
        <v>158</v>
      </c>
      <c r="C3568">
        <v>4</v>
      </c>
    </row>
    <row r="3569" spans="1:3" x14ac:dyDescent="0.25">
      <c r="A3569">
        <v>203</v>
      </c>
      <c r="B3569">
        <v>158</v>
      </c>
      <c r="C3569">
        <v>2</v>
      </c>
    </row>
    <row r="3570" spans="1:3" x14ac:dyDescent="0.25">
      <c r="A3570">
        <v>214</v>
      </c>
      <c r="B3570">
        <v>158</v>
      </c>
      <c r="C3570">
        <v>3</v>
      </c>
    </row>
    <row r="3571" spans="1:3" x14ac:dyDescent="0.25">
      <c r="A3571">
        <v>227</v>
      </c>
      <c r="B3571">
        <v>158</v>
      </c>
      <c r="C3571">
        <v>3</v>
      </c>
    </row>
    <row r="3572" spans="1:3" x14ac:dyDescent="0.25">
      <c r="A3572">
        <v>237</v>
      </c>
      <c r="B3572">
        <v>158</v>
      </c>
      <c r="C3572">
        <v>3</v>
      </c>
    </row>
    <row r="3573" spans="1:3" x14ac:dyDescent="0.25">
      <c r="A3573">
        <v>246</v>
      </c>
      <c r="B3573">
        <v>158</v>
      </c>
      <c r="C3573">
        <v>3</v>
      </c>
    </row>
    <row r="3574" spans="1:3" x14ac:dyDescent="0.25">
      <c r="A3574">
        <v>251</v>
      </c>
      <c r="B3574">
        <v>158</v>
      </c>
      <c r="C3574">
        <v>5</v>
      </c>
    </row>
    <row r="3575" spans="1:3" x14ac:dyDescent="0.25">
      <c r="A3575">
        <v>253</v>
      </c>
      <c r="B3575">
        <v>158</v>
      </c>
      <c r="C3575">
        <v>5</v>
      </c>
    </row>
    <row r="3576" spans="1:3" x14ac:dyDescent="0.25">
      <c r="A3576">
        <v>281</v>
      </c>
      <c r="B3576">
        <v>158</v>
      </c>
      <c r="C3576">
        <v>2</v>
      </c>
    </row>
    <row r="3577" spans="1:3" x14ac:dyDescent="0.25">
      <c r="A3577">
        <v>284</v>
      </c>
      <c r="B3577">
        <v>158</v>
      </c>
      <c r="C3577">
        <v>4</v>
      </c>
    </row>
    <row r="3578" spans="1:3" x14ac:dyDescent="0.25">
      <c r="A3578">
        <v>292</v>
      </c>
      <c r="B3578">
        <v>158</v>
      </c>
      <c r="C3578">
        <v>1</v>
      </c>
    </row>
    <row r="3579" spans="1:3" x14ac:dyDescent="0.25">
      <c r="A3579">
        <v>294</v>
      </c>
      <c r="B3579">
        <v>158</v>
      </c>
      <c r="C3579">
        <v>1</v>
      </c>
    </row>
    <row r="3580" spans="1:3" x14ac:dyDescent="0.25">
      <c r="A3580">
        <v>5</v>
      </c>
      <c r="B3580">
        <v>159</v>
      </c>
      <c r="C3580">
        <v>2</v>
      </c>
    </row>
    <row r="3581" spans="1:3" x14ac:dyDescent="0.25">
      <c r="A3581">
        <v>10</v>
      </c>
      <c r="B3581">
        <v>159</v>
      </c>
      <c r="C3581">
        <v>2</v>
      </c>
    </row>
    <row r="3582" spans="1:3" x14ac:dyDescent="0.25">
      <c r="A3582">
        <v>20</v>
      </c>
      <c r="B3582">
        <v>159</v>
      </c>
      <c r="C3582">
        <v>4</v>
      </c>
    </row>
    <row r="3583" spans="1:3" x14ac:dyDescent="0.25">
      <c r="A3583">
        <v>40</v>
      </c>
      <c r="B3583">
        <v>159</v>
      </c>
      <c r="C3583">
        <v>4</v>
      </c>
    </row>
    <row r="3584" spans="1:3" x14ac:dyDescent="0.25">
      <c r="A3584">
        <v>54</v>
      </c>
      <c r="B3584">
        <v>159</v>
      </c>
      <c r="C3584">
        <v>3</v>
      </c>
    </row>
    <row r="3585" spans="1:3" x14ac:dyDescent="0.25">
      <c r="A3585">
        <v>63</v>
      </c>
      <c r="B3585">
        <v>159</v>
      </c>
      <c r="C3585">
        <v>3</v>
      </c>
    </row>
    <row r="3586" spans="1:3" x14ac:dyDescent="0.25">
      <c r="A3586">
        <v>65</v>
      </c>
      <c r="B3586">
        <v>159</v>
      </c>
      <c r="C3586">
        <v>1</v>
      </c>
    </row>
    <row r="3587" spans="1:3" x14ac:dyDescent="0.25">
      <c r="A3587">
        <v>82</v>
      </c>
      <c r="B3587">
        <v>159</v>
      </c>
      <c r="C3587">
        <v>1</v>
      </c>
    </row>
    <row r="3588" spans="1:3" x14ac:dyDescent="0.25">
      <c r="A3588">
        <v>83</v>
      </c>
      <c r="B3588">
        <v>159</v>
      </c>
      <c r="C3588">
        <v>2</v>
      </c>
    </row>
    <row r="3589" spans="1:3" x14ac:dyDescent="0.25">
      <c r="A3589">
        <v>85</v>
      </c>
      <c r="B3589">
        <v>159</v>
      </c>
      <c r="C3589">
        <v>2</v>
      </c>
    </row>
    <row r="3590" spans="1:3" x14ac:dyDescent="0.25">
      <c r="A3590">
        <v>112</v>
      </c>
      <c r="B3590">
        <v>159</v>
      </c>
      <c r="C3590">
        <v>5</v>
      </c>
    </row>
    <row r="3591" spans="1:3" x14ac:dyDescent="0.25">
      <c r="A3591">
        <v>117</v>
      </c>
      <c r="B3591">
        <v>159</v>
      </c>
      <c r="C3591">
        <v>1</v>
      </c>
    </row>
    <row r="3592" spans="1:3" x14ac:dyDescent="0.25">
      <c r="A3592">
        <v>117</v>
      </c>
      <c r="B3592">
        <v>159</v>
      </c>
      <c r="C3592">
        <v>5</v>
      </c>
    </row>
    <row r="3593" spans="1:3" x14ac:dyDescent="0.25">
      <c r="A3593">
        <v>118</v>
      </c>
      <c r="B3593">
        <v>159</v>
      </c>
      <c r="C3593">
        <v>5</v>
      </c>
    </row>
    <row r="3594" spans="1:3" x14ac:dyDescent="0.25">
      <c r="A3594">
        <v>140</v>
      </c>
      <c r="B3594">
        <v>159</v>
      </c>
      <c r="C3594">
        <v>5</v>
      </c>
    </row>
    <row r="3595" spans="1:3" x14ac:dyDescent="0.25">
      <c r="A3595">
        <v>146</v>
      </c>
      <c r="B3595">
        <v>159</v>
      </c>
      <c r="C3595">
        <v>5</v>
      </c>
    </row>
    <row r="3596" spans="1:3" x14ac:dyDescent="0.25">
      <c r="A3596">
        <v>159</v>
      </c>
      <c r="B3596">
        <v>159</v>
      </c>
      <c r="C3596">
        <v>2</v>
      </c>
    </row>
    <row r="3597" spans="1:3" x14ac:dyDescent="0.25">
      <c r="A3597">
        <v>191</v>
      </c>
      <c r="B3597">
        <v>159</v>
      </c>
      <c r="C3597">
        <v>1</v>
      </c>
    </row>
    <row r="3598" spans="1:3" x14ac:dyDescent="0.25">
      <c r="A3598">
        <v>208</v>
      </c>
      <c r="B3598">
        <v>159</v>
      </c>
      <c r="C3598">
        <v>4</v>
      </c>
    </row>
    <row r="3599" spans="1:3" x14ac:dyDescent="0.25">
      <c r="A3599">
        <v>229</v>
      </c>
      <c r="B3599">
        <v>159</v>
      </c>
      <c r="C3599">
        <v>4</v>
      </c>
    </row>
    <row r="3600" spans="1:3" x14ac:dyDescent="0.25">
      <c r="A3600">
        <v>230</v>
      </c>
      <c r="B3600">
        <v>159</v>
      </c>
      <c r="C3600">
        <v>4</v>
      </c>
    </row>
    <row r="3601" spans="1:3" x14ac:dyDescent="0.25">
      <c r="A3601">
        <v>256</v>
      </c>
      <c r="B3601">
        <v>159</v>
      </c>
      <c r="C3601">
        <v>1</v>
      </c>
    </row>
    <row r="3602" spans="1:3" x14ac:dyDescent="0.25">
      <c r="A3602">
        <v>261</v>
      </c>
      <c r="B3602">
        <v>159</v>
      </c>
      <c r="C3602">
        <v>4</v>
      </c>
    </row>
    <row r="3603" spans="1:3" x14ac:dyDescent="0.25">
      <c r="A3603">
        <v>271</v>
      </c>
      <c r="B3603">
        <v>159</v>
      </c>
      <c r="C3603">
        <v>3</v>
      </c>
    </row>
    <row r="3604" spans="1:3" x14ac:dyDescent="0.25">
      <c r="A3604">
        <v>274</v>
      </c>
      <c r="B3604">
        <v>159</v>
      </c>
      <c r="C3604">
        <v>1</v>
      </c>
    </row>
    <row r="3605" spans="1:3" x14ac:dyDescent="0.25">
      <c r="A3605">
        <v>292</v>
      </c>
      <c r="B3605">
        <v>159</v>
      </c>
      <c r="C3605">
        <v>2</v>
      </c>
    </row>
    <row r="3606" spans="1:3" x14ac:dyDescent="0.25">
      <c r="A3606">
        <v>298</v>
      </c>
      <c r="B3606">
        <v>159</v>
      </c>
      <c r="C3606">
        <v>1</v>
      </c>
    </row>
    <row r="3607" spans="1:3" x14ac:dyDescent="0.25">
      <c r="A3607">
        <v>26</v>
      </c>
      <c r="B3607">
        <v>160</v>
      </c>
      <c r="C3607">
        <v>4</v>
      </c>
    </row>
    <row r="3608" spans="1:3" x14ac:dyDescent="0.25">
      <c r="A3608">
        <v>51</v>
      </c>
      <c r="B3608">
        <v>160</v>
      </c>
      <c r="C3608">
        <v>3</v>
      </c>
    </row>
    <row r="3609" spans="1:3" x14ac:dyDescent="0.25">
      <c r="A3609">
        <v>67</v>
      </c>
      <c r="B3609">
        <v>160</v>
      </c>
      <c r="C3609">
        <v>5</v>
      </c>
    </row>
    <row r="3610" spans="1:3" x14ac:dyDescent="0.25">
      <c r="A3610">
        <v>86</v>
      </c>
      <c r="B3610">
        <v>160</v>
      </c>
      <c r="C3610">
        <v>1</v>
      </c>
    </row>
    <row r="3611" spans="1:3" x14ac:dyDescent="0.25">
      <c r="A3611">
        <v>86</v>
      </c>
      <c r="B3611">
        <v>160</v>
      </c>
      <c r="C3611">
        <v>5</v>
      </c>
    </row>
    <row r="3612" spans="1:3" x14ac:dyDescent="0.25">
      <c r="A3612">
        <v>86</v>
      </c>
      <c r="B3612">
        <v>160</v>
      </c>
      <c r="C3612">
        <v>4</v>
      </c>
    </row>
    <row r="3613" spans="1:3" x14ac:dyDescent="0.25">
      <c r="A3613">
        <v>143</v>
      </c>
      <c r="B3613">
        <v>160</v>
      </c>
      <c r="C3613">
        <v>3</v>
      </c>
    </row>
    <row r="3614" spans="1:3" x14ac:dyDescent="0.25">
      <c r="A3614">
        <v>149</v>
      </c>
      <c r="B3614">
        <v>160</v>
      </c>
      <c r="C3614">
        <v>4</v>
      </c>
    </row>
    <row r="3615" spans="1:3" x14ac:dyDescent="0.25">
      <c r="A3615">
        <v>154</v>
      </c>
      <c r="B3615">
        <v>160</v>
      </c>
      <c r="C3615">
        <v>4</v>
      </c>
    </row>
    <row r="3616" spans="1:3" x14ac:dyDescent="0.25">
      <c r="A3616">
        <v>162</v>
      </c>
      <c r="B3616">
        <v>160</v>
      </c>
      <c r="C3616">
        <v>2</v>
      </c>
    </row>
    <row r="3617" spans="1:3" x14ac:dyDescent="0.25">
      <c r="A3617">
        <v>165</v>
      </c>
      <c r="B3617">
        <v>160</v>
      </c>
      <c r="C3617">
        <v>2</v>
      </c>
    </row>
    <row r="3618" spans="1:3" x14ac:dyDescent="0.25">
      <c r="A3618">
        <v>168</v>
      </c>
      <c r="B3618">
        <v>160</v>
      </c>
      <c r="C3618">
        <v>5</v>
      </c>
    </row>
    <row r="3619" spans="1:3" x14ac:dyDescent="0.25">
      <c r="A3619">
        <v>170</v>
      </c>
      <c r="B3619">
        <v>160</v>
      </c>
      <c r="C3619">
        <v>3</v>
      </c>
    </row>
    <row r="3620" spans="1:3" x14ac:dyDescent="0.25">
      <c r="A3620">
        <v>178</v>
      </c>
      <c r="B3620">
        <v>160</v>
      </c>
      <c r="C3620">
        <v>3</v>
      </c>
    </row>
    <row r="3621" spans="1:3" x14ac:dyDescent="0.25">
      <c r="A3621">
        <v>214</v>
      </c>
      <c r="B3621">
        <v>160</v>
      </c>
      <c r="C3621">
        <v>4</v>
      </c>
    </row>
    <row r="3622" spans="1:3" x14ac:dyDescent="0.25">
      <c r="A3622">
        <v>220</v>
      </c>
      <c r="B3622">
        <v>160</v>
      </c>
      <c r="C3622">
        <v>3</v>
      </c>
    </row>
    <row r="3623" spans="1:3" x14ac:dyDescent="0.25">
      <c r="A3623">
        <v>223</v>
      </c>
      <c r="B3623">
        <v>160</v>
      </c>
      <c r="C3623">
        <v>5</v>
      </c>
    </row>
    <row r="3624" spans="1:3" x14ac:dyDescent="0.25">
      <c r="A3624">
        <v>229</v>
      </c>
      <c r="B3624">
        <v>160</v>
      </c>
      <c r="C3624">
        <v>5</v>
      </c>
    </row>
    <row r="3625" spans="1:3" x14ac:dyDescent="0.25">
      <c r="A3625">
        <v>230</v>
      </c>
      <c r="B3625">
        <v>160</v>
      </c>
      <c r="C3625">
        <v>5</v>
      </c>
    </row>
    <row r="3626" spans="1:3" x14ac:dyDescent="0.25">
      <c r="A3626">
        <v>244</v>
      </c>
      <c r="B3626">
        <v>160</v>
      </c>
      <c r="C3626">
        <v>1</v>
      </c>
    </row>
    <row r="3627" spans="1:3" x14ac:dyDescent="0.25">
      <c r="A3627">
        <v>254</v>
      </c>
      <c r="B3627">
        <v>160</v>
      </c>
      <c r="C3627">
        <v>3</v>
      </c>
    </row>
    <row r="3628" spans="1:3" x14ac:dyDescent="0.25">
      <c r="A3628">
        <v>260</v>
      </c>
      <c r="B3628">
        <v>160</v>
      </c>
      <c r="C3628">
        <v>1</v>
      </c>
    </row>
    <row r="3629" spans="1:3" x14ac:dyDescent="0.25">
      <c r="A3629">
        <v>295</v>
      </c>
      <c r="B3629">
        <v>160</v>
      </c>
      <c r="C3629">
        <v>5</v>
      </c>
    </row>
    <row r="3630" spans="1:3" x14ac:dyDescent="0.25">
      <c r="A3630">
        <v>24</v>
      </c>
      <c r="B3630">
        <v>161</v>
      </c>
      <c r="C3630">
        <v>4</v>
      </c>
    </row>
    <row r="3631" spans="1:3" x14ac:dyDescent="0.25">
      <c r="A3631">
        <v>65</v>
      </c>
      <c r="B3631">
        <v>161</v>
      </c>
      <c r="C3631">
        <v>1</v>
      </c>
    </row>
    <row r="3632" spans="1:3" x14ac:dyDescent="0.25">
      <c r="A3632">
        <v>70</v>
      </c>
      <c r="B3632">
        <v>161</v>
      </c>
      <c r="C3632">
        <v>5</v>
      </c>
    </row>
    <row r="3633" spans="1:3" x14ac:dyDescent="0.25">
      <c r="A3633">
        <v>87</v>
      </c>
      <c r="B3633">
        <v>161</v>
      </c>
      <c r="C3633">
        <v>4</v>
      </c>
    </row>
    <row r="3634" spans="1:3" x14ac:dyDescent="0.25">
      <c r="A3634">
        <v>101</v>
      </c>
      <c r="B3634">
        <v>161</v>
      </c>
      <c r="C3634">
        <v>1</v>
      </c>
    </row>
    <row r="3635" spans="1:3" x14ac:dyDescent="0.25">
      <c r="A3635">
        <v>129</v>
      </c>
      <c r="B3635">
        <v>161</v>
      </c>
      <c r="C3635">
        <v>2</v>
      </c>
    </row>
    <row r="3636" spans="1:3" x14ac:dyDescent="0.25">
      <c r="A3636">
        <v>138</v>
      </c>
      <c r="B3636">
        <v>161</v>
      </c>
      <c r="C3636">
        <v>1</v>
      </c>
    </row>
    <row r="3637" spans="1:3" x14ac:dyDescent="0.25">
      <c r="A3637">
        <v>162</v>
      </c>
      <c r="B3637">
        <v>161</v>
      </c>
      <c r="C3637">
        <v>1</v>
      </c>
    </row>
    <row r="3638" spans="1:3" x14ac:dyDescent="0.25">
      <c r="A3638">
        <v>169</v>
      </c>
      <c r="B3638">
        <v>161</v>
      </c>
      <c r="C3638">
        <v>4</v>
      </c>
    </row>
    <row r="3639" spans="1:3" x14ac:dyDescent="0.25">
      <c r="A3639">
        <v>256</v>
      </c>
      <c r="B3639">
        <v>161</v>
      </c>
      <c r="C3639">
        <v>4</v>
      </c>
    </row>
    <row r="3640" spans="1:3" x14ac:dyDescent="0.25">
      <c r="A3640">
        <v>264</v>
      </c>
      <c r="B3640">
        <v>161</v>
      </c>
      <c r="C3640">
        <v>5</v>
      </c>
    </row>
    <row r="3641" spans="1:3" x14ac:dyDescent="0.25">
      <c r="A3641">
        <v>291</v>
      </c>
      <c r="B3641">
        <v>161</v>
      </c>
      <c r="C3641">
        <v>3</v>
      </c>
    </row>
    <row r="3642" spans="1:3" x14ac:dyDescent="0.25">
      <c r="A3642">
        <v>294</v>
      </c>
      <c r="B3642">
        <v>161</v>
      </c>
      <c r="C3642">
        <v>5</v>
      </c>
    </row>
    <row r="3643" spans="1:3" x14ac:dyDescent="0.25">
      <c r="A3643">
        <v>26</v>
      </c>
      <c r="B3643">
        <v>162</v>
      </c>
      <c r="C3643">
        <v>2</v>
      </c>
    </row>
    <row r="3644" spans="1:3" x14ac:dyDescent="0.25">
      <c r="A3644">
        <v>36</v>
      </c>
      <c r="B3644">
        <v>162</v>
      </c>
      <c r="C3644">
        <v>3</v>
      </c>
    </row>
    <row r="3645" spans="1:3" x14ac:dyDescent="0.25">
      <c r="A3645">
        <v>41</v>
      </c>
      <c r="B3645">
        <v>162</v>
      </c>
      <c r="C3645">
        <v>4</v>
      </c>
    </row>
    <row r="3646" spans="1:3" x14ac:dyDescent="0.25">
      <c r="A3646">
        <v>57</v>
      </c>
      <c r="B3646">
        <v>162</v>
      </c>
      <c r="C3646">
        <v>2</v>
      </c>
    </row>
    <row r="3647" spans="1:3" x14ac:dyDescent="0.25">
      <c r="A3647">
        <v>71</v>
      </c>
      <c r="B3647">
        <v>162</v>
      </c>
      <c r="C3647">
        <v>4</v>
      </c>
    </row>
    <row r="3648" spans="1:3" x14ac:dyDescent="0.25">
      <c r="A3648">
        <v>125</v>
      </c>
      <c r="B3648">
        <v>162</v>
      </c>
      <c r="C3648">
        <v>4</v>
      </c>
    </row>
    <row r="3649" spans="1:3" x14ac:dyDescent="0.25">
      <c r="A3649">
        <v>127</v>
      </c>
      <c r="B3649">
        <v>162</v>
      </c>
      <c r="C3649">
        <v>5</v>
      </c>
    </row>
    <row r="3650" spans="1:3" x14ac:dyDescent="0.25">
      <c r="A3650">
        <v>134</v>
      </c>
      <c r="B3650">
        <v>162</v>
      </c>
      <c r="C3650">
        <v>2</v>
      </c>
    </row>
    <row r="3651" spans="1:3" x14ac:dyDescent="0.25">
      <c r="A3651">
        <v>143</v>
      </c>
      <c r="B3651">
        <v>162</v>
      </c>
      <c r="C3651">
        <v>2</v>
      </c>
    </row>
    <row r="3652" spans="1:3" x14ac:dyDescent="0.25">
      <c r="A3652">
        <v>147</v>
      </c>
      <c r="B3652">
        <v>162</v>
      </c>
      <c r="C3652">
        <v>4</v>
      </c>
    </row>
    <row r="3653" spans="1:3" x14ac:dyDescent="0.25">
      <c r="A3653">
        <v>156</v>
      </c>
      <c r="B3653">
        <v>162</v>
      </c>
      <c r="C3653">
        <v>4</v>
      </c>
    </row>
    <row r="3654" spans="1:3" x14ac:dyDescent="0.25">
      <c r="A3654">
        <v>165</v>
      </c>
      <c r="B3654">
        <v>162</v>
      </c>
      <c r="C3654">
        <v>2</v>
      </c>
    </row>
    <row r="3655" spans="1:3" x14ac:dyDescent="0.25">
      <c r="A3655">
        <v>168</v>
      </c>
      <c r="B3655">
        <v>162</v>
      </c>
      <c r="C3655">
        <v>2</v>
      </c>
    </row>
    <row r="3656" spans="1:3" x14ac:dyDescent="0.25">
      <c r="A3656">
        <v>187</v>
      </c>
      <c r="B3656">
        <v>162</v>
      </c>
      <c r="C3656">
        <v>3</v>
      </c>
    </row>
    <row r="3657" spans="1:3" x14ac:dyDescent="0.25">
      <c r="A3657">
        <v>189</v>
      </c>
      <c r="B3657">
        <v>162</v>
      </c>
      <c r="C3657">
        <v>1</v>
      </c>
    </row>
    <row r="3658" spans="1:3" x14ac:dyDescent="0.25">
      <c r="A3658">
        <v>211</v>
      </c>
      <c r="B3658">
        <v>162</v>
      </c>
      <c r="C3658">
        <v>4</v>
      </c>
    </row>
    <row r="3659" spans="1:3" x14ac:dyDescent="0.25">
      <c r="A3659">
        <v>213</v>
      </c>
      <c r="B3659">
        <v>162</v>
      </c>
      <c r="C3659">
        <v>1</v>
      </c>
    </row>
    <row r="3660" spans="1:3" x14ac:dyDescent="0.25">
      <c r="A3660">
        <v>247</v>
      </c>
      <c r="B3660">
        <v>162</v>
      </c>
      <c r="C3660">
        <v>3</v>
      </c>
    </row>
    <row r="3661" spans="1:3" x14ac:dyDescent="0.25">
      <c r="A3661">
        <v>248</v>
      </c>
      <c r="B3661">
        <v>162</v>
      </c>
      <c r="C3661">
        <v>2</v>
      </c>
    </row>
    <row r="3662" spans="1:3" x14ac:dyDescent="0.25">
      <c r="A3662">
        <v>267</v>
      </c>
      <c r="B3662">
        <v>162</v>
      </c>
      <c r="C3662">
        <v>4</v>
      </c>
    </row>
    <row r="3663" spans="1:3" x14ac:dyDescent="0.25">
      <c r="A3663">
        <v>269</v>
      </c>
      <c r="B3663">
        <v>162</v>
      </c>
      <c r="C3663">
        <v>3</v>
      </c>
    </row>
    <row r="3664" spans="1:3" x14ac:dyDescent="0.25">
      <c r="A3664">
        <v>296</v>
      </c>
      <c r="B3664">
        <v>162</v>
      </c>
      <c r="C3664">
        <v>2</v>
      </c>
    </row>
    <row r="3665" spans="1:3" x14ac:dyDescent="0.25">
      <c r="A3665">
        <v>13</v>
      </c>
      <c r="B3665">
        <v>163</v>
      </c>
      <c r="C3665">
        <v>4</v>
      </c>
    </row>
    <row r="3666" spans="1:3" x14ac:dyDescent="0.25">
      <c r="A3666">
        <v>20</v>
      </c>
      <c r="B3666">
        <v>163</v>
      </c>
      <c r="C3666">
        <v>2</v>
      </c>
    </row>
    <row r="3667" spans="1:3" x14ac:dyDescent="0.25">
      <c r="A3667">
        <v>24</v>
      </c>
      <c r="B3667">
        <v>163</v>
      </c>
      <c r="C3667">
        <v>2</v>
      </c>
    </row>
    <row r="3668" spans="1:3" x14ac:dyDescent="0.25">
      <c r="A3668">
        <v>28</v>
      </c>
      <c r="B3668">
        <v>163</v>
      </c>
      <c r="C3668">
        <v>5</v>
      </c>
    </row>
    <row r="3669" spans="1:3" x14ac:dyDescent="0.25">
      <c r="A3669">
        <v>47</v>
      </c>
      <c r="B3669">
        <v>163</v>
      </c>
      <c r="C3669">
        <v>2</v>
      </c>
    </row>
    <row r="3670" spans="1:3" x14ac:dyDescent="0.25">
      <c r="A3670">
        <v>53</v>
      </c>
      <c r="B3670">
        <v>163</v>
      </c>
      <c r="C3670">
        <v>1</v>
      </c>
    </row>
    <row r="3671" spans="1:3" x14ac:dyDescent="0.25">
      <c r="A3671">
        <v>63</v>
      </c>
      <c r="B3671">
        <v>163</v>
      </c>
      <c r="C3671">
        <v>1</v>
      </c>
    </row>
    <row r="3672" spans="1:3" x14ac:dyDescent="0.25">
      <c r="A3672">
        <v>71</v>
      </c>
      <c r="B3672">
        <v>163</v>
      </c>
      <c r="C3672">
        <v>5</v>
      </c>
    </row>
    <row r="3673" spans="1:3" x14ac:dyDescent="0.25">
      <c r="A3673">
        <v>77</v>
      </c>
      <c r="B3673">
        <v>163</v>
      </c>
      <c r="C3673">
        <v>1</v>
      </c>
    </row>
    <row r="3674" spans="1:3" x14ac:dyDescent="0.25">
      <c r="A3674">
        <v>87</v>
      </c>
      <c r="B3674">
        <v>163</v>
      </c>
      <c r="C3674">
        <v>4</v>
      </c>
    </row>
    <row r="3675" spans="1:3" x14ac:dyDescent="0.25">
      <c r="A3675">
        <v>103</v>
      </c>
      <c r="B3675">
        <v>163</v>
      </c>
      <c r="C3675">
        <v>1</v>
      </c>
    </row>
    <row r="3676" spans="1:3" x14ac:dyDescent="0.25">
      <c r="A3676">
        <v>129</v>
      </c>
      <c r="B3676">
        <v>163</v>
      </c>
      <c r="C3676">
        <v>1</v>
      </c>
    </row>
    <row r="3677" spans="1:3" x14ac:dyDescent="0.25">
      <c r="A3677">
        <v>145</v>
      </c>
      <c r="B3677">
        <v>163</v>
      </c>
      <c r="C3677">
        <v>5</v>
      </c>
    </row>
    <row r="3678" spans="1:3" x14ac:dyDescent="0.25">
      <c r="A3678">
        <v>179</v>
      </c>
      <c r="B3678">
        <v>163</v>
      </c>
      <c r="C3678">
        <v>2</v>
      </c>
    </row>
    <row r="3679" spans="1:3" x14ac:dyDescent="0.25">
      <c r="A3679">
        <v>206</v>
      </c>
      <c r="B3679">
        <v>163</v>
      </c>
      <c r="C3679">
        <v>4</v>
      </c>
    </row>
    <row r="3680" spans="1:3" x14ac:dyDescent="0.25">
      <c r="A3680">
        <v>244</v>
      </c>
      <c r="B3680">
        <v>163</v>
      </c>
      <c r="C3680">
        <v>2</v>
      </c>
    </row>
    <row r="3681" spans="1:3" x14ac:dyDescent="0.25">
      <c r="A3681">
        <v>249</v>
      </c>
      <c r="B3681">
        <v>163</v>
      </c>
      <c r="C3681">
        <v>3</v>
      </c>
    </row>
    <row r="3682" spans="1:3" x14ac:dyDescent="0.25">
      <c r="A3682">
        <v>269</v>
      </c>
      <c r="B3682">
        <v>163</v>
      </c>
      <c r="C3682">
        <v>1</v>
      </c>
    </row>
    <row r="3683" spans="1:3" x14ac:dyDescent="0.25">
      <c r="A3683">
        <v>286</v>
      </c>
      <c r="B3683">
        <v>163</v>
      </c>
      <c r="C3683">
        <v>1</v>
      </c>
    </row>
    <row r="3684" spans="1:3" x14ac:dyDescent="0.25">
      <c r="A3684">
        <v>287</v>
      </c>
      <c r="B3684">
        <v>163</v>
      </c>
      <c r="C3684">
        <v>5</v>
      </c>
    </row>
    <row r="3685" spans="1:3" x14ac:dyDescent="0.25">
      <c r="A3685">
        <v>294</v>
      </c>
      <c r="B3685">
        <v>163</v>
      </c>
      <c r="C3685">
        <v>4</v>
      </c>
    </row>
    <row r="3686" spans="1:3" x14ac:dyDescent="0.25">
      <c r="A3686">
        <v>295</v>
      </c>
      <c r="B3686">
        <v>163</v>
      </c>
      <c r="C3686">
        <v>1</v>
      </c>
    </row>
    <row r="3687" spans="1:3" x14ac:dyDescent="0.25">
      <c r="A3687">
        <v>300</v>
      </c>
      <c r="B3687">
        <v>163</v>
      </c>
      <c r="C3687">
        <v>2</v>
      </c>
    </row>
    <row r="3688" spans="1:3" x14ac:dyDescent="0.25">
      <c r="A3688">
        <v>8</v>
      </c>
      <c r="B3688">
        <v>164</v>
      </c>
      <c r="C3688">
        <v>5</v>
      </c>
    </row>
    <row r="3689" spans="1:3" x14ac:dyDescent="0.25">
      <c r="A3689">
        <v>30</v>
      </c>
      <c r="B3689">
        <v>164</v>
      </c>
      <c r="C3689">
        <v>4</v>
      </c>
    </row>
    <row r="3690" spans="1:3" x14ac:dyDescent="0.25">
      <c r="A3690">
        <v>61</v>
      </c>
      <c r="B3690">
        <v>164</v>
      </c>
      <c r="C3690">
        <v>5</v>
      </c>
    </row>
    <row r="3691" spans="1:3" x14ac:dyDescent="0.25">
      <c r="A3691">
        <v>65</v>
      </c>
      <c r="B3691">
        <v>164</v>
      </c>
      <c r="C3691">
        <v>5</v>
      </c>
    </row>
    <row r="3692" spans="1:3" x14ac:dyDescent="0.25">
      <c r="A3692">
        <v>74</v>
      </c>
      <c r="B3692">
        <v>164</v>
      </c>
      <c r="C3692">
        <v>3</v>
      </c>
    </row>
    <row r="3693" spans="1:3" x14ac:dyDescent="0.25">
      <c r="A3693">
        <v>75</v>
      </c>
      <c r="B3693">
        <v>164</v>
      </c>
      <c r="C3693">
        <v>4</v>
      </c>
    </row>
    <row r="3694" spans="1:3" x14ac:dyDescent="0.25">
      <c r="A3694">
        <v>80</v>
      </c>
      <c r="B3694">
        <v>164</v>
      </c>
      <c r="C3694">
        <v>5</v>
      </c>
    </row>
    <row r="3695" spans="1:3" x14ac:dyDescent="0.25">
      <c r="A3695">
        <v>85</v>
      </c>
      <c r="B3695">
        <v>164</v>
      </c>
      <c r="C3695">
        <v>3</v>
      </c>
    </row>
    <row r="3696" spans="1:3" x14ac:dyDescent="0.25">
      <c r="A3696">
        <v>101</v>
      </c>
      <c r="B3696">
        <v>164</v>
      </c>
      <c r="C3696">
        <v>4</v>
      </c>
    </row>
    <row r="3697" spans="1:3" x14ac:dyDescent="0.25">
      <c r="A3697">
        <v>168</v>
      </c>
      <c r="B3697">
        <v>164</v>
      </c>
      <c r="C3697">
        <v>4</v>
      </c>
    </row>
    <row r="3698" spans="1:3" x14ac:dyDescent="0.25">
      <c r="A3698">
        <v>194</v>
      </c>
      <c r="B3698">
        <v>164</v>
      </c>
      <c r="C3698">
        <v>5</v>
      </c>
    </row>
    <row r="3699" spans="1:3" x14ac:dyDescent="0.25">
      <c r="A3699">
        <v>202</v>
      </c>
      <c r="B3699">
        <v>164</v>
      </c>
      <c r="C3699">
        <v>5</v>
      </c>
    </row>
    <row r="3700" spans="1:3" x14ac:dyDescent="0.25">
      <c r="A3700">
        <v>214</v>
      </c>
      <c r="B3700">
        <v>164</v>
      </c>
      <c r="C3700">
        <v>2</v>
      </c>
    </row>
    <row r="3701" spans="1:3" x14ac:dyDescent="0.25">
      <c r="A3701">
        <v>224</v>
      </c>
      <c r="B3701">
        <v>164</v>
      </c>
      <c r="C3701">
        <v>1</v>
      </c>
    </row>
    <row r="3702" spans="1:3" x14ac:dyDescent="0.25">
      <c r="A3702">
        <v>258</v>
      </c>
      <c r="B3702">
        <v>164</v>
      </c>
      <c r="C3702">
        <v>2</v>
      </c>
    </row>
    <row r="3703" spans="1:3" x14ac:dyDescent="0.25">
      <c r="A3703">
        <v>272</v>
      </c>
      <c r="B3703">
        <v>164</v>
      </c>
      <c r="C3703">
        <v>3</v>
      </c>
    </row>
    <row r="3704" spans="1:3" x14ac:dyDescent="0.25">
      <c r="A3704">
        <v>276</v>
      </c>
      <c r="B3704">
        <v>164</v>
      </c>
      <c r="C3704">
        <v>1</v>
      </c>
    </row>
    <row r="3705" spans="1:3" x14ac:dyDescent="0.25">
      <c r="A3705">
        <v>281</v>
      </c>
      <c r="B3705">
        <v>164</v>
      </c>
      <c r="C3705">
        <v>3</v>
      </c>
    </row>
    <row r="3706" spans="1:3" x14ac:dyDescent="0.25">
      <c r="A3706">
        <v>19</v>
      </c>
      <c r="B3706">
        <v>165</v>
      </c>
      <c r="C3706">
        <v>4</v>
      </c>
    </row>
    <row r="3707" spans="1:3" x14ac:dyDescent="0.25">
      <c r="A3707">
        <v>23</v>
      </c>
      <c r="B3707">
        <v>165</v>
      </c>
      <c r="C3707">
        <v>4</v>
      </c>
    </row>
    <row r="3708" spans="1:3" x14ac:dyDescent="0.25">
      <c r="A3708">
        <v>28</v>
      </c>
      <c r="B3708">
        <v>165</v>
      </c>
      <c r="C3708">
        <v>2</v>
      </c>
    </row>
    <row r="3709" spans="1:3" x14ac:dyDescent="0.25">
      <c r="A3709">
        <v>87</v>
      </c>
      <c r="B3709">
        <v>165</v>
      </c>
      <c r="C3709">
        <v>5</v>
      </c>
    </row>
    <row r="3710" spans="1:3" x14ac:dyDescent="0.25">
      <c r="A3710">
        <v>88</v>
      </c>
      <c r="B3710">
        <v>165</v>
      </c>
      <c r="C3710">
        <v>1</v>
      </c>
    </row>
    <row r="3711" spans="1:3" x14ac:dyDescent="0.25">
      <c r="A3711">
        <v>108</v>
      </c>
      <c r="B3711">
        <v>165</v>
      </c>
      <c r="C3711">
        <v>5</v>
      </c>
    </row>
    <row r="3712" spans="1:3" x14ac:dyDescent="0.25">
      <c r="A3712">
        <v>115</v>
      </c>
      <c r="B3712">
        <v>165</v>
      </c>
      <c r="C3712">
        <v>3</v>
      </c>
    </row>
    <row r="3713" spans="1:3" x14ac:dyDescent="0.25">
      <c r="A3713">
        <v>117</v>
      </c>
      <c r="B3713">
        <v>165</v>
      </c>
      <c r="C3713">
        <v>5</v>
      </c>
    </row>
    <row r="3714" spans="1:3" x14ac:dyDescent="0.25">
      <c r="A3714">
        <v>135</v>
      </c>
      <c r="B3714">
        <v>165</v>
      </c>
      <c r="C3714">
        <v>2</v>
      </c>
    </row>
    <row r="3715" spans="1:3" x14ac:dyDescent="0.25">
      <c r="A3715">
        <v>150</v>
      </c>
      <c r="B3715">
        <v>165</v>
      </c>
      <c r="C3715">
        <v>2</v>
      </c>
    </row>
    <row r="3716" spans="1:3" x14ac:dyDescent="0.25">
      <c r="A3716">
        <v>154</v>
      </c>
      <c r="B3716">
        <v>165</v>
      </c>
      <c r="C3716">
        <v>5</v>
      </c>
    </row>
    <row r="3717" spans="1:3" x14ac:dyDescent="0.25">
      <c r="A3717">
        <v>159</v>
      </c>
      <c r="B3717">
        <v>165</v>
      </c>
      <c r="C3717">
        <v>2</v>
      </c>
    </row>
    <row r="3718" spans="1:3" x14ac:dyDescent="0.25">
      <c r="A3718">
        <v>170</v>
      </c>
      <c r="B3718">
        <v>165</v>
      </c>
      <c r="C3718">
        <v>2</v>
      </c>
    </row>
    <row r="3719" spans="1:3" x14ac:dyDescent="0.25">
      <c r="A3719">
        <v>199</v>
      </c>
      <c r="B3719">
        <v>165</v>
      </c>
      <c r="C3719">
        <v>3</v>
      </c>
    </row>
    <row r="3720" spans="1:3" x14ac:dyDescent="0.25">
      <c r="A3720">
        <v>200</v>
      </c>
      <c r="B3720">
        <v>165</v>
      </c>
      <c r="C3720">
        <v>2</v>
      </c>
    </row>
    <row r="3721" spans="1:3" x14ac:dyDescent="0.25">
      <c r="A3721">
        <v>217</v>
      </c>
      <c r="B3721">
        <v>165</v>
      </c>
      <c r="C3721">
        <v>1</v>
      </c>
    </row>
    <row r="3722" spans="1:3" x14ac:dyDescent="0.25">
      <c r="A3722">
        <v>235</v>
      </c>
      <c r="B3722">
        <v>165</v>
      </c>
      <c r="C3722">
        <v>4</v>
      </c>
    </row>
    <row r="3723" spans="1:3" x14ac:dyDescent="0.25">
      <c r="A3723">
        <v>237</v>
      </c>
      <c r="B3723">
        <v>165</v>
      </c>
      <c r="C3723">
        <v>1</v>
      </c>
    </row>
    <row r="3724" spans="1:3" x14ac:dyDescent="0.25">
      <c r="A3724">
        <v>240</v>
      </c>
      <c r="B3724">
        <v>165</v>
      </c>
      <c r="C3724">
        <v>4</v>
      </c>
    </row>
    <row r="3725" spans="1:3" x14ac:dyDescent="0.25">
      <c r="A3725">
        <v>241</v>
      </c>
      <c r="B3725">
        <v>165</v>
      </c>
      <c r="C3725">
        <v>3</v>
      </c>
    </row>
    <row r="3726" spans="1:3" x14ac:dyDescent="0.25">
      <c r="A3726">
        <v>242</v>
      </c>
      <c r="B3726">
        <v>165</v>
      </c>
      <c r="C3726">
        <v>5</v>
      </c>
    </row>
    <row r="3727" spans="1:3" x14ac:dyDescent="0.25">
      <c r="A3727">
        <v>248</v>
      </c>
      <c r="B3727">
        <v>165</v>
      </c>
      <c r="C3727">
        <v>1</v>
      </c>
    </row>
    <row r="3728" spans="1:3" x14ac:dyDescent="0.25">
      <c r="A3728">
        <v>250</v>
      </c>
      <c r="B3728">
        <v>165</v>
      </c>
      <c r="C3728">
        <v>1</v>
      </c>
    </row>
    <row r="3729" spans="1:3" x14ac:dyDescent="0.25">
      <c r="A3729">
        <v>280</v>
      </c>
      <c r="B3729">
        <v>165</v>
      </c>
      <c r="C3729">
        <v>5</v>
      </c>
    </row>
    <row r="3730" spans="1:3" x14ac:dyDescent="0.25">
      <c r="A3730">
        <v>2</v>
      </c>
      <c r="B3730">
        <v>166</v>
      </c>
      <c r="C3730">
        <v>2</v>
      </c>
    </row>
    <row r="3731" spans="1:3" x14ac:dyDescent="0.25">
      <c r="A3731">
        <v>5</v>
      </c>
      <c r="B3731">
        <v>166</v>
      </c>
      <c r="C3731">
        <v>3</v>
      </c>
    </row>
    <row r="3732" spans="1:3" x14ac:dyDescent="0.25">
      <c r="A3732">
        <v>6</v>
      </c>
      <c r="B3732">
        <v>166</v>
      </c>
      <c r="C3732">
        <v>5</v>
      </c>
    </row>
    <row r="3733" spans="1:3" x14ac:dyDescent="0.25">
      <c r="A3733">
        <v>32</v>
      </c>
      <c r="B3733">
        <v>166</v>
      </c>
      <c r="C3733">
        <v>2</v>
      </c>
    </row>
    <row r="3734" spans="1:3" x14ac:dyDescent="0.25">
      <c r="A3734">
        <v>66</v>
      </c>
      <c r="B3734">
        <v>166</v>
      </c>
      <c r="C3734">
        <v>4</v>
      </c>
    </row>
    <row r="3735" spans="1:3" x14ac:dyDescent="0.25">
      <c r="A3735">
        <v>86</v>
      </c>
      <c r="B3735">
        <v>166</v>
      </c>
      <c r="C3735">
        <v>1</v>
      </c>
    </row>
    <row r="3736" spans="1:3" x14ac:dyDescent="0.25">
      <c r="A3736">
        <v>87</v>
      </c>
      <c r="B3736">
        <v>166</v>
      </c>
      <c r="C3736">
        <v>4</v>
      </c>
    </row>
    <row r="3737" spans="1:3" x14ac:dyDescent="0.25">
      <c r="A3737">
        <v>103</v>
      </c>
      <c r="B3737">
        <v>166</v>
      </c>
      <c r="C3737">
        <v>4</v>
      </c>
    </row>
    <row r="3738" spans="1:3" x14ac:dyDescent="0.25">
      <c r="A3738">
        <v>114</v>
      </c>
      <c r="B3738">
        <v>166</v>
      </c>
      <c r="C3738">
        <v>5</v>
      </c>
    </row>
    <row r="3739" spans="1:3" x14ac:dyDescent="0.25">
      <c r="A3739">
        <v>150</v>
      </c>
      <c r="B3739">
        <v>166</v>
      </c>
      <c r="C3739">
        <v>2</v>
      </c>
    </row>
    <row r="3740" spans="1:3" x14ac:dyDescent="0.25">
      <c r="A3740">
        <v>159</v>
      </c>
      <c r="B3740">
        <v>166</v>
      </c>
      <c r="C3740">
        <v>1</v>
      </c>
    </row>
    <row r="3741" spans="1:3" x14ac:dyDescent="0.25">
      <c r="A3741">
        <v>171</v>
      </c>
      <c r="B3741">
        <v>166</v>
      </c>
      <c r="C3741">
        <v>2</v>
      </c>
    </row>
    <row r="3742" spans="1:3" x14ac:dyDescent="0.25">
      <c r="A3742">
        <v>172</v>
      </c>
      <c r="B3742">
        <v>166</v>
      </c>
      <c r="C3742">
        <v>5</v>
      </c>
    </row>
    <row r="3743" spans="1:3" x14ac:dyDescent="0.25">
      <c r="A3743">
        <v>178</v>
      </c>
      <c r="B3743">
        <v>166</v>
      </c>
      <c r="C3743">
        <v>1</v>
      </c>
    </row>
    <row r="3744" spans="1:3" x14ac:dyDescent="0.25">
      <c r="A3744">
        <v>190</v>
      </c>
      <c r="B3744">
        <v>166</v>
      </c>
      <c r="C3744">
        <v>4</v>
      </c>
    </row>
    <row r="3745" spans="1:3" x14ac:dyDescent="0.25">
      <c r="A3745">
        <v>200</v>
      </c>
      <c r="B3745">
        <v>166</v>
      </c>
      <c r="C3745">
        <v>5</v>
      </c>
    </row>
    <row r="3746" spans="1:3" x14ac:dyDescent="0.25">
      <c r="A3746">
        <v>225</v>
      </c>
      <c r="B3746">
        <v>166</v>
      </c>
      <c r="C3746">
        <v>3</v>
      </c>
    </row>
    <row r="3747" spans="1:3" x14ac:dyDescent="0.25">
      <c r="A3747">
        <v>239</v>
      </c>
      <c r="B3747">
        <v>166</v>
      </c>
      <c r="C3747">
        <v>3</v>
      </c>
    </row>
    <row r="3748" spans="1:3" x14ac:dyDescent="0.25">
      <c r="A3748">
        <v>246</v>
      </c>
      <c r="B3748">
        <v>166</v>
      </c>
      <c r="C3748">
        <v>5</v>
      </c>
    </row>
    <row r="3749" spans="1:3" x14ac:dyDescent="0.25">
      <c r="A3749">
        <v>275</v>
      </c>
      <c r="B3749">
        <v>166</v>
      </c>
      <c r="C3749">
        <v>1</v>
      </c>
    </row>
    <row r="3750" spans="1:3" x14ac:dyDescent="0.25">
      <c r="A3750">
        <v>284</v>
      </c>
      <c r="B3750">
        <v>166</v>
      </c>
      <c r="C3750">
        <v>2</v>
      </c>
    </row>
    <row r="3751" spans="1:3" x14ac:dyDescent="0.25">
      <c r="A3751">
        <v>2</v>
      </c>
      <c r="B3751">
        <v>167</v>
      </c>
      <c r="C3751">
        <v>2</v>
      </c>
    </row>
    <row r="3752" spans="1:3" x14ac:dyDescent="0.25">
      <c r="A3752">
        <v>14</v>
      </c>
      <c r="B3752">
        <v>167</v>
      </c>
      <c r="C3752">
        <v>3</v>
      </c>
    </row>
    <row r="3753" spans="1:3" x14ac:dyDescent="0.25">
      <c r="A3753">
        <v>14</v>
      </c>
      <c r="B3753">
        <v>167</v>
      </c>
      <c r="C3753">
        <v>4</v>
      </c>
    </row>
    <row r="3754" spans="1:3" x14ac:dyDescent="0.25">
      <c r="A3754">
        <v>16</v>
      </c>
      <c r="B3754">
        <v>167</v>
      </c>
      <c r="C3754">
        <v>3</v>
      </c>
    </row>
    <row r="3755" spans="1:3" x14ac:dyDescent="0.25">
      <c r="A3755">
        <v>26</v>
      </c>
      <c r="B3755">
        <v>167</v>
      </c>
      <c r="C3755">
        <v>5</v>
      </c>
    </row>
    <row r="3756" spans="1:3" x14ac:dyDescent="0.25">
      <c r="A3756">
        <v>37</v>
      </c>
      <c r="B3756">
        <v>167</v>
      </c>
      <c r="C3756">
        <v>5</v>
      </c>
    </row>
    <row r="3757" spans="1:3" x14ac:dyDescent="0.25">
      <c r="A3757">
        <v>39</v>
      </c>
      <c r="B3757">
        <v>167</v>
      </c>
      <c r="C3757">
        <v>3</v>
      </c>
    </row>
    <row r="3758" spans="1:3" x14ac:dyDescent="0.25">
      <c r="A3758">
        <v>43</v>
      </c>
      <c r="B3758">
        <v>167</v>
      </c>
      <c r="C3758">
        <v>4</v>
      </c>
    </row>
    <row r="3759" spans="1:3" x14ac:dyDescent="0.25">
      <c r="A3759">
        <v>61</v>
      </c>
      <c r="B3759">
        <v>167</v>
      </c>
      <c r="C3759">
        <v>5</v>
      </c>
    </row>
    <row r="3760" spans="1:3" x14ac:dyDescent="0.25">
      <c r="A3760">
        <v>68</v>
      </c>
      <c r="B3760">
        <v>167</v>
      </c>
      <c r="C3760">
        <v>1</v>
      </c>
    </row>
    <row r="3761" spans="1:3" x14ac:dyDescent="0.25">
      <c r="A3761">
        <v>70</v>
      </c>
      <c r="B3761">
        <v>167</v>
      </c>
      <c r="C3761">
        <v>2</v>
      </c>
    </row>
    <row r="3762" spans="1:3" x14ac:dyDescent="0.25">
      <c r="A3762">
        <v>77</v>
      </c>
      <c r="B3762">
        <v>167</v>
      </c>
      <c r="C3762">
        <v>5</v>
      </c>
    </row>
    <row r="3763" spans="1:3" x14ac:dyDescent="0.25">
      <c r="A3763">
        <v>77</v>
      </c>
      <c r="B3763">
        <v>167</v>
      </c>
      <c r="C3763">
        <v>5</v>
      </c>
    </row>
    <row r="3764" spans="1:3" x14ac:dyDescent="0.25">
      <c r="A3764">
        <v>79</v>
      </c>
      <c r="B3764">
        <v>167</v>
      </c>
      <c r="C3764">
        <v>5</v>
      </c>
    </row>
    <row r="3765" spans="1:3" x14ac:dyDescent="0.25">
      <c r="A3765">
        <v>87</v>
      </c>
      <c r="B3765">
        <v>167</v>
      </c>
      <c r="C3765">
        <v>4</v>
      </c>
    </row>
    <row r="3766" spans="1:3" x14ac:dyDescent="0.25">
      <c r="A3766">
        <v>93</v>
      </c>
      <c r="B3766">
        <v>167</v>
      </c>
      <c r="C3766">
        <v>3</v>
      </c>
    </row>
    <row r="3767" spans="1:3" x14ac:dyDescent="0.25">
      <c r="A3767">
        <v>106</v>
      </c>
      <c r="B3767">
        <v>167</v>
      </c>
      <c r="C3767">
        <v>3</v>
      </c>
    </row>
    <row r="3768" spans="1:3" x14ac:dyDescent="0.25">
      <c r="A3768">
        <v>114</v>
      </c>
      <c r="B3768">
        <v>167</v>
      </c>
      <c r="C3768">
        <v>3</v>
      </c>
    </row>
    <row r="3769" spans="1:3" x14ac:dyDescent="0.25">
      <c r="A3769">
        <v>117</v>
      </c>
      <c r="B3769">
        <v>167</v>
      </c>
      <c r="C3769">
        <v>1</v>
      </c>
    </row>
    <row r="3770" spans="1:3" x14ac:dyDescent="0.25">
      <c r="A3770">
        <v>118</v>
      </c>
      <c r="B3770">
        <v>167</v>
      </c>
      <c r="C3770">
        <v>5</v>
      </c>
    </row>
    <row r="3771" spans="1:3" x14ac:dyDescent="0.25">
      <c r="A3771">
        <v>144</v>
      </c>
      <c r="B3771">
        <v>167</v>
      </c>
      <c r="C3771">
        <v>5</v>
      </c>
    </row>
    <row r="3772" spans="1:3" x14ac:dyDescent="0.25">
      <c r="A3772">
        <v>146</v>
      </c>
      <c r="B3772">
        <v>167</v>
      </c>
      <c r="C3772">
        <v>2</v>
      </c>
    </row>
    <row r="3773" spans="1:3" x14ac:dyDescent="0.25">
      <c r="A3773">
        <v>162</v>
      </c>
      <c r="B3773">
        <v>167</v>
      </c>
      <c r="C3773">
        <v>3</v>
      </c>
    </row>
    <row r="3774" spans="1:3" x14ac:dyDescent="0.25">
      <c r="A3774">
        <v>184</v>
      </c>
      <c r="B3774">
        <v>167</v>
      </c>
      <c r="C3774">
        <v>3</v>
      </c>
    </row>
    <row r="3775" spans="1:3" x14ac:dyDescent="0.25">
      <c r="A3775">
        <v>188</v>
      </c>
      <c r="B3775">
        <v>167</v>
      </c>
      <c r="C3775">
        <v>4</v>
      </c>
    </row>
    <row r="3776" spans="1:3" x14ac:dyDescent="0.25">
      <c r="A3776">
        <v>200</v>
      </c>
      <c r="B3776">
        <v>167</v>
      </c>
      <c r="C3776">
        <v>4</v>
      </c>
    </row>
    <row r="3777" spans="1:3" x14ac:dyDescent="0.25">
      <c r="A3777">
        <v>230</v>
      </c>
      <c r="B3777">
        <v>167</v>
      </c>
      <c r="C3777">
        <v>4</v>
      </c>
    </row>
    <row r="3778" spans="1:3" x14ac:dyDescent="0.25">
      <c r="A3778">
        <v>236</v>
      </c>
      <c r="B3778">
        <v>167</v>
      </c>
      <c r="C3778">
        <v>1</v>
      </c>
    </row>
    <row r="3779" spans="1:3" x14ac:dyDescent="0.25">
      <c r="A3779">
        <v>236</v>
      </c>
      <c r="B3779">
        <v>167</v>
      </c>
      <c r="C3779">
        <v>4</v>
      </c>
    </row>
    <row r="3780" spans="1:3" x14ac:dyDescent="0.25">
      <c r="A3780">
        <v>242</v>
      </c>
      <c r="B3780">
        <v>167</v>
      </c>
      <c r="C3780">
        <v>5</v>
      </c>
    </row>
    <row r="3781" spans="1:3" x14ac:dyDescent="0.25">
      <c r="A3781">
        <v>249</v>
      </c>
      <c r="B3781">
        <v>167</v>
      </c>
      <c r="C3781">
        <v>1</v>
      </c>
    </row>
    <row r="3782" spans="1:3" x14ac:dyDescent="0.25">
      <c r="A3782">
        <v>278</v>
      </c>
      <c r="B3782">
        <v>167</v>
      </c>
      <c r="C3782">
        <v>2</v>
      </c>
    </row>
    <row r="3783" spans="1:3" x14ac:dyDescent="0.25">
      <c r="A3783">
        <v>292</v>
      </c>
      <c r="B3783">
        <v>167</v>
      </c>
      <c r="C3783">
        <v>3</v>
      </c>
    </row>
    <row r="3784" spans="1:3" x14ac:dyDescent="0.25">
      <c r="A3784">
        <v>292</v>
      </c>
      <c r="B3784">
        <v>167</v>
      </c>
      <c r="C3784">
        <v>1</v>
      </c>
    </row>
    <row r="3785" spans="1:3" x14ac:dyDescent="0.25">
      <c r="A3785">
        <v>10</v>
      </c>
      <c r="B3785">
        <v>168</v>
      </c>
      <c r="C3785">
        <v>5</v>
      </c>
    </row>
    <row r="3786" spans="1:3" x14ac:dyDescent="0.25">
      <c r="A3786">
        <v>19</v>
      </c>
      <c r="B3786">
        <v>168</v>
      </c>
      <c r="C3786">
        <v>3</v>
      </c>
    </row>
    <row r="3787" spans="1:3" x14ac:dyDescent="0.25">
      <c r="A3787">
        <v>28</v>
      </c>
      <c r="B3787">
        <v>168</v>
      </c>
      <c r="C3787">
        <v>4</v>
      </c>
    </row>
    <row r="3788" spans="1:3" x14ac:dyDescent="0.25">
      <c r="A3788">
        <v>29</v>
      </c>
      <c r="B3788">
        <v>168</v>
      </c>
      <c r="C3788">
        <v>3</v>
      </c>
    </row>
    <row r="3789" spans="1:3" x14ac:dyDescent="0.25">
      <c r="A3789">
        <v>50</v>
      </c>
      <c r="B3789">
        <v>168</v>
      </c>
      <c r="C3789">
        <v>2</v>
      </c>
    </row>
    <row r="3790" spans="1:3" x14ac:dyDescent="0.25">
      <c r="A3790">
        <v>71</v>
      </c>
      <c r="B3790">
        <v>168</v>
      </c>
      <c r="C3790">
        <v>1</v>
      </c>
    </row>
    <row r="3791" spans="1:3" x14ac:dyDescent="0.25">
      <c r="A3791">
        <v>102</v>
      </c>
      <c r="B3791">
        <v>168</v>
      </c>
      <c r="C3791">
        <v>2</v>
      </c>
    </row>
    <row r="3792" spans="1:3" x14ac:dyDescent="0.25">
      <c r="A3792">
        <v>102</v>
      </c>
      <c r="B3792">
        <v>168</v>
      </c>
      <c r="C3792">
        <v>1</v>
      </c>
    </row>
    <row r="3793" spans="1:3" x14ac:dyDescent="0.25">
      <c r="A3793">
        <v>103</v>
      </c>
      <c r="B3793">
        <v>168</v>
      </c>
      <c r="C3793">
        <v>5</v>
      </c>
    </row>
    <row r="3794" spans="1:3" x14ac:dyDescent="0.25">
      <c r="A3794">
        <v>137</v>
      </c>
      <c r="B3794">
        <v>168</v>
      </c>
      <c r="C3794">
        <v>3</v>
      </c>
    </row>
    <row r="3795" spans="1:3" x14ac:dyDescent="0.25">
      <c r="A3795">
        <v>139</v>
      </c>
      <c r="B3795">
        <v>168</v>
      </c>
      <c r="C3795">
        <v>4</v>
      </c>
    </row>
    <row r="3796" spans="1:3" x14ac:dyDescent="0.25">
      <c r="A3796">
        <v>158</v>
      </c>
      <c r="B3796">
        <v>168</v>
      </c>
      <c r="C3796">
        <v>1</v>
      </c>
    </row>
    <row r="3797" spans="1:3" x14ac:dyDescent="0.25">
      <c r="A3797">
        <v>165</v>
      </c>
      <c r="B3797">
        <v>168</v>
      </c>
      <c r="C3797">
        <v>2</v>
      </c>
    </row>
    <row r="3798" spans="1:3" x14ac:dyDescent="0.25">
      <c r="A3798">
        <v>166</v>
      </c>
      <c r="B3798">
        <v>168</v>
      </c>
      <c r="C3798">
        <v>5</v>
      </c>
    </row>
    <row r="3799" spans="1:3" x14ac:dyDescent="0.25">
      <c r="A3799">
        <v>166</v>
      </c>
      <c r="B3799">
        <v>168</v>
      </c>
      <c r="C3799">
        <v>4</v>
      </c>
    </row>
    <row r="3800" spans="1:3" x14ac:dyDescent="0.25">
      <c r="A3800">
        <v>178</v>
      </c>
      <c r="B3800">
        <v>168</v>
      </c>
      <c r="C3800">
        <v>4</v>
      </c>
    </row>
    <row r="3801" spans="1:3" x14ac:dyDescent="0.25">
      <c r="A3801">
        <v>208</v>
      </c>
      <c r="B3801">
        <v>168</v>
      </c>
      <c r="C3801">
        <v>1</v>
      </c>
    </row>
    <row r="3802" spans="1:3" x14ac:dyDescent="0.25">
      <c r="A3802">
        <v>225</v>
      </c>
      <c r="B3802">
        <v>168</v>
      </c>
      <c r="C3802">
        <v>3</v>
      </c>
    </row>
    <row r="3803" spans="1:3" x14ac:dyDescent="0.25">
      <c r="A3803">
        <v>245</v>
      </c>
      <c r="B3803">
        <v>168</v>
      </c>
      <c r="C3803">
        <v>3</v>
      </c>
    </row>
    <row r="3804" spans="1:3" x14ac:dyDescent="0.25">
      <c r="A3804">
        <v>247</v>
      </c>
      <c r="B3804">
        <v>168</v>
      </c>
      <c r="C3804">
        <v>4</v>
      </c>
    </row>
    <row r="3805" spans="1:3" x14ac:dyDescent="0.25">
      <c r="A3805">
        <v>252</v>
      </c>
      <c r="B3805">
        <v>168</v>
      </c>
      <c r="C3805">
        <v>2</v>
      </c>
    </row>
    <row r="3806" spans="1:3" x14ac:dyDescent="0.25">
      <c r="A3806">
        <v>270</v>
      </c>
      <c r="B3806">
        <v>168</v>
      </c>
      <c r="C3806">
        <v>2</v>
      </c>
    </row>
    <row r="3807" spans="1:3" x14ac:dyDescent="0.25">
      <c r="A3807">
        <v>22</v>
      </c>
      <c r="B3807">
        <v>169</v>
      </c>
      <c r="C3807">
        <v>3</v>
      </c>
    </row>
    <row r="3808" spans="1:3" x14ac:dyDescent="0.25">
      <c r="A3808">
        <v>46</v>
      </c>
      <c r="B3808">
        <v>169</v>
      </c>
      <c r="C3808">
        <v>5</v>
      </c>
    </row>
    <row r="3809" spans="1:3" x14ac:dyDescent="0.25">
      <c r="A3809">
        <v>64</v>
      </c>
      <c r="B3809">
        <v>169</v>
      </c>
      <c r="C3809">
        <v>1</v>
      </c>
    </row>
    <row r="3810" spans="1:3" x14ac:dyDescent="0.25">
      <c r="A3810">
        <v>65</v>
      </c>
      <c r="B3810">
        <v>169</v>
      </c>
      <c r="C3810">
        <v>1</v>
      </c>
    </row>
    <row r="3811" spans="1:3" x14ac:dyDescent="0.25">
      <c r="A3811">
        <v>76</v>
      </c>
      <c r="B3811">
        <v>169</v>
      </c>
      <c r="C3811">
        <v>3</v>
      </c>
    </row>
    <row r="3812" spans="1:3" x14ac:dyDescent="0.25">
      <c r="A3812">
        <v>78</v>
      </c>
      <c r="B3812">
        <v>169</v>
      </c>
      <c r="C3812">
        <v>4</v>
      </c>
    </row>
    <row r="3813" spans="1:3" x14ac:dyDescent="0.25">
      <c r="A3813">
        <v>83</v>
      </c>
      <c r="B3813">
        <v>169</v>
      </c>
      <c r="C3813">
        <v>3</v>
      </c>
    </row>
    <row r="3814" spans="1:3" x14ac:dyDescent="0.25">
      <c r="A3814">
        <v>84</v>
      </c>
      <c r="B3814">
        <v>169</v>
      </c>
      <c r="C3814">
        <v>1</v>
      </c>
    </row>
    <row r="3815" spans="1:3" x14ac:dyDescent="0.25">
      <c r="A3815">
        <v>87</v>
      </c>
      <c r="B3815">
        <v>169</v>
      </c>
      <c r="C3815">
        <v>1</v>
      </c>
    </row>
    <row r="3816" spans="1:3" x14ac:dyDescent="0.25">
      <c r="A3816">
        <v>91</v>
      </c>
      <c r="B3816">
        <v>169</v>
      </c>
      <c r="C3816">
        <v>2</v>
      </c>
    </row>
    <row r="3817" spans="1:3" x14ac:dyDescent="0.25">
      <c r="A3817">
        <v>92</v>
      </c>
      <c r="B3817">
        <v>169</v>
      </c>
      <c r="C3817">
        <v>5</v>
      </c>
    </row>
    <row r="3818" spans="1:3" x14ac:dyDescent="0.25">
      <c r="A3818">
        <v>103</v>
      </c>
      <c r="B3818">
        <v>169</v>
      </c>
      <c r="C3818">
        <v>5</v>
      </c>
    </row>
    <row r="3819" spans="1:3" x14ac:dyDescent="0.25">
      <c r="A3819">
        <v>120</v>
      </c>
      <c r="B3819">
        <v>169</v>
      </c>
      <c r="C3819">
        <v>5</v>
      </c>
    </row>
    <row r="3820" spans="1:3" x14ac:dyDescent="0.25">
      <c r="A3820">
        <v>126</v>
      </c>
      <c r="B3820">
        <v>169</v>
      </c>
      <c r="C3820">
        <v>5</v>
      </c>
    </row>
    <row r="3821" spans="1:3" x14ac:dyDescent="0.25">
      <c r="A3821">
        <v>127</v>
      </c>
      <c r="B3821">
        <v>169</v>
      </c>
      <c r="C3821">
        <v>1</v>
      </c>
    </row>
    <row r="3822" spans="1:3" x14ac:dyDescent="0.25">
      <c r="A3822">
        <v>129</v>
      </c>
      <c r="B3822">
        <v>169</v>
      </c>
      <c r="C3822">
        <v>4</v>
      </c>
    </row>
    <row r="3823" spans="1:3" x14ac:dyDescent="0.25">
      <c r="A3823">
        <v>131</v>
      </c>
      <c r="B3823">
        <v>169</v>
      </c>
      <c r="C3823">
        <v>2</v>
      </c>
    </row>
    <row r="3824" spans="1:3" x14ac:dyDescent="0.25">
      <c r="A3824">
        <v>134</v>
      </c>
      <c r="B3824">
        <v>169</v>
      </c>
      <c r="C3824">
        <v>2</v>
      </c>
    </row>
    <row r="3825" spans="1:3" x14ac:dyDescent="0.25">
      <c r="A3825">
        <v>142</v>
      </c>
      <c r="B3825">
        <v>169</v>
      </c>
      <c r="C3825">
        <v>1</v>
      </c>
    </row>
    <row r="3826" spans="1:3" x14ac:dyDescent="0.25">
      <c r="A3826">
        <v>146</v>
      </c>
      <c r="B3826">
        <v>169</v>
      </c>
      <c r="C3826">
        <v>4</v>
      </c>
    </row>
    <row r="3827" spans="1:3" x14ac:dyDescent="0.25">
      <c r="A3827">
        <v>162</v>
      </c>
      <c r="B3827">
        <v>169</v>
      </c>
      <c r="C3827">
        <v>3</v>
      </c>
    </row>
    <row r="3828" spans="1:3" x14ac:dyDescent="0.25">
      <c r="A3828">
        <v>164</v>
      </c>
      <c r="B3828">
        <v>169</v>
      </c>
      <c r="C3828">
        <v>2</v>
      </c>
    </row>
    <row r="3829" spans="1:3" x14ac:dyDescent="0.25">
      <c r="A3829">
        <v>213</v>
      </c>
      <c r="B3829">
        <v>169</v>
      </c>
      <c r="C3829">
        <v>4</v>
      </c>
    </row>
    <row r="3830" spans="1:3" x14ac:dyDescent="0.25">
      <c r="A3830">
        <v>222</v>
      </c>
      <c r="B3830">
        <v>169</v>
      </c>
      <c r="C3830">
        <v>5</v>
      </c>
    </row>
    <row r="3831" spans="1:3" x14ac:dyDescent="0.25">
      <c r="A3831">
        <v>224</v>
      </c>
      <c r="B3831">
        <v>169</v>
      </c>
      <c r="C3831">
        <v>5</v>
      </c>
    </row>
    <row r="3832" spans="1:3" x14ac:dyDescent="0.25">
      <c r="A3832">
        <v>242</v>
      </c>
      <c r="B3832">
        <v>169</v>
      </c>
      <c r="C3832">
        <v>4</v>
      </c>
    </row>
    <row r="3833" spans="1:3" x14ac:dyDescent="0.25">
      <c r="A3833">
        <v>252</v>
      </c>
      <c r="B3833">
        <v>169</v>
      </c>
      <c r="C3833">
        <v>3</v>
      </c>
    </row>
    <row r="3834" spans="1:3" x14ac:dyDescent="0.25">
      <c r="A3834">
        <v>254</v>
      </c>
      <c r="B3834">
        <v>169</v>
      </c>
      <c r="C3834">
        <v>4</v>
      </c>
    </row>
    <row r="3835" spans="1:3" x14ac:dyDescent="0.25">
      <c r="A3835">
        <v>279</v>
      </c>
      <c r="B3835">
        <v>169</v>
      </c>
      <c r="C3835">
        <v>3</v>
      </c>
    </row>
    <row r="3836" spans="1:3" x14ac:dyDescent="0.25">
      <c r="A3836">
        <v>286</v>
      </c>
      <c r="B3836">
        <v>169</v>
      </c>
      <c r="C3836">
        <v>2</v>
      </c>
    </row>
    <row r="3837" spans="1:3" x14ac:dyDescent="0.25">
      <c r="A3837">
        <v>15</v>
      </c>
      <c r="B3837">
        <v>170</v>
      </c>
      <c r="C3837">
        <v>3</v>
      </c>
    </row>
    <row r="3838" spans="1:3" x14ac:dyDescent="0.25">
      <c r="A3838">
        <v>19</v>
      </c>
      <c r="B3838">
        <v>170</v>
      </c>
      <c r="C3838">
        <v>5</v>
      </c>
    </row>
    <row r="3839" spans="1:3" x14ac:dyDescent="0.25">
      <c r="A3839">
        <v>50</v>
      </c>
      <c r="B3839">
        <v>170</v>
      </c>
      <c r="C3839">
        <v>2</v>
      </c>
    </row>
    <row r="3840" spans="1:3" x14ac:dyDescent="0.25">
      <c r="A3840">
        <v>56</v>
      </c>
      <c r="B3840">
        <v>170</v>
      </c>
      <c r="C3840">
        <v>5</v>
      </c>
    </row>
    <row r="3841" spans="1:3" x14ac:dyDescent="0.25">
      <c r="A3841">
        <v>62</v>
      </c>
      <c r="B3841">
        <v>170</v>
      </c>
      <c r="C3841">
        <v>2</v>
      </c>
    </row>
    <row r="3842" spans="1:3" x14ac:dyDescent="0.25">
      <c r="A3842">
        <v>76</v>
      </c>
      <c r="B3842">
        <v>170</v>
      </c>
      <c r="C3842">
        <v>4</v>
      </c>
    </row>
    <row r="3843" spans="1:3" x14ac:dyDescent="0.25">
      <c r="A3843">
        <v>125</v>
      </c>
      <c r="B3843">
        <v>170</v>
      </c>
      <c r="C3843">
        <v>5</v>
      </c>
    </row>
    <row r="3844" spans="1:3" x14ac:dyDescent="0.25">
      <c r="A3844">
        <v>137</v>
      </c>
      <c r="B3844">
        <v>170</v>
      </c>
      <c r="C3844">
        <v>1</v>
      </c>
    </row>
    <row r="3845" spans="1:3" x14ac:dyDescent="0.25">
      <c r="A3845">
        <v>157</v>
      </c>
      <c r="B3845">
        <v>170</v>
      </c>
      <c r="C3845">
        <v>3</v>
      </c>
    </row>
    <row r="3846" spans="1:3" x14ac:dyDescent="0.25">
      <c r="A3846">
        <v>175</v>
      </c>
      <c r="B3846">
        <v>170</v>
      </c>
      <c r="C3846">
        <v>4</v>
      </c>
    </row>
    <row r="3847" spans="1:3" x14ac:dyDescent="0.25">
      <c r="A3847">
        <v>176</v>
      </c>
      <c r="B3847">
        <v>170</v>
      </c>
      <c r="C3847">
        <v>5</v>
      </c>
    </row>
    <row r="3848" spans="1:3" x14ac:dyDescent="0.25">
      <c r="A3848">
        <v>190</v>
      </c>
      <c r="B3848">
        <v>170</v>
      </c>
      <c r="C3848">
        <v>1</v>
      </c>
    </row>
    <row r="3849" spans="1:3" x14ac:dyDescent="0.25">
      <c r="A3849">
        <v>199</v>
      </c>
      <c r="B3849">
        <v>170</v>
      </c>
      <c r="C3849">
        <v>2</v>
      </c>
    </row>
    <row r="3850" spans="1:3" x14ac:dyDescent="0.25">
      <c r="A3850">
        <v>200</v>
      </c>
      <c r="B3850">
        <v>170</v>
      </c>
      <c r="C3850">
        <v>2</v>
      </c>
    </row>
    <row r="3851" spans="1:3" x14ac:dyDescent="0.25">
      <c r="A3851">
        <v>204</v>
      </c>
      <c r="B3851">
        <v>170</v>
      </c>
      <c r="C3851">
        <v>3</v>
      </c>
    </row>
    <row r="3852" spans="1:3" x14ac:dyDescent="0.25">
      <c r="A3852">
        <v>209</v>
      </c>
      <c r="B3852">
        <v>170</v>
      </c>
      <c r="C3852">
        <v>4</v>
      </c>
    </row>
    <row r="3853" spans="1:3" x14ac:dyDescent="0.25">
      <c r="A3853">
        <v>240</v>
      </c>
      <c r="B3853">
        <v>170</v>
      </c>
      <c r="C3853">
        <v>2</v>
      </c>
    </row>
    <row r="3854" spans="1:3" x14ac:dyDescent="0.25">
      <c r="A3854">
        <v>244</v>
      </c>
      <c r="B3854">
        <v>170</v>
      </c>
      <c r="C3854">
        <v>2</v>
      </c>
    </row>
    <row r="3855" spans="1:3" x14ac:dyDescent="0.25">
      <c r="A3855">
        <v>297</v>
      </c>
      <c r="B3855">
        <v>170</v>
      </c>
      <c r="C3855">
        <v>4</v>
      </c>
    </row>
    <row r="3856" spans="1:3" x14ac:dyDescent="0.25">
      <c r="A3856">
        <v>14</v>
      </c>
      <c r="B3856">
        <v>171</v>
      </c>
      <c r="C3856">
        <v>3</v>
      </c>
    </row>
    <row r="3857" spans="1:3" x14ac:dyDescent="0.25">
      <c r="A3857">
        <v>59</v>
      </c>
      <c r="B3857">
        <v>171</v>
      </c>
      <c r="C3857">
        <v>1</v>
      </c>
    </row>
    <row r="3858" spans="1:3" x14ac:dyDescent="0.25">
      <c r="A3858">
        <v>84</v>
      </c>
      <c r="B3858">
        <v>171</v>
      </c>
      <c r="C3858">
        <v>4</v>
      </c>
    </row>
    <row r="3859" spans="1:3" x14ac:dyDescent="0.25">
      <c r="A3859">
        <v>92</v>
      </c>
      <c r="B3859">
        <v>171</v>
      </c>
      <c r="C3859">
        <v>5</v>
      </c>
    </row>
    <row r="3860" spans="1:3" x14ac:dyDescent="0.25">
      <c r="A3860">
        <v>92</v>
      </c>
      <c r="B3860">
        <v>171</v>
      </c>
      <c r="C3860">
        <v>1</v>
      </c>
    </row>
    <row r="3861" spans="1:3" x14ac:dyDescent="0.25">
      <c r="A3861">
        <v>113</v>
      </c>
      <c r="B3861">
        <v>171</v>
      </c>
      <c r="C3861">
        <v>5</v>
      </c>
    </row>
    <row r="3862" spans="1:3" x14ac:dyDescent="0.25">
      <c r="A3862">
        <v>113</v>
      </c>
      <c r="B3862">
        <v>171</v>
      </c>
      <c r="C3862">
        <v>4</v>
      </c>
    </row>
    <row r="3863" spans="1:3" x14ac:dyDescent="0.25">
      <c r="A3863">
        <v>116</v>
      </c>
      <c r="B3863">
        <v>171</v>
      </c>
      <c r="C3863">
        <v>5</v>
      </c>
    </row>
    <row r="3864" spans="1:3" x14ac:dyDescent="0.25">
      <c r="A3864">
        <v>124</v>
      </c>
      <c r="B3864">
        <v>171</v>
      </c>
      <c r="C3864">
        <v>2</v>
      </c>
    </row>
    <row r="3865" spans="1:3" x14ac:dyDescent="0.25">
      <c r="A3865">
        <v>125</v>
      </c>
      <c r="B3865">
        <v>171</v>
      </c>
      <c r="C3865">
        <v>5</v>
      </c>
    </row>
    <row r="3866" spans="1:3" x14ac:dyDescent="0.25">
      <c r="A3866">
        <v>139</v>
      </c>
      <c r="B3866">
        <v>171</v>
      </c>
      <c r="C3866">
        <v>4</v>
      </c>
    </row>
    <row r="3867" spans="1:3" x14ac:dyDescent="0.25">
      <c r="A3867">
        <v>147</v>
      </c>
      <c r="B3867">
        <v>171</v>
      </c>
      <c r="C3867">
        <v>4</v>
      </c>
    </row>
    <row r="3868" spans="1:3" x14ac:dyDescent="0.25">
      <c r="A3868">
        <v>149</v>
      </c>
      <c r="B3868">
        <v>171</v>
      </c>
      <c r="C3868">
        <v>2</v>
      </c>
    </row>
    <row r="3869" spans="1:3" x14ac:dyDescent="0.25">
      <c r="A3869">
        <v>184</v>
      </c>
      <c r="B3869">
        <v>171</v>
      </c>
      <c r="C3869">
        <v>3</v>
      </c>
    </row>
    <row r="3870" spans="1:3" x14ac:dyDescent="0.25">
      <c r="A3870">
        <v>202</v>
      </c>
      <c r="B3870">
        <v>171</v>
      </c>
      <c r="C3870">
        <v>4</v>
      </c>
    </row>
    <row r="3871" spans="1:3" x14ac:dyDescent="0.25">
      <c r="A3871">
        <v>206</v>
      </c>
      <c r="B3871">
        <v>171</v>
      </c>
      <c r="C3871">
        <v>3</v>
      </c>
    </row>
    <row r="3872" spans="1:3" x14ac:dyDescent="0.25">
      <c r="A3872">
        <v>219</v>
      </c>
      <c r="B3872">
        <v>171</v>
      </c>
      <c r="C3872">
        <v>3</v>
      </c>
    </row>
    <row r="3873" spans="1:3" x14ac:dyDescent="0.25">
      <c r="A3873">
        <v>220</v>
      </c>
      <c r="B3873">
        <v>171</v>
      </c>
      <c r="C3873">
        <v>5</v>
      </c>
    </row>
    <row r="3874" spans="1:3" x14ac:dyDescent="0.25">
      <c r="A3874">
        <v>230</v>
      </c>
      <c r="B3874">
        <v>171</v>
      </c>
      <c r="C3874">
        <v>1</v>
      </c>
    </row>
    <row r="3875" spans="1:3" x14ac:dyDescent="0.25">
      <c r="A3875">
        <v>235</v>
      </c>
      <c r="B3875">
        <v>171</v>
      </c>
      <c r="C3875">
        <v>2</v>
      </c>
    </row>
    <row r="3876" spans="1:3" x14ac:dyDescent="0.25">
      <c r="A3876">
        <v>283</v>
      </c>
      <c r="B3876">
        <v>171</v>
      </c>
      <c r="C3876">
        <v>1</v>
      </c>
    </row>
    <row r="3877" spans="1:3" x14ac:dyDescent="0.25">
      <c r="A3877">
        <v>288</v>
      </c>
      <c r="B3877">
        <v>171</v>
      </c>
      <c r="C3877">
        <v>5</v>
      </c>
    </row>
    <row r="3878" spans="1:3" x14ac:dyDescent="0.25">
      <c r="A3878">
        <v>298</v>
      </c>
      <c r="B3878">
        <v>171</v>
      </c>
      <c r="C3878">
        <v>4</v>
      </c>
    </row>
    <row r="3879" spans="1:3" x14ac:dyDescent="0.25">
      <c r="A3879">
        <v>25</v>
      </c>
      <c r="B3879">
        <v>172</v>
      </c>
      <c r="C3879">
        <v>4</v>
      </c>
    </row>
    <row r="3880" spans="1:3" x14ac:dyDescent="0.25">
      <c r="A3880">
        <v>30</v>
      </c>
      <c r="B3880">
        <v>172</v>
      </c>
      <c r="C3880">
        <v>2</v>
      </c>
    </row>
    <row r="3881" spans="1:3" x14ac:dyDescent="0.25">
      <c r="A3881">
        <v>36</v>
      </c>
      <c r="B3881">
        <v>172</v>
      </c>
      <c r="C3881">
        <v>5</v>
      </c>
    </row>
    <row r="3882" spans="1:3" x14ac:dyDescent="0.25">
      <c r="A3882">
        <v>70</v>
      </c>
      <c r="B3882">
        <v>172</v>
      </c>
      <c r="C3882">
        <v>4</v>
      </c>
    </row>
    <row r="3883" spans="1:3" x14ac:dyDescent="0.25">
      <c r="A3883">
        <v>96</v>
      </c>
      <c r="B3883">
        <v>172</v>
      </c>
      <c r="C3883">
        <v>2</v>
      </c>
    </row>
    <row r="3884" spans="1:3" x14ac:dyDescent="0.25">
      <c r="A3884">
        <v>115</v>
      </c>
      <c r="B3884">
        <v>172</v>
      </c>
      <c r="C3884">
        <v>3</v>
      </c>
    </row>
    <row r="3885" spans="1:3" x14ac:dyDescent="0.25">
      <c r="A3885">
        <v>116</v>
      </c>
      <c r="B3885">
        <v>172</v>
      </c>
      <c r="C3885">
        <v>3</v>
      </c>
    </row>
    <row r="3886" spans="1:3" x14ac:dyDescent="0.25">
      <c r="A3886">
        <v>132</v>
      </c>
      <c r="B3886">
        <v>172</v>
      </c>
      <c r="C3886">
        <v>5</v>
      </c>
    </row>
    <row r="3887" spans="1:3" x14ac:dyDescent="0.25">
      <c r="A3887">
        <v>139</v>
      </c>
      <c r="B3887">
        <v>172</v>
      </c>
      <c r="C3887">
        <v>2</v>
      </c>
    </row>
    <row r="3888" spans="1:3" x14ac:dyDescent="0.25">
      <c r="A3888">
        <v>159</v>
      </c>
      <c r="B3888">
        <v>172</v>
      </c>
      <c r="C3888">
        <v>5</v>
      </c>
    </row>
    <row r="3889" spans="1:3" x14ac:dyDescent="0.25">
      <c r="A3889">
        <v>160</v>
      </c>
      <c r="B3889">
        <v>172</v>
      </c>
      <c r="C3889">
        <v>2</v>
      </c>
    </row>
    <row r="3890" spans="1:3" x14ac:dyDescent="0.25">
      <c r="A3890">
        <v>174</v>
      </c>
      <c r="B3890">
        <v>172</v>
      </c>
      <c r="C3890">
        <v>5</v>
      </c>
    </row>
    <row r="3891" spans="1:3" x14ac:dyDescent="0.25">
      <c r="A3891">
        <v>224</v>
      </c>
      <c r="B3891">
        <v>172</v>
      </c>
      <c r="C3891">
        <v>2</v>
      </c>
    </row>
    <row r="3892" spans="1:3" x14ac:dyDescent="0.25">
      <c r="A3892">
        <v>253</v>
      </c>
      <c r="B3892">
        <v>172</v>
      </c>
      <c r="C3892">
        <v>4</v>
      </c>
    </row>
    <row r="3893" spans="1:3" x14ac:dyDescent="0.25">
      <c r="A3893">
        <v>276</v>
      </c>
      <c r="B3893">
        <v>172</v>
      </c>
      <c r="C3893">
        <v>1</v>
      </c>
    </row>
    <row r="3894" spans="1:3" x14ac:dyDescent="0.25">
      <c r="A3894">
        <v>287</v>
      </c>
      <c r="B3894">
        <v>172</v>
      </c>
      <c r="C3894">
        <v>4</v>
      </c>
    </row>
    <row r="3895" spans="1:3" x14ac:dyDescent="0.25">
      <c r="A3895">
        <v>8</v>
      </c>
      <c r="B3895">
        <v>173</v>
      </c>
      <c r="C3895">
        <v>3</v>
      </c>
    </row>
    <row r="3896" spans="1:3" x14ac:dyDescent="0.25">
      <c r="A3896">
        <v>14</v>
      </c>
      <c r="B3896">
        <v>173</v>
      </c>
      <c r="C3896">
        <v>5</v>
      </c>
    </row>
    <row r="3897" spans="1:3" x14ac:dyDescent="0.25">
      <c r="A3897">
        <v>17</v>
      </c>
      <c r="B3897">
        <v>173</v>
      </c>
      <c r="C3897">
        <v>5</v>
      </c>
    </row>
    <row r="3898" spans="1:3" x14ac:dyDescent="0.25">
      <c r="A3898">
        <v>26</v>
      </c>
      <c r="B3898">
        <v>173</v>
      </c>
      <c r="C3898">
        <v>4</v>
      </c>
    </row>
    <row r="3899" spans="1:3" x14ac:dyDescent="0.25">
      <c r="A3899">
        <v>38</v>
      </c>
      <c r="B3899">
        <v>173</v>
      </c>
      <c r="C3899">
        <v>2</v>
      </c>
    </row>
    <row r="3900" spans="1:3" x14ac:dyDescent="0.25">
      <c r="A3900">
        <v>53</v>
      </c>
      <c r="B3900">
        <v>173</v>
      </c>
      <c r="C3900">
        <v>2</v>
      </c>
    </row>
    <row r="3901" spans="1:3" x14ac:dyDescent="0.25">
      <c r="A3901">
        <v>72</v>
      </c>
      <c r="B3901">
        <v>173</v>
      </c>
      <c r="C3901">
        <v>4</v>
      </c>
    </row>
    <row r="3902" spans="1:3" x14ac:dyDescent="0.25">
      <c r="A3902">
        <v>75</v>
      </c>
      <c r="B3902">
        <v>173</v>
      </c>
      <c r="C3902">
        <v>4</v>
      </c>
    </row>
    <row r="3903" spans="1:3" x14ac:dyDescent="0.25">
      <c r="A3903">
        <v>80</v>
      </c>
      <c r="B3903">
        <v>173</v>
      </c>
      <c r="C3903">
        <v>4</v>
      </c>
    </row>
    <row r="3904" spans="1:3" x14ac:dyDescent="0.25">
      <c r="A3904">
        <v>80</v>
      </c>
      <c r="B3904">
        <v>173</v>
      </c>
      <c r="C3904">
        <v>1</v>
      </c>
    </row>
    <row r="3905" spans="1:3" x14ac:dyDescent="0.25">
      <c r="A3905">
        <v>81</v>
      </c>
      <c r="B3905">
        <v>173</v>
      </c>
      <c r="C3905">
        <v>2</v>
      </c>
    </row>
    <row r="3906" spans="1:3" x14ac:dyDescent="0.25">
      <c r="A3906">
        <v>83</v>
      </c>
      <c r="B3906">
        <v>173</v>
      </c>
      <c r="C3906">
        <v>4</v>
      </c>
    </row>
    <row r="3907" spans="1:3" x14ac:dyDescent="0.25">
      <c r="A3907">
        <v>99</v>
      </c>
      <c r="B3907">
        <v>173</v>
      </c>
      <c r="C3907">
        <v>2</v>
      </c>
    </row>
    <row r="3908" spans="1:3" x14ac:dyDescent="0.25">
      <c r="A3908">
        <v>114</v>
      </c>
      <c r="B3908">
        <v>173</v>
      </c>
      <c r="C3908">
        <v>1</v>
      </c>
    </row>
    <row r="3909" spans="1:3" x14ac:dyDescent="0.25">
      <c r="A3909">
        <v>116</v>
      </c>
      <c r="B3909">
        <v>173</v>
      </c>
      <c r="C3909">
        <v>2</v>
      </c>
    </row>
    <row r="3910" spans="1:3" x14ac:dyDescent="0.25">
      <c r="A3910">
        <v>127</v>
      </c>
      <c r="B3910">
        <v>173</v>
      </c>
      <c r="C3910">
        <v>2</v>
      </c>
    </row>
    <row r="3911" spans="1:3" x14ac:dyDescent="0.25">
      <c r="A3911">
        <v>177</v>
      </c>
      <c r="B3911">
        <v>173</v>
      </c>
      <c r="C3911">
        <v>1</v>
      </c>
    </row>
    <row r="3912" spans="1:3" x14ac:dyDescent="0.25">
      <c r="A3912">
        <v>184</v>
      </c>
      <c r="B3912">
        <v>173</v>
      </c>
      <c r="C3912">
        <v>3</v>
      </c>
    </row>
    <row r="3913" spans="1:3" x14ac:dyDescent="0.25">
      <c r="A3913">
        <v>185</v>
      </c>
      <c r="B3913">
        <v>173</v>
      </c>
      <c r="C3913">
        <v>3</v>
      </c>
    </row>
    <row r="3914" spans="1:3" x14ac:dyDescent="0.25">
      <c r="A3914">
        <v>189</v>
      </c>
      <c r="B3914">
        <v>173</v>
      </c>
      <c r="C3914">
        <v>1</v>
      </c>
    </row>
    <row r="3915" spans="1:3" x14ac:dyDescent="0.25">
      <c r="A3915">
        <v>189</v>
      </c>
      <c r="B3915">
        <v>173</v>
      </c>
      <c r="C3915">
        <v>3</v>
      </c>
    </row>
    <row r="3916" spans="1:3" x14ac:dyDescent="0.25">
      <c r="A3916">
        <v>193</v>
      </c>
      <c r="B3916">
        <v>173</v>
      </c>
      <c r="C3916">
        <v>5</v>
      </c>
    </row>
    <row r="3917" spans="1:3" x14ac:dyDescent="0.25">
      <c r="A3917">
        <v>218</v>
      </c>
      <c r="B3917">
        <v>173</v>
      </c>
      <c r="C3917">
        <v>2</v>
      </c>
    </row>
    <row r="3918" spans="1:3" x14ac:dyDescent="0.25">
      <c r="A3918">
        <v>230</v>
      </c>
      <c r="B3918">
        <v>173</v>
      </c>
      <c r="C3918">
        <v>5</v>
      </c>
    </row>
    <row r="3919" spans="1:3" x14ac:dyDescent="0.25">
      <c r="A3919">
        <v>240</v>
      </c>
      <c r="B3919">
        <v>173</v>
      </c>
      <c r="C3919">
        <v>1</v>
      </c>
    </row>
    <row r="3920" spans="1:3" x14ac:dyDescent="0.25">
      <c r="A3920">
        <v>245</v>
      </c>
      <c r="B3920">
        <v>173</v>
      </c>
      <c r="C3920">
        <v>1</v>
      </c>
    </row>
    <row r="3921" spans="1:3" x14ac:dyDescent="0.25">
      <c r="A3921">
        <v>253</v>
      </c>
      <c r="B3921">
        <v>173</v>
      </c>
      <c r="C3921">
        <v>4</v>
      </c>
    </row>
    <row r="3922" spans="1:3" x14ac:dyDescent="0.25">
      <c r="A3922">
        <v>256</v>
      </c>
      <c r="B3922">
        <v>173</v>
      </c>
      <c r="C3922">
        <v>2</v>
      </c>
    </row>
    <row r="3923" spans="1:3" x14ac:dyDescent="0.25">
      <c r="A3923">
        <v>274</v>
      </c>
      <c r="B3923">
        <v>173</v>
      </c>
      <c r="C3923">
        <v>2</v>
      </c>
    </row>
    <row r="3924" spans="1:3" x14ac:dyDescent="0.25">
      <c r="A3924">
        <v>288</v>
      </c>
      <c r="B3924">
        <v>173</v>
      </c>
      <c r="C3924">
        <v>5</v>
      </c>
    </row>
    <row r="3925" spans="1:3" x14ac:dyDescent="0.25">
      <c r="A3925">
        <v>27</v>
      </c>
      <c r="B3925">
        <v>174</v>
      </c>
      <c r="C3925">
        <v>2</v>
      </c>
    </row>
    <row r="3926" spans="1:3" x14ac:dyDescent="0.25">
      <c r="A3926">
        <v>29</v>
      </c>
      <c r="B3926">
        <v>174</v>
      </c>
      <c r="C3926">
        <v>3</v>
      </c>
    </row>
    <row r="3927" spans="1:3" x14ac:dyDescent="0.25">
      <c r="A3927">
        <v>34</v>
      </c>
      <c r="B3927">
        <v>174</v>
      </c>
      <c r="C3927">
        <v>2</v>
      </c>
    </row>
    <row r="3928" spans="1:3" x14ac:dyDescent="0.25">
      <c r="A3928">
        <v>40</v>
      </c>
      <c r="B3928">
        <v>174</v>
      </c>
      <c r="C3928">
        <v>4</v>
      </c>
    </row>
    <row r="3929" spans="1:3" x14ac:dyDescent="0.25">
      <c r="A3929">
        <v>46</v>
      </c>
      <c r="B3929">
        <v>174</v>
      </c>
      <c r="C3929">
        <v>5</v>
      </c>
    </row>
    <row r="3930" spans="1:3" x14ac:dyDescent="0.25">
      <c r="A3930">
        <v>46</v>
      </c>
      <c r="B3930">
        <v>174</v>
      </c>
      <c r="C3930">
        <v>3</v>
      </c>
    </row>
    <row r="3931" spans="1:3" x14ac:dyDescent="0.25">
      <c r="A3931">
        <v>53</v>
      </c>
      <c r="B3931">
        <v>174</v>
      </c>
      <c r="C3931">
        <v>2</v>
      </c>
    </row>
    <row r="3932" spans="1:3" x14ac:dyDescent="0.25">
      <c r="A3932">
        <v>86</v>
      </c>
      <c r="B3932">
        <v>174</v>
      </c>
      <c r="C3932">
        <v>4</v>
      </c>
    </row>
    <row r="3933" spans="1:3" x14ac:dyDescent="0.25">
      <c r="A3933">
        <v>91</v>
      </c>
      <c r="B3933">
        <v>174</v>
      </c>
      <c r="C3933">
        <v>5</v>
      </c>
    </row>
    <row r="3934" spans="1:3" x14ac:dyDescent="0.25">
      <c r="A3934">
        <v>97</v>
      </c>
      <c r="B3934">
        <v>174</v>
      </c>
      <c r="C3934">
        <v>4</v>
      </c>
    </row>
    <row r="3935" spans="1:3" x14ac:dyDescent="0.25">
      <c r="A3935">
        <v>107</v>
      </c>
      <c r="B3935">
        <v>174</v>
      </c>
      <c r="C3935">
        <v>1</v>
      </c>
    </row>
    <row r="3936" spans="1:3" x14ac:dyDescent="0.25">
      <c r="A3936">
        <v>126</v>
      </c>
      <c r="B3936">
        <v>174</v>
      </c>
      <c r="C3936">
        <v>1</v>
      </c>
    </row>
    <row r="3937" spans="1:3" x14ac:dyDescent="0.25">
      <c r="A3937">
        <v>127</v>
      </c>
      <c r="B3937">
        <v>174</v>
      </c>
      <c r="C3937">
        <v>5</v>
      </c>
    </row>
    <row r="3938" spans="1:3" x14ac:dyDescent="0.25">
      <c r="A3938">
        <v>135</v>
      </c>
      <c r="B3938">
        <v>174</v>
      </c>
      <c r="C3938">
        <v>3</v>
      </c>
    </row>
    <row r="3939" spans="1:3" x14ac:dyDescent="0.25">
      <c r="A3939">
        <v>162</v>
      </c>
      <c r="B3939">
        <v>174</v>
      </c>
      <c r="C3939">
        <v>5</v>
      </c>
    </row>
    <row r="3940" spans="1:3" x14ac:dyDescent="0.25">
      <c r="A3940">
        <v>180</v>
      </c>
      <c r="B3940">
        <v>174</v>
      </c>
      <c r="C3940">
        <v>1</v>
      </c>
    </row>
    <row r="3941" spans="1:3" x14ac:dyDescent="0.25">
      <c r="A3941">
        <v>186</v>
      </c>
      <c r="B3941">
        <v>174</v>
      </c>
      <c r="C3941">
        <v>2</v>
      </c>
    </row>
    <row r="3942" spans="1:3" x14ac:dyDescent="0.25">
      <c r="A3942">
        <v>187</v>
      </c>
      <c r="B3942">
        <v>174</v>
      </c>
      <c r="C3942">
        <v>1</v>
      </c>
    </row>
    <row r="3943" spans="1:3" x14ac:dyDescent="0.25">
      <c r="A3943">
        <v>201</v>
      </c>
      <c r="B3943">
        <v>174</v>
      </c>
      <c r="C3943">
        <v>3</v>
      </c>
    </row>
    <row r="3944" spans="1:3" x14ac:dyDescent="0.25">
      <c r="A3944">
        <v>202</v>
      </c>
      <c r="B3944">
        <v>174</v>
      </c>
      <c r="C3944">
        <v>4</v>
      </c>
    </row>
    <row r="3945" spans="1:3" x14ac:dyDescent="0.25">
      <c r="A3945">
        <v>208</v>
      </c>
      <c r="B3945">
        <v>174</v>
      </c>
      <c r="C3945">
        <v>4</v>
      </c>
    </row>
    <row r="3946" spans="1:3" x14ac:dyDescent="0.25">
      <c r="A3946">
        <v>209</v>
      </c>
      <c r="B3946">
        <v>174</v>
      </c>
      <c r="C3946">
        <v>1</v>
      </c>
    </row>
    <row r="3947" spans="1:3" x14ac:dyDescent="0.25">
      <c r="A3947">
        <v>224</v>
      </c>
      <c r="B3947">
        <v>174</v>
      </c>
      <c r="C3947">
        <v>4</v>
      </c>
    </row>
    <row r="3948" spans="1:3" x14ac:dyDescent="0.25">
      <c r="A3948">
        <v>229</v>
      </c>
      <c r="B3948">
        <v>174</v>
      </c>
      <c r="C3948">
        <v>2</v>
      </c>
    </row>
    <row r="3949" spans="1:3" x14ac:dyDescent="0.25">
      <c r="A3949">
        <v>250</v>
      </c>
      <c r="B3949">
        <v>174</v>
      </c>
      <c r="C3949">
        <v>5</v>
      </c>
    </row>
    <row r="3950" spans="1:3" x14ac:dyDescent="0.25">
      <c r="A3950">
        <v>262</v>
      </c>
      <c r="B3950">
        <v>174</v>
      </c>
      <c r="C3950">
        <v>1</v>
      </c>
    </row>
    <row r="3951" spans="1:3" x14ac:dyDescent="0.25">
      <c r="A3951">
        <v>276</v>
      </c>
      <c r="B3951">
        <v>174</v>
      </c>
      <c r="C3951">
        <v>1</v>
      </c>
    </row>
    <row r="3952" spans="1:3" x14ac:dyDescent="0.25">
      <c r="A3952">
        <v>277</v>
      </c>
      <c r="B3952">
        <v>174</v>
      </c>
      <c r="C3952">
        <v>1</v>
      </c>
    </row>
    <row r="3953" spans="1:3" x14ac:dyDescent="0.25">
      <c r="A3953">
        <v>283</v>
      </c>
      <c r="B3953">
        <v>174</v>
      </c>
      <c r="C3953">
        <v>2</v>
      </c>
    </row>
    <row r="3954" spans="1:3" x14ac:dyDescent="0.25">
      <c r="A3954">
        <v>288</v>
      </c>
      <c r="B3954">
        <v>174</v>
      </c>
      <c r="C3954">
        <v>2</v>
      </c>
    </row>
    <row r="3955" spans="1:3" x14ac:dyDescent="0.25">
      <c r="A3955">
        <v>296</v>
      </c>
      <c r="B3955">
        <v>174</v>
      </c>
      <c r="C3955">
        <v>2</v>
      </c>
    </row>
    <row r="3956" spans="1:3" x14ac:dyDescent="0.25">
      <c r="A3956">
        <v>41</v>
      </c>
      <c r="B3956">
        <v>175</v>
      </c>
      <c r="C3956">
        <v>3</v>
      </c>
    </row>
    <row r="3957" spans="1:3" x14ac:dyDescent="0.25">
      <c r="A3957">
        <v>76</v>
      </c>
      <c r="B3957">
        <v>175</v>
      </c>
      <c r="C3957">
        <v>5</v>
      </c>
    </row>
    <row r="3958" spans="1:3" x14ac:dyDescent="0.25">
      <c r="A3958">
        <v>102</v>
      </c>
      <c r="B3958">
        <v>175</v>
      </c>
      <c r="C3958">
        <v>2</v>
      </c>
    </row>
    <row r="3959" spans="1:3" x14ac:dyDescent="0.25">
      <c r="A3959">
        <v>103</v>
      </c>
      <c r="B3959">
        <v>175</v>
      </c>
      <c r="C3959">
        <v>3</v>
      </c>
    </row>
    <row r="3960" spans="1:3" x14ac:dyDescent="0.25">
      <c r="A3960">
        <v>119</v>
      </c>
      <c r="B3960">
        <v>175</v>
      </c>
      <c r="C3960">
        <v>4</v>
      </c>
    </row>
    <row r="3961" spans="1:3" x14ac:dyDescent="0.25">
      <c r="A3961">
        <v>128</v>
      </c>
      <c r="B3961">
        <v>175</v>
      </c>
      <c r="C3961">
        <v>1</v>
      </c>
    </row>
    <row r="3962" spans="1:3" x14ac:dyDescent="0.25">
      <c r="A3962">
        <v>134</v>
      </c>
      <c r="B3962">
        <v>175</v>
      </c>
      <c r="C3962">
        <v>3</v>
      </c>
    </row>
    <row r="3963" spans="1:3" x14ac:dyDescent="0.25">
      <c r="A3963">
        <v>158</v>
      </c>
      <c r="B3963">
        <v>175</v>
      </c>
      <c r="C3963">
        <v>1</v>
      </c>
    </row>
    <row r="3964" spans="1:3" x14ac:dyDescent="0.25">
      <c r="A3964">
        <v>172</v>
      </c>
      <c r="B3964">
        <v>175</v>
      </c>
      <c r="C3964">
        <v>1</v>
      </c>
    </row>
    <row r="3965" spans="1:3" x14ac:dyDescent="0.25">
      <c r="A3965">
        <v>175</v>
      </c>
      <c r="B3965">
        <v>175</v>
      </c>
      <c r="C3965">
        <v>3</v>
      </c>
    </row>
    <row r="3966" spans="1:3" x14ac:dyDescent="0.25">
      <c r="A3966">
        <v>227</v>
      </c>
      <c r="B3966">
        <v>175</v>
      </c>
      <c r="C3966">
        <v>4</v>
      </c>
    </row>
    <row r="3967" spans="1:3" x14ac:dyDescent="0.25">
      <c r="A3967">
        <v>288</v>
      </c>
      <c r="B3967">
        <v>175</v>
      </c>
      <c r="C3967">
        <v>4</v>
      </c>
    </row>
    <row r="3968" spans="1:3" x14ac:dyDescent="0.25">
      <c r="A3968">
        <v>2</v>
      </c>
      <c r="B3968">
        <v>176</v>
      </c>
      <c r="C3968">
        <v>3</v>
      </c>
    </row>
    <row r="3969" spans="1:3" x14ac:dyDescent="0.25">
      <c r="A3969">
        <v>3</v>
      </c>
      <c r="B3969">
        <v>176</v>
      </c>
      <c r="C3969">
        <v>2</v>
      </c>
    </row>
    <row r="3970" spans="1:3" x14ac:dyDescent="0.25">
      <c r="A3970">
        <v>18</v>
      </c>
      <c r="B3970">
        <v>176</v>
      </c>
      <c r="C3970">
        <v>5</v>
      </c>
    </row>
    <row r="3971" spans="1:3" x14ac:dyDescent="0.25">
      <c r="A3971">
        <v>22</v>
      </c>
      <c r="B3971">
        <v>176</v>
      </c>
      <c r="C3971">
        <v>3</v>
      </c>
    </row>
    <row r="3972" spans="1:3" x14ac:dyDescent="0.25">
      <c r="A3972">
        <v>34</v>
      </c>
      <c r="B3972">
        <v>176</v>
      </c>
      <c r="C3972">
        <v>4</v>
      </c>
    </row>
    <row r="3973" spans="1:3" x14ac:dyDescent="0.25">
      <c r="A3973">
        <v>51</v>
      </c>
      <c r="B3973">
        <v>176</v>
      </c>
      <c r="C3973">
        <v>2</v>
      </c>
    </row>
    <row r="3974" spans="1:3" x14ac:dyDescent="0.25">
      <c r="A3974">
        <v>76</v>
      </c>
      <c r="B3974">
        <v>176</v>
      </c>
      <c r="C3974">
        <v>5</v>
      </c>
    </row>
    <row r="3975" spans="1:3" x14ac:dyDescent="0.25">
      <c r="A3975">
        <v>86</v>
      </c>
      <c r="B3975">
        <v>176</v>
      </c>
      <c r="C3975">
        <v>3</v>
      </c>
    </row>
    <row r="3976" spans="1:3" x14ac:dyDescent="0.25">
      <c r="A3976">
        <v>111</v>
      </c>
      <c r="B3976">
        <v>176</v>
      </c>
      <c r="C3976">
        <v>5</v>
      </c>
    </row>
    <row r="3977" spans="1:3" x14ac:dyDescent="0.25">
      <c r="A3977">
        <v>116</v>
      </c>
      <c r="B3977">
        <v>176</v>
      </c>
      <c r="C3977">
        <v>4</v>
      </c>
    </row>
    <row r="3978" spans="1:3" x14ac:dyDescent="0.25">
      <c r="A3978">
        <v>123</v>
      </c>
      <c r="B3978">
        <v>176</v>
      </c>
      <c r="C3978">
        <v>2</v>
      </c>
    </row>
    <row r="3979" spans="1:3" x14ac:dyDescent="0.25">
      <c r="A3979">
        <v>153</v>
      </c>
      <c r="B3979">
        <v>176</v>
      </c>
      <c r="C3979">
        <v>1</v>
      </c>
    </row>
    <row r="3980" spans="1:3" x14ac:dyDescent="0.25">
      <c r="A3980">
        <v>163</v>
      </c>
      <c r="B3980">
        <v>176</v>
      </c>
      <c r="C3980">
        <v>5</v>
      </c>
    </row>
    <row r="3981" spans="1:3" x14ac:dyDescent="0.25">
      <c r="A3981">
        <v>182</v>
      </c>
      <c r="B3981">
        <v>176</v>
      </c>
      <c r="C3981">
        <v>4</v>
      </c>
    </row>
    <row r="3982" spans="1:3" x14ac:dyDescent="0.25">
      <c r="A3982">
        <v>185</v>
      </c>
      <c r="B3982">
        <v>176</v>
      </c>
      <c r="C3982">
        <v>1</v>
      </c>
    </row>
    <row r="3983" spans="1:3" x14ac:dyDescent="0.25">
      <c r="A3983">
        <v>221</v>
      </c>
      <c r="B3983">
        <v>176</v>
      </c>
      <c r="C3983">
        <v>3</v>
      </c>
    </row>
    <row r="3984" spans="1:3" x14ac:dyDescent="0.25">
      <c r="A3984">
        <v>227</v>
      </c>
      <c r="B3984">
        <v>176</v>
      </c>
      <c r="C3984">
        <v>4</v>
      </c>
    </row>
    <row r="3985" spans="1:3" x14ac:dyDescent="0.25">
      <c r="A3985">
        <v>244</v>
      </c>
      <c r="B3985">
        <v>176</v>
      </c>
      <c r="C3985">
        <v>4</v>
      </c>
    </row>
    <row r="3986" spans="1:3" x14ac:dyDescent="0.25">
      <c r="A3986">
        <v>247</v>
      </c>
      <c r="B3986">
        <v>176</v>
      </c>
      <c r="C3986">
        <v>3</v>
      </c>
    </row>
    <row r="3987" spans="1:3" x14ac:dyDescent="0.25">
      <c r="A3987">
        <v>263</v>
      </c>
      <c r="B3987">
        <v>176</v>
      </c>
      <c r="C3987">
        <v>2</v>
      </c>
    </row>
    <row r="3988" spans="1:3" x14ac:dyDescent="0.25">
      <c r="A3988">
        <v>273</v>
      </c>
      <c r="B3988">
        <v>176</v>
      </c>
      <c r="C3988">
        <v>4</v>
      </c>
    </row>
    <row r="3989" spans="1:3" x14ac:dyDescent="0.25">
      <c r="A3989">
        <v>276</v>
      </c>
      <c r="B3989">
        <v>176</v>
      </c>
      <c r="C3989">
        <v>2</v>
      </c>
    </row>
    <row r="3990" spans="1:3" x14ac:dyDescent="0.25">
      <c r="A3990">
        <v>294</v>
      </c>
      <c r="B3990">
        <v>176</v>
      </c>
      <c r="C3990">
        <v>5</v>
      </c>
    </row>
    <row r="3991" spans="1:3" x14ac:dyDescent="0.25">
      <c r="A3991">
        <v>298</v>
      </c>
      <c r="B3991">
        <v>176</v>
      </c>
      <c r="C3991">
        <v>4</v>
      </c>
    </row>
    <row r="3992" spans="1:3" x14ac:dyDescent="0.25">
      <c r="A3992">
        <v>13</v>
      </c>
      <c r="B3992">
        <v>177</v>
      </c>
      <c r="C3992">
        <v>2</v>
      </c>
    </row>
    <row r="3993" spans="1:3" x14ac:dyDescent="0.25">
      <c r="A3993">
        <v>21</v>
      </c>
      <c r="B3993">
        <v>177</v>
      </c>
      <c r="C3993">
        <v>4</v>
      </c>
    </row>
    <row r="3994" spans="1:3" x14ac:dyDescent="0.25">
      <c r="A3994">
        <v>23</v>
      </c>
      <c r="B3994">
        <v>177</v>
      </c>
      <c r="C3994">
        <v>4</v>
      </c>
    </row>
    <row r="3995" spans="1:3" x14ac:dyDescent="0.25">
      <c r="A3995">
        <v>31</v>
      </c>
      <c r="B3995">
        <v>177</v>
      </c>
      <c r="C3995">
        <v>5</v>
      </c>
    </row>
    <row r="3996" spans="1:3" x14ac:dyDescent="0.25">
      <c r="A3996">
        <v>53</v>
      </c>
      <c r="B3996">
        <v>177</v>
      </c>
      <c r="C3996">
        <v>5</v>
      </c>
    </row>
    <row r="3997" spans="1:3" x14ac:dyDescent="0.25">
      <c r="A3997">
        <v>79</v>
      </c>
      <c r="B3997">
        <v>177</v>
      </c>
      <c r="C3997">
        <v>2</v>
      </c>
    </row>
    <row r="3998" spans="1:3" x14ac:dyDescent="0.25">
      <c r="A3998">
        <v>79</v>
      </c>
      <c r="B3998">
        <v>177</v>
      </c>
      <c r="C3998">
        <v>3</v>
      </c>
    </row>
    <row r="3999" spans="1:3" x14ac:dyDescent="0.25">
      <c r="A3999">
        <v>97</v>
      </c>
      <c r="B3999">
        <v>177</v>
      </c>
      <c r="C3999">
        <v>5</v>
      </c>
    </row>
    <row r="4000" spans="1:3" x14ac:dyDescent="0.25">
      <c r="A4000">
        <v>109</v>
      </c>
      <c r="B4000">
        <v>177</v>
      </c>
      <c r="C4000">
        <v>2</v>
      </c>
    </row>
    <row r="4001" spans="1:3" x14ac:dyDescent="0.25">
      <c r="A4001">
        <v>111</v>
      </c>
      <c r="B4001">
        <v>177</v>
      </c>
      <c r="C4001">
        <v>5</v>
      </c>
    </row>
    <row r="4002" spans="1:3" x14ac:dyDescent="0.25">
      <c r="A4002">
        <v>120</v>
      </c>
      <c r="B4002">
        <v>177</v>
      </c>
      <c r="C4002">
        <v>2</v>
      </c>
    </row>
    <row r="4003" spans="1:3" x14ac:dyDescent="0.25">
      <c r="A4003">
        <v>132</v>
      </c>
      <c r="B4003">
        <v>177</v>
      </c>
      <c r="C4003">
        <v>1</v>
      </c>
    </row>
    <row r="4004" spans="1:3" x14ac:dyDescent="0.25">
      <c r="A4004">
        <v>138</v>
      </c>
      <c r="B4004">
        <v>177</v>
      </c>
      <c r="C4004">
        <v>2</v>
      </c>
    </row>
    <row r="4005" spans="1:3" x14ac:dyDescent="0.25">
      <c r="A4005">
        <v>145</v>
      </c>
      <c r="B4005">
        <v>177</v>
      </c>
      <c r="C4005">
        <v>3</v>
      </c>
    </row>
    <row r="4006" spans="1:3" x14ac:dyDescent="0.25">
      <c r="A4006">
        <v>152</v>
      </c>
      <c r="B4006">
        <v>177</v>
      </c>
      <c r="C4006">
        <v>3</v>
      </c>
    </row>
    <row r="4007" spans="1:3" x14ac:dyDescent="0.25">
      <c r="A4007">
        <v>173</v>
      </c>
      <c r="B4007">
        <v>177</v>
      </c>
      <c r="C4007">
        <v>4</v>
      </c>
    </row>
    <row r="4008" spans="1:3" x14ac:dyDescent="0.25">
      <c r="A4008">
        <v>188</v>
      </c>
      <c r="B4008">
        <v>177</v>
      </c>
      <c r="C4008">
        <v>3</v>
      </c>
    </row>
    <row r="4009" spans="1:3" x14ac:dyDescent="0.25">
      <c r="A4009">
        <v>194</v>
      </c>
      <c r="B4009">
        <v>177</v>
      </c>
      <c r="C4009">
        <v>3</v>
      </c>
    </row>
    <row r="4010" spans="1:3" x14ac:dyDescent="0.25">
      <c r="A4010">
        <v>196</v>
      </c>
      <c r="B4010">
        <v>177</v>
      </c>
      <c r="C4010">
        <v>5</v>
      </c>
    </row>
    <row r="4011" spans="1:3" x14ac:dyDescent="0.25">
      <c r="A4011">
        <v>197</v>
      </c>
      <c r="B4011">
        <v>177</v>
      </c>
      <c r="C4011">
        <v>2</v>
      </c>
    </row>
    <row r="4012" spans="1:3" x14ac:dyDescent="0.25">
      <c r="A4012">
        <v>201</v>
      </c>
      <c r="B4012">
        <v>177</v>
      </c>
      <c r="C4012">
        <v>3</v>
      </c>
    </row>
    <row r="4013" spans="1:3" x14ac:dyDescent="0.25">
      <c r="A4013">
        <v>203</v>
      </c>
      <c r="B4013">
        <v>177</v>
      </c>
      <c r="C4013">
        <v>3</v>
      </c>
    </row>
    <row r="4014" spans="1:3" x14ac:dyDescent="0.25">
      <c r="A4014">
        <v>204</v>
      </c>
      <c r="B4014">
        <v>177</v>
      </c>
      <c r="C4014">
        <v>3</v>
      </c>
    </row>
    <row r="4015" spans="1:3" x14ac:dyDescent="0.25">
      <c r="A4015">
        <v>204</v>
      </c>
      <c r="B4015">
        <v>177</v>
      </c>
      <c r="C4015">
        <v>3</v>
      </c>
    </row>
    <row r="4016" spans="1:3" x14ac:dyDescent="0.25">
      <c r="A4016">
        <v>214</v>
      </c>
      <c r="B4016">
        <v>177</v>
      </c>
      <c r="C4016">
        <v>4</v>
      </c>
    </row>
    <row r="4017" spans="1:3" x14ac:dyDescent="0.25">
      <c r="A4017">
        <v>219</v>
      </c>
      <c r="B4017">
        <v>177</v>
      </c>
      <c r="C4017">
        <v>5</v>
      </c>
    </row>
    <row r="4018" spans="1:3" x14ac:dyDescent="0.25">
      <c r="A4018">
        <v>225</v>
      </c>
      <c r="B4018">
        <v>177</v>
      </c>
      <c r="C4018">
        <v>2</v>
      </c>
    </row>
    <row r="4019" spans="1:3" x14ac:dyDescent="0.25">
      <c r="A4019">
        <v>228</v>
      </c>
      <c r="B4019">
        <v>177</v>
      </c>
      <c r="C4019">
        <v>2</v>
      </c>
    </row>
    <row r="4020" spans="1:3" x14ac:dyDescent="0.25">
      <c r="A4020">
        <v>235</v>
      </c>
      <c r="B4020">
        <v>177</v>
      </c>
      <c r="C4020">
        <v>1</v>
      </c>
    </row>
    <row r="4021" spans="1:3" x14ac:dyDescent="0.25">
      <c r="A4021">
        <v>236</v>
      </c>
      <c r="B4021">
        <v>177</v>
      </c>
      <c r="C4021">
        <v>3</v>
      </c>
    </row>
    <row r="4022" spans="1:3" x14ac:dyDescent="0.25">
      <c r="A4022">
        <v>241</v>
      </c>
      <c r="B4022">
        <v>177</v>
      </c>
      <c r="C4022">
        <v>5</v>
      </c>
    </row>
    <row r="4023" spans="1:3" x14ac:dyDescent="0.25">
      <c r="A4023">
        <v>260</v>
      </c>
      <c r="B4023">
        <v>177</v>
      </c>
      <c r="C4023">
        <v>3</v>
      </c>
    </row>
    <row r="4024" spans="1:3" x14ac:dyDescent="0.25">
      <c r="A4024">
        <v>272</v>
      </c>
      <c r="B4024">
        <v>177</v>
      </c>
      <c r="C4024">
        <v>5</v>
      </c>
    </row>
    <row r="4025" spans="1:3" x14ac:dyDescent="0.25">
      <c r="A4025">
        <v>273</v>
      </c>
      <c r="B4025">
        <v>177</v>
      </c>
      <c r="C4025">
        <v>2</v>
      </c>
    </row>
    <row r="4026" spans="1:3" x14ac:dyDescent="0.25">
      <c r="A4026">
        <v>276</v>
      </c>
      <c r="B4026">
        <v>177</v>
      </c>
      <c r="C4026">
        <v>1</v>
      </c>
    </row>
    <row r="4027" spans="1:3" x14ac:dyDescent="0.25">
      <c r="A4027">
        <v>277</v>
      </c>
      <c r="B4027">
        <v>177</v>
      </c>
      <c r="C4027">
        <v>3</v>
      </c>
    </row>
    <row r="4028" spans="1:3" x14ac:dyDescent="0.25">
      <c r="A4028">
        <v>296</v>
      </c>
      <c r="B4028">
        <v>177</v>
      </c>
      <c r="C4028">
        <v>2</v>
      </c>
    </row>
    <row r="4029" spans="1:3" x14ac:dyDescent="0.25">
      <c r="A4029">
        <v>296</v>
      </c>
      <c r="B4029">
        <v>177</v>
      </c>
      <c r="C4029">
        <v>4</v>
      </c>
    </row>
    <row r="4030" spans="1:3" x14ac:dyDescent="0.25">
      <c r="A4030">
        <v>296</v>
      </c>
      <c r="B4030">
        <v>177</v>
      </c>
      <c r="C4030">
        <v>4</v>
      </c>
    </row>
    <row r="4031" spans="1:3" x14ac:dyDescent="0.25">
      <c r="A4031">
        <v>6</v>
      </c>
      <c r="B4031">
        <v>178</v>
      </c>
      <c r="C4031">
        <v>3</v>
      </c>
    </row>
    <row r="4032" spans="1:3" x14ac:dyDescent="0.25">
      <c r="A4032">
        <v>13</v>
      </c>
      <c r="B4032">
        <v>178</v>
      </c>
      <c r="C4032">
        <v>2</v>
      </c>
    </row>
    <row r="4033" spans="1:3" x14ac:dyDescent="0.25">
      <c r="A4033">
        <v>40</v>
      </c>
      <c r="B4033">
        <v>178</v>
      </c>
      <c r="C4033">
        <v>2</v>
      </c>
    </row>
    <row r="4034" spans="1:3" x14ac:dyDescent="0.25">
      <c r="A4034">
        <v>44</v>
      </c>
      <c r="B4034">
        <v>178</v>
      </c>
      <c r="C4034">
        <v>5</v>
      </c>
    </row>
    <row r="4035" spans="1:3" x14ac:dyDescent="0.25">
      <c r="A4035">
        <v>49</v>
      </c>
      <c r="B4035">
        <v>178</v>
      </c>
      <c r="C4035">
        <v>5</v>
      </c>
    </row>
    <row r="4036" spans="1:3" x14ac:dyDescent="0.25">
      <c r="A4036">
        <v>105</v>
      </c>
      <c r="B4036">
        <v>178</v>
      </c>
      <c r="C4036">
        <v>4</v>
      </c>
    </row>
    <row r="4037" spans="1:3" x14ac:dyDescent="0.25">
      <c r="A4037">
        <v>109</v>
      </c>
      <c r="B4037">
        <v>178</v>
      </c>
      <c r="C4037">
        <v>5</v>
      </c>
    </row>
    <row r="4038" spans="1:3" x14ac:dyDescent="0.25">
      <c r="A4038">
        <v>115</v>
      </c>
      <c r="B4038">
        <v>178</v>
      </c>
      <c r="C4038">
        <v>3</v>
      </c>
    </row>
    <row r="4039" spans="1:3" x14ac:dyDescent="0.25">
      <c r="A4039">
        <v>119</v>
      </c>
      <c r="B4039">
        <v>178</v>
      </c>
      <c r="C4039">
        <v>4</v>
      </c>
    </row>
    <row r="4040" spans="1:3" x14ac:dyDescent="0.25">
      <c r="A4040">
        <v>124</v>
      </c>
      <c r="B4040">
        <v>178</v>
      </c>
      <c r="C4040">
        <v>5</v>
      </c>
    </row>
    <row r="4041" spans="1:3" x14ac:dyDescent="0.25">
      <c r="A4041">
        <v>126</v>
      </c>
      <c r="B4041">
        <v>178</v>
      </c>
      <c r="C4041">
        <v>1</v>
      </c>
    </row>
    <row r="4042" spans="1:3" x14ac:dyDescent="0.25">
      <c r="A4042">
        <v>135</v>
      </c>
      <c r="B4042">
        <v>178</v>
      </c>
      <c r="C4042">
        <v>2</v>
      </c>
    </row>
    <row r="4043" spans="1:3" x14ac:dyDescent="0.25">
      <c r="A4043">
        <v>139</v>
      </c>
      <c r="B4043">
        <v>178</v>
      </c>
      <c r="C4043">
        <v>5</v>
      </c>
    </row>
    <row r="4044" spans="1:3" x14ac:dyDescent="0.25">
      <c r="A4044">
        <v>151</v>
      </c>
      <c r="B4044">
        <v>178</v>
      </c>
      <c r="C4044">
        <v>5</v>
      </c>
    </row>
    <row r="4045" spans="1:3" x14ac:dyDescent="0.25">
      <c r="A4045">
        <v>159</v>
      </c>
      <c r="B4045">
        <v>178</v>
      </c>
      <c r="C4045">
        <v>1</v>
      </c>
    </row>
    <row r="4046" spans="1:3" x14ac:dyDescent="0.25">
      <c r="A4046">
        <v>163</v>
      </c>
      <c r="B4046">
        <v>178</v>
      </c>
      <c r="C4046">
        <v>1</v>
      </c>
    </row>
    <row r="4047" spans="1:3" x14ac:dyDescent="0.25">
      <c r="A4047">
        <v>165</v>
      </c>
      <c r="B4047">
        <v>178</v>
      </c>
      <c r="C4047">
        <v>1</v>
      </c>
    </row>
    <row r="4048" spans="1:3" x14ac:dyDescent="0.25">
      <c r="A4048">
        <v>191</v>
      </c>
      <c r="B4048">
        <v>178</v>
      </c>
      <c r="C4048">
        <v>3</v>
      </c>
    </row>
    <row r="4049" spans="1:3" x14ac:dyDescent="0.25">
      <c r="A4049">
        <v>191</v>
      </c>
      <c r="B4049">
        <v>178</v>
      </c>
      <c r="C4049">
        <v>5</v>
      </c>
    </row>
    <row r="4050" spans="1:3" x14ac:dyDescent="0.25">
      <c r="A4050">
        <v>203</v>
      </c>
      <c r="B4050">
        <v>178</v>
      </c>
      <c r="C4050">
        <v>5</v>
      </c>
    </row>
    <row r="4051" spans="1:3" x14ac:dyDescent="0.25">
      <c r="A4051">
        <v>203</v>
      </c>
      <c r="B4051">
        <v>178</v>
      </c>
      <c r="C4051">
        <v>5</v>
      </c>
    </row>
    <row r="4052" spans="1:3" x14ac:dyDescent="0.25">
      <c r="A4052">
        <v>208</v>
      </c>
      <c r="B4052">
        <v>178</v>
      </c>
      <c r="C4052">
        <v>4</v>
      </c>
    </row>
    <row r="4053" spans="1:3" x14ac:dyDescent="0.25">
      <c r="A4053">
        <v>217</v>
      </c>
      <c r="B4053">
        <v>178</v>
      </c>
      <c r="C4053">
        <v>2</v>
      </c>
    </row>
    <row r="4054" spans="1:3" x14ac:dyDescent="0.25">
      <c r="A4054">
        <v>218</v>
      </c>
      <c r="B4054">
        <v>178</v>
      </c>
      <c r="C4054">
        <v>5</v>
      </c>
    </row>
    <row r="4055" spans="1:3" x14ac:dyDescent="0.25">
      <c r="A4055">
        <v>272</v>
      </c>
      <c r="B4055">
        <v>178</v>
      </c>
      <c r="C4055">
        <v>2</v>
      </c>
    </row>
    <row r="4056" spans="1:3" x14ac:dyDescent="0.25">
      <c r="A4056">
        <v>281</v>
      </c>
      <c r="B4056">
        <v>178</v>
      </c>
      <c r="C4056">
        <v>4</v>
      </c>
    </row>
    <row r="4057" spans="1:3" x14ac:dyDescent="0.25">
      <c r="A4057">
        <v>291</v>
      </c>
      <c r="B4057">
        <v>178</v>
      </c>
      <c r="C4057">
        <v>2</v>
      </c>
    </row>
    <row r="4058" spans="1:3" x14ac:dyDescent="0.25">
      <c r="A4058">
        <v>1</v>
      </c>
      <c r="B4058">
        <v>179</v>
      </c>
      <c r="C4058">
        <v>3</v>
      </c>
    </row>
    <row r="4059" spans="1:3" x14ac:dyDescent="0.25">
      <c r="A4059">
        <v>22</v>
      </c>
      <c r="B4059">
        <v>179</v>
      </c>
      <c r="C4059">
        <v>4</v>
      </c>
    </row>
    <row r="4060" spans="1:3" x14ac:dyDescent="0.25">
      <c r="A4060">
        <v>40</v>
      </c>
      <c r="B4060">
        <v>179</v>
      </c>
      <c r="C4060">
        <v>3</v>
      </c>
    </row>
    <row r="4061" spans="1:3" x14ac:dyDescent="0.25">
      <c r="A4061">
        <v>49</v>
      </c>
      <c r="B4061">
        <v>179</v>
      </c>
      <c r="C4061">
        <v>5</v>
      </c>
    </row>
    <row r="4062" spans="1:3" x14ac:dyDescent="0.25">
      <c r="A4062">
        <v>74</v>
      </c>
      <c r="B4062">
        <v>179</v>
      </c>
      <c r="C4062">
        <v>3</v>
      </c>
    </row>
    <row r="4063" spans="1:3" x14ac:dyDescent="0.25">
      <c r="A4063">
        <v>76</v>
      </c>
      <c r="B4063">
        <v>179</v>
      </c>
      <c r="C4063">
        <v>1</v>
      </c>
    </row>
    <row r="4064" spans="1:3" x14ac:dyDescent="0.25">
      <c r="A4064">
        <v>84</v>
      </c>
      <c r="B4064">
        <v>179</v>
      </c>
      <c r="C4064">
        <v>4</v>
      </c>
    </row>
    <row r="4065" spans="1:3" x14ac:dyDescent="0.25">
      <c r="A4065">
        <v>127</v>
      </c>
      <c r="B4065">
        <v>179</v>
      </c>
      <c r="C4065">
        <v>4</v>
      </c>
    </row>
    <row r="4066" spans="1:3" x14ac:dyDescent="0.25">
      <c r="A4066">
        <v>127</v>
      </c>
      <c r="B4066">
        <v>179</v>
      </c>
      <c r="C4066">
        <v>3</v>
      </c>
    </row>
    <row r="4067" spans="1:3" x14ac:dyDescent="0.25">
      <c r="A4067">
        <v>134</v>
      </c>
      <c r="B4067">
        <v>179</v>
      </c>
      <c r="C4067">
        <v>2</v>
      </c>
    </row>
    <row r="4068" spans="1:3" x14ac:dyDescent="0.25">
      <c r="A4068">
        <v>142</v>
      </c>
      <c r="B4068">
        <v>179</v>
      </c>
      <c r="C4068">
        <v>2</v>
      </c>
    </row>
    <row r="4069" spans="1:3" x14ac:dyDescent="0.25">
      <c r="A4069">
        <v>151</v>
      </c>
      <c r="B4069">
        <v>179</v>
      </c>
      <c r="C4069">
        <v>2</v>
      </c>
    </row>
    <row r="4070" spans="1:3" x14ac:dyDescent="0.25">
      <c r="A4070">
        <v>183</v>
      </c>
      <c r="B4070">
        <v>179</v>
      </c>
      <c r="C4070">
        <v>1</v>
      </c>
    </row>
    <row r="4071" spans="1:3" x14ac:dyDescent="0.25">
      <c r="A4071">
        <v>188</v>
      </c>
      <c r="B4071">
        <v>179</v>
      </c>
      <c r="C4071">
        <v>1</v>
      </c>
    </row>
    <row r="4072" spans="1:3" x14ac:dyDescent="0.25">
      <c r="A4072">
        <v>192</v>
      </c>
      <c r="B4072">
        <v>179</v>
      </c>
      <c r="C4072">
        <v>4</v>
      </c>
    </row>
    <row r="4073" spans="1:3" x14ac:dyDescent="0.25">
      <c r="A4073">
        <v>204</v>
      </c>
      <c r="B4073">
        <v>179</v>
      </c>
      <c r="C4073">
        <v>2</v>
      </c>
    </row>
    <row r="4074" spans="1:3" x14ac:dyDescent="0.25">
      <c r="A4074">
        <v>227</v>
      </c>
      <c r="B4074">
        <v>179</v>
      </c>
      <c r="C4074">
        <v>4</v>
      </c>
    </row>
    <row r="4075" spans="1:3" x14ac:dyDescent="0.25">
      <c r="A4075">
        <v>230</v>
      </c>
      <c r="B4075">
        <v>179</v>
      </c>
      <c r="C4075">
        <v>4</v>
      </c>
    </row>
    <row r="4076" spans="1:3" x14ac:dyDescent="0.25">
      <c r="A4076">
        <v>250</v>
      </c>
      <c r="B4076">
        <v>179</v>
      </c>
      <c r="C4076">
        <v>1</v>
      </c>
    </row>
    <row r="4077" spans="1:3" x14ac:dyDescent="0.25">
      <c r="A4077">
        <v>256</v>
      </c>
      <c r="B4077">
        <v>179</v>
      </c>
      <c r="C4077">
        <v>4</v>
      </c>
    </row>
    <row r="4078" spans="1:3" x14ac:dyDescent="0.25">
      <c r="A4078">
        <v>268</v>
      </c>
      <c r="B4078">
        <v>179</v>
      </c>
      <c r="C4078">
        <v>4</v>
      </c>
    </row>
    <row r="4079" spans="1:3" x14ac:dyDescent="0.25">
      <c r="A4079">
        <v>270</v>
      </c>
      <c r="B4079">
        <v>179</v>
      </c>
      <c r="C4079">
        <v>4</v>
      </c>
    </row>
    <row r="4080" spans="1:3" x14ac:dyDescent="0.25">
      <c r="A4080">
        <v>271</v>
      </c>
      <c r="B4080">
        <v>179</v>
      </c>
      <c r="C4080">
        <v>5</v>
      </c>
    </row>
    <row r="4081" spans="1:3" x14ac:dyDescent="0.25">
      <c r="A4081">
        <v>272</v>
      </c>
      <c r="B4081">
        <v>179</v>
      </c>
      <c r="C4081">
        <v>4</v>
      </c>
    </row>
    <row r="4082" spans="1:3" x14ac:dyDescent="0.25">
      <c r="A4082">
        <v>42</v>
      </c>
      <c r="B4082">
        <v>180</v>
      </c>
      <c r="C4082">
        <v>5</v>
      </c>
    </row>
    <row r="4083" spans="1:3" x14ac:dyDescent="0.25">
      <c r="A4083">
        <v>45</v>
      </c>
      <c r="B4083">
        <v>180</v>
      </c>
      <c r="C4083">
        <v>5</v>
      </c>
    </row>
    <row r="4084" spans="1:3" x14ac:dyDescent="0.25">
      <c r="A4084">
        <v>50</v>
      </c>
      <c r="B4084">
        <v>180</v>
      </c>
      <c r="C4084">
        <v>5</v>
      </c>
    </row>
    <row r="4085" spans="1:3" x14ac:dyDescent="0.25">
      <c r="A4085">
        <v>57</v>
      </c>
      <c r="B4085">
        <v>180</v>
      </c>
      <c r="C4085">
        <v>2</v>
      </c>
    </row>
    <row r="4086" spans="1:3" x14ac:dyDescent="0.25">
      <c r="A4086">
        <v>57</v>
      </c>
      <c r="B4086">
        <v>180</v>
      </c>
      <c r="C4086">
        <v>1</v>
      </c>
    </row>
    <row r="4087" spans="1:3" x14ac:dyDescent="0.25">
      <c r="A4087">
        <v>75</v>
      </c>
      <c r="B4087">
        <v>180</v>
      </c>
      <c r="C4087">
        <v>4</v>
      </c>
    </row>
    <row r="4088" spans="1:3" x14ac:dyDescent="0.25">
      <c r="A4088">
        <v>86</v>
      </c>
      <c r="B4088">
        <v>180</v>
      </c>
      <c r="C4088">
        <v>3</v>
      </c>
    </row>
    <row r="4089" spans="1:3" x14ac:dyDescent="0.25">
      <c r="A4089">
        <v>89</v>
      </c>
      <c r="B4089">
        <v>180</v>
      </c>
      <c r="C4089">
        <v>2</v>
      </c>
    </row>
    <row r="4090" spans="1:3" x14ac:dyDescent="0.25">
      <c r="A4090">
        <v>107</v>
      </c>
      <c r="B4090">
        <v>180</v>
      </c>
      <c r="C4090">
        <v>5</v>
      </c>
    </row>
    <row r="4091" spans="1:3" x14ac:dyDescent="0.25">
      <c r="A4091">
        <v>114</v>
      </c>
      <c r="B4091">
        <v>180</v>
      </c>
      <c r="C4091">
        <v>2</v>
      </c>
    </row>
    <row r="4092" spans="1:3" x14ac:dyDescent="0.25">
      <c r="A4092">
        <v>122</v>
      </c>
      <c r="B4092">
        <v>180</v>
      </c>
      <c r="C4092">
        <v>5</v>
      </c>
    </row>
    <row r="4093" spans="1:3" x14ac:dyDescent="0.25">
      <c r="A4093">
        <v>130</v>
      </c>
      <c r="B4093">
        <v>180</v>
      </c>
      <c r="C4093">
        <v>2</v>
      </c>
    </row>
    <row r="4094" spans="1:3" x14ac:dyDescent="0.25">
      <c r="A4094">
        <v>133</v>
      </c>
      <c r="B4094">
        <v>180</v>
      </c>
      <c r="C4094">
        <v>1</v>
      </c>
    </row>
    <row r="4095" spans="1:3" x14ac:dyDescent="0.25">
      <c r="A4095">
        <v>138</v>
      </c>
      <c r="B4095">
        <v>180</v>
      </c>
      <c r="C4095">
        <v>2</v>
      </c>
    </row>
    <row r="4096" spans="1:3" x14ac:dyDescent="0.25">
      <c r="A4096">
        <v>150</v>
      </c>
      <c r="B4096">
        <v>180</v>
      </c>
      <c r="C4096">
        <v>1</v>
      </c>
    </row>
    <row r="4097" spans="1:3" x14ac:dyDescent="0.25">
      <c r="A4097">
        <v>151</v>
      </c>
      <c r="B4097">
        <v>180</v>
      </c>
      <c r="C4097">
        <v>5</v>
      </c>
    </row>
    <row r="4098" spans="1:3" x14ac:dyDescent="0.25">
      <c r="A4098">
        <v>157</v>
      </c>
      <c r="B4098">
        <v>180</v>
      </c>
      <c r="C4098">
        <v>1</v>
      </c>
    </row>
    <row r="4099" spans="1:3" x14ac:dyDescent="0.25">
      <c r="A4099">
        <v>169</v>
      </c>
      <c r="B4099">
        <v>180</v>
      </c>
      <c r="C4099">
        <v>3</v>
      </c>
    </row>
    <row r="4100" spans="1:3" x14ac:dyDescent="0.25">
      <c r="A4100">
        <v>172</v>
      </c>
      <c r="B4100">
        <v>180</v>
      </c>
      <c r="C4100">
        <v>3</v>
      </c>
    </row>
    <row r="4101" spans="1:3" x14ac:dyDescent="0.25">
      <c r="A4101">
        <v>192</v>
      </c>
      <c r="B4101">
        <v>180</v>
      </c>
      <c r="C4101">
        <v>4</v>
      </c>
    </row>
    <row r="4102" spans="1:3" x14ac:dyDescent="0.25">
      <c r="A4102">
        <v>201</v>
      </c>
      <c r="B4102">
        <v>180</v>
      </c>
      <c r="C4102">
        <v>3</v>
      </c>
    </row>
    <row r="4103" spans="1:3" x14ac:dyDescent="0.25">
      <c r="A4103">
        <v>213</v>
      </c>
      <c r="B4103">
        <v>180</v>
      </c>
      <c r="C4103">
        <v>5</v>
      </c>
    </row>
    <row r="4104" spans="1:3" x14ac:dyDescent="0.25">
      <c r="A4104">
        <v>232</v>
      </c>
      <c r="B4104">
        <v>180</v>
      </c>
      <c r="C4104">
        <v>1</v>
      </c>
    </row>
    <row r="4105" spans="1:3" x14ac:dyDescent="0.25">
      <c r="A4105">
        <v>254</v>
      </c>
      <c r="B4105">
        <v>180</v>
      </c>
      <c r="C4105">
        <v>3</v>
      </c>
    </row>
    <row r="4106" spans="1:3" x14ac:dyDescent="0.25">
      <c r="A4106">
        <v>283</v>
      </c>
      <c r="B4106">
        <v>180</v>
      </c>
      <c r="C4106">
        <v>5</v>
      </c>
    </row>
    <row r="4107" spans="1:3" x14ac:dyDescent="0.25">
      <c r="A4107">
        <v>17</v>
      </c>
      <c r="B4107">
        <v>181</v>
      </c>
      <c r="C4107">
        <v>2</v>
      </c>
    </row>
    <row r="4108" spans="1:3" x14ac:dyDescent="0.25">
      <c r="A4108">
        <v>27</v>
      </c>
      <c r="B4108">
        <v>181</v>
      </c>
      <c r="C4108">
        <v>5</v>
      </c>
    </row>
    <row r="4109" spans="1:3" x14ac:dyDescent="0.25">
      <c r="A4109">
        <v>36</v>
      </c>
      <c r="B4109">
        <v>181</v>
      </c>
      <c r="C4109">
        <v>3</v>
      </c>
    </row>
    <row r="4110" spans="1:3" x14ac:dyDescent="0.25">
      <c r="A4110">
        <v>50</v>
      </c>
      <c r="B4110">
        <v>181</v>
      </c>
      <c r="C4110">
        <v>3</v>
      </c>
    </row>
    <row r="4111" spans="1:3" x14ac:dyDescent="0.25">
      <c r="A4111">
        <v>60</v>
      </c>
      <c r="B4111">
        <v>181</v>
      </c>
      <c r="C4111">
        <v>3</v>
      </c>
    </row>
    <row r="4112" spans="1:3" x14ac:dyDescent="0.25">
      <c r="A4112">
        <v>64</v>
      </c>
      <c r="B4112">
        <v>181</v>
      </c>
      <c r="C4112">
        <v>1</v>
      </c>
    </row>
    <row r="4113" spans="1:3" x14ac:dyDescent="0.25">
      <c r="A4113">
        <v>77</v>
      </c>
      <c r="B4113">
        <v>181</v>
      </c>
      <c r="C4113">
        <v>3</v>
      </c>
    </row>
    <row r="4114" spans="1:3" x14ac:dyDescent="0.25">
      <c r="A4114">
        <v>78</v>
      </c>
      <c r="B4114">
        <v>181</v>
      </c>
      <c r="C4114">
        <v>1</v>
      </c>
    </row>
    <row r="4115" spans="1:3" x14ac:dyDescent="0.25">
      <c r="A4115">
        <v>81</v>
      </c>
      <c r="B4115">
        <v>181</v>
      </c>
      <c r="C4115">
        <v>1</v>
      </c>
    </row>
    <row r="4116" spans="1:3" x14ac:dyDescent="0.25">
      <c r="A4116">
        <v>90</v>
      </c>
      <c r="B4116">
        <v>181</v>
      </c>
      <c r="C4116">
        <v>1</v>
      </c>
    </row>
    <row r="4117" spans="1:3" x14ac:dyDescent="0.25">
      <c r="A4117">
        <v>105</v>
      </c>
      <c r="B4117">
        <v>181</v>
      </c>
      <c r="C4117">
        <v>1</v>
      </c>
    </row>
    <row r="4118" spans="1:3" x14ac:dyDescent="0.25">
      <c r="A4118">
        <v>113</v>
      </c>
      <c r="B4118">
        <v>181</v>
      </c>
      <c r="C4118">
        <v>1</v>
      </c>
    </row>
    <row r="4119" spans="1:3" x14ac:dyDescent="0.25">
      <c r="A4119">
        <v>116</v>
      </c>
      <c r="B4119">
        <v>181</v>
      </c>
      <c r="C4119">
        <v>1</v>
      </c>
    </row>
    <row r="4120" spans="1:3" x14ac:dyDescent="0.25">
      <c r="A4120">
        <v>171</v>
      </c>
      <c r="B4120">
        <v>181</v>
      </c>
      <c r="C4120">
        <v>5</v>
      </c>
    </row>
    <row r="4121" spans="1:3" x14ac:dyDescent="0.25">
      <c r="A4121">
        <v>171</v>
      </c>
      <c r="B4121">
        <v>181</v>
      </c>
      <c r="C4121">
        <v>1</v>
      </c>
    </row>
    <row r="4122" spans="1:3" x14ac:dyDescent="0.25">
      <c r="A4122">
        <v>172</v>
      </c>
      <c r="B4122">
        <v>181</v>
      </c>
      <c r="C4122">
        <v>2</v>
      </c>
    </row>
    <row r="4123" spans="1:3" x14ac:dyDescent="0.25">
      <c r="A4123">
        <v>191</v>
      </c>
      <c r="B4123">
        <v>181</v>
      </c>
      <c r="C4123">
        <v>1</v>
      </c>
    </row>
    <row r="4124" spans="1:3" x14ac:dyDescent="0.25">
      <c r="A4124">
        <v>195</v>
      </c>
      <c r="B4124">
        <v>181</v>
      </c>
      <c r="C4124">
        <v>3</v>
      </c>
    </row>
    <row r="4125" spans="1:3" x14ac:dyDescent="0.25">
      <c r="A4125">
        <v>215</v>
      </c>
      <c r="B4125">
        <v>181</v>
      </c>
      <c r="C4125">
        <v>4</v>
      </c>
    </row>
    <row r="4126" spans="1:3" x14ac:dyDescent="0.25">
      <c r="A4126">
        <v>218</v>
      </c>
      <c r="B4126">
        <v>181</v>
      </c>
      <c r="C4126">
        <v>1</v>
      </c>
    </row>
    <row r="4127" spans="1:3" x14ac:dyDescent="0.25">
      <c r="A4127">
        <v>218</v>
      </c>
      <c r="B4127">
        <v>181</v>
      </c>
      <c r="C4127">
        <v>4</v>
      </c>
    </row>
    <row r="4128" spans="1:3" x14ac:dyDescent="0.25">
      <c r="A4128">
        <v>219</v>
      </c>
      <c r="B4128">
        <v>181</v>
      </c>
      <c r="C4128">
        <v>5</v>
      </c>
    </row>
    <row r="4129" spans="1:3" x14ac:dyDescent="0.25">
      <c r="A4129">
        <v>223</v>
      </c>
      <c r="B4129">
        <v>181</v>
      </c>
      <c r="C4129">
        <v>5</v>
      </c>
    </row>
    <row r="4130" spans="1:3" x14ac:dyDescent="0.25">
      <c r="A4130">
        <v>223</v>
      </c>
      <c r="B4130">
        <v>181</v>
      </c>
      <c r="C4130">
        <v>4</v>
      </c>
    </row>
    <row r="4131" spans="1:3" x14ac:dyDescent="0.25">
      <c r="A4131">
        <v>236</v>
      </c>
      <c r="B4131">
        <v>181</v>
      </c>
      <c r="C4131">
        <v>2</v>
      </c>
    </row>
    <row r="4132" spans="1:3" x14ac:dyDescent="0.25">
      <c r="A4132">
        <v>263</v>
      </c>
      <c r="B4132">
        <v>181</v>
      </c>
      <c r="C4132">
        <v>3</v>
      </c>
    </row>
    <row r="4133" spans="1:3" x14ac:dyDescent="0.25">
      <c r="A4133">
        <v>286</v>
      </c>
      <c r="B4133">
        <v>181</v>
      </c>
      <c r="C4133">
        <v>4</v>
      </c>
    </row>
    <row r="4134" spans="1:3" x14ac:dyDescent="0.25">
      <c r="A4134">
        <v>288</v>
      </c>
      <c r="B4134">
        <v>181</v>
      </c>
      <c r="C4134">
        <v>2</v>
      </c>
    </row>
    <row r="4135" spans="1:3" x14ac:dyDescent="0.25">
      <c r="A4135">
        <v>18</v>
      </c>
      <c r="B4135">
        <v>182</v>
      </c>
      <c r="C4135">
        <v>5</v>
      </c>
    </row>
    <row r="4136" spans="1:3" x14ac:dyDescent="0.25">
      <c r="A4136">
        <v>27</v>
      </c>
      <c r="B4136">
        <v>182</v>
      </c>
      <c r="C4136">
        <v>3</v>
      </c>
    </row>
    <row r="4137" spans="1:3" x14ac:dyDescent="0.25">
      <c r="A4137">
        <v>79</v>
      </c>
      <c r="B4137">
        <v>182</v>
      </c>
      <c r="C4137">
        <v>1</v>
      </c>
    </row>
    <row r="4138" spans="1:3" x14ac:dyDescent="0.25">
      <c r="A4138">
        <v>99</v>
      </c>
      <c r="B4138">
        <v>182</v>
      </c>
      <c r="C4138">
        <v>5</v>
      </c>
    </row>
    <row r="4139" spans="1:3" x14ac:dyDescent="0.25">
      <c r="A4139">
        <v>138</v>
      </c>
      <c r="B4139">
        <v>182</v>
      </c>
      <c r="C4139">
        <v>1</v>
      </c>
    </row>
    <row r="4140" spans="1:3" x14ac:dyDescent="0.25">
      <c r="A4140">
        <v>140</v>
      </c>
      <c r="B4140">
        <v>182</v>
      </c>
      <c r="C4140">
        <v>5</v>
      </c>
    </row>
    <row r="4141" spans="1:3" x14ac:dyDescent="0.25">
      <c r="A4141">
        <v>164</v>
      </c>
      <c r="B4141">
        <v>182</v>
      </c>
      <c r="C4141">
        <v>1</v>
      </c>
    </row>
    <row r="4142" spans="1:3" x14ac:dyDescent="0.25">
      <c r="A4142">
        <v>172</v>
      </c>
      <c r="B4142">
        <v>182</v>
      </c>
      <c r="C4142">
        <v>5</v>
      </c>
    </row>
    <row r="4143" spans="1:3" x14ac:dyDescent="0.25">
      <c r="A4143">
        <v>176</v>
      </c>
      <c r="B4143">
        <v>182</v>
      </c>
      <c r="C4143">
        <v>4</v>
      </c>
    </row>
    <row r="4144" spans="1:3" x14ac:dyDescent="0.25">
      <c r="A4144">
        <v>211</v>
      </c>
      <c r="B4144">
        <v>182</v>
      </c>
      <c r="C4144">
        <v>2</v>
      </c>
    </row>
    <row r="4145" spans="1:3" x14ac:dyDescent="0.25">
      <c r="A4145">
        <v>215</v>
      </c>
      <c r="B4145">
        <v>182</v>
      </c>
      <c r="C4145">
        <v>2</v>
      </c>
    </row>
    <row r="4146" spans="1:3" x14ac:dyDescent="0.25">
      <c r="A4146">
        <v>265</v>
      </c>
      <c r="B4146">
        <v>182</v>
      </c>
      <c r="C4146">
        <v>5</v>
      </c>
    </row>
    <row r="4147" spans="1:3" x14ac:dyDescent="0.25">
      <c r="A4147">
        <v>267</v>
      </c>
      <c r="B4147">
        <v>182</v>
      </c>
      <c r="C4147">
        <v>5</v>
      </c>
    </row>
    <row r="4148" spans="1:3" x14ac:dyDescent="0.25">
      <c r="A4148">
        <v>272</v>
      </c>
      <c r="B4148">
        <v>182</v>
      </c>
      <c r="C4148">
        <v>5</v>
      </c>
    </row>
    <row r="4149" spans="1:3" x14ac:dyDescent="0.25">
      <c r="A4149">
        <v>273</v>
      </c>
      <c r="B4149">
        <v>182</v>
      </c>
      <c r="C4149">
        <v>2</v>
      </c>
    </row>
    <row r="4150" spans="1:3" x14ac:dyDescent="0.25">
      <c r="A4150">
        <v>282</v>
      </c>
      <c r="B4150">
        <v>182</v>
      </c>
      <c r="C4150">
        <v>2</v>
      </c>
    </row>
    <row r="4151" spans="1:3" x14ac:dyDescent="0.25">
      <c r="A4151">
        <v>299</v>
      </c>
      <c r="B4151">
        <v>182</v>
      </c>
      <c r="C4151">
        <v>1</v>
      </c>
    </row>
    <row r="4152" spans="1:3" x14ac:dyDescent="0.25">
      <c r="A4152">
        <v>7</v>
      </c>
      <c r="B4152">
        <v>183</v>
      </c>
      <c r="C4152">
        <v>5</v>
      </c>
    </row>
    <row r="4153" spans="1:3" x14ac:dyDescent="0.25">
      <c r="A4153">
        <v>7</v>
      </c>
      <c r="B4153">
        <v>183</v>
      </c>
      <c r="C4153">
        <v>4</v>
      </c>
    </row>
    <row r="4154" spans="1:3" x14ac:dyDescent="0.25">
      <c r="A4154">
        <v>12</v>
      </c>
      <c r="B4154">
        <v>183</v>
      </c>
      <c r="C4154">
        <v>5</v>
      </c>
    </row>
    <row r="4155" spans="1:3" x14ac:dyDescent="0.25">
      <c r="A4155">
        <v>25</v>
      </c>
      <c r="B4155">
        <v>183</v>
      </c>
      <c r="C4155">
        <v>3</v>
      </c>
    </row>
    <row r="4156" spans="1:3" x14ac:dyDescent="0.25">
      <c r="A4156">
        <v>27</v>
      </c>
      <c r="B4156">
        <v>183</v>
      </c>
      <c r="C4156">
        <v>3</v>
      </c>
    </row>
    <row r="4157" spans="1:3" x14ac:dyDescent="0.25">
      <c r="A4157">
        <v>34</v>
      </c>
      <c r="B4157">
        <v>183</v>
      </c>
      <c r="C4157">
        <v>3</v>
      </c>
    </row>
    <row r="4158" spans="1:3" x14ac:dyDescent="0.25">
      <c r="A4158">
        <v>47</v>
      </c>
      <c r="B4158">
        <v>183</v>
      </c>
      <c r="C4158">
        <v>4</v>
      </c>
    </row>
    <row r="4159" spans="1:3" x14ac:dyDescent="0.25">
      <c r="A4159">
        <v>63</v>
      </c>
      <c r="B4159">
        <v>183</v>
      </c>
      <c r="C4159">
        <v>4</v>
      </c>
    </row>
    <row r="4160" spans="1:3" x14ac:dyDescent="0.25">
      <c r="A4160">
        <v>97</v>
      </c>
      <c r="B4160">
        <v>183</v>
      </c>
      <c r="C4160">
        <v>3</v>
      </c>
    </row>
    <row r="4161" spans="1:3" x14ac:dyDescent="0.25">
      <c r="A4161">
        <v>99</v>
      </c>
      <c r="B4161">
        <v>183</v>
      </c>
      <c r="C4161">
        <v>1</v>
      </c>
    </row>
    <row r="4162" spans="1:3" x14ac:dyDescent="0.25">
      <c r="A4162">
        <v>116</v>
      </c>
      <c r="B4162">
        <v>183</v>
      </c>
      <c r="C4162">
        <v>1</v>
      </c>
    </row>
    <row r="4163" spans="1:3" x14ac:dyDescent="0.25">
      <c r="A4163">
        <v>130</v>
      </c>
      <c r="B4163">
        <v>183</v>
      </c>
      <c r="C4163">
        <v>4</v>
      </c>
    </row>
    <row r="4164" spans="1:3" x14ac:dyDescent="0.25">
      <c r="A4164">
        <v>145</v>
      </c>
      <c r="B4164">
        <v>183</v>
      </c>
      <c r="C4164">
        <v>4</v>
      </c>
    </row>
    <row r="4165" spans="1:3" x14ac:dyDescent="0.25">
      <c r="A4165">
        <v>149</v>
      </c>
      <c r="B4165">
        <v>183</v>
      </c>
      <c r="C4165">
        <v>3</v>
      </c>
    </row>
    <row r="4166" spans="1:3" x14ac:dyDescent="0.25">
      <c r="A4166">
        <v>153</v>
      </c>
      <c r="B4166">
        <v>183</v>
      </c>
      <c r="C4166">
        <v>4</v>
      </c>
    </row>
    <row r="4167" spans="1:3" x14ac:dyDescent="0.25">
      <c r="A4167">
        <v>153</v>
      </c>
      <c r="B4167">
        <v>183</v>
      </c>
      <c r="C4167">
        <v>5</v>
      </c>
    </row>
    <row r="4168" spans="1:3" x14ac:dyDescent="0.25">
      <c r="A4168">
        <v>169</v>
      </c>
      <c r="B4168">
        <v>183</v>
      </c>
      <c r="C4168">
        <v>4</v>
      </c>
    </row>
    <row r="4169" spans="1:3" x14ac:dyDescent="0.25">
      <c r="A4169">
        <v>172</v>
      </c>
      <c r="B4169">
        <v>183</v>
      </c>
      <c r="C4169">
        <v>4</v>
      </c>
    </row>
    <row r="4170" spans="1:3" x14ac:dyDescent="0.25">
      <c r="A4170">
        <v>174</v>
      </c>
      <c r="B4170">
        <v>183</v>
      </c>
      <c r="C4170">
        <v>3</v>
      </c>
    </row>
    <row r="4171" spans="1:3" x14ac:dyDescent="0.25">
      <c r="A4171">
        <v>222</v>
      </c>
      <c r="B4171">
        <v>183</v>
      </c>
      <c r="C4171">
        <v>1</v>
      </c>
    </row>
    <row r="4172" spans="1:3" x14ac:dyDescent="0.25">
      <c r="A4172">
        <v>231</v>
      </c>
      <c r="B4172">
        <v>183</v>
      </c>
      <c r="C4172">
        <v>4</v>
      </c>
    </row>
    <row r="4173" spans="1:3" x14ac:dyDescent="0.25">
      <c r="A4173">
        <v>236</v>
      </c>
      <c r="B4173">
        <v>183</v>
      </c>
      <c r="C4173">
        <v>4</v>
      </c>
    </row>
    <row r="4174" spans="1:3" x14ac:dyDescent="0.25">
      <c r="A4174">
        <v>241</v>
      </c>
      <c r="B4174">
        <v>183</v>
      </c>
      <c r="C4174">
        <v>1</v>
      </c>
    </row>
    <row r="4175" spans="1:3" x14ac:dyDescent="0.25">
      <c r="A4175">
        <v>244</v>
      </c>
      <c r="B4175">
        <v>183</v>
      </c>
      <c r="C4175">
        <v>4</v>
      </c>
    </row>
    <row r="4176" spans="1:3" x14ac:dyDescent="0.25">
      <c r="A4176">
        <v>255</v>
      </c>
      <c r="B4176">
        <v>183</v>
      </c>
      <c r="C4176">
        <v>5</v>
      </c>
    </row>
    <row r="4177" spans="1:3" x14ac:dyDescent="0.25">
      <c r="A4177">
        <v>272</v>
      </c>
      <c r="B4177">
        <v>183</v>
      </c>
      <c r="C4177">
        <v>4</v>
      </c>
    </row>
    <row r="4178" spans="1:3" x14ac:dyDescent="0.25">
      <c r="A4178">
        <v>281</v>
      </c>
      <c r="B4178">
        <v>183</v>
      </c>
      <c r="C4178">
        <v>2</v>
      </c>
    </row>
    <row r="4179" spans="1:3" x14ac:dyDescent="0.25">
      <c r="A4179">
        <v>286</v>
      </c>
      <c r="B4179">
        <v>183</v>
      </c>
      <c r="C4179">
        <v>5</v>
      </c>
    </row>
    <row r="4180" spans="1:3" x14ac:dyDescent="0.25">
      <c r="A4180">
        <v>290</v>
      </c>
      <c r="B4180">
        <v>183</v>
      </c>
      <c r="C4180">
        <v>3</v>
      </c>
    </row>
    <row r="4181" spans="1:3" x14ac:dyDescent="0.25">
      <c r="A4181">
        <v>18</v>
      </c>
      <c r="B4181">
        <v>184</v>
      </c>
      <c r="C4181">
        <v>3</v>
      </c>
    </row>
    <row r="4182" spans="1:3" x14ac:dyDescent="0.25">
      <c r="A4182">
        <v>40</v>
      </c>
      <c r="B4182">
        <v>184</v>
      </c>
      <c r="C4182">
        <v>3</v>
      </c>
    </row>
    <row r="4183" spans="1:3" x14ac:dyDescent="0.25">
      <c r="A4183">
        <v>55</v>
      </c>
      <c r="B4183">
        <v>184</v>
      </c>
      <c r="C4183">
        <v>3</v>
      </c>
    </row>
    <row r="4184" spans="1:3" x14ac:dyDescent="0.25">
      <c r="A4184">
        <v>73</v>
      </c>
      <c r="B4184">
        <v>184</v>
      </c>
      <c r="C4184">
        <v>1</v>
      </c>
    </row>
    <row r="4185" spans="1:3" x14ac:dyDescent="0.25">
      <c r="A4185">
        <v>79</v>
      </c>
      <c r="B4185">
        <v>184</v>
      </c>
      <c r="C4185">
        <v>2</v>
      </c>
    </row>
    <row r="4186" spans="1:3" x14ac:dyDescent="0.25">
      <c r="A4186">
        <v>83</v>
      </c>
      <c r="B4186">
        <v>184</v>
      </c>
      <c r="C4186">
        <v>1</v>
      </c>
    </row>
    <row r="4187" spans="1:3" x14ac:dyDescent="0.25">
      <c r="A4187">
        <v>84</v>
      </c>
      <c r="B4187">
        <v>184</v>
      </c>
      <c r="C4187">
        <v>2</v>
      </c>
    </row>
    <row r="4188" spans="1:3" x14ac:dyDescent="0.25">
      <c r="A4188">
        <v>86</v>
      </c>
      <c r="B4188">
        <v>184</v>
      </c>
      <c r="C4188">
        <v>4</v>
      </c>
    </row>
    <row r="4189" spans="1:3" x14ac:dyDescent="0.25">
      <c r="A4189">
        <v>109</v>
      </c>
      <c r="B4189">
        <v>184</v>
      </c>
      <c r="C4189">
        <v>3</v>
      </c>
    </row>
    <row r="4190" spans="1:3" x14ac:dyDescent="0.25">
      <c r="A4190">
        <v>109</v>
      </c>
      <c r="B4190">
        <v>184</v>
      </c>
      <c r="C4190">
        <v>1</v>
      </c>
    </row>
    <row r="4191" spans="1:3" x14ac:dyDescent="0.25">
      <c r="A4191">
        <v>110</v>
      </c>
      <c r="B4191">
        <v>184</v>
      </c>
      <c r="C4191">
        <v>4</v>
      </c>
    </row>
    <row r="4192" spans="1:3" x14ac:dyDescent="0.25">
      <c r="A4192">
        <v>142</v>
      </c>
      <c r="B4192">
        <v>184</v>
      </c>
      <c r="C4192">
        <v>1</v>
      </c>
    </row>
    <row r="4193" spans="1:3" x14ac:dyDescent="0.25">
      <c r="A4193">
        <v>185</v>
      </c>
      <c r="B4193">
        <v>184</v>
      </c>
      <c r="C4193">
        <v>1</v>
      </c>
    </row>
    <row r="4194" spans="1:3" x14ac:dyDescent="0.25">
      <c r="A4194">
        <v>190</v>
      </c>
      <c r="B4194">
        <v>184</v>
      </c>
      <c r="C4194">
        <v>5</v>
      </c>
    </row>
    <row r="4195" spans="1:3" x14ac:dyDescent="0.25">
      <c r="A4195">
        <v>200</v>
      </c>
      <c r="B4195">
        <v>184</v>
      </c>
      <c r="C4195">
        <v>2</v>
      </c>
    </row>
    <row r="4196" spans="1:3" x14ac:dyDescent="0.25">
      <c r="A4196">
        <v>216</v>
      </c>
      <c r="B4196">
        <v>184</v>
      </c>
      <c r="C4196">
        <v>5</v>
      </c>
    </row>
    <row r="4197" spans="1:3" x14ac:dyDescent="0.25">
      <c r="A4197">
        <v>239</v>
      </c>
      <c r="B4197">
        <v>184</v>
      </c>
      <c r="C4197">
        <v>2</v>
      </c>
    </row>
    <row r="4198" spans="1:3" x14ac:dyDescent="0.25">
      <c r="A4198">
        <v>256</v>
      </c>
      <c r="B4198">
        <v>184</v>
      </c>
      <c r="C4198">
        <v>1</v>
      </c>
    </row>
    <row r="4199" spans="1:3" x14ac:dyDescent="0.25">
      <c r="A4199">
        <v>2</v>
      </c>
      <c r="B4199">
        <v>185</v>
      </c>
      <c r="C4199">
        <v>2</v>
      </c>
    </row>
    <row r="4200" spans="1:3" x14ac:dyDescent="0.25">
      <c r="A4200">
        <v>18</v>
      </c>
      <c r="B4200">
        <v>185</v>
      </c>
      <c r="C4200">
        <v>3</v>
      </c>
    </row>
    <row r="4201" spans="1:3" x14ac:dyDescent="0.25">
      <c r="A4201">
        <v>27</v>
      </c>
      <c r="B4201">
        <v>185</v>
      </c>
      <c r="C4201">
        <v>3</v>
      </c>
    </row>
    <row r="4202" spans="1:3" x14ac:dyDescent="0.25">
      <c r="A4202">
        <v>35</v>
      </c>
      <c r="B4202">
        <v>185</v>
      </c>
      <c r="C4202">
        <v>2</v>
      </c>
    </row>
    <row r="4203" spans="1:3" x14ac:dyDescent="0.25">
      <c r="A4203">
        <v>40</v>
      </c>
      <c r="B4203">
        <v>185</v>
      </c>
      <c r="C4203">
        <v>4</v>
      </c>
    </row>
    <row r="4204" spans="1:3" x14ac:dyDescent="0.25">
      <c r="A4204">
        <v>42</v>
      </c>
      <c r="B4204">
        <v>185</v>
      </c>
      <c r="C4204">
        <v>5</v>
      </c>
    </row>
    <row r="4205" spans="1:3" x14ac:dyDescent="0.25">
      <c r="A4205">
        <v>54</v>
      </c>
      <c r="B4205">
        <v>185</v>
      </c>
      <c r="C4205">
        <v>3</v>
      </c>
    </row>
    <row r="4206" spans="1:3" x14ac:dyDescent="0.25">
      <c r="A4206">
        <v>104</v>
      </c>
      <c r="B4206">
        <v>185</v>
      </c>
      <c r="C4206">
        <v>2</v>
      </c>
    </row>
    <row r="4207" spans="1:3" x14ac:dyDescent="0.25">
      <c r="A4207">
        <v>107</v>
      </c>
      <c r="B4207">
        <v>185</v>
      </c>
      <c r="C4207">
        <v>3</v>
      </c>
    </row>
    <row r="4208" spans="1:3" x14ac:dyDescent="0.25">
      <c r="A4208">
        <v>110</v>
      </c>
      <c r="B4208">
        <v>185</v>
      </c>
      <c r="C4208">
        <v>4</v>
      </c>
    </row>
    <row r="4209" spans="1:3" x14ac:dyDescent="0.25">
      <c r="A4209">
        <v>117</v>
      </c>
      <c r="B4209">
        <v>185</v>
      </c>
      <c r="C4209">
        <v>2</v>
      </c>
    </row>
    <row r="4210" spans="1:3" x14ac:dyDescent="0.25">
      <c r="A4210">
        <v>137</v>
      </c>
      <c r="B4210">
        <v>185</v>
      </c>
      <c r="C4210">
        <v>3</v>
      </c>
    </row>
    <row r="4211" spans="1:3" x14ac:dyDescent="0.25">
      <c r="A4211">
        <v>149</v>
      </c>
      <c r="B4211">
        <v>185</v>
      </c>
      <c r="C4211">
        <v>2</v>
      </c>
    </row>
    <row r="4212" spans="1:3" x14ac:dyDescent="0.25">
      <c r="A4212">
        <v>149</v>
      </c>
      <c r="B4212">
        <v>185</v>
      </c>
      <c r="C4212">
        <v>4</v>
      </c>
    </row>
    <row r="4213" spans="1:3" x14ac:dyDescent="0.25">
      <c r="A4213">
        <v>162</v>
      </c>
      <c r="B4213">
        <v>185</v>
      </c>
      <c r="C4213">
        <v>4</v>
      </c>
    </row>
    <row r="4214" spans="1:3" x14ac:dyDescent="0.25">
      <c r="A4214">
        <v>179</v>
      </c>
      <c r="B4214">
        <v>185</v>
      </c>
      <c r="C4214">
        <v>2</v>
      </c>
    </row>
    <row r="4215" spans="1:3" x14ac:dyDescent="0.25">
      <c r="A4215">
        <v>196</v>
      </c>
      <c r="B4215">
        <v>185</v>
      </c>
      <c r="C4215">
        <v>1</v>
      </c>
    </row>
    <row r="4216" spans="1:3" x14ac:dyDescent="0.25">
      <c r="A4216">
        <v>199</v>
      </c>
      <c r="B4216">
        <v>185</v>
      </c>
      <c r="C4216">
        <v>2</v>
      </c>
    </row>
    <row r="4217" spans="1:3" x14ac:dyDescent="0.25">
      <c r="A4217">
        <v>225</v>
      </c>
      <c r="B4217">
        <v>185</v>
      </c>
      <c r="C4217">
        <v>3</v>
      </c>
    </row>
    <row r="4218" spans="1:3" x14ac:dyDescent="0.25">
      <c r="A4218">
        <v>250</v>
      </c>
      <c r="B4218">
        <v>185</v>
      </c>
      <c r="C4218">
        <v>5</v>
      </c>
    </row>
    <row r="4219" spans="1:3" x14ac:dyDescent="0.25">
      <c r="A4219">
        <v>266</v>
      </c>
      <c r="B4219">
        <v>185</v>
      </c>
      <c r="C4219">
        <v>2</v>
      </c>
    </row>
    <row r="4220" spans="1:3" x14ac:dyDescent="0.25">
      <c r="A4220">
        <v>275</v>
      </c>
      <c r="B4220">
        <v>185</v>
      </c>
      <c r="C4220">
        <v>2</v>
      </c>
    </row>
    <row r="4221" spans="1:3" x14ac:dyDescent="0.25">
      <c r="A4221">
        <v>280</v>
      </c>
      <c r="B4221">
        <v>185</v>
      </c>
      <c r="C4221">
        <v>2</v>
      </c>
    </row>
    <row r="4222" spans="1:3" x14ac:dyDescent="0.25">
      <c r="A4222">
        <v>11</v>
      </c>
      <c r="B4222">
        <v>186</v>
      </c>
      <c r="C4222">
        <v>4</v>
      </c>
    </row>
    <row r="4223" spans="1:3" x14ac:dyDescent="0.25">
      <c r="A4223">
        <v>14</v>
      </c>
      <c r="B4223">
        <v>186</v>
      </c>
      <c r="C4223">
        <v>4</v>
      </c>
    </row>
    <row r="4224" spans="1:3" x14ac:dyDescent="0.25">
      <c r="A4224">
        <v>55</v>
      </c>
      <c r="B4224">
        <v>186</v>
      </c>
      <c r="C4224">
        <v>2</v>
      </c>
    </row>
    <row r="4225" spans="1:3" x14ac:dyDescent="0.25">
      <c r="A4225">
        <v>56</v>
      </c>
      <c r="B4225">
        <v>186</v>
      </c>
      <c r="C4225">
        <v>5</v>
      </c>
    </row>
    <row r="4226" spans="1:3" x14ac:dyDescent="0.25">
      <c r="A4226">
        <v>68</v>
      </c>
      <c r="B4226">
        <v>186</v>
      </c>
      <c r="C4226">
        <v>2</v>
      </c>
    </row>
    <row r="4227" spans="1:3" x14ac:dyDescent="0.25">
      <c r="A4227">
        <v>84</v>
      </c>
      <c r="B4227">
        <v>186</v>
      </c>
      <c r="C4227">
        <v>3</v>
      </c>
    </row>
    <row r="4228" spans="1:3" x14ac:dyDescent="0.25">
      <c r="A4228">
        <v>106</v>
      </c>
      <c r="B4228">
        <v>186</v>
      </c>
      <c r="C4228">
        <v>1</v>
      </c>
    </row>
    <row r="4229" spans="1:3" x14ac:dyDescent="0.25">
      <c r="A4229">
        <v>126</v>
      </c>
      <c r="B4229">
        <v>186</v>
      </c>
      <c r="C4229">
        <v>3</v>
      </c>
    </row>
    <row r="4230" spans="1:3" x14ac:dyDescent="0.25">
      <c r="A4230">
        <v>141</v>
      </c>
      <c r="B4230">
        <v>186</v>
      </c>
      <c r="C4230">
        <v>4</v>
      </c>
    </row>
    <row r="4231" spans="1:3" x14ac:dyDescent="0.25">
      <c r="A4231">
        <v>144</v>
      </c>
      <c r="B4231">
        <v>186</v>
      </c>
      <c r="C4231">
        <v>1</v>
      </c>
    </row>
    <row r="4232" spans="1:3" x14ac:dyDescent="0.25">
      <c r="A4232">
        <v>152</v>
      </c>
      <c r="B4232">
        <v>186</v>
      </c>
      <c r="C4232">
        <v>5</v>
      </c>
    </row>
    <row r="4233" spans="1:3" x14ac:dyDescent="0.25">
      <c r="A4233">
        <v>164</v>
      </c>
      <c r="B4233">
        <v>186</v>
      </c>
      <c r="C4233">
        <v>4</v>
      </c>
    </row>
    <row r="4234" spans="1:3" x14ac:dyDescent="0.25">
      <c r="A4234">
        <v>183</v>
      </c>
      <c r="B4234">
        <v>186</v>
      </c>
      <c r="C4234">
        <v>4</v>
      </c>
    </row>
    <row r="4235" spans="1:3" x14ac:dyDescent="0.25">
      <c r="A4235">
        <v>184</v>
      </c>
      <c r="B4235">
        <v>186</v>
      </c>
      <c r="C4235">
        <v>4</v>
      </c>
    </row>
    <row r="4236" spans="1:3" x14ac:dyDescent="0.25">
      <c r="A4236">
        <v>222</v>
      </c>
      <c r="B4236">
        <v>186</v>
      </c>
      <c r="C4236">
        <v>3</v>
      </c>
    </row>
    <row r="4237" spans="1:3" x14ac:dyDescent="0.25">
      <c r="A4237">
        <v>253</v>
      </c>
      <c r="B4237">
        <v>186</v>
      </c>
      <c r="C4237">
        <v>3</v>
      </c>
    </row>
    <row r="4238" spans="1:3" x14ac:dyDescent="0.25">
      <c r="A4238">
        <v>283</v>
      </c>
      <c r="B4238">
        <v>186</v>
      </c>
      <c r="C4238">
        <v>3</v>
      </c>
    </row>
    <row r="4239" spans="1:3" x14ac:dyDescent="0.25">
      <c r="A4239">
        <v>15</v>
      </c>
      <c r="B4239">
        <v>187</v>
      </c>
      <c r="C4239">
        <v>4</v>
      </c>
    </row>
    <row r="4240" spans="1:3" x14ac:dyDescent="0.25">
      <c r="A4240">
        <v>31</v>
      </c>
      <c r="B4240">
        <v>187</v>
      </c>
      <c r="C4240">
        <v>3</v>
      </c>
    </row>
    <row r="4241" spans="1:3" x14ac:dyDescent="0.25">
      <c r="A4241">
        <v>41</v>
      </c>
      <c r="B4241">
        <v>187</v>
      </c>
      <c r="C4241">
        <v>2</v>
      </c>
    </row>
    <row r="4242" spans="1:3" x14ac:dyDescent="0.25">
      <c r="A4242">
        <v>63</v>
      </c>
      <c r="B4242">
        <v>187</v>
      </c>
      <c r="C4242">
        <v>2</v>
      </c>
    </row>
    <row r="4243" spans="1:3" x14ac:dyDescent="0.25">
      <c r="A4243">
        <v>75</v>
      </c>
      <c r="B4243">
        <v>187</v>
      </c>
      <c r="C4243">
        <v>1</v>
      </c>
    </row>
    <row r="4244" spans="1:3" x14ac:dyDescent="0.25">
      <c r="A4244">
        <v>86</v>
      </c>
      <c r="B4244">
        <v>187</v>
      </c>
      <c r="C4244">
        <v>3</v>
      </c>
    </row>
    <row r="4245" spans="1:3" x14ac:dyDescent="0.25">
      <c r="A4245">
        <v>93</v>
      </c>
      <c r="B4245">
        <v>187</v>
      </c>
      <c r="C4245">
        <v>3</v>
      </c>
    </row>
    <row r="4246" spans="1:3" x14ac:dyDescent="0.25">
      <c r="A4246">
        <v>136</v>
      </c>
      <c r="B4246">
        <v>187</v>
      </c>
      <c r="C4246">
        <v>2</v>
      </c>
    </row>
    <row r="4247" spans="1:3" x14ac:dyDescent="0.25">
      <c r="A4247">
        <v>140</v>
      </c>
      <c r="B4247">
        <v>187</v>
      </c>
      <c r="C4247">
        <v>3</v>
      </c>
    </row>
    <row r="4248" spans="1:3" x14ac:dyDescent="0.25">
      <c r="A4248">
        <v>185</v>
      </c>
      <c r="B4248">
        <v>187</v>
      </c>
      <c r="C4248">
        <v>2</v>
      </c>
    </row>
    <row r="4249" spans="1:3" x14ac:dyDescent="0.25">
      <c r="A4249">
        <v>189</v>
      </c>
      <c r="B4249">
        <v>187</v>
      </c>
      <c r="C4249">
        <v>5</v>
      </c>
    </row>
    <row r="4250" spans="1:3" x14ac:dyDescent="0.25">
      <c r="A4250">
        <v>192</v>
      </c>
      <c r="B4250">
        <v>187</v>
      </c>
      <c r="C4250">
        <v>5</v>
      </c>
    </row>
    <row r="4251" spans="1:3" x14ac:dyDescent="0.25">
      <c r="A4251">
        <v>194</v>
      </c>
      <c r="B4251">
        <v>187</v>
      </c>
      <c r="C4251">
        <v>1</v>
      </c>
    </row>
    <row r="4252" spans="1:3" x14ac:dyDescent="0.25">
      <c r="A4252">
        <v>195</v>
      </c>
      <c r="B4252">
        <v>187</v>
      </c>
      <c r="C4252">
        <v>4</v>
      </c>
    </row>
    <row r="4253" spans="1:3" x14ac:dyDescent="0.25">
      <c r="A4253">
        <v>198</v>
      </c>
      <c r="B4253">
        <v>187</v>
      </c>
      <c r="C4253">
        <v>5</v>
      </c>
    </row>
    <row r="4254" spans="1:3" x14ac:dyDescent="0.25">
      <c r="A4254">
        <v>218</v>
      </c>
      <c r="B4254">
        <v>187</v>
      </c>
      <c r="C4254">
        <v>4</v>
      </c>
    </row>
    <row r="4255" spans="1:3" x14ac:dyDescent="0.25">
      <c r="A4255">
        <v>220</v>
      </c>
      <c r="B4255">
        <v>187</v>
      </c>
      <c r="C4255">
        <v>2</v>
      </c>
    </row>
    <row r="4256" spans="1:3" x14ac:dyDescent="0.25">
      <c r="A4256">
        <v>230</v>
      </c>
      <c r="B4256">
        <v>187</v>
      </c>
      <c r="C4256">
        <v>1</v>
      </c>
    </row>
    <row r="4257" spans="1:3" x14ac:dyDescent="0.25">
      <c r="A4257">
        <v>238</v>
      </c>
      <c r="B4257">
        <v>187</v>
      </c>
      <c r="C4257">
        <v>2</v>
      </c>
    </row>
    <row r="4258" spans="1:3" x14ac:dyDescent="0.25">
      <c r="A4258">
        <v>241</v>
      </c>
      <c r="B4258">
        <v>187</v>
      </c>
      <c r="C4258">
        <v>2</v>
      </c>
    </row>
    <row r="4259" spans="1:3" x14ac:dyDescent="0.25">
      <c r="A4259">
        <v>245</v>
      </c>
      <c r="B4259">
        <v>187</v>
      </c>
      <c r="C4259">
        <v>1</v>
      </c>
    </row>
    <row r="4260" spans="1:3" x14ac:dyDescent="0.25">
      <c r="A4260">
        <v>245</v>
      </c>
      <c r="B4260">
        <v>187</v>
      </c>
      <c r="C4260">
        <v>3</v>
      </c>
    </row>
    <row r="4261" spans="1:3" x14ac:dyDescent="0.25">
      <c r="A4261">
        <v>247</v>
      </c>
      <c r="B4261">
        <v>187</v>
      </c>
      <c r="C4261">
        <v>2</v>
      </c>
    </row>
    <row r="4262" spans="1:3" x14ac:dyDescent="0.25">
      <c r="A4262">
        <v>251</v>
      </c>
      <c r="B4262">
        <v>187</v>
      </c>
      <c r="C4262">
        <v>5</v>
      </c>
    </row>
    <row r="4263" spans="1:3" x14ac:dyDescent="0.25">
      <c r="A4263">
        <v>265</v>
      </c>
      <c r="B4263">
        <v>187</v>
      </c>
      <c r="C4263">
        <v>4</v>
      </c>
    </row>
    <row r="4264" spans="1:3" x14ac:dyDescent="0.25">
      <c r="A4264">
        <v>283</v>
      </c>
      <c r="B4264">
        <v>187</v>
      </c>
      <c r="C4264">
        <v>4</v>
      </c>
    </row>
    <row r="4265" spans="1:3" x14ac:dyDescent="0.25">
      <c r="A4265">
        <v>292</v>
      </c>
      <c r="B4265">
        <v>187</v>
      </c>
      <c r="C4265">
        <v>1</v>
      </c>
    </row>
    <row r="4266" spans="1:3" x14ac:dyDescent="0.25">
      <c r="A4266">
        <v>297</v>
      </c>
      <c r="B4266">
        <v>187</v>
      </c>
      <c r="C4266">
        <v>2</v>
      </c>
    </row>
    <row r="4267" spans="1:3" x14ac:dyDescent="0.25">
      <c r="A4267">
        <v>9</v>
      </c>
      <c r="B4267">
        <v>188</v>
      </c>
      <c r="C4267">
        <v>4</v>
      </c>
    </row>
    <row r="4268" spans="1:3" x14ac:dyDescent="0.25">
      <c r="A4268">
        <v>35</v>
      </c>
      <c r="B4268">
        <v>188</v>
      </c>
      <c r="C4268">
        <v>3</v>
      </c>
    </row>
    <row r="4269" spans="1:3" x14ac:dyDescent="0.25">
      <c r="A4269">
        <v>35</v>
      </c>
      <c r="B4269">
        <v>188</v>
      </c>
      <c r="C4269">
        <v>2</v>
      </c>
    </row>
    <row r="4270" spans="1:3" x14ac:dyDescent="0.25">
      <c r="A4270">
        <v>58</v>
      </c>
      <c r="B4270">
        <v>188</v>
      </c>
      <c r="C4270">
        <v>2</v>
      </c>
    </row>
    <row r="4271" spans="1:3" x14ac:dyDescent="0.25">
      <c r="A4271">
        <v>60</v>
      </c>
      <c r="B4271">
        <v>188</v>
      </c>
      <c r="C4271">
        <v>3</v>
      </c>
    </row>
    <row r="4272" spans="1:3" x14ac:dyDescent="0.25">
      <c r="A4272">
        <v>74</v>
      </c>
      <c r="B4272">
        <v>188</v>
      </c>
      <c r="C4272">
        <v>2</v>
      </c>
    </row>
    <row r="4273" spans="1:3" x14ac:dyDescent="0.25">
      <c r="A4273">
        <v>96</v>
      </c>
      <c r="B4273">
        <v>188</v>
      </c>
      <c r="C4273">
        <v>5</v>
      </c>
    </row>
    <row r="4274" spans="1:3" x14ac:dyDescent="0.25">
      <c r="A4274">
        <v>107</v>
      </c>
      <c r="B4274">
        <v>188</v>
      </c>
      <c r="C4274">
        <v>4</v>
      </c>
    </row>
    <row r="4275" spans="1:3" x14ac:dyDescent="0.25">
      <c r="A4275">
        <v>136</v>
      </c>
      <c r="B4275">
        <v>188</v>
      </c>
      <c r="C4275">
        <v>2</v>
      </c>
    </row>
    <row r="4276" spans="1:3" x14ac:dyDescent="0.25">
      <c r="A4276">
        <v>165</v>
      </c>
      <c r="B4276">
        <v>188</v>
      </c>
      <c r="C4276">
        <v>2</v>
      </c>
    </row>
    <row r="4277" spans="1:3" x14ac:dyDescent="0.25">
      <c r="A4277">
        <v>165</v>
      </c>
      <c r="B4277">
        <v>188</v>
      </c>
      <c r="C4277">
        <v>3</v>
      </c>
    </row>
    <row r="4278" spans="1:3" x14ac:dyDescent="0.25">
      <c r="A4278">
        <v>178</v>
      </c>
      <c r="B4278">
        <v>188</v>
      </c>
      <c r="C4278">
        <v>5</v>
      </c>
    </row>
    <row r="4279" spans="1:3" x14ac:dyDescent="0.25">
      <c r="A4279">
        <v>211</v>
      </c>
      <c r="B4279">
        <v>188</v>
      </c>
      <c r="C4279">
        <v>2</v>
      </c>
    </row>
    <row r="4280" spans="1:3" x14ac:dyDescent="0.25">
      <c r="A4280">
        <v>238</v>
      </c>
      <c r="B4280">
        <v>188</v>
      </c>
      <c r="C4280">
        <v>1</v>
      </c>
    </row>
    <row r="4281" spans="1:3" x14ac:dyDescent="0.25">
      <c r="A4281">
        <v>241</v>
      </c>
      <c r="B4281">
        <v>188</v>
      </c>
      <c r="C4281">
        <v>3</v>
      </c>
    </row>
    <row r="4282" spans="1:3" x14ac:dyDescent="0.25">
      <c r="A4282">
        <v>249</v>
      </c>
      <c r="B4282">
        <v>188</v>
      </c>
      <c r="C4282">
        <v>3</v>
      </c>
    </row>
    <row r="4283" spans="1:3" x14ac:dyDescent="0.25">
      <c r="A4283">
        <v>259</v>
      </c>
      <c r="B4283">
        <v>188</v>
      </c>
      <c r="C4283">
        <v>3</v>
      </c>
    </row>
    <row r="4284" spans="1:3" x14ac:dyDescent="0.25">
      <c r="A4284">
        <v>265</v>
      </c>
      <c r="B4284">
        <v>188</v>
      </c>
      <c r="C4284">
        <v>1</v>
      </c>
    </row>
    <row r="4285" spans="1:3" x14ac:dyDescent="0.25">
      <c r="A4285">
        <v>284</v>
      </c>
      <c r="B4285">
        <v>188</v>
      </c>
      <c r="C4285">
        <v>5</v>
      </c>
    </row>
    <row r="4286" spans="1:3" x14ac:dyDescent="0.25">
      <c r="A4286">
        <v>40</v>
      </c>
      <c r="B4286">
        <v>189</v>
      </c>
      <c r="C4286">
        <v>5</v>
      </c>
    </row>
    <row r="4287" spans="1:3" x14ac:dyDescent="0.25">
      <c r="A4287">
        <v>54</v>
      </c>
      <c r="B4287">
        <v>189</v>
      </c>
      <c r="C4287">
        <v>4</v>
      </c>
    </row>
    <row r="4288" spans="1:3" x14ac:dyDescent="0.25">
      <c r="A4288">
        <v>83</v>
      </c>
      <c r="B4288">
        <v>189</v>
      </c>
      <c r="C4288">
        <v>5</v>
      </c>
    </row>
    <row r="4289" spans="1:3" x14ac:dyDescent="0.25">
      <c r="A4289">
        <v>100</v>
      </c>
      <c r="B4289">
        <v>189</v>
      </c>
      <c r="C4289">
        <v>1</v>
      </c>
    </row>
    <row r="4290" spans="1:3" x14ac:dyDescent="0.25">
      <c r="A4290">
        <v>106</v>
      </c>
      <c r="B4290">
        <v>189</v>
      </c>
      <c r="C4290">
        <v>4</v>
      </c>
    </row>
    <row r="4291" spans="1:3" x14ac:dyDescent="0.25">
      <c r="A4291">
        <v>117</v>
      </c>
      <c r="B4291">
        <v>189</v>
      </c>
      <c r="C4291">
        <v>4</v>
      </c>
    </row>
    <row r="4292" spans="1:3" x14ac:dyDescent="0.25">
      <c r="A4292">
        <v>127</v>
      </c>
      <c r="B4292">
        <v>189</v>
      </c>
      <c r="C4292">
        <v>5</v>
      </c>
    </row>
    <row r="4293" spans="1:3" x14ac:dyDescent="0.25">
      <c r="A4293">
        <v>148</v>
      </c>
      <c r="B4293">
        <v>189</v>
      </c>
      <c r="C4293">
        <v>3</v>
      </c>
    </row>
    <row r="4294" spans="1:3" x14ac:dyDescent="0.25">
      <c r="A4294">
        <v>150</v>
      </c>
      <c r="B4294">
        <v>189</v>
      </c>
      <c r="C4294">
        <v>2</v>
      </c>
    </row>
    <row r="4295" spans="1:3" x14ac:dyDescent="0.25">
      <c r="A4295">
        <v>178</v>
      </c>
      <c r="B4295">
        <v>189</v>
      </c>
      <c r="C4295">
        <v>4</v>
      </c>
    </row>
    <row r="4296" spans="1:3" x14ac:dyDescent="0.25">
      <c r="A4296">
        <v>181</v>
      </c>
      <c r="B4296">
        <v>189</v>
      </c>
      <c r="C4296">
        <v>1</v>
      </c>
    </row>
    <row r="4297" spans="1:3" x14ac:dyDescent="0.25">
      <c r="A4297">
        <v>199</v>
      </c>
      <c r="B4297">
        <v>189</v>
      </c>
      <c r="C4297">
        <v>1</v>
      </c>
    </row>
    <row r="4298" spans="1:3" x14ac:dyDescent="0.25">
      <c r="A4298">
        <v>221</v>
      </c>
      <c r="B4298">
        <v>189</v>
      </c>
      <c r="C4298">
        <v>1</v>
      </c>
    </row>
    <row r="4299" spans="1:3" x14ac:dyDescent="0.25">
      <c r="A4299">
        <v>235</v>
      </c>
      <c r="B4299">
        <v>189</v>
      </c>
      <c r="C4299">
        <v>5</v>
      </c>
    </row>
    <row r="4300" spans="1:3" x14ac:dyDescent="0.25">
      <c r="A4300">
        <v>263</v>
      </c>
      <c r="B4300">
        <v>189</v>
      </c>
      <c r="C4300">
        <v>3</v>
      </c>
    </row>
    <row r="4301" spans="1:3" x14ac:dyDescent="0.25">
      <c r="A4301">
        <v>270</v>
      </c>
      <c r="B4301">
        <v>189</v>
      </c>
      <c r="C4301">
        <v>4</v>
      </c>
    </row>
    <row r="4302" spans="1:3" x14ac:dyDescent="0.25">
      <c r="A4302">
        <v>5</v>
      </c>
      <c r="B4302">
        <v>190</v>
      </c>
      <c r="C4302">
        <v>2</v>
      </c>
    </row>
    <row r="4303" spans="1:3" x14ac:dyDescent="0.25">
      <c r="A4303">
        <v>23</v>
      </c>
      <c r="B4303">
        <v>190</v>
      </c>
      <c r="C4303">
        <v>3</v>
      </c>
    </row>
    <row r="4304" spans="1:3" x14ac:dyDescent="0.25">
      <c r="A4304">
        <v>25</v>
      </c>
      <c r="B4304">
        <v>190</v>
      </c>
      <c r="C4304">
        <v>3</v>
      </c>
    </row>
    <row r="4305" spans="1:3" x14ac:dyDescent="0.25">
      <c r="A4305">
        <v>28</v>
      </c>
      <c r="B4305">
        <v>190</v>
      </c>
      <c r="C4305">
        <v>4</v>
      </c>
    </row>
    <row r="4306" spans="1:3" x14ac:dyDescent="0.25">
      <c r="A4306">
        <v>34</v>
      </c>
      <c r="B4306">
        <v>190</v>
      </c>
      <c r="C4306">
        <v>4</v>
      </c>
    </row>
    <row r="4307" spans="1:3" x14ac:dyDescent="0.25">
      <c r="A4307">
        <v>34</v>
      </c>
      <c r="B4307">
        <v>190</v>
      </c>
      <c r="C4307">
        <v>3</v>
      </c>
    </row>
    <row r="4308" spans="1:3" x14ac:dyDescent="0.25">
      <c r="A4308">
        <v>53</v>
      </c>
      <c r="B4308">
        <v>190</v>
      </c>
      <c r="C4308">
        <v>4</v>
      </c>
    </row>
    <row r="4309" spans="1:3" x14ac:dyDescent="0.25">
      <c r="A4309">
        <v>54</v>
      </c>
      <c r="B4309">
        <v>190</v>
      </c>
      <c r="C4309">
        <v>5</v>
      </c>
    </row>
    <row r="4310" spans="1:3" x14ac:dyDescent="0.25">
      <c r="A4310">
        <v>56</v>
      </c>
      <c r="B4310">
        <v>190</v>
      </c>
      <c r="C4310">
        <v>2</v>
      </c>
    </row>
    <row r="4311" spans="1:3" x14ac:dyDescent="0.25">
      <c r="A4311">
        <v>75</v>
      </c>
      <c r="B4311">
        <v>190</v>
      </c>
      <c r="C4311">
        <v>2</v>
      </c>
    </row>
    <row r="4312" spans="1:3" x14ac:dyDescent="0.25">
      <c r="A4312">
        <v>98</v>
      </c>
      <c r="B4312">
        <v>190</v>
      </c>
      <c r="C4312">
        <v>2</v>
      </c>
    </row>
    <row r="4313" spans="1:3" x14ac:dyDescent="0.25">
      <c r="A4313">
        <v>99</v>
      </c>
      <c r="B4313">
        <v>190</v>
      </c>
      <c r="C4313">
        <v>5</v>
      </c>
    </row>
    <row r="4314" spans="1:3" x14ac:dyDescent="0.25">
      <c r="A4314">
        <v>114</v>
      </c>
      <c r="B4314">
        <v>190</v>
      </c>
      <c r="C4314">
        <v>2</v>
      </c>
    </row>
    <row r="4315" spans="1:3" x14ac:dyDescent="0.25">
      <c r="A4315">
        <v>130</v>
      </c>
      <c r="B4315">
        <v>190</v>
      </c>
      <c r="C4315">
        <v>2</v>
      </c>
    </row>
    <row r="4316" spans="1:3" x14ac:dyDescent="0.25">
      <c r="A4316">
        <v>136</v>
      </c>
      <c r="B4316">
        <v>190</v>
      </c>
      <c r="C4316">
        <v>4</v>
      </c>
    </row>
    <row r="4317" spans="1:3" x14ac:dyDescent="0.25">
      <c r="A4317">
        <v>166</v>
      </c>
      <c r="B4317">
        <v>190</v>
      </c>
      <c r="C4317">
        <v>4</v>
      </c>
    </row>
    <row r="4318" spans="1:3" x14ac:dyDescent="0.25">
      <c r="A4318">
        <v>183</v>
      </c>
      <c r="B4318">
        <v>190</v>
      </c>
      <c r="C4318">
        <v>4</v>
      </c>
    </row>
    <row r="4319" spans="1:3" x14ac:dyDescent="0.25">
      <c r="A4319">
        <v>234</v>
      </c>
      <c r="B4319">
        <v>190</v>
      </c>
      <c r="C4319">
        <v>4</v>
      </c>
    </row>
    <row r="4320" spans="1:3" x14ac:dyDescent="0.25">
      <c r="A4320">
        <v>242</v>
      </c>
      <c r="B4320">
        <v>190</v>
      </c>
      <c r="C4320">
        <v>4</v>
      </c>
    </row>
    <row r="4321" spans="1:3" x14ac:dyDescent="0.25">
      <c r="A4321">
        <v>243</v>
      </c>
      <c r="B4321">
        <v>190</v>
      </c>
      <c r="C4321">
        <v>1</v>
      </c>
    </row>
    <row r="4322" spans="1:3" x14ac:dyDescent="0.25">
      <c r="A4322">
        <v>253</v>
      </c>
      <c r="B4322">
        <v>190</v>
      </c>
      <c r="C4322">
        <v>4</v>
      </c>
    </row>
    <row r="4323" spans="1:3" x14ac:dyDescent="0.25">
      <c r="A4323">
        <v>264</v>
      </c>
      <c r="B4323">
        <v>190</v>
      </c>
      <c r="C4323">
        <v>2</v>
      </c>
    </row>
    <row r="4324" spans="1:3" x14ac:dyDescent="0.25">
      <c r="A4324">
        <v>267</v>
      </c>
      <c r="B4324">
        <v>190</v>
      </c>
      <c r="C4324">
        <v>1</v>
      </c>
    </row>
    <row r="4325" spans="1:3" x14ac:dyDescent="0.25">
      <c r="A4325">
        <v>274</v>
      </c>
      <c r="B4325">
        <v>190</v>
      </c>
      <c r="C4325">
        <v>3</v>
      </c>
    </row>
    <row r="4326" spans="1:3" x14ac:dyDescent="0.25">
      <c r="A4326">
        <v>277</v>
      </c>
      <c r="B4326">
        <v>190</v>
      </c>
      <c r="C4326">
        <v>2</v>
      </c>
    </row>
    <row r="4327" spans="1:3" x14ac:dyDescent="0.25">
      <c r="A4327">
        <v>289</v>
      </c>
      <c r="B4327">
        <v>190</v>
      </c>
      <c r="C4327">
        <v>4</v>
      </c>
    </row>
    <row r="4328" spans="1:3" x14ac:dyDescent="0.25">
      <c r="A4328">
        <v>13</v>
      </c>
      <c r="B4328">
        <v>191</v>
      </c>
      <c r="C4328">
        <v>2</v>
      </c>
    </row>
    <row r="4329" spans="1:3" x14ac:dyDescent="0.25">
      <c r="A4329">
        <v>24</v>
      </c>
      <c r="B4329">
        <v>191</v>
      </c>
      <c r="C4329">
        <v>5</v>
      </c>
    </row>
    <row r="4330" spans="1:3" x14ac:dyDescent="0.25">
      <c r="A4330">
        <v>31</v>
      </c>
      <c r="B4330">
        <v>191</v>
      </c>
      <c r="C4330">
        <v>2</v>
      </c>
    </row>
    <row r="4331" spans="1:3" x14ac:dyDescent="0.25">
      <c r="A4331">
        <v>50</v>
      </c>
      <c r="B4331">
        <v>191</v>
      </c>
      <c r="C4331">
        <v>1</v>
      </c>
    </row>
    <row r="4332" spans="1:3" x14ac:dyDescent="0.25">
      <c r="A4332">
        <v>62</v>
      </c>
      <c r="B4332">
        <v>191</v>
      </c>
      <c r="C4332">
        <v>5</v>
      </c>
    </row>
    <row r="4333" spans="1:3" x14ac:dyDescent="0.25">
      <c r="A4333">
        <v>77</v>
      </c>
      <c r="B4333">
        <v>191</v>
      </c>
      <c r="C4333">
        <v>5</v>
      </c>
    </row>
    <row r="4334" spans="1:3" x14ac:dyDescent="0.25">
      <c r="A4334">
        <v>116</v>
      </c>
      <c r="B4334">
        <v>191</v>
      </c>
      <c r="C4334">
        <v>1</v>
      </c>
    </row>
    <row r="4335" spans="1:3" x14ac:dyDescent="0.25">
      <c r="A4335">
        <v>133</v>
      </c>
      <c r="B4335">
        <v>191</v>
      </c>
      <c r="C4335">
        <v>5</v>
      </c>
    </row>
    <row r="4336" spans="1:3" x14ac:dyDescent="0.25">
      <c r="A4336">
        <v>167</v>
      </c>
      <c r="B4336">
        <v>191</v>
      </c>
      <c r="C4336">
        <v>4</v>
      </c>
    </row>
    <row r="4337" spans="1:3" x14ac:dyDescent="0.25">
      <c r="A4337">
        <v>171</v>
      </c>
      <c r="B4337">
        <v>191</v>
      </c>
      <c r="C4337">
        <v>4</v>
      </c>
    </row>
    <row r="4338" spans="1:3" x14ac:dyDescent="0.25">
      <c r="A4338">
        <v>195</v>
      </c>
      <c r="B4338">
        <v>191</v>
      </c>
      <c r="C4338">
        <v>1</v>
      </c>
    </row>
    <row r="4339" spans="1:3" x14ac:dyDescent="0.25">
      <c r="A4339">
        <v>198</v>
      </c>
      <c r="B4339">
        <v>191</v>
      </c>
      <c r="C4339">
        <v>2</v>
      </c>
    </row>
    <row r="4340" spans="1:3" x14ac:dyDescent="0.25">
      <c r="A4340">
        <v>200</v>
      </c>
      <c r="B4340">
        <v>191</v>
      </c>
      <c r="C4340">
        <v>1</v>
      </c>
    </row>
    <row r="4341" spans="1:3" x14ac:dyDescent="0.25">
      <c r="A4341">
        <v>220</v>
      </c>
      <c r="B4341">
        <v>191</v>
      </c>
      <c r="C4341">
        <v>2</v>
      </c>
    </row>
    <row r="4342" spans="1:3" x14ac:dyDescent="0.25">
      <c r="A4342">
        <v>226</v>
      </c>
      <c r="B4342">
        <v>191</v>
      </c>
      <c r="C4342">
        <v>5</v>
      </c>
    </row>
    <row r="4343" spans="1:3" x14ac:dyDescent="0.25">
      <c r="A4343">
        <v>232</v>
      </c>
      <c r="B4343">
        <v>191</v>
      </c>
      <c r="C4343">
        <v>4</v>
      </c>
    </row>
    <row r="4344" spans="1:3" x14ac:dyDescent="0.25">
      <c r="A4344">
        <v>248</v>
      </c>
      <c r="B4344">
        <v>191</v>
      </c>
      <c r="C4344">
        <v>5</v>
      </c>
    </row>
    <row r="4345" spans="1:3" x14ac:dyDescent="0.25">
      <c r="A4345">
        <v>251</v>
      </c>
      <c r="B4345">
        <v>191</v>
      </c>
      <c r="C4345">
        <v>1</v>
      </c>
    </row>
    <row r="4346" spans="1:3" x14ac:dyDescent="0.25">
      <c r="A4346">
        <v>256</v>
      </c>
      <c r="B4346">
        <v>191</v>
      </c>
      <c r="C4346">
        <v>1</v>
      </c>
    </row>
    <row r="4347" spans="1:3" x14ac:dyDescent="0.25">
      <c r="A4347">
        <v>268</v>
      </c>
      <c r="B4347">
        <v>191</v>
      </c>
      <c r="C4347">
        <v>2</v>
      </c>
    </row>
    <row r="4348" spans="1:3" x14ac:dyDescent="0.25">
      <c r="A4348">
        <v>288</v>
      </c>
      <c r="B4348">
        <v>191</v>
      </c>
      <c r="C4348">
        <v>5</v>
      </c>
    </row>
    <row r="4349" spans="1:3" x14ac:dyDescent="0.25">
      <c r="A4349">
        <v>297</v>
      </c>
      <c r="B4349">
        <v>191</v>
      </c>
      <c r="C4349">
        <v>4</v>
      </c>
    </row>
    <row r="4350" spans="1:3" x14ac:dyDescent="0.25">
      <c r="A4350">
        <v>7</v>
      </c>
      <c r="B4350">
        <v>192</v>
      </c>
      <c r="C4350">
        <v>5</v>
      </c>
    </row>
    <row r="4351" spans="1:3" x14ac:dyDescent="0.25">
      <c r="A4351">
        <v>19</v>
      </c>
      <c r="B4351">
        <v>192</v>
      </c>
      <c r="C4351">
        <v>5</v>
      </c>
    </row>
    <row r="4352" spans="1:3" x14ac:dyDescent="0.25">
      <c r="A4352">
        <v>19</v>
      </c>
      <c r="B4352">
        <v>192</v>
      </c>
      <c r="C4352">
        <v>3</v>
      </c>
    </row>
    <row r="4353" spans="1:3" x14ac:dyDescent="0.25">
      <c r="A4353">
        <v>20</v>
      </c>
      <c r="B4353">
        <v>192</v>
      </c>
      <c r="C4353">
        <v>2</v>
      </c>
    </row>
    <row r="4354" spans="1:3" x14ac:dyDescent="0.25">
      <c r="A4354">
        <v>24</v>
      </c>
      <c r="B4354">
        <v>192</v>
      </c>
      <c r="C4354">
        <v>4</v>
      </c>
    </row>
    <row r="4355" spans="1:3" x14ac:dyDescent="0.25">
      <c r="A4355">
        <v>40</v>
      </c>
      <c r="B4355">
        <v>192</v>
      </c>
      <c r="C4355">
        <v>2</v>
      </c>
    </row>
    <row r="4356" spans="1:3" x14ac:dyDescent="0.25">
      <c r="A4356">
        <v>66</v>
      </c>
      <c r="B4356">
        <v>192</v>
      </c>
      <c r="C4356">
        <v>3</v>
      </c>
    </row>
    <row r="4357" spans="1:3" x14ac:dyDescent="0.25">
      <c r="A4357">
        <v>76</v>
      </c>
      <c r="B4357">
        <v>192</v>
      </c>
      <c r="C4357">
        <v>3</v>
      </c>
    </row>
    <row r="4358" spans="1:3" x14ac:dyDescent="0.25">
      <c r="A4358">
        <v>89</v>
      </c>
      <c r="B4358">
        <v>192</v>
      </c>
      <c r="C4358">
        <v>2</v>
      </c>
    </row>
    <row r="4359" spans="1:3" x14ac:dyDescent="0.25">
      <c r="A4359">
        <v>93</v>
      </c>
      <c r="B4359">
        <v>192</v>
      </c>
      <c r="C4359">
        <v>5</v>
      </c>
    </row>
    <row r="4360" spans="1:3" x14ac:dyDescent="0.25">
      <c r="A4360">
        <v>105</v>
      </c>
      <c r="B4360">
        <v>192</v>
      </c>
      <c r="C4360">
        <v>5</v>
      </c>
    </row>
    <row r="4361" spans="1:3" x14ac:dyDescent="0.25">
      <c r="A4361">
        <v>107</v>
      </c>
      <c r="B4361">
        <v>192</v>
      </c>
      <c r="C4361">
        <v>2</v>
      </c>
    </row>
    <row r="4362" spans="1:3" x14ac:dyDescent="0.25">
      <c r="A4362">
        <v>108</v>
      </c>
      <c r="B4362">
        <v>192</v>
      </c>
      <c r="C4362">
        <v>2</v>
      </c>
    </row>
    <row r="4363" spans="1:3" x14ac:dyDescent="0.25">
      <c r="A4363">
        <v>123</v>
      </c>
      <c r="B4363">
        <v>192</v>
      </c>
      <c r="C4363">
        <v>1</v>
      </c>
    </row>
    <row r="4364" spans="1:3" x14ac:dyDescent="0.25">
      <c r="A4364">
        <v>128</v>
      </c>
      <c r="B4364">
        <v>192</v>
      </c>
      <c r="C4364">
        <v>2</v>
      </c>
    </row>
    <row r="4365" spans="1:3" x14ac:dyDescent="0.25">
      <c r="A4365">
        <v>184</v>
      </c>
      <c r="B4365">
        <v>192</v>
      </c>
      <c r="C4365">
        <v>2</v>
      </c>
    </row>
    <row r="4366" spans="1:3" x14ac:dyDescent="0.25">
      <c r="A4366">
        <v>212</v>
      </c>
      <c r="B4366">
        <v>192</v>
      </c>
      <c r="C4366">
        <v>1</v>
      </c>
    </row>
    <row r="4367" spans="1:3" x14ac:dyDescent="0.25">
      <c r="A4367">
        <v>212</v>
      </c>
      <c r="B4367">
        <v>192</v>
      </c>
      <c r="C4367">
        <v>4</v>
      </c>
    </row>
    <row r="4368" spans="1:3" x14ac:dyDescent="0.25">
      <c r="A4368">
        <v>227</v>
      </c>
      <c r="B4368">
        <v>192</v>
      </c>
      <c r="C4368">
        <v>3</v>
      </c>
    </row>
    <row r="4369" spans="1:3" x14ac:dyDescent="0.25">
      <c r="A4369">
        <v>228</v>
      </c>
      <c r="B4369">
        <v>192</v>
      </c>
      <c r="C4369">
        <v>3</v>
      </c>
    </row>
    <row r="4370" spans="1:3" x14ac:dyDescent="0.25">
      <c r="A4370">
        <v>263</v>
      </c>
      <c r="B4370">
        <v>192</v>
      </c>
      <c r="C4370">
        <v>5</v>
      </c>
    </row>
    <row r="4371" spans="1:3" x14ac:dyDescent="0.25">
      <c r="A4371">
        <v>286</v>
      </c>
      <c r="B4371">
        <v>192</v>
      </c>
      <c r="C4371">
        <v>1</v>
      </c>
    </row>
    <row r="4372" spans="1:3" x14ac:dyDescent="0.25">
      <c r="A4372">
        <v>3</v>
      </c>
      <c r="B4372">
        <v>193</v>
      </c>
      <c r="C4372">
        <v>2</v>
      </c>
    </row>
    <row r="4373" spans="1:3" x14ac:dyDescent="0.25">
      <c r="A4373">
        <v>4</v>
      </c>
      <c r="B4373">
        <v>193</v>
      </c>
      <c r="C4373">
        <v>5</v>
      </c>
    </row>
    <row r="4374" spans="1:3" x14ac:dyDescent="0.25">
      <c r="A4374">
        <v>29</v>
      </c>
      <c r="B4374">
        <v>193</v>
      </c>
      <c r="C4374">
        <v>2</v>
      </c>
    </row>
    <row r="4375" spans="1:3" x14ac:dyDescent="0.25">
      <c r="A4375">
        <v>41</v>
      </c>
      <c r="B4375">
        <v>193</v>
      </c>
      <c r="C4375">
        <v>3</v>
      </c>
    </row>
    <row r="4376" spans="1:3" x14ac:dyDescent="0.25">
      <c r="A4376">
        <v>46</v>
      </c>
      <c r="B4376">
        <v>193</v>
      </c>
      <c r="C4376">
        <v>4</v>
      </c>
    </row>
    <row r="4377" spans="1:3" x14ac:dyDescent="0.25">
      <c r="A4377">
        <v>53</v>
      </c>
      <c r="B4377">
        <v>193</v>
      </c>
      <c r="C4377">
        <v>1</v>
      </c>
    </row>
    <row r="4378" spans="1:3" x14ac:dyDescent="0.25">
      <c r="A4378">
        <v>74</v>
      </c>
      <c r="B4378">
        <v>193</v>
      </c>
      <c r="C4378">
        <v>3</v>
      </c>
    </row>
    <row r="4379" spans="1:3" x14ac:dyDescent="0.25">
      <c r="A4379">
        <v>86</v>
      </c>
      <c r="B4379">
        <v>193</v>
      </c>
      <c r="C4379">
        <v>1</v>
      </c>
    </row>
    <row r="4380" spans="1:3" x14ac:dyDescent="0.25">
      <c r="A4380">
        <v>109</v>
      </c>
      <c r="B4380">
        <v>193</v>
      </c>
      <c r="C4380">
        <v>3</v>
      </c>
    </row>
    <row r="4381" spans="1:3" x14ac:dyDescent="0.25">
      <c r="A4381">
        <v>115</v>
      </c>
      <c r="B4381">
        <v>193</v>
      </c>
      <c r="C4381">
        <v>4</v>
      </c>
    </row>
    <row r="4382" spans="1:3" x14ac:dyDescent="0.25">
      <c r="A4382">
        <v>119</v>
      </c>
      <c r="B4382">
        <v>193</v>
      </c>
      <c r="C4382">
        <v>3</v>
      </c>
    </row>
    <row r="4383" spans="1:3" x14ac:dyDescent="0.25">
      <c r="A4383">
        <v>126</v>
      </c>
      <c r="B4383">
        <v>193</v>
      </c>
      <c r="C4383">
        <v>2</v>
      </c>
    </row>
    <row r="4384" spans="1:3" x14ac:dyDescent="0.25">
      <c r="A4384">
        <v>129</v>
      </c>
      <c r="B4384">
        <v>193</v>
      </c>
      <c r="C4384">
        <v>2</v>
      </c>
    </row>
    <row r="4385" spans="1:3" x14ac:dyDescent="0.25">
      <c r="A4385">
        <v>144</v>
      </c>
      <c r="B4385">
        <v>193</v>
      </c>
      <c r="C4385">
        <v>1</v>
      </c>
    </row>
    <row r="4386" spans="1:3" x14ac:dyDescent="0.25">
      <c r="A4386">
        <v>148</v>
      </c>
      <c r="B4386">
        <v>193</v>
      </c>
      <c r="C4386">
        <v>3</v>
      </c>
    </row>
    <row r="4387" spans="1:3" x14ac:dyDescent="0.25">
      <c r="A4387">
        <v>159</v>
      </c>
      <c r="B4387">
        <v>193</v>
      </c>
      <c r="C4387">
        <v>5</v>
      </c>
    </row>
    <row r="4388" spans="1:3" x14ac:dyDescent="0.25">
      <c r="A4388">
        <v>162</v>
      </c>
      <c r="B4388">
        <v>193</v>
      </c>
      <c r="C4388">
        <v>5</v>
      </c>
    </row>
    <row r="4389" spans="1:3" x14ac:dyDescent="0.25">
      <c r="A4389">
        <v>170</v>
      </c>
      <c r="B4389">
        <v>193</v>
      </c>
      <c r="C4389">
        <v>5</v>
      </c>
    </row>
    <row r="4390" spans="1:3" x14ac:dyDescent="0.25">
      <c r="A4390">
        <v>173</v>
      </c>
      <c r="B4390">
        <v>193</v>
      </c>
      <c r="C4390">
        <v>4</v>
      </c>
    </row>
    <row r="4391" spans="1:3" x14ac:dyDescent="0.25">
      <c r="A4391">
        <v>178</v>
      </c>
      <c r="B4391">
        <v>193</v>
      </c>
      <c r="C4391">
        <v>2</v>
      </c>
    </row>
    <row r="4392" spans="1:3" x14ac:dyDescent="0.25">
      <c r="A4392">
        <v>215</v>
      </c>
      <c r="B4392">
        <v>193</v>
      </c>
      <c r="C4392">
        <v>3</v>
      </c>
    </row>
    <row r="4393" spans="1:3" x14ac:dyDescent="0.25">
      <c r="A4393">
        <v>216</v>
      </c>
      <c r="B4393">
        <v>193</v>
      </c>
      <c r="C4393">
        <v>3</v>
      </c>
    </row>
    <row r="4394" spans="1:3" x14ac:dyDescent="0.25">
      <c r="A4394">
        <v>238</v>
      </c>
      <c r="B4394">
        <v>193</v>
      </c>
      <c r="C4394">
        <v>1</v>
      </c>
    </row>
    <row r="4395" spans="1:3" x14ac:dyDescent="0.25">
      <c r="A4395">
        <v>256</v>
      </c>
      <c r="B4395">
        <v>193</v>
      </c>
      <c r="C4395">
        <v>4</v>
      </c>
    </row>
    <row r="4396" spans="1:3" x14ac:dyDescent="0.25">
      <c r="A4396">
        <v>259</v>
      </c>
      <c r="B4396">
        <v>193</v>
      </c>
      <c r="C4396">
        <v>3</v>
      </c>
    </row>
    <row r="4397" spans="1:3" x14ac:dyDescent="0.25">
      <c r="A4397">
        <v>291</v>
      </c>
      <c r="B4397">
        <v>193</v>
      </c>
      <c r="C4397">
        <v>1</v>
      </c>
    </row>
    <row r="4398" spans="1:3" x14ac:dyDescent="0.25">
      <c r="A4398">
        <v>300</v>
      </c>
      <c r="B4398">
        <v>193</v>
      </c>
      <c r="C4398">
        <v>5</v>
      </c>
    </row>
    <row r="4399" spans="1:3" x14ac:dyDescent="0.25">
      <c r="A4399">
        <v>12</v>
      </c>
      <c r="B4399">
        <v>194</v>
      </c>
      <c r="C4399">
        <v>3</v>
      </c>
    </row>
    <row r="4400" spans="1:3" x14ac:dyDescent="0.25">
      <c r="A4400">
        <v>19</v>
      </c>
      <c r="B4400">
        <v>194</v>
      </c>
      <c r="C4400">
        <v>5</v>
      </c>
    </row>
    <row r="4401" spans="1:3" x14ac:dyDescent="0.25">
      <c r="A4401">
        <v>66</v>
      </c>
      <c r="B4401">
        <v>194</v>
      </c>
      <c r="C4401">
        <v>3</v>
      </c>
    </row>
    <row r="4402" spans="1:3" x14ac:dyDescent="0.25">
      <c r="A4402">
        <v>105</v>
      </c>
      <c r="B4402">
        <v>194</v>
      </c>
      <c r="C4402">
        <v>3</v>
      </c>
    </row>
    <row r="4403" spans="1:3" x14ac:dyDescent="0.25">
      <c r="A4403">
        <v>122</v>
      </c>
      <c r="B4403">
        <v>194</v>
      </c>
      <c r="C4403">
        <v>1</v>
      </c>
    </row>
    <row r="4404" spans="1:3" x14ac:dyDescent="0.25">
      <c r="A4404">
        <v>128</v>
      </c>
      <c r="B4404">
        <v>194</v>
      </c>
      <c r="C4404">
        <v>4</v>
      </c>
    </row>
    <row r="4405" spans="1:3" x14ac:dyDescent="0.25">
      <c r="A4405">
        <v>143</v>
      </c>
      <c r="B4405">
        <v>194</v>
      </c>
      <c r="C4405">
        <v>5</v>
      </c>
    </row>
    <row r="4406" spans="1:3" x14ac:dyDescent="0.25">
      <c r="A4406">
        <v>146</v>
      </c>
      <c r="B4406">
        <v>194</v>
      </c>
      <c r="C4406">
        <v>3</v>
      </c>
    </row>
    <row r="4407" spans="1:3" x14ac:dyDescent="0.25">
      <c r="A4407">
        <v>158</v>
      </c>
      <c r="B4407">
        <v>194</v>
      </c>
      <c r="C4407">
        <v>3</v>
      </c>
    </row>
    <row r="4408" spans="1:3" x14ac:dyDescent="0.25">
      <c r="A4408">
        <v>222</v>
      </c>
      <c r="B4408">
        <v>194</v>
      </c>
      <c r="C4408">
        <v>2</v>
      </c>
    </row>
    <row r="4409" spans="1:3" x14ac:dyDescent="0.25">
      <c r="A4409">
        <v>225</v>
      </c>
      <c r="B4409">
        <v>194</v>
      </c>
      <c r="C4409">
        <v>3</v>
      </c>
    </row>
    <row r="4410" spans="1:3" x14ac:dyDescent="0.25">
      <c r="A4410">
        <v>227</v>
      </c>
      <c r="B4410">
        <v>194</v>
      </c>
      <c r="C4410">
        <v>4</v>
      </c>
    </row>
    <row r="4411" spans="1:3" x14ac:dyDescent="0.25">
      <c r="A4411">
        <v>232</v>
      </c>
      <c r="B4411">
        <v>194</v>
      </c>
      <c r="C4411">
        <v>3</v>
      </c>
    </row>
    <row r="4412" spans="1:3" x14ac:dyDescent="0.25">
      <c r="A4412">
        <v>254</v>
      </c>
      <c r="B4412">
        <v>194</v>
      </c>
      <c r="C4412">
        <v>4</v>
      </c>
    </row>
    <row r="4413" spans="1:3" x14ac:dyDescent="0.25">
      <c r="A4413">
        <v>260</v>
      </c>
      <c r="B4413">
        <v>194</v>
      </c>
      <c r="C4413">
        <v>4</v>
      </c>
    </row>
    <row r="4414" spans="1:3" x14ac:dyDescent="0.25">
      <c r="A4414">
        <v>270</v>
      </c>
      <c r="B4414">
        <v>194</v>
      </c>
      <c r="C4414">
        <v>4</v>
      </c>
    </row>
    <row r="4415" spans="1:3" x14ac:dyDescent="0.25">
      <c r="A4415">
        <v>19</v>
      </c>
      <c r="B4415">
        <v>195</v>
      </c>
      <c r="C4415">
        <v>4</v>
      </c>
    </row>
    <row r="4416" spans="1:3" x14ac:dyDescent="0.25">
      <c r="A4416">
        <v>38</v>
      </c>
      <c r="B4416">
        <v>195</v>
      </c>
      <c r="C4416">
        <v>4</v>
      </c>
    </row>
    <row r="4417" spans="1:3" x14ac:dyDescent="0.25">
      <c r="A4417">
        <v>67</v>
      </c>
      <c r="B4417">
        <v>195</v>
      </c>
      <c r="C4417">
        <v>1</v>
      </c>
    </row>
    <row r="4418" spans="1:3" x14ac:dyDescent="0.25">
      <c r="A4418">
        <v>72</v>
      </c>
      <c r="B4418">
        <v>195</v>
      </c>
      <c r="C4418">
        <v>1</v>
      </c>
    </row>
    <row r="4419" spans="1:3" x14ac:dyDescent="0.25">
      <c r="A4419">
        <v>76</v>
      </c>
      <c r="B4419">
        <v>195</v>
      </c>
      <c r="C4419">
        <v>5</v>
      </c>
    </row>
    <row r="4420" spans="1:3" x14ac:dyDescent="0.25">
      <c r="A4420">
        <v>118</v>
      </c>
      <c r="B4420">
        <v>195</v>
      </c>
      <c r="C4420">
        <v>4</v>
      </c>
    </row>
    <row r="4421" spans="1:3" x14ac:dyDescent="0.25">
      <c r="A4421">
        <v>126</v>
      </c>
      <c r="B4421">
        <v>195</v>
      </c>
      <c r="C4421">
        <v>5</v>
      </c>
    </row>
    <row r="4422" spans="1:3" x14ac:dyDescent="0.25">
      <c r="A4422">
        <v>134</v>
      </c>
      <c r="B4422">
        <v>195</v>
      </c>
      <c r="C4422">
        <v>5</v>
      </c>
    </row>
    <row r="4423" spans="1:3" x14ac:dyDescent="0.25">
      <c r="A4423">
        <v>160</v>
      </c>
      <c r="B4423">
        <v>195</v>
      </c>
      <c r="C4423">
        <v>5</v>
      </c>
    </row>
    <row r="4424" spans="1:3" x14ac:dyDescent="0.25">
      <c r="A4424">
        <v>179</v>
      </c>
      <c r="B4424">
        <v>195</v>
      </c>
      <c r="C4424">
        <v>5</v>
      </c>
    </row>
    <row r="4425" spans="1:3" x14ac:dyDescent="0.25">
      <c r="A4425">
        <v>181</v>
      </c>
      <c r="B4425">
        <v>195</v>
      </c>
      <c r="C4425">
        <v>1</v>
      </c>
    </row>
    <row r="4426" spans="1:3" x14ac:dyDescent="0.25">
      <c r="A4426">
        <v>208</v>
      </c>
      <c r="B4426">
        <v>195</v>
      </c>
      <c r="C4426">
        <v>1</v>
      </c>
    </row>
    <row r="4427" spans="1:3" x14ac:dyDescent="0.25">
      <c r="A4427">
        <v>214</v>
      </c>
      <c r="B4427">
        <v>195</v>
      </c>
      <c r="C4427">
        <v>3</v>
      </c>
    </row>
    <row r="4428" spans="1:3" x14ac:dyDescent="0.25">
      <c r="A4428">
        <v>238</v>
      </c>
      <c r="B4428">
        <v>195</v>
      </c>
      <c r="C4428">
        <v>1</v>
      </c>
    </row>
    <row r="4429" spans="1:3" x14ac:dyDescent="0.25">
      <c r="A4429">
        <v>260</v>
      </c>
      <c r="B4429">
        <v>195</v>
      </c>
      <c r="C4429">
        <v>4</v>
      </c>
    </row>
    <row r="4430" spans="1:3" x14ac:dyDescent="0.25">
      <c r="A4430">
        <v>260</v>
      </c>
      <c r="B4430">
        <v>195</v>
      </c>
      <c r="C4430">
        <v>3</v>
      </c>
    </row>
    <row r="4431" spans="1:3" x14ac:dyDescent="0.25">
      <c r="A4431">
        <v>267</v>
      </c>
      <c r="B4431">
        <v>195</v>
      </c>
      <c r="C4431">
        <v>2</v>
      </c>
    </row>
    <row r="4432" spans="1:3" x14ac:dyDescent="0.25">
      <c r="A4432">
        <v>271</v>
      </c>
      <c r="B4432">
        <v>195</v>
      </c>
      <c r="C4432">
        <v>2</v>
      </c>
    </row>
    <row r="4433" spans="1:3" x14ac:dyDescent="0.25">
      <c r="A4433">
        <v>274</v>
      </c>
      <c r="B4433">
        <v>195</v>
      </c>
      <c r="C4433">
        <v>5</v>
      </c>
    </row>
    <row r="4434" spans="1:3" x14ac:dyDescent="0.25">
      <c r="A4434">
        <v>278</v>
      </c>
      <c r="B4434">
        <v>195</v>
      </c>
      <c r="C4434">
        <v>1</v>
      </c>
    </row>
    <row r="4435" spans="1:3" x14ac:dyDescent="0.25">
      <c r="A4435">
        <v>9</v>
      </c>
      <c r="B4435">
        <v>196</v>
      </c>
      <c r="C4435">
        <v>4</v>
      </c>
    </row>
    <row r="4436" spans="1:3" x14ac:dyDescent="0.25">
      <c r="A4436">
        <v>30</v>
      </c>
      <c r="B4436">
        <v>196</v>
      </c>
      <c r="C4436">
        <v>5</v>
      </c>
    </row>
    <row r="4437" spans="1:3" x14ac:dyDescent="0.25">
      <c r="A4437">
        <v>40</v>
      </c>
      <c r="B4437">
        <v>196</v>
      </c>
      <c r="C4437">
        <v>2</v>
      </c>
    </row>
    <row r="4438" spans="1:3" x14ac:dyDescent="0.25">
      <c r="A4438">
        <v>40</v>
      </c>
      <c r="B4438">
        <v>196</v>
      </c>
      <c r="C4438">
        <v>4</v>
      </c>
    </row>
    <row r="4439" spans="1:3" x14ac:dyDescent="0.25">
      <c r="A4439">
        <v>48</v>
      </c>
      <c r="B4439">
        <v>196</v>
      </c>
      <c r="C4439">
        <v>5</v>
      </c>
    </row>
    <row r="4440" spans="1:3" x14ac:dyDescent="0.25">
      <c r="A4440">
        <v>70</v>
      </c>
      <c r="B4440">
        <v>196</v>
      </c>
      <c r="C4440">
        <v>5</v>
      </c>
    </row>
    <row r="4441" spans="1:3" x14ac:dyDescent="0.25">
      <c r="A4441">
        <v>84</v>
      </c>
      <c r="B4441">
        <v>196</v>
      </c>
      <c r="C4441">
        <v>5</v>
      </c>
    </row>
    <row r="4442" spans="1:3" x14ac:dyDescent="0.25">
      <c r="A4442">
        <v>96</v>
      </c>
      <c r="B4442">
        <v>196</v>
      </c>
      <c r="C4442">
        <v>3</v>
      </c>
    </row>
    <row r="4443" spans="1:3" x14ac:dyDescent="0.25">
      <c r="A4443">
        <v>98</v>
      </c>
      <c r="B4443">
        <v>196</v>
      </c>
      <c r="C4443">
        <v>5</v>
      </c>
    </row>
    <row r="4444" spans="1:3" x14ac:dyDescent="0.25">
      <c r="A4444">
        <v>128</v>
      </c>
      <c r="B4444">
        <v>196</v>
      </c>
      <c r="C4444">
        <v>4</v>
      </c>
    </row>
    <row r="4445" spans="1:3" x14ac:dyDescent="0.25">
      <c r="A4445">
        <v>135</v>
      </c>
      <c r="B4445">
        <v>196</v>
      </c>
      <c r="C4445">
        <v>2</v>
      </c>
    </row>
    <row r="4446" spans="1:3" x14ac:dyDescent="0.25">
      <c r="A4446">
        <v>141</v>
      </c>
      <c r="B4446">
        <v>196</v>
      </c>
      <c r="C4446">
        <v>2</v>
      </c>
    </row>
    <row r="4447" spans="1:3" x14ac:dyDescent="0.25">
      <c r="A4447">
        <v>143</v>
      </c>
      <c r="B4447">
        <v>196</v>
      </c>
      <c r="C4447">
        <v>2</v>
      </c>
    </row>
    <row r="4448" spans="1:3" x14ac:dyDescent="0.25">
      <c r="A4448">
        <v>148</v>
      </c>
      <c r="B4448">
        <v>196</v>
      </c>
      <c r="C4448">
        <v>4</v>
      </c>
    </row>
    <row r="4449" spans="1:3" x14ac:dyDescent="0.25">
      <c r="A4449">
        <v>157</v>
      </c>
      <c r="B4449">
        <v>196</v>
      </c>
      <c r="C4449">
        <v>3</v>
      </c>
    </row>
    <row r="4450" spans="1:3" x14ac:dyDescent="0.25">
      <c r="A4450">
        <v>161</v>
      </c>
      <c r="B4450">
        <v>196</v>
      </c>
      <c r="C4450">
        <v>1</v>
      </c>
    </row>
    <row r="4451" spans="1:3" x14ac:dyDescent="0.25">
      <c r="A4451">
        <v>175</v>
      </c>
      <c r="B4451">
        <v>196</v>
      </c>
      <c r="C4451">
        <v>5</v>
      </c>
    </row>
    <row r="4452" spans="1:3" x14ac:dyDescent="0.25">
      <c r="A4452">
        <v>176</v>
      </c>
      <c r="B4452">
        <v>196</v>
      </c>
      <c r="C4452">
        <v>3</v>
      </c>
    </row>
    <row r="4453" spans="1:3" x14ac:dyDescent="0.25">
      <c r="A4453">
        <v>221</v>
      </c>
      <c r="B4453">
        <v>196</v>
      </c>
      <c r="C4453">
        <v>2</v>
      </c>
    </row>
    <row r="4454" spans="1:3" x14ac:dyDescent="0.25">
      <c r="A4454">
        <v>226</v>
      </c>
      <c r="B4454">
        <v>196</v>
      </c>
      <c r="C4454">
        <v>5</v>
      </c>
    </row>
    <row r="4455" spans="1:3" x14ac:dyDescent="0.25">
      <c r="A4455">
        <v>286</v>
      </c>
      <c r="B4455">
        <v>196</v>
      </c>
      <c r="C4455">
        <v>1</v>
      </c>
    </row>
    <row r="4456" spans="1:3" x14ac:dyDescent="0.25">
      <c r="A4456">
        <v>10</v>
      </c>
      <c r="B4456">
        <v>197</v>
      </c>
      <c r="C4456">
        <v>3</v>
      </c>
    </row>
    <row r="4457" spans="1:3" x14ac:dyDescent="0.25">
      <c r="A4457">
        <v>18</v>
      </c>
      <c r="B4457">
        <v>197</v>
      </c>
      <c r="C4457">
        <v>2</v>
      </c>
    </row>
    <row r="4458" spans="1:3" x14ac:dyDescent="0.25">
      <c r="A4458">
        <v>19</v>
      </c>
      <c r="B4458">
        <v>197</v>
      </c>
      <c r="C4458">
        <v>5</v>
      </c>
    </row>
    <row r="4459" spans="1:3" x14ac:dyDescent="0.25">
      <c r="A4459">
        <v>22</v>
      </c>
      <c r="B4459">
        <v>197</v>
      </c>
      <c r="C4459">
        <v>2</v>
      </c>
    </row>
    <row r="4460" spans="1:3" x14ac:dyDescent="0.25">
      <c r="A4460">
        <v>34</v>
      </c>
      <c r="B4460">
        <v>197</v>
      </c>
      <c r="C4460">
        <v>3</v>
      </c>
    </row>
    <row r="4461" spans="1:3" x14ac:dyDescent="0.25">
      <c r="A4461">
        <v>40</v>
      </c>
      <c r="B4461">
        <v>197</v>
      </c>
      <c r="C4461">
        <v>5</v>
      </c>
    </row>
    <row r="4462" spans="1:3" x14ac:dyDescent="0.25">
      <c r="A4462">
        <v>45</v>
      </c>
      <c r="B4462">
        <v>197</v>
      </c>
      <c r="C4462">
        <v>3</v>
      </c>
    </row>
    <row r="4463" spans="1:3" x14ac:dyDescent="0.25">
      <c r="A4463">
        <v>47</v>
      </c>
      <c r="B4463">
        <v>197</v>
      </c>
      <c r="C4463">
        <v>1</v>
      </c>
    </row>
    <row r="4464" spans="1:3" x14ac:dyDescent="0.25">
      <c r="A4464">
        <v>61</v>
      </c>
      <c r="B4464">
        <v>197</v>
      </c>
      <c r="C4464">
        <v>1</v>
      </c>
    </row>
    <row r="4465" spans="1:3" x14ac:dyDescent="0.25">
      <c r="A4465">
        <v>71</v>
      </c>
      <c r="B4465">
        <v>197</v>
      </c>
      <c r="C4465">
        <v>5</v>
      </c>
    </row>
    <row r="4466" spans="1:3" x14ac:dyDescent="0.25">
      <c r="A4466">
        <v>85</v>
      </c>
      <c r="B4466">
        <v>197</v>
      </c>
      <c r="C4466">
        <v>5</v>
      </c>
    </row>
    <row r="4467" spans="1:3" x14ac:dyDescent="0.25">
      <c r="A4467">
        <v>107</v>
      </c>
      <c r="B4467">
        <v>197</v>
      </c>
      <c r="C4467">
        <v>4</v>
      </c>
    </row>
    <row r="4468" spans="1:3" x14ac:dyDescent="0.25">
      <c r="A4468">
        <v>110</v>
      </c>
      <c r="B4468">
        <v>197</v>
      </c>
      <c r="C4468">
        <v>4</v>
      </c>
    </row>
    <row r="4469" spans="1:3" x14ac:dyDescent="0.25">
      <c r="A4469">
        <v>112</v>
      </c>
      <c r="B4469">
        <v>197</v>
      </c>
      <c r="C4469">
        <v>3</v>
      </c>
    </row>
    <row r="4470" spans="1:3" x14ac:dyDescent="0.25">
      <c r="A4470">
        <v>155</v>
      </c>
      <c r="B4470">
        <v>197</v>
      </c>
      <c r="C4470">
        <v>1</v>
      </c>
    </row>
    <row r="4471" spans="1:3" x14ac:dyDescent="0.25">
      <c r="A4471">
        <v>177</v>
      </c>
      <c r="B4471">
        <v>197</v>
      </c>
      <c r="C4471">
        <v>4</v>
      </c>
    </row>
    <row r="4472" spans="1:3" x14ac:dyDescent="0.25">
      <c r="A4472">
        <v>182</v>
      </c>
      <c r="B4472">
        <v>197</v>
      </c>
      <c r="C4472">
        <v>3</v>
      </c>
    </row>
    <row r="4473" spans="1:3" x14ac:dyDescent="0.25">
      <c r="A4473">
        <v>189</v>
      </c>
      <c r="B4473">
        <v>197</v>
      </c>
      <c r="C4473">
        <v>4</v>
      </c>
    </row>
    <row r="4474" spans="1:3" x14ac:dyDescent="0.25">
      <c r="A4474">
        <v>192</v>
      </c>
      <c r="B4474">
        <v>197</v>
      </c>
      <c r="C4474">
        <v>1</v>
      </c>
    </row>
    <row r="4475" spans="1:3" x14ac:dyDescent="0.25">
      <c r="A4475">
        <v>195</v>
      </c>
      <c r="B4475">
        <v>197</v>
      </c>
      <c r="C4475">
        <v>2</v>
      </c>
    </row>
    <row r="4476" spans="1:3" x14ac:dyDescent="0.25">
      <c r="A4476">
        <v>198</v>
      </c>
      <c r="B4476">
        <v>197</v>
      </c>
      <c r="C4476">
        <v>4</v>
      </c>
    </row>
    <row r="4477" spans="1:3" x14ac:dyDescent="0.25">
      <c r="A4477">
        <v>199</v>
      </c>
      <c r="B4477">
        <v>197</v>
      </c>
      <c r="C4477">
        <v>3</v>
      </c>
    </row>
    <row r="4478" spans="1:3" x14ac:dyDescent="0.25">
      <c r="A4478">
        <v>217</v>
      </c>
      <c r="B4478">
        <v>197</v>
      </c>
      <c r="C4478">
        <v>5</v>
      </c>
    </row>
    <row r="4479" spans="1:3" x14ac:dyDescent="0.25">
      <c r="A4479">
        <v>229</v>
      </c>
      <c r="B4479">
        <v>197</v>
      </c>
      <c r="C4479">
        <v>2</v>
      </c>
    </row>
    <row r="4480" spans="1:3" x14ac:dyDescent="0.25">
      <c r="A4480">
        <v>231</v>
      </c>
      <c r="B4480">
        <v>197</v>
      </c>
      <c r="C4480">
        <v>3</v>
      </c>
    </row>
    <row r="4481" spans="1:3" x14ac:dyDescent="0.25">
      <c r="A4481">
        <v>246</v>
      </c>
      <c r="B4481">
        <v>197</v>
      </c>
      <c r="C4481">
        <v>1</v>
      </c>
    </row>
    <row r="4482" spans="1:3" x14ac:dyDescent="0.25">
      <c r="A4482">
        <v>273</v>
      </c>
      <c r="B4482">
        <v>197</v>
      </c>
      <c r="C4482">
        <v>3</v>
      </c>
    </row>
    <row r="4483" spans="1:3" x14ac:dyDescent="0.25">
      <c r="A4483">
        <v>274</v>
      </c>
      <c r="B4483">
        <v>197</v>
      </c>
      <c r="C4483">
        <v>4</v>
      </c>
    </row>
    <row r="4484" spans="1:3" x14ac:dyDescent="0.25">
      <c r="A4484">
        <v>280</v>
      </c>
      <c r="B4484">
        <v>197</v>
      </c>
      <c r="C4484">
        <v>3</v>
      </c>
    </row>
    <row r="4485" spans="1:3" x14ac:dyDescent="0.25">
      <c r="A4485">
        <v>295</v>
      </c>
      <c r="B4485">
        <v>197</v>
      </c>
      <c r="C4485">
        <v>2</v>
      </c>
    </row>
    <row r="4486" spans="1:3" x14ac:dyDescent="0.25">
      <c r="A4486">
        <v>3</v>
      </c>
      <c r="B4486">
        <v>198</v>
      </c>
      <c r="C4486">
        <v>5</v>
      </c>
    </row>
    <row r="4487" spans="1:3" x14ac:dyDescent="0.25">
      <c r="A4487">
        <v>55</v>
      </c>
      <c r="B4487">
        <v>198</v>
      </c>
      <c r="C4487">
        <v>1</v>
      </c>
    </row>
    <row r="4488" spans="1:3" x14ac:dyDescent="0.25">
      <c r="A4488">
        <v>66</v>
      </c>
      <c r="B4488">
        <v>198</v>
      </c>
      <c r="C4488">
        <v>1</v>
      </c>
    </row>
    <row r="4489" spans="1:3" x14ac:dyDescent="0.25">
      <c r="A4489">
        <v>71</v>
      </c>
      <c r="B4489">
        <v>198</v>
      </c>
      <c r="C4489">
        <v>5</v>
      </c>
    </row>
    <row r="4490" spans="1:3" x14ac:dyDescent="0.25">
      <c r="A4490">
        <v>103</v>
      </c>
      <c r="B4490">
        <v>198</v>
      </c>
      <c r="C4490">
        <v>1</v>
      </c>
    </row>
    <row r="4491" spans="1:3" x14ac:dyDescent="0.25">
      <c r="A4491">
        <v>103</v>
      </c>
      <c r="B4491">
        <v>198</v>
      </c>
      <c r="C4491">
        <v>1</v>
      </c>
    </row>
    <row r="4492" spans="1:3" x14ac:dyDescent="0.25">
      <c r="A4492">
        <v>134</v>
      </c>
      <c r="B4492">
        <v>198</v>
      </c>
      <c r="C4492">
        <v>3</v>
      </c>
    </row>
    <row r="4493" spans="1:3" x14ac:dyDescent="0.25">
      <c r="A4493">
        <v>138</v>
      </c>
      <c r="B4493">
        <v>198</v>
      </c>
      <c r="C4493">
        <v>2</v>
      </c>
    </row>
    <row r="4494" spans="1:3" x14ac:dyDescent="0.25">
      <c r="A4494">
        <v>148</v>
      </c>
      <c r="B4494">
        <v>198</v>
      </c>
      <c r="C4494">
        <v>5</v>
      </c>
    </row>
    <row r="4495" spans="1:3" x14ac:dyDescent="0.25">
      <c r="A4495">
        <v>148</v>
      </c>
      <c r="B4495">
        <v>198</v>
      </c>
      <c r="C4495">
        <v>2</v>
      </c>
    </row>
    <row r="4496" spans="1:3" x14ac:dyDescent="0.25">
      <c r="A4496">
        <v>149</v>
      </c>
      <c r="B4496">
        <v>198</v>
      </c>
      <c r="C4496">
        <v>2</v>
      </c>
    </row>
    <row r="4497" spans="1:3" x14ac:dyDescent="0.25">
      <c r="A4497">
        <v>156</v>
      </c>
      <c r="B4497">
        <v>198</v>
      </c>
      <c r="C4497">
        <v>5</v>
      </c>
    </row>
    <row r="4498" spans="1:3" x14ac:dyDescent="0.25">
      <c r="A4498">
        <v>170</v>
      </c>
      <c r="B4498">
        <v>198</v>
      </c>
      <c r="C4498">
        <v>2</v>
      </c>
    </row>
    <row r="4499" spans="1:3" x14ac:dyDescent="0.25">
      <c r="A4499">
        <v>184</v>
      </c>
      <c r="B4499">
        <v>198</v>
      </c>
      <c r="C4499">
        <v>3</v>
      </c>
    </row>
    <row r="4500" spans="1:3" x14ac:dyDescent="0.25">
      <c r="A4500">
        <v>187</v>
      </c>
      <c r="B4500">
        <v>198</v>
      </c>
      <c r="C4500">
        <v>2</v>
      </c>
    </row>
    <row r="4501" spans="1:3" x14ac:dyDescent="0.25">
      <c r="A4501">
        <v>197</v>
      </c>
      <c r="B4501">
        <v>198</v>
      </c>
      <c r="C4501">
        <v>5</v>
      </c>
    </row>
    <row r="4502" spans="1:3" x14ac:dyDescent="0.25">
      <c r="A4502">
        <v>227</v>
      </c>
      <c r="B4502">
        <v>198</v>
      </c>
      <c r="C4502">
        <v>3</v>
      </c>
    </row>
    <row r="4503" spans="1:3" x14ac:dyDescent="0.25">
      <c r="A4503">
        <v>245</v>
      </c>
      <c r="B4503">
        <v>198</v>
      </c>
      <c r="C4503">
        <v>1</v>
      </c>
    </row>
    <row r="4504" spans="1:3" x14ac:dyDescent="0.25">
      <c r="A4504">
        <v>246</v>
      </c>
      <c r="B4504">
        <v>198</v>
      </c>
      <c r="C4504">
        <v>4</v>
      </c>
    </row>
    <row r="4505" spans="1:3" x14ac:dyDescent="0.25">
      <c r="A4505">
        <v>289</v>
      </c>
      <c r="B4505">
        <v>198</v>
      </c>
      <c r="C4505">
        <v>5</v>
      </c>
    </row>
    <row r="4506" spans="1:3" x14ac:dyDescent="0.25">
      <c r="A4506">
        <v>17</v>
      </c>
      <c r="B4506">
        <v>199</v>
      </c>
      <c r="C4506">
        <v>3</v>
      </c>
    </row>
    <row r="4507" spans="1:3" x14ac:dyDescent="0.25">
      <c r="A4507">
        <v>44</v>
      </c>
      <c r="B4507">
        <v>199</v>
      </c>
      <c r="C4507">
        <v>5</v>
      </c>
    </row>
    <row r="4508" spans="1:3" x14ac:dyDescent="0.25">
      <c r="A4508">
        <v>45</v>
      </c>
      <c r="B4508">
        <v>199</v>
      </c>
      <c r="C4508">
        <v>3</v>
      </c>
    </row>
    <row r="4509" spans="1:3" x14ac:dyDescent="0.25">
      <c r="A4509">
        <v>67</v>
      </c>
      <c r="B4509">
        <v>199</v>
      </c>
      <c r="C4509">
        <v>1</v>
      </c>
    </row>
    <row r="4510" spans="1:3" x14ac:dyDescent="0.25">
      <c r="A4510">
        <v>78</v>
      </c>
      <c r="B4510">
        <v>199</v>
      </c>
      <c r="C4510">
        <v>5</v>
      </c>
    </row>
    <row r="4511" spans="1:3" x14ac:dyDescent="0.25">
      <c r="A4511">
        <v>99</v>
      </c>
      <c r="B4511">
        <v>199</v>
      </c>
      <c r="C4511">
        <v>5</v>
      </c>
    </row>
    <row r="4512" spans="1:3" x14ac:dyDescent="0.25">
      <c r="A4512">
        <v>104</v>
      </c>
      <c r="B4512">
        <v>199</v>
      </c>
      <c r="C4512">
        <v>4</v>
      </c>
    </row>
    <row r="4513" spans="1:3" x14ac:dyDescent="0.25">
      <c r="A4513">
        <v>110</v>
      </c>
      <c r="B4513">
        <v>199</v>
      </c>
      <c r="C4513">
        <v>5</v>
      </c>
    </row>
    <row r="4514" spans="1:3" x14ac:dyDescent="0.25">
      <c r="A4514">
        <v>142</v>
      </c>
      <c r="B4514">
        <v>199</v>
      </c>
      <c r="C4514">
        <v>2</v>
      </c>
    </row>
    <row r="4515" spans="1:3" x14ac:dyDescent="0.25">
      <c r="A4515">
        <v>168</v>
      </c>
      <c r="B4515">
        <v>199</v>
      </c>
      <c r="C4515">
        <v>2</v>
      </c>
    </row>
    <row r="4516" spans="1:3" x14ac:dyDescent="0.25">
      <c r="A4516">
        <v>183</v>
      </c>
      <c r="B4516">
        <v>199</v>
      </c>
      <c r="C4516">
        <v>2</v>
      </c>
    </row>
    <row r="4517" spans="1:3" x14ac:dyDescent="0.25">
      <c r="A4517">
        <v>200</v>
      </c>
      <c r="B4517">
        <v>199</v>
      </c>
      <c r="C4517">
        <v>3</v>
      </c>
    </row>
    <row r="4518" spans="1:3" x14ac:dyDescent="0.25">
      <c r="A4518">
        <v>235</v>
      </c>
      <c r="B4518">
        <v>199</v>
      </c>
      <c r="C4518">
        <v>3</v>
      </c>
    </row>
    <row r="4519" spans="1:3" x14ac:dyDescent="0.25">
      <c r="A4519">
        <v>250</v>
      </c>
      <c r="B4519">
        <v>199</v>
      </c>
      <c r="C4519">
        <v>1</v>
      </c>
    </row>
    <row r="4520" spans="1:3" x14ac:dyDescent="0.25">
      <c r="A4520">
        <v>252</v>
      </c>
      <c r="B4520">
        <v>199</v>
      </c>
      <c r="C4520">
        <v>3</v>
      </c>
    </row>
    <row r="4521" spans="1:3" x14ac:dyDescent="0.25">
      <c r="A4521">
        <v>255</v>
      </c>
      <c r="B4521">
        <v>199</v>
      </c>
      <c r="C4521">
        <v>2</v>
      </c>
    </row>
    <row r="4522" spans="1:3" x14ac:dyDescent="0.25">
      <c r="A4522">
        <v>259</v>
      </c>
      <c r="B4522">
        <v>199</v>
      </c>
      <c r="C4522">
        <v>2</v>
      </c>
    </row>
    <row r="4523" spans="1:3" x14ac:dyDescent="0.25">
      <c r="A4523">
        <v>280</v>
      </c>
      <c r="B4523">
        <v>199</v>
      </c>
      <c r="C4523">
        <v>5</v>
      </c>
    </row>
    <row r="4524" spans="1:3" x14ac:dyDescent="0.25">
      <c r="A4524">
        <v>297</v>
      </c>
      <c r="B4524">
        <v>199</v>
      </c>
      <c r="C4524">
        <v>5</v>
      </c>
    </row>
    <row r="4525" spans="1:3" x14ac:dyDescent="0.25">
      <c r="A4525">
        <v>24</v>
      </c>
      <c r="B4525">
        <v>200</v>
      </c>
      <c r="C4525">
        <v>2</v>
      </c>
    </row>
    <row r="4526" spans="1:3" x14ac:dyDescent="0.25">
      <c r="A4526">
        <v>30</v>
      </c>
      <c r="B4526">
        <v>200</v>
      </c>
      <c r="C4526">
        <v>5</v>
      </c>
    </row>
    <row r="4527" spans="1:3" x14ac:dyDescent="0.25">
      <c r="A4527">
        <v>31</v>
      </c>
      <c r="B4527">
        <v>200</v>
      </c>
      <c r="C4527">
        <v>5</v>
      </c>
    </row>
    <row r="4528" spans="1:3" x14ac:dyDescent="0.25">
      <c r="A4528">
        <v>32</v>
      </c>
      <c r="B4528">
        <v>200</v>
      </c>
      <c r="C4528">
        <v>4</v>
      </c>
    </row>
    <row r="4529" spans="1:3" x14ac:dyDescent="0.25">
      <c r="A4529">
        <v>47</v>
      </c>
      <c r="B4529">
        <v>200</v>
      </c>
      <c r="C4529">
        <v>5</v>
      </c>
    </row>
    <row r="4530" spans="1:3" x14ac:dyDescent="0.25">
      <c r="A4530">
        <v>56</v>
      </c>
      <c r="B4530">
        <v>200</v>
      </c>
      <c r="C4530">
        <v>3</v>
      </c>
    </row>
    <row r="4531" spans="1:3" x14ac:dyDescent="0.25">
      <c r="A4531">
        <v>71</v>
      </c>
      <c r="B4531">
        <v>200</v>
      </c>
      <c r="C4531">
        <v>3</v>
      </c>
    </row>
    <row r="4532" spans="1:3" x14ac:dyDescent="0.25">
      <c r="A4532">
        <v>93</v>
      </c>
      <c r="B4532">
        <v>200</v>
      </c>
      <c r="C4532">
        <v>2</v>
      </c>
    </row>
    <row r="4533" spans="1:3" x14ac:dyDescent="0.25">
      <c r="A4533">
        <v>175</v>
      </c>
      <c r="B4533">
        <v>200</v>
      </c>
      <c r="C4533">
        <v>3</v>
      </c>
    </row>
    <row r="4534" spans="1:3" x14ac:dyDescent="0.25">
      <c r="A4534">
        <v>185</v>
      </c>
      <c r="B4534">
        <v>200</v>
      </c>
      <c r="C4534">
        <v>3</v>
      </c>
    </row>
    <row r="4535" spans="1:3" x14ac:dyDescent="0.25">
      <c r="A4535">
        <v>191</v>
      </c>
      <c r="B4535">
        <v>200</v>
      </c>
      <c r="C4535">
        <v>4</v>
      </c>
    </row>
    <row r="4536" spans="1:3" x14ac:dyDescent="0.25">
      <c r="A4536">
        <v>201</v>
      </c>
      <c r="B4536">
        <v>200</v>
      </c>
      <c r="C4536">
        <v>2</v>
      </c>
    </row>
    <row r="4537" spans="1:3" x14ac:dyDescent="0.25">
      <c r="A4537">
        <v>202</v>
      </c>
      <c r="B4537">
        <v>200</v>
      </c>
      <c r="C4537">
        <v>3</v>
      </c>
    </row>
    <row r="4538" spans="1:3" x14ac:dyDescent="0.25">
      <c r="A4538">
        <v>206</v>
      </c>
      <c r="B4538">
        <v>200</v>
      </c>
      <c r="C4538">
        <v>5</v>
      </c>
    </row>
    <row r="4539" spans="1:3" x14ac:dyDescent="0.25">
      <c r="A4539">
        <v>218</v>
      </c>
      <c r="B4539">
        <v>200</v>
      </c>
      <c r="C4539">
        <v>5</v>
      </c>
    </row>
    <row r="4540" spans="1:3" x14ac:dyDescent="0.25">
      <c r="A4540">
        <v>225</v>
      </c>
      <c r="B4540">
        <v>200</v>
      </c>
      <c r="C4540">
        <v>5</v>
      </c>
    </row>
    <row r="4541" spans="1:3" x14ac:dyDescent="0.25">
      <c r="A4541">
        <v>229</v>
      </c>
      <c r="B4541">
        <v>200</v>
      </c>
      <c r="C4541">
        <v>1</v>
      </c>
    </row>
    <row r="4542" spans="1:3" x14ac:dyDescent="0.25">
      <c r="A4542">
        <v>235</v>
      </c>
      <c r="B4542">
        <v>200</v>
      </c>
      <c r="C4542">
        <v>4</v>
      </c>
    </row>
    <row r="4543" spans="1:3" x14ac:dyDescent="0.25">
      <c r="A4543">
        <v>252</v>
      </c>
      <c r="B4543">
        <v>200</v>
      </c>
      <c r="C4543">
        <v>1</v>
      </c>
    </row>
    <row r="4544" spans="1:3" x14ac:dyDescent="0.25">
      <c r="A4544">
        <v>279</v>
      </c>
      <c r="B4544">
        <v>200</v>
      </c>
      <c r="C4544">
        <v>1</v>
      </c>
    </row>
    <row r="4545" spans="1:3" x14ac:dyDescent="0.25">
      <c r="A4545">
        <v>300</v>
      </c>
      <c r="B4545">
        <v>200</v>
      </c>
      <c r="C4545">
        <v>4</v>
      </c>
    </row>
    <row r="4546" spans="1:3" x14ac:dyDescent="0.25">
      <c r="A4546">
        <v>16</v>
      </c>
      <c r="B4546">
        <v>201</v>
      </c>
      <c r="C4546">
        <v>3</v>
      </c>
    </row>
    <row r="4547" spans="1:3" x14ac:dyDescent="0.25">
      <c r="A4547">
        <v>18</v>
      </c>
      <c r="B4547">
        <v>201</v>
      </c>
      <c r="C4547">
        <v>5</v>
      </c>
    </row>
    <row r="4548" spans="1:3" x14ac:dyDescent="0.25">
      <c r="A4548">
        <v>28</v>
      </c>
      <c r="B4548">
        <v>201</v>
      </c>
      <c r="C4548">
        <v>2</v>
      </c>
    </row>
    <row r="4549" spans="1:3" x14ac:dyDescent="0.25">
      <c r="A4549">
        <v>43</v>
      </c>
      <c r="B4549">
        <v>201</v>
      </c>
      <c r="C4549">
        <v>3</v>
      </c>
    </row>
    <row r="4550" spans="1:3" x14ac:dyDescent="0.25">
      <c r="A4550">
        <v>90</v>
      </c>
      <c r="B4550">
        <v>201</v>
      </c>
      <c r="C4550">
        <v>3</v>
      </c>
    </row>
    <row r="4551" spans="1:3" x14ac:dyDescent="0.25">
      <c r="A4551">
        <v>132</v>
      </c>
      <c r="B4551">
        <v>201</v>
      </c>
      <c r="C4551">
        <v>5</v>
      </c>
    </row>
    <row r="4552" spans="1:3" x14ac:dyDescent="0.25">
      <c r="A4552">
        <v>136</v>
      </c>
      <c r="B4552">
        <v>201</v>
      </c>
      <c r="C4552">
        <v>2</v>
      </c>
    </row>
    <row r="4553" spans="1:3" x14ac:dyDescent="0.25">
      <c r="A4553">
        <v>144</v>
      </c>
      <c r="B4553">
        <v>201</v>
      </c>
      <c r="C4553">
        <v>2</v>
      </c>
    </row>
    <row r="4554" spans="1:3" x14ac:dyDescent="0.25">
      <c r="A4554">
        <v>144</v>
      </c>
      <c r="B4554">
        <v>201</v>
      </c>
      <c r="C4554">
        <v>2</v>
      </c>
    </row>
    <row r="4555" spans="1:3" x14ac:dyDescent="0.25">
      <c r="A4555">
        <v>145</v>
      </c>
      <c r="B4555">
        <v>201</v>
      </c>
      <c r="C4555">
        <v>2</v>
      </c>
    </row>
    <row r="4556" spans="1:3" x14ac:dyDescent="0.25">
      <c r="A4556">
        <v>156</v>
      </c>
      <c r="B4556">
        <v>201</v>
      </c>
      <c r="C4556">
        <v>1</v>
      </c>
    </row>
    <row r="4557" spans="1:3" x14ac:dyDescent="0.25">
      <c r="A4557">
        <v>156</v>
      </c>
      <c r="B4557">
        <v>201</v>
      </c>
      <c r="C4557">
        <v>2</v>
      </c>
    </row>
    <row r="4558" spans="1:3" x14ac:dyDescent="0.25">
      <c r="A4558">
        <v>156</v>
      </c>
      <c r="B4558">
        <v>201</v>
      </c>
      <c r="C4558">
        <v>1</v>
      </c>
    </row>
    <row r="4559" spans="1:3" x14ac:dyDescent="0.25">
      <c r="A4559">
        <v>158</v>
      </c>
      <c r="B4559">
        <v>201</v>
      </c>
      <c r="C4559">
        <v>1</v>
      </c>
    </row>
    <row r="4560" spans="1:3" x14ac:dyDescent="0.25">
      <c r="A4560">
        <v>160</v>
      </c>
      <c r="B4560">
        <v>201</v>
      </c>
      <c r="C4560">
        <v>2</v>
      </c>
    </row>
    <row r="4561" spans="1:3" x14ac:dyDescent="0.25">
      <c r="A4561">
        <v>160</v>
      </c>
      <c r="B4561">
        <v>201</v>
      </c>
      <c r="C4561">
        <v>2</v>
      </c>
    </row>
    <row r="4562" spans="1:3" x14ac:dyDescent="0.25">
      <c r="A4562">
        <v>170</v>
      </c>
      <c r="B4562">
        <v>201</v>
      </c>
      <c r="C4562">
        <v>2</v>
      </c>
    </row>
    <row r="4563" spans="1:3" x14ac:dyDescent="0.25">
      <c r="A4563">
        <v>170</v>
      </c>
      <c r="B4563">
        <v>201</v>
      </c>
      <c r="C4563">
        <v>4</v>
      </c>
    </row>
    <row r="4564" spans="1:3" x14ac:dyDescent="0.25">
      <c r="A4564">
        <v>177</v>
      </c>
      <c r="B4564">
        <v>201</v>
      </c>
      <c r="C4564">
        <v>5</v>
      </c>
    </row>
    <row r="4565" spans="1:3" x14ac:dyDescent="0.25">
      <c r="A4565">
        <v>184</v>
      </c>
      <c r="B4565">
        <v>201</v>
      </c>
      <c r="C4565">
        <v>5</v>
      </c>
    </row>
    <row r="4566" spans="1:3" x14ac:dyDescent="0.25">
      <c r="A4566">
        <v>189</v>
      </c>
      <c r="B4566">
        <v>201</v>
      </c>
      <c r="C4566">
        <v>5</v>
      </c>
    </row>
    <row r="4567" spans="1:3" x14ac:dyDescent="0.25">
      <c r="A4567">
        <v>198</v>
      </c>
      <c r="B4567">
        <v>201</v>
      </c>
      <c r="C4567">
        <v>3</v>
      </c>
    </row>
    <row r="4568" spans="1:3" x14ac:dyDescent="0.25">
      <c r="A4568">
        <v>205</v>
      </c>
      <c r="B4568">
        <v>201</v>
      </c>
      <c r="C4568">
        <v>2</v>
      </c>
    </row>
    <row r="4569" spans="1:3" x14ac:dyDescent="0.25">
      <c r="A4569">
        <v>212</v>
      </c>
      <c r="B4569">
        <v>201</v>
      </c>
      <c r="C4569">
        <v>3</v>
      </c>
    </row>
    <row r="4570" spans="1:3" x14ac:dyDescent="0.25">
      <c r="A4570">
        <v>215</v>
      </c>
      <c r="B4570">
        <v>201</v>
      </c>
      <c r="C4570">
        <v>2</v>
      </c>
    </row>
    <row r="4571" spans="1:3" x14ac:dyDescent="0.25">
      <c r="A4571">
        <v>224</v>
      </c>
      <c r="B4571">
        <v>201</v>
      </c>
      <c r="C4571">
        <v>2</v>
      </c>
    </row>
    <row r="4572" spans="1:3" x14ac:dyDescent="0.25">
      <c r="A4572">
        <v>235</v>
      </c>
      <c r="B4572">
        <v>201</v>
      </c>
      <c r="C4572">
        <v>3</v>
      </c>
    </row>
    <row r="4573" spans="1:3" x14ac:dyDescent="0.25">
      <c r="A4573">
        <v>237</v>
      </c>
      <c r="B4573">
        <v>201</v>
      </c>
      <c r="C4573">
        <v>5</v>
      </c>
    </row>
    <row r="4574" spans="1:3" x14ac:dyDescent="0.25">
      <c r="A4574">
        <v>238</v>
      </c>
      <c r="B4574">
        <v>201</v>
      </c>
      <c r="C4574">
        <v>5</v>
      </c>
    </row>
    <row r="4575" spans="1:3" x14ac:dyDescent="0.25">
      <c r="A4575">
        <v>241</v>
      </c>
      <c r="B4575">
        <v>201</v>
      </c>
      <c r="C4575">
        <v>5</v>
      </c>
    </row>
    <row r="4576" spans="1:3" x14ac:dyDescent="0.25">
      <c r="A4576">
        <v>242</v>
      </c>
      <c r="B4576">
        <v>201</v>
      </c>
      <c r="C4576">
        <v>5</v>
      </c>
    </row>
    <row r="4577" spans="1:3" x14ac:dyDescent="0.25">
      <c r="A4577">
        <v>243</v>
      </c>
      <c r="B4577">
        <v>201</v>
      </c>
      <c r="C4577">
        <v>5</v>
      </c>
    </row>
    <row r="4578" spans="1:3" x14ac:dyDescent="0.25">
      <c r="A4578">
        <v>264</v>
      </c>
      <c r="B4578">
        <v>201</v>
      </c>
      <c r="C4578">
        <v>4</v>
      </c>
    </row>
    <row r="4579" spans="1:3" x14ac:dyDescent="0.25">
      <c r="A4579">
        <v>270</v>
      </c>
      <c r="B4579">
        <v>201</v>
      </c>
      <c r="C4579">
        <v>3</v>
      </c>
    </row>
    <row r="4580" spans="1:3" x14ac:dyDescent="0.25">
      <c r="A4580">
        <v>282</v>
      </c>
      <c r="B4580">
        <v>201</v>
      </c>
      <c r="C4580">
        <v>1</v>
      </c>
    </row>
    <row r="4581" spans="1:3" x14ac:dyDescent="0.25">
      <c r="A4581">
        <v>288</v>
      </c>
      <c r="B4581">
        <v>201</v>
      </c>
      <c r="C4581">
        <v>3</v>
      </c>
    </row>
    <row r="4582" spans="1:3" x14ac:dyDescent="0.25">
      <c r="A4582">
        <v>298</v>
      </c>
      <c r="B4582">
        <v>201</v>
      </c>
      <c r="C4582">
        <v>5</v>
      </c>
    </row>
    <row r="4583" spans="1:3" x14ac:dyDescent="0.25">
      <c r="A4583">
        <v>3</v>
      </c>
      <c r="B4583">
        <v>202</v>
      </c>
      <c r="C4583">
        <v>5</v>
      </c>
    </row>
    <row r="4584" spans="1:3" x14ac:dyDescent="0.25">
      <c r="A4584">
        <v>3</v>
      </c>
      <c r="B4584">
        <v>202</v>
      </c>
      <c r="C4584">
        <v>3</v>
      </c>
    </row>
    <row r="4585" spans="1:3" x14ac:dyDescent="0.25">
      <c r="A4585">
        <v>8</v>
      </c>
      <c r="B4585">
        <v>202</v>
      </c>
      <c r="C4585">
        <v>3</v>
      </c>
    </row>
    <row r="4586" spans="1:3" x14ac:dyDescent="0.25">
      <c r="A4586">
        <v>20</v>
      </c>
      <c r="B4586">
        <v>202</v>
      </c>
      <c r="C4586">
        <v>5</v>
      </c>
    </row>
    <row r="4587" spans="1:3" x14ac:dyDescent="0.25">
      <c r="A4587">
        <v>23</v>
      </c>
      <c r="B4587">
        <v>202</v>
      </c>
      <c r="C4587">
        <v>3</v>
      </c>
    </row>
    <row r="4588" spans="1:3" x14ac:dyDescent="0.25">
      <c r="A4588">
        <v>29</v>
      </c>
      <c r="B4588">
        <v>202</v>
      </c>
      <c r="C4588">
        <v>3</v>
      </c>
    </row>
    <row r="4589" spans="1:3" x14ac:dyDescent="0.25">
      <c r="A4589">
        <v>38</v>
      </c>
      <c r="B4589">
        <v>202</v>
      </c>
      <c r="C4589">
        <v>3</v>
      </c>
    </row>
    <row r="4590" spans="1:3" x14ac:dyDescent="0.25">
      <c r="A4590">
        <v>42</v>
      </c>
      <c r="B4590">
        <v>202</v>
      </c>
      <c r="C4590">
        <v>3</v>
      </c>
    </row>
    <row r="4591" spans="1:3" x14ac:dyDescent="0.25">
      <c r="A4591">
        <v>44</v>
      </c>
      <c r="B4591">
        <v>202</v>
      </c>
      <c r="C4591">
        <v>5</v>
      </c>
    </row>
    <row r="4592" spans="1:3" x14ac:dyDescent="0.25">
      <c r="A4592">
        <v>52</v>
      </c>
      <c r="B4592">
        <v>202</v>
      </c>
      <c r="C4592">
        <v>4</v>
      </c>
    </row>
    <row r="4593" spans="1:3" x14ac:dyDescent="0.25">
      <c r="A4593">
        <v>84</v>
      </c>
      <c r="B4593">
        <v>202</v>
      </c>
      <c r="C4593">
        <v>4</v>
      </c>
    </row>
    <row r="4594" spans="1:3" x14ac:dyDescent="0.25">
      <c r="A4594">
        <v>118</v>
      </c>
      <c r="B4594">
        <v>202</v>
      </c>
      <c r="C4594">
        <v>2</v>
      </c>
    </row>
    <row r="4595" spans="1:3" x14ac:dyDescent="0.25">
      <c r="A4595">
        <v>125</v>
      </c>
      <c r="B4595">
        <v>202</v>
      </c>
      <c r="C4595">
        <v>1</v>
      </c>
    </row>
    <row r="4596" spans="1:3" x14ac:dyDescent="0.25">
      <c r="A4596">
        <v>157</v>
      </c>
      <c r="B4596">
        <v>202</v>
      </c>
      <c r="C4596">
        <v>5</v>
      </c>
    </row>
    <row r="4597" spans="1:3" x14ac:dyDescent="0.25">
      <c r="A4597">
        <v>168</v>
      </c>
      <c r="B4597">
        <v>202</v>
      </c>
      <c r="C4597">
        <v>4</v>
      </c>
    </row>
    <row r="4598" spans="1:3" x14ac:dyDescent="0.25">
      <c r="A4598">
        <v>193</v>
      </c>
      <c r="B4598">
        <v>202</v>
      </c>
      <c r="C4598">
        <v>3</v>
      </c>
    </row>
    <row r="4599" spans="1:3" x14ac:dyDescent="0.25">
      <c r="A4599">
        <v>211</v>
      </c>
      <c r="B4599">
        <v>202</v>
      </c>
      <c r="C4599">
        <v>5</v>
      </c>
    </row>
    <row r="4600" spans="1:3" x14ac:dyDescent="0.25">
      <c r="A4600">
        <v>218</v>
      </c>
      <c r="B4600">
        <v>202</v>
      </c>
      <c r="C4600">
        <v>5</v>
      </c>
    </row>
    <row r="4601" spans="1:3" x14ac:dyDescent="0.25">
      <c r="A4601">
        <v>224</v>
      </c>
      <c r="B4601">
        <v>202</v>
      </c>
      <c r="C4601">
        <v>1</v>
      </c>
    </row>
    <row r="4602" spans="1:3" x14ac:dyDescent="0.25">
      <c r="A4602">
        <v>229</v>
      </c>
      <c r="B4602">
        <v>202</v>
      </c>
      <c r="C4602">
        <v>2</v>
      </c>
    </row>
    <row r="4603" spans="1:3" x14ac:dyDescent="0.25">
      <c r="A4603">
        <v>234</v>
      </c>
      <c r="B4603">
        <v>202</v>
      </c>
      <c r="C4603">
        <v>4</v>
      </c>
    </row>
    <row r="4604" spans="1:3" x14ac:dyDescent="0.25">
      <c r="A4604">
        <v>240</v>
      </c>
      <c r="B4604">
        <v>202</v>
      </c>
      <c r="C4604">
        <v>1</v>
      </c>
    </row>
    <row r="4605" spans="1:3" x14ac:dyDescent="0.25">
      <c r="A4605">
        <v>247</v>
      </c>
      <c r="B4605">
        <v>202</v>
      </c>
      <c r="C4605">
        <v>1</v>
      </c>
    </row>
    <row r="4606" spans="1:3" x14ac:dyDescent="0.25">
      <c r="A4606">
        <v>257</v>
      </c>
      <c r="B4606">
        <v>202</v>
      </c>
      <c r="C4606">
        <v>3</v>
      </c>
    </row>
    <row r="4607" spans="1:3" x14ac:dyDescent="0.25">
      <c r="A4607">
        <v>269</v>
      </c>
      <c r="B4607">
        <v>202</v>
      </c>
      <c r="C4607">
        <v>4</v>
      </c>
    </row>
    <row r="4608" spans="1:3" x14ac:dyDescent="0.25">
      <c r="A4608">
        <v>270</v>
      </c>
      <c r="B4608">
        <v>202</v>
      </c>
      <c r="C4608">
        <v>1</v>
      </c>
    </row>
    <row r="4609" spans="1:3" x14ac:dyDescent="0.25">
      <c r="A4609">
        <v>276</v>
      </c>
      <c r="B4609">
        <v>202</v>
      </c>
      <c r="C4609">
        <v>1</v>
      </c>
    </row>
    <row r="4610" spans="1:3" x14ac:dyDescent="0.25">
      <c r="A4610">
        <v>276</v>
      </c>
      <c r="B4610">
        <v>202</v>
      </c>
      <c r="C4610">
        <v>5</v>
      </c>
    </row>
    <row r="4611" spans="1:3" x14ac:dyDescent="0.25">
      <c r="A4611">
        <v>286</v>
      </c>
      <c r="B4611">
        <v>202</v>
      </c>
      <c r="C4611">
        <v>4</v>
      </c>
    </row>
    <row r="4612" spans="1:3" x14ac:dyDescent="0.25">
      <c r="A4612">
        <v>293</v>
      </c>
      <c r="B4612">
        <v>202</v>
      </c>
      <c r="C4612">
        <v>4</v>
      </c>
    </row>
    <row r="4613" spans="1:3" x14ac:dyDescent="0.25">
      <c r="A4613">
        <v>12</v>
      </c>
      <c r="B4613">
        <v>203</v>
      </c>
      <c r="C4613">
        <v>5</v>
      </c>
    </row>
    <row r="4614" spans="1:3" x14ac:dyDescent="0.25">
      <c r="A4614">
        <v>16</v>
      </c>
      <c r="B4614">
        <v>203</v>
      </c>
      <c r="C4614">
        <v>4</v>
      </c>
    </row>
    <row r="4615" spans="1:3" x14ac:dyDescent="0.25">
      <c r="A4615">
        <v>19</v>
      </c>
      <c r="B4615">
        <v>203</v>
      </c>
      <c r="C4615">
        <v>2</v>
      </c>
    </row>
    <row r="4616" spans="1:3" x14ac:dyDescent="0.25">
      <c r="A4616">
        <v>26</v>
      </c>
      <c r="B4616">
        <v>203</v>
      </c>
      <c r="C4616">
        <v>3</v>
      </c>
    </row>
    <row r="4617" spans="1:3" x14ac:dyDescent="0.25">
      <c r="A4617">
        <v>40</v>
      </c>
      <c r="B4617">
        <v>203</v>
      </c>
      <c r="C4617">
        <v>4</v>
      </c>
    </row>
    <row r="4618" spans="1:3" x14ac:dyDescent="0.25">
      <c r="A4618">
        <v>41</v>
      </c>
      <c r="B4618">
        <v>203</v>
      </c>
      <c r="C4618">
        <v>2</v>
      </c>
    </row>
    <row r="4619" spans="1:3" x14ac:dyDescent="0.25">
      <c r="A4619">
        <v>52</v>
      </c>
      <c r="B4619">
        <v>203</v>
      </c>
      <c r="C4619">
        <v>5</v>
      </c>
    </row>
    <row r="4620" spans="1:3" x14ac:dyDescent="0.25">
      <c r="A4620">
        <v>87</v>
      </c>
      <c r="B4620">
        <v>203</v>
      </c>
      <c r="C4620">
        <v>3</v>
      </c>
    </row>
    <row r="4621" spans="1:3" x14ac:dyDescent="0.25">
      <c r="A4621">
        <v>96</v>
      </c>
      <c r="B4621">
        <v>203</v>
      </c>
      <c r="C4621">
        <v>2</v>
      </c>
    </row>
    <row r="4622" spans="1:3" x14ac:dyDescent="0.25">
      <c r="A4622">
        <v>115</v>
      </c>
      <c r="B4622">
        <v>203</v>
      </c>
      <c r="C4622">
        <v>4</v>
      </c>
    </row>
    <row r="4623" spans="1:3" x14ac:dyDescent="0.25">
      <c r="A4623">
        <v>119</v>
      </c>
      <c r="B4623">
        <v>203</v>
      </c>
      <c r="C4623">
        <v>1</v>
      </c>
    </row>
    <row r="4624" spans="1:3" x14ac:dyDescent="0.25">
      <c r="A4624">
        <v>127</v>
      </c>
      <c r="B4624">
        <v>203</v>
      </c>
      <c r="C4624">
        <v>1</v>
      </c>
    </row>
    <row r="4625" spans="1:3" x14ac:dyDescent="0.25">
      <c r="A4625">
        <v>146</v>
      </c>
      <c r="B4625">
        <v>203</v>
      </c>
      <c r="C4625">
        <v>1</v>
      </c>
    </row>
    <row r="4626" spans="1:3" x14ac:dyDescent="0.25">
      <c r="A4626">
        <v>158</v>
      </c>
      <c r="B4626">
        <v>203</v>
      </c>
      <c r="C4626">
        <v>1</v>
      </c>
    </row>
    <row r="4627" spans="1:3" x14ac:dyDescent="0.25">
      <c r="A4627">
        <v>167</v>
      </c>
      <c r="B4627">
        <v>203</v>
      </c>
      <c r="C4627">
        <v>3</v>
      </c>
    </row>
    <row r="4628" spans="1:3" x14ac:dyDescent="0.25">
      <c r="A4628">
        <v>168</v>
      </c>
      <c r="B4628">
        <v>203</v>
      </c>
      <c r="C4628">
        <v>3</v>
      </c>
    </row>
    <row r="4629" spans="1:3" x14ac:dyDescent="0.25">
      <c r="A4629">
        <v>188</v>
      </c>
      <c r="B4629">
        <v>203</v>
      </c>
      <c r="C4629">
        <v>1</v>
      </c>
    </row>
    <row r="4630" spans="1:3" x14ac:dyDescent="0.25">
      <c r="A4630">
        <v>197</v>
      </c>
      <c r="B4630">
        <v>203</v>
      </c>
      <c r="C4630">
        <v>4</v>
      </c>
    </row>
    <row r="4631" spans="1:3" x14ac:dyDescent="0.25">
      <c r="A4631">
        <v>252</v>
      </c>
      <c r="B4631">
        <v>203</v>
      </c>
      <c r="C4631">
        <v>2</v>
      </c>
    </row>
    <row r="4632" spans="1:3" x14ac:dyDescent="0.25">
      <c r="A4632">
        <v>270</v>
      </c>
      <c r="B4632">
        <v>203</v>
      </c>
      <c r="C4632">
        <v>3</v>
      </c>
    </row>
    <row r="4633" spans="1:3" x14ac:dyDescent="0.25">
      <c r="A4633">
        <v>278</v>
      </c>
      <c r="B4633">
        <v>203</v>
      </c>
      <c r="C4633">
        <v>2</v>
      </c>
    </row>
    <row r="4634" spans="1:3" x14ac:dyDescent="0.25">
      <c r="A4634">
        <v>289</v>
      </c>
      <c r="B4634">
        <v>203</v>
      </c>
      <c r="C4634">
        <v>2</v>
      </c>
    </row>
    <row r="4635" spans="1:3" x14ac:dyDescent="0.25">
      <c r="A4635">
        <v>9</v>
      </c>
      <c r="B4635">
        <v>204</v>
      </c>
      <c r="C4635">
        <v>2</v>
      </c>
    </row>
    <row r="4636" spans="1:3" x14ac:dyDescent="0.25">
      <c r="A4636">
        <v>9</v>
      </c>
      <c r="B4636">
        <v>204</v>
      </c>
      <c r="C4636">
        <v>2</v>
      </c>
    </row>
    <row r="4637" spans="1:3" x14ac:dyDescent="0.25">
      <c r="A4637">
        <v>34</v>
      </c>
      <c r="B4637">
        <v>204</v>
      </c>
      <c r="C4637">
        <v>4</v>
      </c>
    </row>
    <row r="4638" spans="1:3" x14ac:dyDescent="0.25">
      <c r="A4638">
        <v>43</v>
      </c>
      <c r="B4638">
        <v>204</v>
      </c>
      <c r="C4638">
        <v>2</v>
      </c>
    </row>
    <row r="4639" spans="1:3" x14ac:dyDescent="0.25">
      <c r="A4639">
        <v>67</v>
      </c>
      <c r="B4639">
        <v>204</v>
      </c>
      <c r="C4639">
        <v>2</v>
      </c>
    </row>
    <row r="4640" spans="1:3" x14ac:dyDescent="0.25">
      <c r="A4640">
        <v>83</v>
      </c>
      <c r="B4640">
        <v>204</v>
      </c>
      <c r="C4640">
        <v>4</v>
      </c>
    </row>
    <row r="4641" spans="1:3" x14ac:dyDescent="0.25">
      <c r="A4641">
        <v>103</v>
      </c>
      <c r="B4641">
        <v>204</v>
      </c>
      <c r="C4641">
        <v>5</v>
      </c>
    </row>
    <row r="4642" spans="1:3" x14ac:dyDescent="0.25">
      <c r="A4642">
        <v>142</v>
      </c>
      <c r="B4642">
        <v>204</v>
      </c>
      <c r="C4642">
        <v>5</v>
      </c>
    </row>
    <row r="4643" spans="1:3" x14ac:dyDescent="0.25">
      <c r="A4643">
        <v>146</v>
      </c>
      <c r="B4643">
        <v>204</v>
      </c>
      <c r="C4643">
        <v>1</v>
      </c>
    </row>
    <row r="4644" spans="1:3" x14ac:dyDescent="0.25">
      <c r="A4644">
        <v>152</v>
      </c>
      <c r="B4644">
        <v>204</v>
      </c>
      <c r="C4644">
        <v>3</v>
      </c>
    </row>
    <row r="4645" spans="1:3" x14ac:dyDescent="0.25">
      <c r="A4645">
        <v>159</v>
      </c>
      <c r="B4645">
        <v>204</v>
      </c>
      <c r="C4645">
        <v>4</v>
      </c>
    </row>
    <row r="4646" spans="1:3" x14ac:dyDescent="0.25">
      <c r="A4646">
        <v>165</v>
      </c>
      <c r="B4646">
        <v>204</v>
      </c>
      <c r="C4646">
        <v>5</v>
      </c>
    </row>
    <row r="4647" spans="1:3" x14ac:dyDescent="0.25">
      <c r="A4647">
        <v>189</v>
      </c>
      <c r="B4647">
        <v>204</v>
      </c>
      <c r="C4647">
        <v>2</v>
      </c>
    </row>
    <row r="4648" spans="1:3" x14ac:dyDescent="0.25">
      <c r="A4648">
        <v>194</v>
      </c>
      <c r="B4648">
        <v>204</v>
      </c>
      <c r="C4648">
        <v>1</v>
      </c>
    </row>
    <row r="4649" spans="1:3" x14ac:dyDescent="0.25">
      <c r="A4649">
        <v>195</v>
      </c>
      <c r="B4649">
        <v>204</v>
      </c>
      <c r="C4649">
        <v>4</v>
      </c>
    </row>
    <row r="4650" spans="1:3" x14ac:dyDescent="0.25">
      <c r="A4650">
        <v>199</v>
      </c>
      <c r="B4650">
        <v>204</v>
      </c>
      <c r="C4650">
        <v>3</v>
      </c>
    </row>
    <row r="4651" spans="1:3" x14ac:dyDescent="0.25">
      <c r="A4651">
        <v>214</v>
      </c>
      <c r="B4651">
        <v>204</v>
      </c>
      <c r="C4651">
        <v>2</v>
      </c>
    </row>
    <row r="4652" spans="1:3" x14ac:dyDescent="0.25">
      <c r="A4652">
        <v>226</v>
      </c>
      <c r="B4652">
        <v>204</v>
      </c>
      <c r="C4652">
        <v>5</v>
      </c>
    </row>
    <row r="4653" spans="1:3" x14ac:dyDescent="0.25">
      <c r="A4653">
        <v>230</v>
      </c>
      <c r="B4653">
        <v>204</v>
      </c>
      <c r="C4653">
        <v>5</v>
      </c>
    </row>
    <row r="4654" spans="1:3" x14ac:dyDescent="0.25">
      <c r="A4654">
        <v>271</v>
      </c>
      <c r="B4654">
        <v>204</v>
      </c>
      <c r="C4654">
        <v>5</v>
      </c>
    </row>
    <row r="4655" spans="1:3" x14ac:dyDescent="0.25">
      <c r="A4655">
        <v>272</v>
      </c>
      <c r="B4655">
        <v>204</v>
      </c>
      <c r="C4655">
        <v>3</v>
      </c>
    </row>
    <row r="4656" spans="1:3" x14ac:dyDescent="0.25">
      <c r="A4656">
        <v>276</v>
      </c>
      <c r="B4656">
        <v>204</v>
      </c>
      <c r="C4656">
        <v>3</v>
      </c>
    </row>
    <row r="4657" spans="1:3" x14ac:dyDescent="0.25">
      <c r="A4657">
        <v>291</v>
      </c>
      <c r="B4657">
        <v>204</v>
      </c>
      <c r="C4657">
        <v>2</v>
      </c>
    </row>
    <row r="4658" spans="1:3" x14ac:dyDescent="0.25">
      <c r="A4658">
        <v>10</v>
      </c>
      <c r="B4658">
        <v>205</v>
      </c>
      <c r="C4658">
        <v>5</v>
      </c>
    </row>
    <row r="4659" spans="1:3" x14ac:dyDescent="0.25">
      <c r="A4659">
        <v>19</v>
      </c>
      <c r="B4659">
        <v>205</v>
      </c>
      <c r="C4659">
        <v>3</v>
      </c>
    </row>
    <row r="4660" spans="1:3" x14ac:dyDescent="0.25">
      <c r="A4660">
        <v>43</v>
      </c>
      <c r="B4660">
        <v>205</v>
      </c>
      <c r="C4660">
        <v>3</v>
      </c>
    </row>
    <row r="4661" spans="1:3" x14ac:dyDescent="0.25">
      <c r="A4661">
        <v>55</v>
      </c>
      <c r="B4661">
        <v>205</v>
      </c>
      <c r="C4661">
        <v>2</v>
      </c>
    </row>
    <row r="4662" spans="1:3" x14ac:dyDescent="0.25">
      <c r="A4662">
        <v>92</v>
      </c>
      <c r="B4662">
        <v>205</v>
      </c>
      <c r="C4662">
        <v>2</v>
      </c>
    </row>
    <row r="4663" spans="1:3" x14ac:dyDescent="0.25">
      <c r="A4663">
        <v>133</v>
      </c>
      <c r="B4663">
        <v>205</v>
      </c>
      <c r="C4663">
        <v>5</v>
      </c>
    </row>
    <row r="4664" spans="1:3" x14ac:dyDescent="0.25">
      <c r="A4664">
        <v>142</v>
      </c>
      <c r="B4664">
        <v>205</v>
      </c>
      <c r="C4664">
        <v>2</v>
      </c>
    </row>
    <row r="4665" spans="1:3" x14ac:dyDescent="0.25">
      <c r="A4665">
        <v>155</v>
      </c>
      <c r="B4665">
        <v>205</v>
      </c>
      <c r="C4665">
        <v>4</v>
      </c>
    </row>
    <row r="4666" spans="1:3" x14ac:dyDescent="0.25">
      <c r="A4666">
        <v>160</v>
      </c>
      <c r="B4666">
        <v>205</v>
      </c>
      <c r="C4666">
        <v>1</v>
      </c>
    </row>
    <row r="4667" spans="1:3" x14ac:dyDescent="0.25">
      <c r="A4667">
        <v>165</v>
      </c>
      <c r="B4667">
        <v>205</v>
      </c>
      <c r="C4667">
        <v>4</v>
      </c>
    </row>
    <row r="4668" spans="1:3" x14ac:dyDescent="0.25">
      <c r="A4668">
        <v>242</v>
      </c>
      <c r="B4668">
        <v>205</v>
      </c>
      <c r="C4668">
        <v>4</v>
      </c>
    </row>
    <row r="4669" spans="1:3" x14ac:dyDescent="0.25">
      <c r="A4669">
        <v>242</v>
      </c>
      <c r="B4669">
        <v>205</v>
      </c>
      <c r="C4669">
        <v>3</v>
      </c>
    </row>
    <row r="4670" spans="1:3" x14ac:dyDescent="0.25">
      <c r="A4670">
        <v>256</v>
      </c>
      <c r="B4670">
        <v>205</v>
      </c>
      <c r="C4670">
        <v>3</v>
      </c>
    </row>
    <row r="4671" spans="1:3" x14ac:dyDescent="0.25">
      <c r="A4671">
        <v>256</v>
      </c>
      <c r="B4671">
        <v>205</v>
      </c>
      <c r="C4671">
        <v>3</v>
      </c>
    </row>
    <row r="4672" spans="1:3" x14ac:dyDescent="0.25">
      <c r="A4672">
        <v>274</v>
      </c>
      <c r="B4672">
        <v>205</v>
      </c>
      <c r="C4672">
        <v>2</v>
      </c>
    </row>
    <row r="4673" spans="1:3" x14ac:dyDescent="0.25">
      <c r="A4673">
        <v>280</v>
      </c>
      <c r="B4673">
        <v>205</v>
      </c>
      <c r="C4673">
        <v>3</v>
      </c>
    </row>
    <row r="4674" spans="1:3" x14ac:dyDescent="0.25">
      <c r="A4674">
        <v>9</v>
      </c>
      <c r="B4674">
        <v>206</v>
      </c>
      <c r="C4674">
        <v>3</v>
      </c>
    </row>
    <row r="4675" spans="1:3" x14ac:dyDescent="0.25">
      <c r="A4675">
        <v>11</v>
      </c>
      <c r="B4675">
        <v>206</v>
      </c>
      <c r="C4675">
        <v>2</v>
      </c>
    </row>
    <row r="4676" spans="1:3" x14ac:dyDescent="0.25">
      <c r="A4676">
        <v>25</v>
      </c>
      <c r="B4676">
        <v>206</v>
      </c>
      <c r="C4676">
        <v>3</v>
      </c>
    </row>
    <row r="4677" spans="1:3" x14ac:dyDescent="0.25">
      <c r="A4677">
        <v>63</v>
      </c>
      <c r="B4677">
        <v>206</v>
      </c>
      <c r="C4677">
        <v>5</v>
      </c>
    </row>
    <row r="4678" spans="1:3" x14ac:dyDescent="0.25">
      <c r="A4678">
        <v>82</v>
      </c>
      <c r="B4678">
        <v>206</v>
      </c>
      <c r="C4678">
        <v>2</v>
      </c>
    </row>
    <row r="4679" spans="1:3" x14ac:dyDescent="0.25">
      <c r="A4679">
        <v>88</v>
      </c>
      <c r="B4679">
        <v>206</v>
      </c>
      <c r="C4679">
        <v>1</v>
      </c>
    </row>
    <row r="4680" spans="1:3" x14ac:dyDescent="0.25">
      <c r="A4680">
        <v>97</v>
      </c>
      <c r="B4680">
        <v>206</v>
      </c>
      <c r="C4680">
        <v>1</v>
      </c>
    </row>
    <row r="4681" spans="1:3" x14ac:dyDescent="0.25">
      <c r="A4681">
        <v>99</v>
      </c>
      <c r="B4681">
        <v>206</v>
      </c>
      <c r="C4681">
        <v>5</v>
      </c>
    </row>
    <row r="4682" spans="1:3" x14ac:dyDescent="0.25">
      <c r="A4682">
        <v>108</v>
      </c>
      <c r="B4682">
        <v>206</v>
      </c>
      <c r="C4682">
        <v>3</v>
      </c>
    </row>
    <row r="4683" spans="1:3" x14ac:dyDescent="0.25">
      <c r="A4683">
        <v>108</v>
      </c>
      <c r="B4683">
        <v>206</v>
      </c>
      <c r="C4683">
        <v>2</v>
      </c>
    </row>
    <row r="4684" spans="1:3" x14ac:dyDescent="0.25">
      <c r="A4684">
        <v>117</v>
      </c>
      <c r="B4684">
        <v>206</v>
      </c>
      <c r="C4684">
        <v>1</v>
      </c>
    </row>
    <row r="4685" spans="1:3" x14ac:dyDescent="0.25">
      <c r="A4685">
        <v>122</v>
      </c>
      <c r="B4685">
        <v>206</v>
      </c>
      <c r="C4685">
        <v>4</v>
      </c>
    </row>
    <row r="4686" spans="1:3" x14ac:dyDescent="0.25">
      <c r="A4686">
        <v>126</v>
      </c>
      <c r="B4686">
        <v>206</v>
      </c>
      <c r="C4686">
        <v>5</v>
      </c>
    </row>
    <row r="4687" spans="1:3" x14ac:dyDescent="0.25">
      <c r="A4687">
        <v>130</v>
      </c>
      <c r="B4687">
        <v>206</v>
      </c>
      <c r="C4687">
        <v>5</v>
      </c>
    </row>
    <row r="4688" spans="1:3" x14ac:dyDescent="0.25">
      <c r="A4688">
        <v>134</v>
      </c>
      <c r="B4688">
        <v>206</v>
      </c>
      <c r="C4688">
        <v>3</v>
      </c>
    </row>
    <row r="4689" spans="1:3" x14ac:dyDescent="0.25">
      <c r="A4689">
        <v>144</v>
      </c>
      <c r="B4689">
        <v>206</v>
      </c>
      <c r="C4689">
        <v>2</v>
      </c>
    </row>
    <row r="4690" spans="1:3" x14ac:dyDescent="0.25">
      <c r="A4690">
        <v>163</v>
      </c>
      <c r="B4690">
        <v>206</v>
      </c>
      <c r="C4690">
        <v>3</v>
      </c>
    </row>
    <row r="4691" spans="1:3" x14ac:dyDescent="0.25">
      <c r="A4691">
        <v>169</v>
      </c>
      <c r="B4691">
        <v>206</v>
      </c>
      <c r="C4691">
        <v>5</v>
      </c>
    </row>
    <row r="4692" spans="1:3" x14ac:dyDescent="0.25">
      <c r="A4692">
        <v>173</v>
      </c>
      <c r="B4692">
        <v>206</v>
      </c>
      <c r="C4692">
        <v>3</v>
      </c>
    </row>
    <row r="4693" spans="1:3" x14ac:dyDescent="0.25">
      <c r="A4693">
        <v>237</v>
      </c>
      <c r="B4693">
        <v>206</v>
      </c>
      <c r="C4693">
        <v>4</v>
      </c>
    </row>
    <row r="4694" spans="1:3" x14ac:dyDescent="0.25">
      <c r="A4694">
        <v>259</v>
      </c>
      <c r="B4694">
        <v>206</v>
      </c>
      <c r="C4694">
        <v>5</v>
      </c>
    </row>
    <row r="4695" spans="1:3" x14ac:dyDescent="0.25">
      <c r="A4695">
        <v>287</v>
      </c>
      <c r="B4695">
        <v>206</v>
      </c>
      <c r="C4695">
        <v>1</v>
      </c>
    </row>
    <row r="4696" spans="1:3" x14ac:dyDescent="0.25">
      <c r="A4696">
        <v>15</v>
      </c>
      <c r="B4696">
        <v>207</v>
      </c>
      <c r="C4696">
        <v>4</v>
      </c>
    </row>
    <row r="4697" spans="1:3" x14ac:dyDescent="0.25">
      <c r="A4697">
        <v>30</v>
      </c>
      <c r="B4697">
        <v>207</v>
      </c>
      <c r="C4697">
        <v>2</v>
      </c>
    </row>
    <row r="4698" spans="1:3" x14ac:dyDescent="0.25">
      <c r="A4698">
        <v>50</v>
      </c>
      <c r="B4698">
        <v>207</v>
      </c>
      <c r="C4698">
        <v>1</v>
      </c>
    </row>
    <row r="4699" spans="1:3" x14ac:dyDescent="0.25">
      <c r="A4699">
        <v>53</v>
      </c>
      <c r="B4699">
        <v>207</v>
      </c>
      <c r="C4699">
        <v>3</v>
      </c>
    </row>
    <row r="4700" spans="1:3" x14ac:dyDescent="0.25">
      <c r="A4700">
        <v>53</v>
      </c>
      <c r="B4700">
        <v>207</v>
      </c>
      <c r="C4700">
        <v>1</v>
      </c>
    </row>
    <row r="4701" spans="1:3" x14ac:dyDescent="0.25">
      <c r="A4701">
        <v>64</v>
      </c>
      <c r="B4701">
        <v>207</v>
      </c>
      <c r="C4701">
        <v>3</v>
      </c>
    </row>
    <row r="4702" spans="1:3" x14ac:dyDescent="0.25">
      <c r="A4702">
        <v>67</v>
      </c>
      <c r="B4702">
        <v>207</v>
      </c>
      <c r="C4702">
        <v>3</v>
      </c>
    </row>
    <row r="4703" spans="1:3" x14ac:dyDescent="0.25">
      <c r="A4703">
        <v>86</v>
      </c>
      <c r="B4703">
        <v>207</v>
      </c>
      <c r="C4703">
        <v>4</v>
      </c>
    </row>
    <row r="4704" spans="1:3" x14ac:dyDescent="0.25">
      <c r="A4704">
        <v>93</v>
      </c>
      <c r="B4704">
        <v>207</v>
      </c>
      <c r="C4704">
        <v>1</v>
      </c>
    </row>
    <row r="4705" spans="1:3" x14ac:dyDescent="0.25">
      <c r="A4705">
        <v>110</v>
      </c>
      <c r="B4705">
        <v>207</v>
      </c>
      <c r="C4705">
        <v>3</v>
      </c>
    </row>
    <row r="4706" spans="1:3" x14ac:dyDescent="0.25">
      <c r="A4706">
        <v>122</v>
      </c>
      <c r="B4706">
        <v>207</v>
      </c>
      <c r="C4706">
        <v>4</v>
      </c>
    </row>
    <row r="4707" spans="1:3" x14ac:dyDescent="0.25">
      <c r="A4707">
        <v>128</v>
      </c>
      <c r="B4707">
        <v>207</v>
      </c>
      <c r="C4707">
        <v>1</v>
      </c>
    </row>
    <row r="4708" spans="1:3" x14ac:dyDescent="0.25">
      <c r="A4708">
        <v>152</v>
      </c>
      <c r="B4708">
        <v>207</v>
      </c>
      <c r="C4708">
        <v>5</v>
      </c>
    </row>
    <row r="4709" spans="1:3" x14ac:dyDescent="0.25">
      <c r="A4709">
        <v>174</v>
      </c>
      <c r="B4709">
        <v>207</v>
      </c>
      <c r="C4709">
        <v>2</v>
      </c>
    </row>
    <row r="4710" spans="1:3" x14ac:dyDescent="0.25">
      <c r="A4710">
        <v>174</v>
      </c>
      <c r="B4710">
        <v>207</v>
      </c>
      <c r="C4710">
        <v>5</v>
      </c>
    </row>
    <row r="4711" spans="1:3" x14ac:dyDescent="0.25">
      <c r="A4711">
        <v>188</v>
      </c>
      <c r="B4711">
        <v>207</v>
      </c>
      <c r="C4711">
        <v>3</v>
      </c>
    </row>
    <row r="4712" spans="1:3" x14ac:dyDescent="0.25">
      <c r="A4712">
        <v>199</v>
      </c>
      <c r="B4712">
        <v>207</v>
      </c>
      <c r="C4712">
        <v>5</v>
      </c>
    </row>
    <row r="4713" spans="1:3" x14ac:dyDescent="0.25">
      <c r="A4713">
        <v>200</v>
      </c>
      <c r="B4713">
        <v>207</v>
      </c>
      <c r="C4713">
        <v>2</v>
      </c>
    </row>
    <row r="4714" spans="1:3" x14ac:dyDescent="0.25">
      <c r="A4714">
        <v>216</v>
      </c>
      <c r="B4714">
        <v>207</v>
      </c>
      <c r="C4714">
        <v>2</v>
      </c>
    </row>
    <row r="4715" spans="1:3" x14ac:dyDescent="0.25">
      <c r="A4715">
        <v>230</v>
      </c>
      <c r="B4715">
        <v>207</v>
      </c>
      <c r="C4715">
        <v>4</v>
      </c>
    </row>
    <row r="4716" spans="1:3" x14ac:dyDescent="0.25">
      <c r="A4716">
        <v>250</v>
      </c>
      <c r="B4716">
        <v>207</v>
      </c>
      <c r="C4716">
        <v>1</v>
      </c>
    </row>
    <row r="4717" spans="1:3" x14ac:dyDescent="0.25">
      <c r="A4717">
        <v>260</v>
      </c>
      <c r="B4717">
        <v>207</v>
      </c>
      <c r="C4717">
        <v>1</v>
      </c>
    </row>
    <row r="4718" spans="1:3" x14ac:dyDescent="0.25">
      <c r="A4718">
        <v>287</v>
      </c>
      <c r="B4718">
        <v>207</v>
      </c>
      <c r="C4718">
        <v>5</v>
      </c>
    </row>
    <row r="4719" spans="1:3" x14ac:dyDescent="0.25">
      <c r="A4719">
        <v>289</v>
      </c>
      <c r="B4719">
        <v>207</v>
      </c>
      <c r="C4719">
        <v>4</v>
      </c>
    </row>
    <row r="4720" spans="1:3" x14ac:dyDescent="0.25">
      <c r="A4720">
        <v>1</v>
      </c>
      <c r="B4720">
        <v>208</v>
      </c>
      <c r="C4720">
        <v>5</v>
      </c>
    </row>
    <row r="4721" spans="1:3" x14ac:dyDescent="0.25">
      <c r="A4721">
        <v>2</v>
      </c>
      <c r="B4721">
        <v>208</v>
      </c>
      <c r="C4721">
        <v>5</v>
      </c>
    </row>
    <row r="4722" spans="1:3" x14ac:dyDescent="0.25">
      <c r="A4722">
        <v>2</v>
      </c>
      <c r="B4722">
        <v>208</v>
      </c>
      <c r="C4722">
        <v>3</v>
      </c>
    </row>
    <row r="4723" spans="1:3" x14ac:dyDescent="0.25">
      <c r="A4723">
        <v>26</v>
      </c>
      <c r="B4723">
        <v>208</v>
      </c>
      <c r="C4723">
        <v>4</v>
      </c>
    </row>
    <row r="4724" spans="1:3" x14ac:dyDescent="0.25">
      <c r="A4724">
        <v>38</v>
      </c>
      <c r="B4724">
        <v>208</v>
      </c>
      <c r="C4724">
        <v>5</v>
      </c>
    </row>
    <row r="4725" spans="1:3" x14ac:dyDescent="0.25">
      <c r="A4725">
        <v>39</v>
      </c>
      <c r="B4725">
        <v>208</v>
      </c>
      <c r="C4725">
        <v>3</v>
      </c>
    </row>
    <row r="4726" spans="1:3" x14ac:dyDescent="0.25">
      <c r="A4726">
        <v>66</v>
      </c>
      <c r="B4726">
        <v>208</v>
      </c>
      <c r="C4726">
        <v>3</v>
      </c>
    </row>
    <row r="4727" spans="1:3" x14ac:dyDescent="0.25">
      <c r="A4727">
        <v>68</v>
      </c>
      <c r="B4727">
        <v>208</v>
      </c>
      <c r="C4727">
        <v>2</v>
      </c>
    </row>
    <row r="4728" spans="1:3" x14ac:dyDescent="0.25">
      <c r="A4728">
        <v>83</v>
      </c>
      <c r="B4728">
        <v>208</v>
      </c>
      <c r="C4728">
        <v>4</v>
      </c>
    </row>
    <row r="4729" spans="1:3" x14ac:dyDescent="0.25">
      <c r="A4729">
        <v>86</v>
      </c>
      <c r="B4729">
        <v>208</v>
      </c>
      <c r="C4729">
        <v>3</v>
      </c>
    </row>
    <row r="4730" spans="1:3" x14ac:dyDescent="0.25">
      <c r="A4730">
        <v>91</v>
      </c>
      <c r="B4730">
        <v>208</v>
      </c>
      <c r="C4730">
        <v>5</v>
      </c>
    </row>
    <row r="4731" spans="1:3" x14ac:dyDescent="0.25">
      <c r="A4731">
        <v>91</v>
      </c>
      <c r="B4731">
        <v>208</v>
      </c>
      <c r="C4731">
        <v>4</v>
      </c>
    </row>
    <row r="4732" spans="1:3" x14ac:dyDescent="0.25">
      <c r="A4732">
        <v>96</v>
      </c>
      <c r="B4732">
        <v>208</v>
      </c>
      <c r="C4732">
        <v>3</v>
      </c>
    </row>
    <row r="4733" spans="1:3" x14ac:dyDescent="0.25">
      <c r="A4733">
        <v>97</v>
      </c>
      <c r="B4733">
        <v>208</v>
      </c>
      <c r="C4733">
        <v>2</v>
      </c>
    </row>
    <row r="4734" spans="1:3" x14ac:dyDescent="0.25">
      <c r="A4734">
        <v>108</v>
      </c>
      <c r="B4734">
        <v>208</v>
      </c>
      <c r="C4734">
        <v>3</v>
      </c>
    </row>
    <row r="4735" spans="1:3" x14ac:dyDescent="0.25">
      <c r="A4735">
        <v>133</v>
      </c>
      <c r="B4735">
        <v>208</v>
      </c>
      <c r="C4735">
        <v>2</v>
      </c>
    </row>
    <row r="4736" spans="1:3" x14ac:dyDescent="0.25">
      <c r="A4736">
        <v>133</v>
      </c>
      <c r="B4736">
        <v>208</v>
      </c>
      <c r="C4736">
        <v>4</v>
      </c>
    </row>
    <row r="4737" spans="1:3" x14ac:dyDescent="0.25">
      <c r="A4737">
        <v>152</v>
      </c>
      <c r="B4737">
        <v>208</v>
      </c>
      <c r="C4737">
        <v>2</v>
      </c>
    </row>
    <row r="4738" spans="1:3" x14ac:dyDescent="0.25">
      <c r="A4738">
        <v>164</v>
      </c>
      <c r="B4738">
        <v>208</v>
      </c>
      <c r="C4738">
        <v>2</v>
      </c>
    </row>
    <row r="4739" spans="1:3" x14ac:dyDescent="0.25">
      <c r="A4739">
        <v>170</v>
      </c>
      <c r="B4739">
        <v>208</v>
      </c>
      <c r="C4739">
        <v>2</v>
      </c>
    </row>
    <row r="4740" spans="1:3" x14ac:dyDescent="0.25">
      <c r="A4740">
        <v>180</v>
      </c>
      <c r="B4740">
        <v>208</v>
      </c>
      <c r="C4740">
        <v>3</v>
      </c>
    </row>
    <row r="4741" spans="1:3" x14ac:dyDescent="0.25">
      <c r="A4741">
        <v>184</v>
      </c>
      <c r="B4741">
        <v>208</v>
      </c>
      <c r="C4741">
        <v>4</v>
      </c>
    </row>
    <row r="4742" spans="1:3" x14ac:dyDescent="0.25">
      <c r="A4742">
        <v>190</v>
      </c>
      <c r="B4742">
        <v>208</v>
      </c>
      <c r="C4742">
        <v>4</v>
      </c>
    </row>
    <row r="4743" spans="1:3" x14ac:dyDescent="0.25">
      <c r="A4743">
        <v>198</v>
      </c>
      <c r="B4743">
        <v>208</v>
      </c>
      <c r="C4743">
        <v>4</v>
      </c>
    </row>
    <row r="4744" spans="1:3" x14ac:dyDescent="0.25">
      <c r="A4744">
        <v>198</v>
      </c>
      <c r="B4744">
        <v>208</v>
      </c>
      <c r="C4744">
        <v>5</v>
      </c>
    </row>
    <row r="4745" spans="1:3" x14ac:dyDescent="0.25">
      <c r="A4745">
        <v>217</v>
      </c>
      <c r="B4745">
        <v>208</v>
      </c>
      <c r="C4745">
        <v>3</v>
      </c>
    </row>
    <row r="4746" spans="1:3" x14ac:dyDescent="0.25">
      <c r="A4746">
        <v>219</v>
      </c>
      <c r="B4746">
        <v>208</v>
      </c>
      <c r="C4746">
        <v>2</v>
      </c>
    </row>
    <row r="4747" spans="1:3" x14ac:dyDescent="0.25">
      <c r="A4747">
        <v>231</v>
      </c>
      <c r="B4747">
        <v>208</v>
      </c>
      <c r="C4747">
        <v>2</v>
      </c>
    </row>
    <row r="4748" spans="1:3" x14ac:dyDescent="0.25">
      <c r="A4748">
        <v>233</v>
      </c>
      <c r="B4748">
        <v>208</v>
      </c>
      <c r="C4748">
        <v>3</v>
      </c>
    </row>
    <row r="4749" spans="1:3" x14ac:dyDescent="0.25">
      <c r="A4749">
        <v>236</v>
      </c>
      <c r="B4749">
        <v>208</v>
      </c>
      <c r="C4749">
        <v>1</v>
      </c>
    </row>
    <row r="4750" spans="1:3" x14ac:dyDescent="0.25">
      <c r="A4750">
        <v>252</v>
      </c>
      <c r="B4750">
        <v>208</v>
      </c>
      <c r="C4750">
        <v>4</v>
      </c>
    </row>
    <row r="4751" spans="1:3" x14ac:dyDescent="0.25">
      <c r="A4751">
        <v>254</v>
      </c>
      <c r="B4751">
        <v>208</v>
      </c>
      <c r="C4751">
        <v>4</v>
      </c>
    </row>
    <row r="4752" spans="1:3" x14ac:dyDescent="0.25">
      <c r="A4752">
        <v>258</v>
      </c>
      <c r="B4752">
        <v>208</v>
      </c>
      <c r="C4752">
        <v>5</v>
      </c>
    </row>
    <row r="4753" spans="1:3" x14ac:dyDescent="0.25">
      <c r="A4753">
        <v>260</v>
      </c>
      <c r="B4753">
        <v>208</v>
      </c>
      <c r="C4753">
        <v>5</v>
      </c>
    </row>
    <row r="4754" spans="1:3" x14ac:dyDescent="0.25">
      <c r="A4754">
        <v>262</v>
      </c>
      <c r="B4754">
        <v>208</v>
      </c>
      <c r="C4754">
        <v>3</v>
      </c>
    </row>
    <row r="4755" spans="1:3" x14ac:dyDescent="0.25">
      <c r="A4755">
        <v>294</v>
      </c>
      <c r="B4755">
        <v>208</v>
      </c>
      <c r="C4755">
        <v>2</v>
      </c>
    </row>
    <row r="4756" spans="1:3" x14ac:dyDescent="0.25">
      <c r="A4756">
        <v>21</v>
      </c>
      <c r="B4756">
        <v>209</v>
      </c>
      <c r="C4756">
        <v>3</v>
      </c>
    </row>
    <row r="4757" spans="1:3" x14ac:dyDescent="0.25">
      <c r="A4757">
        <v>23</v>
      </c>
      <c r="B4757">
        <v>209</v>
      </c>
      <c r="C4757">
        <v>4</v>
      </c>
    </row>
    <row r="4758" spans="1:3" x14ac:dyDescent="0.25">
      <c r="A4758">
        <v>36</v>
      </c>
      <c r="B4758">
        <v>209</v>
      </c>
      <c r="C4758">
        <v>2</v>
      </c>
    </row>
    <row r="4759" spans="1:3" x14ac:dyDescent="0.25">
      <c r="A4759">
        <v>83</v>
      </c>
      <c r="B4759">
        <v>209</v>
      </c>
      <c r="C4759">
        <v>1</v>
      </c>
    </row>
    <row r="4760" spans="1:3" x14ac:dyDescent="0.25">
      <c r="A4760">
        <v>92</v>
      </c>
      <c r="B4760">
        <v>209</v>
      </c>
      <c r="C4760">
        <v>4</v>
      </c>
    </row>
    <row r="4761" spans="1:3" x14ac:dyDescent="0.25">
      <c r="A4761">
        <v>103</v>
      </c>
      <c r="B4761">
        <v>209</v>
      </c>
      <c r="C4761">
        <v>1</v>
      </c>
    </row>
    <row r="4762" spans="1:3" x14ac:dyDescent="0.25">
      <c r="A4762">
        <v>135</v>
      </c>
      <c r="B4762">
        <v>209</v>
      </c>
      <c r="C4762">
        <v>1</v>
      </c>
    </row>
    <row r="4763" spans="1:3" x14ac:dyDescent="0.25">
      <c r="A4763">
        <v>139</v>
      </c>
      <c r="B4763">
        <v>209</v>
      </c>
      <c r="C4763">
        <v>1</v>
      </c>
    </row>
    <row r="4764" spans="1:3" x14ac:dyDescent="0.25">
      <c r="A4764">
        <v>155</v>
      </c>
      <c r="B4764">
        <v>209</v>
      </c>
      <c r="C4764">
        <v>4</v>
      </c>
    </row>
    <row r="4765" spans="1:3" x14ac:dyDescent="0.25">
      <c r="A4765">
        <v>175</v>
      </c>
      <c r="B4765">
        <v>209</v>
      </c>
      <c r="C4765">
        <v>1</v>
      </c>
    </row>
    <row r="4766" spans="1:3" x14ac:dyDescent="0.25">
      <c r="A4766">
        <v>199</v>
      </c>
      <c r="B4766">
        <v>209</v>
      </c>
      <c r="C4766">
        <v>1</v>
      </c>
    </row>
    <row r="4767" spans="1:3" x14ac:dyDescent="0.25">
      <c r="A4767">
        <v>199</v>
      </c>
      <c r="B4767">
        <v>209</v>
      </c>
      <c r="C4767">
        <v>2</v>
      </c>
    </row>
    <row r="4768" spans="1:3" x14ac:dyDescent="0.25">
      <c r="A4768">
        <v>212</v>
      </c>
      <c r="B4768">
        <v>209</v>
      </c>
      <c r="C4768">
        <v>3</v>
      </c>
    </row>
    <row r="4769" spans="1:3" x14ac:dyDescent="0.25">
      <c r="A4769">
        <v>297</v>
      </c>
      <c r="B4769">
        <v>209</v>
      </c>
      <c r="C4769">
        <v>3</v>
      </c>
    </row>
    <row r="4770" spans="1:3" x14ac:dyDescent="0.25">
      <c r="A4770">
        <v>17</v>
      </c>
      <c r="B4770">
        <v>210</v>
      </c>
      <c r="C4770">
        <v>4</v>
      </c>
    </row>
    <row r="4771" spans="1:3" x14ac:dyDescent="0.25">
      <c r="A4771">
        <v>19</v>
      </c>
      <c r="B4771">
        <v>210</v>
      </c>
      <c r="C4771">
        <v>5</v>
      </c>
    </row>
    <row r="4772" spans="1:3" x14ac:dyDescent="0.25">
      <c r="A4772">
        <v>44</v>
      </c>
      <c r="B4772">
        <v>210</v>
      </c>
      <c r="C4772">
        <v>3</v>
      </c>
    </row>
    <row r="4773" spans="1:3" x14ac:dyDescent="0.25">
      <c r="A4773">
        <v>80</v>
      </c>
      <c r="B4773">
        <v>210</v>
      </c>
      <c r="C4773">
        <v>5</v>
      </c>
    </row>
    <row r="4774" spans="1:3" x14ac:dyDescent="0.25">
      <c r="A4774">
        <v>85</v>
      </c>
      <c r="B4774">
        <v>210</v>
      </c>
      <c r="C4774">
        <v>5</v>
      </c>
    </row>
    <row r="4775" spans="1:3" x14ac:dyDescent="0.25">
      <c r="A4775">
        <v>88</v>
      </c>
      <c r="B4775">
        <v>210</v>
      </c>
      <c r="C4775">
        <v>3</v>
      </c>
    </row>
    <row r="4776" spans="1:3" x14ac:dyDescent="0.25">
      <c r="A4776">
        <v>96</v>
      </c>
      <c r="B4776">
        <v>210</v>
      </c>
      <c r="C4776">
        <v>1</v>
      </c>
    </row>
    <row r="4777" spans="1:3" x14ac:dyDescent="0.25">
      <c r="A4777">
        <v>106</v>
      </c>
      <c r="B4777">
        <v>210</v>
      </c>
      <c r="C4777">
        <v>3</v>
      </c>
    </row>
    <row r="4778" spans="1:3" x14ac:dyDescent="0.25">
      <c r="A4778">
        <v>109</v>
      </c>
      <c r="B4778">
        <v>210</v>
      </c>
      <c r="C4778">
        <v>2</v>
      </c>
    </row>
    <row r="4779" spans="1:3" x14ac:dyDescent="0.25">
      <c r="A4779">
        <v>154</v>
      </c>
      <c r="B4779">
        <v>210</v>
      </c>
      <c r="C4779">
        <v>5</v>
      </c>
    </row>
    <row r="4780" spans="1:3" x14ac:dyDescent="0.25">
      <c r="A4780">
        <v>172</v>
      </c>
      <c r="B4780">
        <v>210</v>
      </c>
      <c r="C4780">
        <v>3</v>
      </c>
    </row>
    <row r="4781" spans="1:3" x14ac:dyDescent="0.25">
      <c r="A4781">
        <v>174</v>
      </c>
      <c r="B4781">
        <v>210</v>
      </c>
      <c r="C4781">
        <v>4</v>
      </c>
    </row>
    <row r="4782" spans="1:3" x14ac:dyDescent="0.25">
      <c r="A4782">
        <v>179</v>
      </c>
      <c r="B4782">
        <v>210</v>
      </c>
      <c r="C4782">
        <v>1</v>
      </c>
    </row>
    <row r="4783" spans="1:3" x14ac:dyDescent="0.25">
      <c r="A4783">
        <v>187</v>
      </c>
      <c r="B4783">
        <v>210</v>
      </c>
      <c r="C4783">
        <v>2</v>
      </c>
    </row>
    <row r="4784" spans="1:3" x14ac:dyDescent="0.25">
      <c r="A4784">
        <v>190</v>
      </c>
      <c r="B4784">
        <v>210</v>
      </c>
      <c r="C4784">
        <v>5</v>
      </c>
    </row>
    <row r="4785" spans="1:3" x14ac:dyDescent="0.25">
      <c r="A4785">
        <v>193</v>
      </c>
      <c r="B4785">
        <v>210</v>
      </c>
      <c r="C4785">
        <v>1</v>
      </c>
    </row>
    <row r="4786" spans="1:3" x14ac:dyDescent="0.25">
      <c r="A4786">
        <v>206</v>
      </c>
      <c r="B4786">
        <v>210</v>
      </c>
      <c r="C4786">
        <v>1</v>
      </c>
    </row>
    <row r="4787" spans="1:3" x14ac:dyDescent="0.25">
      <c r="A4787">
        <v>240</v>
      </c>
      <c r="B4787">
        <v>210</v>
      </c>
      <c r="C4787">
        <v>2</v>
      </c>
    </row>
    <row r="4788" spans="1:3" x14ac:dyDescent="0.25">
      <c r="A4788">
        <v>266</v>
      </c>
      <c r="B4788">
        <v>210</v>
      </c>
      <c r="C4788">
        <v>5</v>
      </c>
    </row>
    <row r="4789" spans="1:3" x14ac:dyDescent="0.25">
      <c r="A4789">
        <v>279</v>
      </c>
      <c r="B4789">
        <v>210</v>
      </c>
      <c r="C4789">
        <v>3</v>
      </c>
    </row>
    <row r="4790" spans="1:3" x14ac:dyDescent="0.25">
      <c r="A4790">
        <v>286</v>
      </c>
      <c r="B4790">
        <v>210</v>
      </c>
      <c r="C4790">
        <v>3</v>
      </c>
    </row>
    <row r="4791" spans="1:3" x14ac:dyDescent="0.25">
      <c r="A4791">
        <v>287</v>
      </c>
      <c r="B4791">
        <v>210</v>
      </c>
      <c r="C4791">
        <v>5</v>
      </c>
    </row>
    <row r="4792" spans="1:3" x14ac:dyDescent="0.25">
      <c r="A4792">
        <v>290</v>
      </c>
      <c r="B4792">
        <v>210</v>
      </c>
      <c r="C4792">
        <v>5</v>
      </c>
    </row>
    <row r="4793" spans="1:3" x14ac:dyDescent="0.25">
      <c r="A4793">
        <v>9</v>
      </c>
      <c r="B4793">
        <v>211</v>
      </c>
      <c r="C4793">
        <v>3</v>
      </c>
    </row>
    <row r="4794" spans="1:3" x14ac:dyDescent="0.25">
      <c r="A4794">
        <v>26</v>
      </c>
      <c r="B4794">
        <v>211</v>
      </c>
      <c r="C4794">
        <v>2</v>
      </c>
    </row>
    <row r="4795" spans="1:3" x14ac:dyDescent="0.25">
      <c r="A4795">
        <v>40</v>
      </c>
      <c r="B4795">
        <v>211</v>
      </c>
      <c r="C4795">
        <v>3</v>
      </c>
    </row>
    <row r="4796" spans="1:3" x14ac:dyDescent="0.25">
      <c r="A4796">
        <v>40</v>
      </c>
      <c r="B4796">
        <v>211</v>
      </c>
      <c r="C4796">
        <v>2</v>
      </c>
    </row>
    <row r="4797" spans="1:3" x14ac:dyDescent="0.25">
      <c r="A4797">
        <v>70</v>
      </c>
      <c r="B4797">
        <v>211</v>
      </c>
      <c r="C4797">
        <v>5</v>
      </c>
    </row>
    <row r="4798" spans="1:3" x14ac:dyDescent="0.25">
      <c r="A4798">
        <v>85</v>
      </c>
      <c r="B4798">
        <v>211</v>
      </c>
      <c r="C4798">
        <v>5</v>
      </c>
    </row>
    <row r="4799" spans="1:3" x14ac:dyDescent="0.25">
      <c r="A4799">
        <v>100</v>
      </c>
      <c r="B4799">
        <v>211</v>
      </c>
      <c r="C4799">
        <v>1</v>
      </c>
    </row>
    <row r="4800" spans="1:3" x14ac:dyDescent="0.25">
      <c r="A4800">
        <v>102</v>
      </c>
      <c r="B4800">
        <v>211</v>
      </c>
      <c r="C4800">
        <v>3</v>
      </c>
    </row>
    <row r="4801" spans="1:3" x14ac:dyDescent="0.25">
      <c r="A4801">
        <v>123</v>
      </c>
      <c r="B4801">
        <v>211</v>
      </c>
      <c r="C4801">
        <v>1</v>
      </c>
    </row>
    <row r="4802" spans="1:3" x14ac:dyDescent="0.25">
      <c r="A4802">
        <v>124</v>
      </c>
      <c r="B4802">
        <v>211</v>
      </c>
      <c r="C4802">
        <v>3</v>
      </c>
    </row>
    <row r="4803" spans="1:3" x14ac:dyDescent="0.25">
      <c r="A4803">
        <v>124</v>
      </c>
      <c r="B4803">
        <v>211</v>
      </c>
      <c r="C4803">
        <v>2</v>
      </c>
    </row>
    <row r="4804" spans="1:3" x14ac:dyDescent="0.25">
      <c r="A4804">
        <v>129</v>
      </c>
      <c r="B4804">
        <v>211</v>
      </c>
      <c r="C4804">
        <v>4</v>
      </c>
    </row>
    <row r="4805" spans="1:3" x14ac:dyDescent="0.25">
      <c r="A4805">
        <v>135</v>
      </c>
      <c r="B4805">
        <v>211</v>
      </c>
      <c r="C4805">
        <v>1</v>
      </c>
    </row>
    <row r="4806" spans="1:3" x14ac:dyDescent="0.25">
      <c r="A4806">
        <v>160</v>
      </c>
      <c r="B4806">
        <v>211</v>
      </c>
      <c r="C4806">
        <v>5</v>
      </c>
    </row>
    <row r="4807" spans="1:3" x14ac:dyDescent="0.25">
      <c r="A4807">
        <v>161</v>
      </c>
      <c r="B4807">
        <v>211</v>
      </c>
      <c r="C4807">
        <v>4</v>
      </c>
    </row>
    <row r="4808" spans="1:3" x14ac:dyDescent="0.25">
      <c r="A4808">
        <v>204</v>
      </c>
      <c r="B4808">
        <v>211</v>
      </c>
      <c r="C4808">
        <v>4</v>
      </c>
    </row>
    <row r="4809" spans="1:3" x14ac:dyDescent="0.25">
      <c r="A4809">
        <v>220</v>
      </c>
      <c r="B4809">
        <v>211</v>
      </c>
      <c r="C4809">
        <v>4</v>
      </c>
    </row>
    <row r="4810" spans="1:3" x14ac:dyDescent="0.25">
      <c r="A4810">
        <v>222</v>
      </c>
      <c r="B4810">
        <v>211</v>
      </c>
      <c r="C4810">
        <v>3</v>
      </c>
    </row>
    <row r="4811" spans="1:3" x14ac:dyDescent="0.25">
      <c r="A4811">
        <v>224</v>
      </c>
      <c r="B4811">
        <v>211</v>
      </c>
      <c r="C4811">
        <v>5</v>
      </c>
    </row>
    <row r="4812" spans="1:3" x14ac:dyDescent="0.25">
      <c r="A4812">
        <v>226</v>
      </c>
      <c r="B4812">
        <v>211</v>
      </c>
      <c r="C4812">
        <v>4</v>
      </c>
    </row>
    <row r="4813" spans="1:3" x14ac:dyDescent="0.25">
      <c r="A4813">
        <v>227</v>
      </c>
      <c r="B4813">
        <v>211</v>
      </c>
      <c r="C4813">
        <v>3</v>
      </c>
    </row>
    <row r="4814" spans="1:3" x14ac:dyDescent="0.25">
      <c r="A4814">
        <v>230</v>
      </c>
      <c r="B4814">
        <v>211</v>
      </c>
      <c r="C4814">
        <v>1</v>
      </c>
    </row>
    <row r="4815" spans="1:3" x14ac:dyDescent="0.25">
      <c r="A4815">
        <v>238</v>
      </c>
      <c r="B4815">
        <v>211</v>
      </c>
      <c r="C4815">
        <v>3</v>
      </c>
    </row>
    <row r="4816" spans="1:3" x14ac:dyDescent="0.25">
      <c r="A4816">
        <v>242</v>
      </c>
      <c r="B4816">
        <v>211</v>
      </c>
      <c r="C4816">
        <v>5</v>
      </c>
    </row>
    <row r="4817" spans="1:3" x14ac:dyDescent="0.25">
      <c r="A4817">
        <v>244</v>
      </c>
      <c r="B4817">
        <v>211</v>
      </c>
      <c r="C4817">
        <v>3</v>
      </c>
    </row>
    <row r="4818" spans="1:3" x14ac:dyDescent="0.25">
      <c r="A4818">
        <v>247</v>
      </c>
      <c r="B4818">
        <v>211</v>
      </c>
      <c r="C4818">
        <v>5</v>
      </c>
    </row>
    <row r="4819" spans="1:3" x14ac:dyDescent="0.25">
      <c r="A4819">
        <v>260</v>
      </c>
      <c r="B4819">
        <v>211</v>
      </c>
      <c r="C4819">
        <v>5</v>
      </c>
    </row>
    <row r="4820" spans="1:3" x14ac:dyDescent="0.25">
      <c r="A4820">
        <v>267</v>
      </c>
      <c r="B4820">
        <v>211</v>
      </c>
      <c r="C4820">
        <v>1</v>
      </c>
    </row>
    <row r="4821" spans="1:3" x14ac:dyDescent="0.25">
      <c r="A4821">
        <v>19</v>
      </c>
      <c r="B4821">
        <v>212</v>
      </c>
      <c r="C4821">
        <v>3</v>
      </c>
    </row>
    <row r="4822" spans="1:3" x14ac:dyDescent="0.25">
      <c r="A4822">
        <v>23</v>
      </c>
      <c r="B4822">
        <v>212</v>
      </c>
      <c r="C4822">
        <v>4</v>
      </c>
    </row>
    <row r="4823" spans="1:3" x14ac:dyDescent="0.25">
      <c r="A4823">
        <v>27</v>
      </c>
      <c r="B4823">
        <v>212</v>
      </c>
      <c r="C4823">
        <v>5</v>
      </c>
    </row>
    <row r="4824" spans="1:3" x14ac:dyDescent="0.25">
      <c r="A4824">
        <v>28</v>
      </c>
      <c r="B4824">
        <v>212</v>
      </c>
      <c r="C4824">
        <v>3</v>
      </c>
    </row>
    <row r="4825" spans="1:3" x14ac:dyDescent="0.25">
      <c r="A4825">
        <v>47</v>
      </c>
      <c r="B4825">
        <v>212</v>
      </c>
      <c r="C4825">
        <v>3</v>
      </c>
    </row>
    <row r="4826" spans="1:3" x14ac:dyDescent="0.25">
      <c r="A4826">
        <v>62</v>
      </c>
      <c r="B4826">
        <v>212</v>
      </c>
      <c r="C4826">
        <v>1</v>
      </c>
    </row>
    <row r="4827" spans="1:3" x14ac:dyDescent="0.25">
      <c r="A4827">
        <v>123</v>
      </c>
      <c r="B4827">
        <v>212</v>
      </c>
      <c r="C4827">
        <v>1</v>
      </c>
    </row>
    <row r="4828" spans="1:3" x14ac:dyDescent="0.25">
      <c r="A4828">
        <v>173</v>
      </c>
      <c r="B4828">
        <v>212</v>
      </c>
      <c r="C4828">
        <v>1</v>
      </c>
    </row>
    <row r="4829" spans="1:3" x14ac:dyDescent="0.25">
      <c r="A4829">
        <v>189</v>
      </c>
      <c r="B4829">
        <v>212</v>
      </c>
      <c r="C4829">
        <v>3</v>
      </c>
    </row>
    <row r="4830" spans="1:3" x14ac:dyDescent="0.25">
      <c r="A4830">
        <v>195</v>
      </c>
      <c r="B4830">
        <v>212</v>
      </c>
      <c r="C4830">
        <v>3</v>
      </c>
    </row>
    <row r="4831" spans="1:3" x14ac:dyDescent="0.25">
      <c r="A4831">
        <v>201</v>
      </c>
      <c r="B4831">
        <v>212</v>
      </c>
      <c r="C4831">
        <v>2</v>
      </c>
    </row>
    <row r="4832" spans="1:3" x14ac:dyDescent="0.25">
      <c r="A4832">
        <v>208</v>
      </c>
      <c r="B4832">
        <v>212</v>
      </c>
      <c r="C4832">
        <v>4</v>
      </c>
    </row>
    <row r="4833" spans="1:3" x14ac:dyDescent="0.25">
      <c r="A4833">
        <v>228</v>
      </c>
      <c r="B4833">
        <v>212</v>
      </c>
      <c r="C4833">
        <v>5</v>
      </c>
    </row>
    <row r="4834" spans="1:3" x14ac:dyDescent="0.25">
      <c r="A4834">
        <v>250</v>
      </c>
      <c r="B4834">
        <v>212</v>
      </c>
      <c r="C4834">
        <v>4</v>
      </c>
    </row>
    <row r="4835" spans="1:3" x14ac:dyDescent="0.25">
      <c r="A4835">
        <v>251</v>
      </c>
      <c r="B4835">
        <v>212</v>
      </c>
      <c r="C4835">
        <v>1</v>
      </c>
    </row>
    <row r="4836" spans="1:3" x14ac:dyDescent="0.25">
      <c r="A4836">
        <v>291</v>
      </c>
      <c r="B4836">
        <v>212</v>
      </c>
      <c r="C4836">
        <v>3</v>
      </c>
    </row>
    <row r="4837" spans="1:3" x14ac:dyDescent="0.25">
      <c r="A4837">
        <v>7</v>
      </c>
      <c r="B4837">
        <v>213</v>
      </c>
      <c r="C4837">
        <v>3</v>
      </c>
    </row>
    <row r="4838" spans="1:3" x14ac:dyDescent="0.25">
      <c r="A4838">
        <v>7</v>
      </c>
      <c r="B4838">
        <v>213</v>
      </c>
      <c r="C4838">
        <v>3</v>
      </c>
    </row>
    <row r="4839" spans="1:3" x14ac:dyDescent="0.25">
      <c r="A4839">
        <v>19</v>
      </c>
      <c r="B4839">
        <v>213</v>
      </c>
      <c r="C4839">
        <v>2</v>
      </c>
    </row>
    <row r="4840" spans="1:3" x14ac:dyDescent="0.25">
      <c r="A4840">
        <v>29</v>
      </c>
      <c r="B4840">
        <v>213</v>
      </c>
      <c r="C4840">
        <v>3</v>
      </c>
    </row>
    <row r="4841" spans="1:3" x14ac:dyDescent="0.25">
      <c r="A4841">
        <v>33</v>
      </c>
      <c r="B4841">
        <v>213</v>
      </c>
      <c r="C4841">
        <v>2</v>
      </c>
    </row>
    <row r="4842" spans="1:3" x14ac:dyDescent="0.25">
      <c r="A4842">
        <v>37</v>
      </c>
      <c r="B4842">
        <v>213</v>
      </c>
      <c r="C4842">
        <v>4</v>
      </c>
    </row>
    <row r="4843" spans="1:3" x14ac:dyDescent="0.25">
      <c r="A4843">
        <v>44</v>
      </c>
      <c r="B4843">
        <v>213</v>
      </c>
      <c r="C4843">
        <v>3</v>
      </c>
    </row>
    <row r="4844" spans="1:3" x14ac:dyDescent="0.25">
      <c r="A4844">
        <v>65</v>
      </c>
      <c r="B4844">
        <v>213</v>
      </c>
      <c r="C4844">
        <v>3</v>
      </c>
    </row>
    <row r="4845" spans="1:3" x14ac:dyDescent="0.25">
      <c r="A4845">
        <v>66</v>
      </c>
      <c r="B4845">
        <v>213</v>
      </c>
      <c r="C4845">
        <v>3</v>
      </c>
    </row>
    <row r="4846" spans="1:3" x14ac:dyDescent="0.25">
      <c r="A4846">
        <v>132</v>
      </c>
      <c r="B4846">
        <v>213</v>
      </c>
      <c r="C4846">
        <v>4</v>
      </c>
    </row>
    <row r="4847" spans="1:3" x14ac:dyDescent="0.25">
      <c r="A4847">
        <v>133</v>
      </c>
      <c r="B4847">
        <v>213</v>
      </c>
      <c r="C4847">
        <v>4</v>
      </c>
    </row>
    <row r="4848" spans="1:3" x14ac:dyDescent="0.25">
      <c r="A4848">
        <v>144</v>
      </c>
      <c r="B4848">
        <v>213</v>
      </c>
      <c r="C4848">
        <v>2</v>
      </c>
    </row>
    <row r="4849" spans="1:3" x14ac:dyDescent="0.25">
      <c r="A4849">
        <v>149</v>
      </c>
      <c r="B4849">
        <v>213</v>
      </c>
      <c r="C4849">
        <v>5</v>
      </c>
    </row>
    <row r="4850" spans="1:3" x14ac:dyDescent="0.25">
      <c r="A4850">
        <v>151</v>
      </c>
      <c r="B4850">
        <v>213</v>
      </c>
      <c r="C4850">
        <v>3</v>
      </c>
    </row>
    <row r="4851" spans="1:3" x14ac:dyDescent="0.25">
      <c r="A4851">
        <v>199</v>
      </c>
      <c r="B4851">
        <v>213</v>
      </c>
      <c r="C4851">
        <v>1</v>
      </c>
    </row>
    <row r="4852" spans="1:3" x14ac:dyDescent="0.25">
      <c r="A4852">
        <v>205</v>
      </c>
      <c r="B4852">
        <v>213</v>
      </c>
      <c r="C4852">
        <v>3</v>
      </c>
    </row>
    <row r="4853" spans="1:3" x14ac:dyDescent="0.25">
      <c r="A4853">
        <v>224</v>
      </c>
      <c r="B4853">
        <v>213</v>
      </c>
      <c r="C4853">
        <v>3</v>
      </c>
    </row>
    <row r="4854" spans="1:3" x14ac:dyDescent="0.25">
      <c r="A4854">
        <v>234</v>
      </c>
      <c r="B4854">
        <v>213</v>
      </c>
      <c r="C4854">
        <v>2</v>
      </c>
    </row>
    <row r="4855" spans="1:3" x14ac:dyDescent="0.25">
      <c r="A4855">
        <v>245</v>
      </c>
      <c r="B4855">
        <v>213</v>
      </c>
      <c r="C4855">
        <v>5</v>
      </c>
    </row>
    <row r="4856" spans="1:3" x14ac:dyDescent="0.25">
      <c r="A4856">
        <v>249</v>
      </c>
      <c r="B4856">
        <v>213</v>
      </c>
      <c r="C4856">
        <v>1</v>
      </c>
    </row>
    <row r="4857" spans="1:3" x14ac:dyDescent="0.25">
      <c r="A4857">
        <v>287</v>
      </c>
      <c r="B4857">
        <v>213</v>
      </c>
      <c r="C4857">
        <v>1</v>
      </c>
    </row>
    <row r="4858" spans="1:3" x14ac:dyDescent="0.25">
      <c r="A4858">
        <v>290</v>
      </c>
      <c r="B4858">
        <v>213</v>
      </c>
      <c r="C4858">
        <v>3</v>
      </c>
    </row>
    <row r="4859" spans="1:3" x14ac:dyDescent="0.25">
      <c r="A4859">
        <v>294</v>
      </c>
      <c r="B4859">
        <v>213</v>
      </c>
      <c r="C4859">
        <v>3</v>
      </c>
    </row>
    <row r="4860" spans="1:3" x14ac:dyDescent="0.25">
      <c r="A4860">
        <v>296</v>
      </c>
      <c r="B4860">
        <v>213</v>
      </c>
      <c r="C4860">
        <v>4</v>
      </c>
    </row>
    <row r="4861" spans="1:3" x14ac:dyDescent="0.25">
      <c r="A4861">
        <v>13</v>
      </c>
      <c r="B4861">
        <v>214</v>
      </c>
      <c r="C4861">
        <v>5</v>
      </c>
    </row>
    <row r="4862" spans="1:3" x14ac:dyDescent="0.25">
      <c r="A4862">
        <v>36</v>
      </c>
      <c r="B4862">
        <v>214</v>
      </c>
      <c r="C4862">
        <v>5</v>
      </c>
    </row>
    <row r="4863" spans="1:3" x14ac:dyDescent="0.25">
      <c r="A4863">
        <v>40</v>
      </c>
      <c r="B4863">
        <v>214</v>
      </c>
      <c r="C4863">
        <v>3</v>
      </c>
    </row>
    <row r="4864" spans="1:3" x14ac:dyDescent="0.25">
      <c r="A4864">
        <v>68</v>
      </c>
      <c r="B4864">
        <v>214</v>
      </c>
      <c r="C4864">
        <v>2</v>
      </c>
    </row>
    <row r="4865" spans="1:3" x14ac:dyDescent="0.25">
      <c r="A4865">
        <v>71</v>
      </c>
      <c r="B4865">
        <v>214</v>
      </c>
      <c r="C4865">
        <v>2</v>
      </c>
    </row>
    <row r="4866" spans="1:3" x14ac:dyDescent="0.25">
      <c r="A4866">
        <v>88</v>
      </c>
      <c r="B4866">
        <v>214</v>
      </c>
      <c r="C4866">
        <v>3</v>
      </c>
    </row>
    <row r="4867" spans="1:3" x14ac:dyDescent="0.25">
      <c r="A4867">
        <v>94</v>
      </c>
      <c r="B4867">
        <v>214</v>
      </c>
      <c r="C4867">
        <v>2</v>
      </c>
    </row>
    <row r="4868" spans="1:3" x14ac:dyDescent="0.25">
      <c r="A4868">
        <v>139</v>
      </c>
      <c r="B4868">
        <v>214</v>
      </c>
      <c r="C4868">
        <v>2</v>
      </c>
    </row>
    <row r="4869" spans="1:3" x14ac:dyDescent="0.25">
      <c r="A4869">
        <v>157</v>
      </c>
      <c r="B4869">
        <v>214</v>
      </c>
      <c r="C4869">
        <v>4</v>
      </c>
    </row>
    <row r="4870" spans="1:3" x14ac:dyDescent="0.25">
      <c r="A4870">
        <v>173</v>
      </c>
      <c r="B4870">
        <v>214</v>
      </c>
      <c r="C4870">
        <v>4</v>
      </c>
    </row>
    <row r="4871" spans="1:3" x14ac:dyDescent="0.25">
      <c r="A4871">
        <v>181</v>
      </c>
      <c r="B4871">
        <v>214</v>
      </c>
      <c r="C4871">
        <v>2</v>
      </c>
    </row>
    <row r="4872" spans="1:3" x14ac:dyDescent="0.25">
      <c r="A4872">
        <v>197</v>
      </c>
      <c r="B4872">
        <v>214</v>
      </c>
      <c r="C4872">
        <v>5</v>
      </c>
    </row>
    <row r="4873" spans="1:3" x14ac:dyDescent="0.25">
      <c r="A4873">
        <v>229</v>
      </c>
      <c r="B4873">
        <v>214</v>
      </c>
      <c r="C4873">
        <v>1</v>
      </c>
    </row>
    <row r="4874" spans="1:3" x14ac:dyDescent="0.25">
      <c r="A4874">
        <v>230</v>
      </c>
      <c r="B4874">
        <v>214</v>
      </c>
      <c r="C4874">
        <v>5</v>
      </c>
    </row>
    <row r="4875" spans="1:3" x14ac:dyDescent="0.25">
      <c r="A4875">
        <v>246</v>
      </c>
      <c r="B4875">
        <v>214</v>
      </c>
      <c r="C4875">
        <v>5</v>
      </c>
    </row>
    <row r="4876" spans="1:3" x14ac:dyDescent="0.25">
      <c r="A4876">
        <v>274</v>
      </c>
      <c r="B4876">
        <v>214</v>
      </c>
      <c r="C4876">
        <v>5</v>
      </c>
    </row>
    <row r="4877" spans="1:3" x14ac:dyDescent="0.25">
      <c r="A4877">
        <v>287</v>
      </c>
      <c r="B4877">
        <v>214</v>
      </c>
      <c r="C4877">
        <v>5</v>
      </c>
    </row>
    <row r="4878" spans="1:3" x14ac:dyDescent="0.25">
      <c r="A4878">
        <v>292</v>
      </c>
      <c r="B4878">
        <v>214</v>
      </c>
      <c r="C4878">
        <v>2</v>
      </c>
    </row>
    <row r="4879" spans="1:3" x14ac:dyDescent="0.25">
      <c r="A4879">
        <v>28</v>
      </c>
      <c r="B4879">
        <v>215</v>
      </c>
      <c r="C4879">
        <v>5</v>
      </c>
    </row>
    <row r="4880" spans="1:3" x14ac:dyDescent="0.25">
      <c r="A4880">
        <v>31</v>
      </c>
      <c r="B4880">
        <v>215</v>
      </c>
      <c r="C4880">
        <v>3</v>
      </c>
    </row>
    <row r="4881" spans="1:3" x14ac:dyDescent="0.25">
      <c r="A4881">
        <v>38</v>
      </c>
      <c r="B4881">
        <v>215</v>
      </c>
      <c r="C4881">
        <v>5</v>
      </c>
    </row>
    <row r="4882" spans="1:3" x14ac:dyDescent="0.25">
      <c r="A4882">
        <v>40</v>
      </c>
      <c r="B4882">
        <v>215</v>
      </c>
      <c r="C4882">
        <v>5</v>
      </c>
    </row>
    <row r="4883" spans="1:3" x14ac:dyDescent="0.25">
      <c r="A4883">
        <v>66</v>
      </c>
      <c r="B4883">
        <v>215</v>
      </c>
      <c r="C4883">
        <v>2</v>
      </c>
    </row>
    <row r="4884" spans="1:3" x14ac:dyDescent="0.25">
      <c r="A4884">
        <v>90</v>
      </c>
      <c r="B4884">
        <v>215</v>
      </c>
      <c r="C4884">
        <v>2</v>
      </c>
    </row>
    <row r="4885" spans="1:3" x14ac:dyDescent="0.25">
      <c r="A4885">
        <v>99</v>
      </c>
      <c r="B4885">
        <v>215</v>
      </c>
      <c r="C4885">
        <v>5</v>
      </c>
    </row>
    <row r="4886" spans="1:3" x14ac:dyDescent="0.25">
      <c r="A4886">
        <v>113</v>
      </c>
      <c r="B4886">
        <v>215</v>
      </c>
      <c r="C4886">
        <v>1</v>
      </c>
    </row>
    <row r="4887" spans="1:3" x14ac:dyDescent="0.25">
      <c r="A4887">
        <v>126</v>
      </c>
      <c r="B4887">
        <v>215</v>
      </c>
      <c r="C4887">
        <v>4</v>
      </c>
    </row>
    <row r="4888" spans="1:3" x14ac:dyDescent="0.25">
      <c r="A4888">
        <v>134</v>
      </c>
      <c r="B4888">
        <v>215</v>
      </c>
      <c r="C4888">
        <v>3</v>
      </c>
    </row>
    <row r="4889" spans="1:3" x14ac:dyDescent="0.25">
      <c r="A4889">
        <v>160</v>
      </c>
      <c r="B4889">
        <v>215</v>
      </c>
      <c r="C4889">
        <v>2</v>
      </c>
    </row>
    <row r="4890" spans="1:3" x14ac:dyDescent="0.25">
      <c r="A4890">
        <v>189</v>
      </c>
      <c r="B4890">
        <v>215</v>
      </c>
      <c r="C4890">
        <v>2</v>
      </c>
    </row>
    <row r="4891" spans="1:3" x14ac:dyDescent="0.25">
      <c r="A4891">
        <v>214</v>
      </c>
      <c r="B4891">
        <v>215</v>
      </c>
      <c r="C4891">
        <v>2</v>
      </c>
    </row>
    <row r="4892" spans="1:3" x14ac:dyDescent="0.25">
      <c r="A4892">
        <v>232</v>
      </c>
      <c r="B4892">
        <v>215</v>
      </c>
      <c r="C4892">
        <v>3</v>
      </c>
    </row>
    <row r="4893" spans="1:3" x14ac:dyDescent="0.25">
      <c r="A4893">
        <v>234</v>
      </c>
      <c r="B4893">
        <v>215</v>
      </c>
      <c r="C4893">
        <v>2</v>
      </c>
    </row>
    <row r="4894" spans="1:3" x14ac:dyDescent="0.25">
      <c r="A4894">
        <v>235</v>
      </c>
      <c r="B4894">
        <v>215</v>
      </c>
      <c r="C4894">
        <v>4</v>
      </c>
    </row>
    <row r="4895" spans="1:3" x14ac:dyDescent="0.25">
      <c r="A4895">
        <v>267</v>
      </c>
      <c r="B4895">
        <v>215</v>
      </c>
      <c r="C4895">
        <v>1</v>
      </c>
    </row>
    <row r="4896" spans="1:3" x14ac:dyDescent="0.25">
      <c r="A4896">
        <v>281</v>
      </c>
      <c r="B4896">
        <v>215</v>
      </c>
      <c r="C4896">
        <v>5</v>
      </c>
    </row>
    <row r="4897" spans="1:3" x14ac:dyDescent="0.25">
      <c r="A4897">
        <v>285</v>
      </c>
      <c r="B4897">
        <v>215</v>
      </c>
      <c r="C4897">
        <v>2</v>
      </c>
    </row>
    <row r="4898" spans="1:3" x14ac:dyDescent="0.25">
      <c r="A4898">
        <v>286</v>
      </c>
      <c r="B4898">
        <v>215</v>
      </c>
      <c r="C4898">
        <v>4</v>
      </c>
    </row>
    <row r="4899" spans="1:3" x14ac:dyDescent="0.25">
      <c r="A4899">
        <v>1</v>
      </c>
      <c r="B4899">
        <v>215</v>
      </c>
      <c r="C4899">
        <v>2</v>
      </c>
    </row>
    <row r="4900" spans="1:3" x14ac:dyDescent="0.25">
      <c r="A4900">
        <v>4</v>
      </c>
      <c r="B4900">
        <v>215</v>
      </c>
      <c r="C4900">
        <v>3</v>
      </c>
    </row>
    <row r="4901" spans="1:3" x14ac:dyDescent="0.25">
      <c r="A4901">
        <v>12</v>
      </c>
      <c r="B4901">
        <v>215</v>
      </c>
      <c r="C4901">
        <v>5</v>
      </c>
    </row>
    <row r="4902" spans="1:3" x14ac:dyDescent="0.25">
      <c r="A4902">
        <v>28</v>
      </c>
      <c r="B4902">
        <v>215</v>
      </c>
      <c r="C4902">
        <v>5</v>
      </c>
    </row>
    <row r="4903" spans="1:3" x14ac:dyDescent="0.25">
      <c r="A4903">
        <v>32</v>
      </c>
      <c r="B4903">
        <v>215</v>
      </c>
      <c r="C4903">
        <v>5</v>
      </c>
    </row>
    <row r="4904" spans="1:3" x14ac:dyDescent="0.25">
      <c r="A4904">
        <v>37</v>
      </c>
      <c r="B4904">
        <v>215</v>
      </c>
      <c r="C4904">
        <v>2</v>
      </c>
    </row>
    <row r="4905" spans="1:3" x14ac:dyDescent="0.25">
      <c r="A4905">
        <v>38</v>
      </c>
      <c r="B4905">
        <v>215</v>
      </c>
      <c r="C4905">
        <v>4</v>
      </c>
    </row>
    <row r="4906" spans="1:3" x14ac:dyDescent="0.25">
      <c r="A4906">
        <v>42</v>
      </c>
      <c r="B4906">
        <v>215</v>
      </c>
      <c r="C4906">
        <v>5</v>
      </c>
    </row>
    <row r="4907" spans="1:3" x14ac:dyDescent="0.25">
      <c r="A4907">
        <v>54</v>
      </c>
      <c r="B4907">
        <v>215</v>
      </c>
      <c r="C4907">
        <v>3</v>
      </c>
    </row>
    <row r="4908" spans="1:3" x14ac:dyDescent="0.25">
      <c r="A4908">
        <v>55</v>
      </c>
      <c r="B4908">
        <v>215</v>
      </c>
      <c r="C4908">
        <v>4</v>
      </c>
    </row>
    <row r="4909" spans="1:3" x14ac:dyDescent="0.25">
      <c r="A4909">
        <v>59</v>
      </c>
      <c r="B4909">
        <v>215</v>
      </c>
      <c r="C4909">
        <v>5</v>
      </c>
    </row>
    <row r="4910" spans="1:3" x14ac:dyDescent="0.25">
      <c r="A4910">
        <v>65</v>
      </c>
      <c r="B4910">
        <v>215</v>
      </c>
      <c r="C4910">
        <v>4</v>
      </c>
    </row>
    <row r="4911" spans="1:3" x14ac:dyDescent="0.25">
      <c r="A4911">
        <v>72</v>
      </c>
      <c r="B4911">
        <v>215</v>
      </c>
      <c r="C4911">
        <v>1</v>
      </c>
    </row>
    <row r="4912" spans="1:3" x14ac:dyDescent="0.25">
      <c r="A4912">
        <v>80</v>
      </c>
      <c r="B4912">
        <v>215</v>
      </c>
      <c r="C4912">
        <v>1</v>
      </c>
    </row>
    <row r="4913" spans="1:3" x14ac:dyDescent="0.25">
      <c r="A4913">
        <v>86</v>
      </c>
      <c r="B4913">
        <v>215</v>
      </c>
      <c r="C4913">
        <v>1</v>
      </c>
    </row>
    <row r="4914" spans="1:3" x14ac:dyDescent="0.25">
      <c r="A4914">
        <v>118</v>
      </c>
      <c r="B4914">
        <v>215</v>
      </c>
      <c r="C4914">
        <v>5</v>
      </c>
    </row>
    <row r="4915" spans="1:3" x14ac:dyDescent="0.25">
      <c r="A4915">
        <v>158</v>
      </c>
      <c r="B4915">
        <v>215</v>
      </c>
      <c r="C4915">
        <v>2</v>
      </c>
    </row>
    <row r="4916" spans="1:3" x14ac:dyDescent="0.25">
      <c r="A4916">
        <v>164</v>
      </c>
      <c r="B4916">
        <v>215</v>
      </c>
      <c r="C4916">
        <v>1</v>
      </c>
    </row>
    <row r="4917" spans="1:3" x14ac:dyDescent="0.25">
      <c r="A4917">
        <v>175</v>
      </c>
      <c r="B4917">
        <v>215</v>
      </c>
      <c r="C4917">
        <v>2</v>
      </c>
    </row>
    <row r="4918" spans="1:3" x14ac:dyDescent="0.25">
      <c r="A4918">
        <v>194</v>
      </c>
      <c r="B4918">
        <v>215</v>
      </c>
      <c r="C4918">
        <v>5</v>
      </c>
    </row>
    <row r="4919" spans="1:3" x14ac:dyDescent="0.25">
      <c r="A4919">
        <v>209</v>
      </c>
      <c r="B4919">
        <v>215</v>
      </c>
      <c r="C4919">
        <v>3</v>
      </c>
    </row>
    <row r="4920" spans="1:3" x14ac:dyDescent="0.25">
      <c r="A4920">
        <v>219</v>
      </c>
      <c r="B4920">
        <v>215</v>
      </c>
      <c r="C4920">
        <v>5</v>
      </c>
    </row>
    <row r="4921" spans="1:3" x14ac:dyDescent="0.25">
      <c r="A4921">
        <v>246</v>
      </c>
      <c r="B4921">
        <v>215</v>
      </c>
      <c r="C4921">
        <v>1</v>
      </c>
    </row>
    <row r="4922" spans="1:3" x14ac:dyDescent="0.25">
      <c r="A4922">
        <v>256</v>
      </c>
      <c r="B4922">
        <v>215</v>
      </c>
      <c r="C4922">
        <v>5</v>
      </c>
    </row>
    <row r="4923" spans="1:3" x14ac:dyDescent="0.25">
      <c r="A4923">
        <v>257</v>
      </c>
      <c r="B4923">
        <v>215</v>
      </c>
      <c r="C4923">
        <v>4</v>
      </c>
    </row>
    <row r="4924" spans="1:3" x14ac:dyDescent="0.25">
      <c r="A4924">
        <v>265</v>
      </c>
      <c r="B4924">
        <v>215</v>
      </c>
      <c r="C4924">
        <v>2</v>
      </c>
    </row>
    <row r="4925" spans="1:3" x14ac:dyDescent="0.25">
      <c r="A4925">
        <v>278</v>
      </c>
      <c r="B4925">
        <v>215</v>
      </c>
      <c r="C4925">
        <v>1</v>
      </c>
    </row>
    <row r="4926" spans="1:3" x14ac:dyDescent="0.25">
      <c r="A4926">
        <v>30</v>
      </c>
      <c r="B4926">
        <v>216</v>
      </c>
      <c r="C4926">
        <v>4</v>
      </c>
    </row>
    <row r="4927" spans="1:3" x14ac:dyDescent="0.25">
      <c r="A4927">
        <v>36</v>
      </c>
      <c r="B4927">
        <v>216</v>
      </c>
      <c r="C4927">
        <v>2</v>
      </c>
    </row>
    <row r="4928" spans="1:3" x14ac:dyDescent="0.25">
      <c r="A4928">
        <v>36</v>
      </c>
      <c r="B4928">
        <v>216</v>
      </c>
      <c r="C4928">
        <v>3</v>
      </c>
    </row>
    <row r="4929" spans="1:3" x14ac:dyDescent="0.25">
      <c r="A4929">
        <v>40</v>
      </c>
      <c r="B4929">
        <v>216</v>
      </c>
      <c r="C4929">
        <v>2</v>
      </c>
    </row>
    <row r="4930" spans="1:3" x14ac:dyDescent="0.25">
      <c r="A4930">
        <v>50</v>
      </c>
      <c r="B4930">
        <v>216</v>
      </c>
      <c r="C4930">
        <v>1</v>
      </c>
    </row>
    <row r="4931" spans="1:3" x14ac:dyDescent="0.25">
      <c r="A4931">
        <v>52</v>
      </c>
      <c r="B4931">
        <v>216</v>
      </c>
      <c r="C4931">
        <v>2</v>
      </c>
    </row>
    <row r="4932" spans="1:3" x14ac:dyDescent="0.25">
      <c r="A4932">
        <v>53</v>
      </c>
      <c r="B4932">
        <v>216</v>
      </c>
      <c r="C4932">
        <v>3</v>
      </c>
    </row>
    <row r="4933" spans="1:3" x14ac:dyDescent="0.25">
      <c r="A4933">
        <v>103</v>
      </c>
      <c r="B4933">
        <v>216</v>
      </c>
      <c r="C4933">
        <v>1</v>
      </c>
    </row>
    <row r="4934" spans="1:3" x14ac:dyDescent="0.25">
      <c r="A4934">
        <v>120</v>
      </c>
      <c r="B4934">
        <v>216</v>
      </c>
      <c r="C4934">
        <v>5</v>
      </c>
    </row>
    <row r="4935" spans="1:3" x14ac:dyDescent="0.25">
      <c r="A4935">
        <v>126</v>
      </c>
      <c r="B4935">
        <v>216</v>
      </c>
      <c r="C4935">
        <v>1</v>
      </c>
    </row>
    <row r="4936" spans="1:3" x14ac:dyDescent="0.25">
      <c r="A4936">
        <v>135</v>
      </c>
      <c r="B4936">
        <v>216</v>
      </c>
      <c r="C4936">
        <v>2</v>
      </c>
    </row>
    <row r="4937" spans="1:3" x14ac:dyDescent="0.25">
      <c r="A4937">
        <v>144</v>
      </c>
      <c r="B4937">
        <v>216</v>
      </c>
      <c r="C4937">
        <v>5</v>
      </c>
    </row>
    <row r="4938" spans="1:3" x14ac:dyDescent="0.25">
      <c r="A4938">
        <v>145</v>
      </c>
      <c r="B4938">
        <v>216</v>
      </c>
      <c r="C4938">
        <v>3</v>
      </c>
    </row>
    <row r="4939" spans="1:3" x14ac:dyDescent="0.25">
      <c r="A4939">
        <v>165</v>
      </c>
      <c r="B4939">
        <v>216</v>
      </c>
      <c r="C4939">
        <v>4</v>
      </c>
    </row>
    <row r="4940" spans="1:3" x14ac:dyDescent="0.25">
      <c r="A4940">
        <v>172</v>
      </c>
      <c r="B4940">
        <v>216</v>
      </c>
      <c r="C4940">
        <v>1</v>
      </c>
    </row>
    <row r="4941" spans="1:3" x14ac:dyDescent="0.25">
      <c r="A4941">
        <v>193</v>
      </c>
      <c r="B4941">
        <v>216</v>
      </c>
      <c r="C4941">
        <v>5</v>
      </c>
    </row>
    <row r="4942" spans="1:3" x14ac:dyDescent="0.25">
      <c r="A4942">
        <v>196</v>
      </c>
      <c r="B4942">
        <v>216</v>
      </c>
      <c r="C4942">
        <v>5</v>
      </c>
    </row>
    <row r="4943" spans="1:3" x14ac:dyDescent="0.25">
      <c r="A4943">
        <v>222</v>
      </c>
      <c r="B4943">
        <v>216</v>
      </c>
      <c r="C4943">
        <v>4</v>
      </c>
    </row>
    <row r="4944" spans="1:3" x14ac:dyDescent="0.25">
      <c r="A4944">
        <v>228</v>
      </c>
      <c r="B4944">
        <v>216</v>
      </c>
      <c r="C4944">
        <v>4</v>
      </c>
    </row>
    <row r="4945" spans="1:3" x14ac:dyDescent="0.25">
      <c r="A4945">
        <v>235</v>
      </c>
      <c r="B4945">
        <v>216</v>
      </c>
      <c r="C4945">
        <v>2</v>
      </c>
    </row>
    <row r="4946" spans="1:3" x14ac:dyDescent="0.25">
      <c r="A4946">
        <v>242</v>
      </c>
      <c r="B4946">
        <v>216</v>
      </c>
      <c r="C4946">
        <v>1</v>
      </c>
    </row>
    <row r="4947" spans="1:3" x14ac:dyDescent="0.25">
      <c r="A4947">
        <v>243</v>
      </c>
      <c r="B4947">
        <v>216</v>
      </c>
      <c r="C4947">
        <v>3</v>
      </c>
    </row>
    <row r="4948" spans="1:3" x14ac:dyDescent="0.25">
      <c r="A4948">
        <v>259</v>
      </c>
      <c r="B4948">
        <v>216</v>
      </c>
      <c r="C4948">
        <v>4</v>
      </c>
    </row>
    <row r="4949" spans="1:3" x14ac:dyDescent="0.25">
      <c r="A4949">
        <v>267</v>
      </c>
      <c r="B4949">
        <v>216</v>
      </c>
      <c r="C4949">
        <v>4</v>
      </c>
    </row>
    <row r="4950" spans="1:3" x14ac:dyDescent="0.25">
      <c r="A4950">
        <v>296</v>
      </c>
      <c r="B4950">
        <v>216</v>
      </c>
      <c r="C4950">
        <v>2</v>
      </c>
    </row>
    <row r="4951" spans="1:3" x14ac:dyDescent="0.25">
      <c r="A4951">
        <v>52</v>
      </c>
      <c r="B4951">
        <v>217</v>
      </c>
      <c r="C4951">
        <v>4</v>
      </c>
    </row>
    <row r="4952" spans="1:3" x14ac:dyDescent="0.25">
      <c r="A4952">
        <v>56</v>
      </c>
      <c r="B4952">
        <v>217</v>
      </c>
      <c r="C4952">
        <v>3</v>
      </c>
    </row>
    <row r="4953" spans="1:3" x14ac:dyDescent="0.25">
      <c r="A4953">
        <v>68</v>
      </c>
      <c r="B4953">
        <v>217</v>
      </c>
      <c r="C4953">
        <v>3</v>
      </c>
    </row>
    <row r="4954" spans="1:3" x14ac:dyDescent="0.25">
      <c r="A4954">
        <v>81</v>
      </c>
      <c r="B4954">
        <v>217</v>
      </c>
      <c r="C4954">
        <v>1</v>
      </c>
    </row>
    <row r="4955" spans="1:3" x14ac:dyDescent="0.25">
      <c r="A4955">
        <v>98</v>
      </c>
      <c r="B4955">
        <v>217</v>
      </c>
      <c r="C4955">
        <v>4</v>
      </c>
    </row>
    <row r="4956" spans="1:3" x14ac:dyDescent="0.25">
      <c r="A4956">
        <v>115</v>
      </c>
      <c r="B4956">
        <v>217</v>
      </c>
      <c r="C4956">
        <v>3</v>
      </c>
    </row>
    <row r="4957" spans="1:3" x14ac:dyDescent="0.25">
      <c r="A4957">
        <v>148</v>
      </c>
      <c r="B4957">
        <v>217</v>
      </c>
      <c r="C4957">
        <v>3</v>
      </c>
    </row>
    <row r="4958" spans="1:3" x14ac:dyDescent="0.25">
      <c r="A4958">
        <v>150</v>
      </c>
      <c r="B4958">
        <v>217</v>
      </c>
      <c r="C4958">
        <v>3</v>
      </c>
    </row>
    <row r="4959" spans="1:3" x14ac:dyDescent="0.25">
      <c r="A4959">
        <v>151</v>
      </c>
      <c r="B4959">
        <v>217</v>
      </c>
      <c r="C4959">
        <v>5</v>
      </c>
    </row>
    <row r="4960" spans="1:3" x14ac:dyDescent="0.25">
      <c r="A4960">
        <v>152</v>
      </c>
      <c r="B4960">
        <v>217</v>
      </c>
      <c r="C4960">
        <v>5</v>
      </c>
    </row>
    <row r="4961" spans="1:3" x14ac:dyDescent="0.25">
      <c r="A4961">
        <v>171</v>
      </c>
      <c r="B4961">
        <v>217</v>
      </c>
      <c r="C4961">
        <v>3</v>
      </c>
    </row>
    <row r="4962" spans="1:3" x14ac:dyDescent="0.25">
      <c r="A4962">
        <v>193</v>
      </c>
      <c r="B4962">
        <v>217</v>
      </c>
      <c r="C4962">
        <v>3</v>
      </c>
    </row>
    <row r="4963" spans="1:3" x14ac:dyDescent="0.25">
      <c r="A4963">
        <v>201</v>
      </c>
      <c r="B4963">
        <v>217</v>
      </c>
      <c r="C4963">
        <v>5</v>
      </c>
    </row>
    <row r="4964" spans="1:3" x14ac:dyDescent="0.25">
      <c r="A4964">
        <v>208</v>
      </c>
      <c r="B4964">
        <v>217</v>
      </c>
      <c r="C4964">
        <v>3</v>
      </c>
    </row>
    <row r="4965" spans="1:3" x14ac:dyDescent="0.25">
      <c r="A4965">
        <v>228</v>
      </c>
      <c r="B4965">
        <v>217</v>
      </c>
      <c r="C4965">
        <v>2</v>
      </c>
    </row>
    <row r="4966" spans="1:3" x14ac:dyDescent="0.25">
      <c r="A4966">
        <v>233</v>
      </c>
      <c r="B4966">
        <v>217</v>
      </c>
      <c r="C4966">
        <v>4</v>
      </c>
    </row>
    <row r="4967" spans="1:3" x14ac:dyDescent="0.25">
      <c r="A4967">
        <v>260</v>
      </c>
      <c r="B4967">
        <v>217</v>
      </c>
      <c r="C4967">
        <v>3</v>
      </c>
    </row>
    <row r="4968" spans="1:3" x14ac:dyDescent="0.25">
      <c r="A4968">
        <v>272</v>
      </c>
      <c r="B4968">
        <v>217</v>
      </c>
      <c r="C4968">
        <v>2</v>
      </c>
    </row>
    <row r="4969" spans="1:3" x14ac:dyDescent="0.25">
      <c r="A4969">
        <v>279</v>
      </c>
      <c r="B4969">
        <v>217</v>
      </c>
      <c r="C4969">
        <v>3</v>
      </c>
    </row>
    <row r="4970" spans="1:3" x14ac:dyDescent="0.25">
      <c r="A4970">
        <v>289</v>
      </c>
      <c r="B4970">
        <v>217</v>
      </c>
      <c r="C4970">
        <v>2</v>
      </c>
    </row>
    <row r="4971" spans="1:3" x14ac:dyDescent="0.25">
      <c r="A4971">
        <v>297</v>
      </c>
      <c r="B4971">
        <v>217</v>
      </c>
      <c r="C4971">
        <v>4</v>
      </c>
    </row>
    <row r="4972" spans="1:3" x14ac:dyDescent="0.25">
      <c r="A4972">
        <v>39</v>
      </c>
      <c r="B4972">
        <v>218</v>
      </c>
      <c r="C4972">
        <v>5</v>
      </c>
    </row>
    <row r="4973" spans="1:3" x14ac:dyDescent="0.25">
      <c r="A4973">
        <v>47</v>
      </c>
      <c r="B4973">
        <v>218</v>
      </c>
      <c r="C4973">
        <v>1</v>
      </c>
    </row>
    <row r="4974" spans="1:3" x14ac:dyDescent="0.25">
      <c r="A4974">
        <v>50</v>
      </c>
      <c r="B4974">
        <v>218</v>
      </c>
      <c r="C4974">
        <v>2</v>
      </c>
    </row>
    <row r="4975" spans="1:3" x14ac:dyDescent="0.25">
      <c r="A4975">
        <v>62</v>
      </c>
      <c r="B4975">
        <v>218</v>
      </c>
      <c r="C4975">
        <v>4</v>
      </c>
    </row>
    <row r="4976" spans="1:3" x14ac:dyDescent="0.25">
      <c r="A4976">
        <v>71</v>
      </c>
      <c r="B4976">
        <v>218</v>
      </c>
      <c r="C4976">
        <v>4</v>
      </c>
    </row>
    <row r="4977" spans="1:3" x14ac:dyDescent="0.25">
      <c r="A4977">
        <v>72</v>
      </c>
      <c r="B4977">
        <v>218</v>
      </c>
      <c r="C4977">
        <v>1</v>
      </c>
    </row>
    <row r="4978" spans="1:3" x14ac:dyDescent="0.25">
      <c r="A4978">
        <v>97</v>
      </c>
      <c r="B4978">
        <v>218</v>
      </c>
      <c r="C4978">
        <v>4</v>
      </c>
    </row>
    <row r="4979" spans="1:3" x14ac:dyDescent="0.25">
      <c r="A4979">
        <v>97</v>
      </c>
      <c r="B4979">
        <v>218</v>
      </c>
      <c r="C4979">
        <v>2</v>
      </c>
    </row>
    <row r="4980" spans="1:3" x14ac:dyDescent="0.25">
      <c r="A4980">
        <v>101</v>
      </c>
      <c r="B4980">
        <v>218</v>
      </c>
      <c r="C4980">
        <v>3</v>
      </c>
    </row>
    <row r="4981" spans="1:3" x14ac:dyDescent="0.25">
      <c r="A4981">
        <v>113</v>
      </c>
      <c r="B4981">
        <v>218</v>
      </c>
      <c r="C4981">
        <v>4</v>
      </c>
    </row>
    <row r="4982" spans="1:3" x14ac:dyDescent="0.25">
      <c r="A4982">
        <v>113</v>
      </c>
      <c r="B4982">
        <v>218</v>
      </c>
      <c r="C4982">
        <v>4</v>
      </c>
    </row>
    <row r="4983" spans="1:3" x14ac:dyDescent="0.25">
      <c r="A4983">
        <v>117</v>
      </c>
      <c r="B4983">
        <v>218</v>
      </c>
      <c r="C4983">
        <v>4</v>
      </c>
    </row>
    <row r="4984" spans="1:3" x14ac:dyDescent="0.25">
      <c r="A4984">
        <v>143</v>
      </c>
      <c r="B4984">
        <v>218</v>
      </c>
      <c r="C4984">
        <v>1</v>
      </c>
    </row>
    <row r="4985" spans="1:3" x14ac:dyDescent="0.25">
      <c r="A4985">
        <v>145</v>
      </c>
      <c r="B4985">
        <v>218</v>
      </c>
      <c r="C4985">
        <v>2</v>
      </c>
    </row>
    <row r="4986" spans="1:3" x14ac:dyDescent="0.25">
      <c r="A4986">
        <v>161</v>
      </c>
      <c r="B4986">
        <v>218</v>
      </c>
      <c r="C4986">
        <v>1</v>
      </c>
    </row>
    <row r="4987" spans="1:3" x14ac:dyDescent="0.25">
      <c r="A4987">
        <v>168</v>
      </c>
      <c r="B4987">
        <v>218</v>
      </c>
      <c r="C4987">
        <v>5</v>
      </c>
    </row>
    <row r="4988" spans="1:3" x14ac:dyDescent="0.25">
      <c r="A4988">
        <v>177</v>
      </c>
      <c r="B4988">
        <v>218</v>
      </c>
      <c r="C4988">
        <v>1</v>
      </c>
    </row>
    <row r="4989" spans="1:3" x14ac:dyDescent="0.25">
      <c r="A4989">
        <v>185</v>
      </c>
      <c r="B4989">
        <v>218</v>
      </c>
      <c r="C4989">
        <v>3</v>
      </c>
    </row>
    <row r="4990" spans="1:3" x14ac:dyDescent="0.25">
      <c r="A4990">
        <v>201</v>
      </c>
      <c r="B4990">
        <v>218</v>
      </c>
      <c r="C4990">
        <v>3</v>
      </c>
    </row>
    <row r="4991" spans="1:3" x14ac:dyDescent="0.25">
      <c r="A4991">
        <v>206</v>
      </c>
      <c r="B4991">
        <v>218</v>
      </c>
      <c r="C4991">
        <v>3</v>
      </c>
    </row>
    <row r="4992" spans="1:3" x14ac:dyDescent="0.25">
      <c r="A4992">
        <v>225</v>
      </c>
      <c r="B4992">
        <v>218</v>
      </c>
      <c r="C4992">
        <v>3</v>
      </c>
    </row>
    <row r="4993" spans="1:3" x14ac:dyDescent="0.25">
      <c r="A4993">
        <v>237</v>
      </c>
      <c r="B4993">
        <v>218</v>
      </c>
      <c r="C4993">
        <v>4</v>
      </c>
    </row>
    <row r="4994" spans="1:3" x14ac:dyDescent="0.25">
      <c r="A4994">
        <v>240</v>
      </c>
      <c r="B4994">
        <v>218</v>
      </c>
      <c r="C4994">
        <v>2</v>
      </c>
    </row>
    <row r="4995" spans="1:3" x14ac:dyDescent="0.25">
      <c r="A4995">
        <v>248</v>
      </c>
      <c r="B4995">
        <v>218</v>
      </c>
      <c r="C4995">
        <v>5</v>
      </c>
    </row>
    <row r="4996" spans="1:3" x14ac:dyDescent="0.25">
      <c r="A4996">
        <v>250</v>
      </c>
      <c r="B4996">
        <v>218</v>
      </c>
      <c r="C4996">
        <v>5</v>
      </c>
    </row>
    <row r="4997" spans="1:3" x14ac:dyDescent="0.25">
      <c r="A4997">
        <v>253</v>
      </c>
      <c r="B4997">
        <v>218</v>
      </c>
      <c r="C4997">
        <v>2</v>
      </c>
    </row>
    <row r="4998" spans="1:3" x14ac:dyDescent="0.25">
      <c r="A4998">
        <v>261</v>
      </c>
      <c r="B4998">
        <v>218</v>
      </c>
      <c r="C4998">
        <v>1</v>
      </c>
    </row>
    <row r="4999" spans="1:3" x14ac:dyDescent="0.25">
      <c r="A4999">
        <v>283</v>
      </c>
      <c r="B4999">
        <v>218</v>
      </c>
      <c r="C4999">
        <v>1</v>
      </c>
    </row>
    <row r="5000" spans="1:3" x14ac:dyDescent="0.25">
      <c r="A5000">
        <v>6</v>
      </c>
      <c r="B5000">
        <v>219</v>
      </c>
      <c r="C5000">
        <v>2</v>
      </c>
    </row>
    <row r="5001" spans="1:3" x14ac:dyDescent="0.25">
      <c r="A5001">
        <v>15</v>
      </c>
      <c r="B5001">
        <v>219</v>
      </c>
      <c r="C5001">
        <v>2</v>
      </c>
    </row>
    <row r="5002" spans="1:3" x14ac:dyDescent="0.25">
      <c r="A5002">
        <v>24</v>
      </c>
      <c r="B5002">
        <v>219</v>
      </c>
      <c r="C5002">
        <v>4</v>
      </c>
    </row>
    <row r="5003" spans="1:3" x14ac:dyDescent="0.25">
      <c r="A5003">
        <v>30</v>
      </c>
      <c r="B5003">
        <v>219</v>
      </c>
      <c r="C5003">
        <v>2</v>
      </c>
    </row>
    <row r="5004" spans="1:3" x14ac:dyDescent="0.25">
      <c r="A5004">
        <v>48</v>
      </c>
      <c r="B5004">
        <v>219</v>
      </c>
      <c r="C5004">
        <v>1</v>
      </c>
    </row>
    <row r="5005" spans="1:3" x14ac:dyDescent="0.25">
      <c r="A5005">
        <v>53</v>
      </c>
      <c r="B5005">
        <v>219</v>
      </c>
      <c r="C5005">
        <v>5</v>
      </c>
    </row>
    <row r="5006" spans="1:3" x14ac:dyDescent="0.25">
      <c r="A5006">
        <v>69</v>
      </c>
      <c r="B5006">
        <v>219</v>
      </c>
      <c r="C5006">
        <v>2</v>
      </c>
    </row>
    <row r="5007" spans="1:3" x14ac:dyDescent="0.25">
      <c r="A5007">
        <v>74</v>
      </c>
      <c r="B5007">
        <v>219</v>
      </c>
      <c r="C5007">
        <v>3</v>
      </c>
    </row>
    <row r="5008" spans="1:3" x14ac:dyDescent="0.25">
      <c r="A5008">
        <v>81</v>
      </c>
      <c r="B5008">
        <v>219</v>
      </c>
      <c r="C5008">
        <v>2</v>
      </c>
    </row>
    <row r="5009" spans="1:3" x14ac:dyDescent="0.25">
      <c r="A5009">
        <v>96</v>
      </c>
      <c r="B5009">
        <v>219</v>
      </c>
      <c r="C5009">
        <v>3</v>
      </c>
    </row>
    <row r="5010" spans="1:3" x14ac:dyDescent="0.25">
      <c r="A5010">
        <v>98</v>
      </c>
      <c r="B5010">
        <v>219</v>
      </c>
      <c r="C5010">
        <v>2</v>
      </c>
    </row>
    <row r="5011" spans="1:3" x14ac:dyDescent="0.25">
      <c r="A5011">
        <v>107</v>
      </c>
      <c r="B5011">
        <v>219</v>
      </c>
      <c r="C5011">
        <v>2</v>
      </c>
    </row>
    <row r="5012" spans="1:3" x14ac:dyDescent="0.25">
      <c r="A5012">
        <v>125</v>
      </c>
      <c r="B5012">
        <v>219</v>
      </c>
      <c r="C5012">
        <v>5</v>
      </c>
    </row>
    <row r="5013" spans="1:3" x14ac:dyDescent="0.25">
      <c r="A5013">
        <v>131</v>
      </c>
      <c r="B5013">
        <v>219</v>
      </c>
      <c r="C5013">
        <v>2</v>
      </c>
    </row>
    <row r="5014" spans="1:3" x14ac:dyDescent="0.25">
      <c r="A5014">
        <v>147</v>
      </c>
      <c r="B5014">
        <v>219</v>
      </c>
      <c r="C5014">
        <v>4</v>
      </c>
    </row>
    <row r="5015" spans="1:3" x14ac:dyDescent="0.25">
      <c r="A5015">
        <v>160</v>
      </c>
      <c r="B5015">
        <v>219</v>
      </c>
      <c r="C5015">
        <v>1</v>
      </c>
    </row>
    <row r="5016" spans="1:3" x14ac:dyDescent="0.25">
      <c r="A5016">
        <v>160</v>
      </c>
      <c r="B5016">
        <v>219</v>
      </c>
      <c r="C5016">
        <v>2</v>
      </c>
    </row>
    <row r="5017" spans="1:3" x14ac:dyDescent="0.25">
      <c r="A5017">
        <v>164</v>
      </c>
      <c r="B5017">
        <v>219</v>
      </c>
      <c r="C5017">
        <v>5</v>
      </c>
    </row>
    <row r="5018" spans="1:3" x14ac:dyDescent="0.25">
      <c r="A5018">
        <v>179</v>
      </c>
      <c r="B5018">
        <v>219</v>
      </c>
      <c r="C5018">
        <v>1</v>
      </c>
    </row>
    <row r="5019" spans="1:3" x14ac:dyDescent="0.25">
      <c r="A5019">
        <v>205</v>
      </c>
      <c r="B5019">
        <v>219</v>
      </c>
      <c r="C5019">
        <v>4</v>
      </c>
    </row>
    <row r="5020" spans="1:3" x14ac:dyDescent="0.25">
      <c r="A5020">
        <v>212</v>
      </c>
      <c r="B5020">
        <v>219</v>
      </c>
      <c r="C5020">
        <v>3</v>
      </c>
    </row>
    <row r="5021" spans="1:3" x14ac:dyDescent="0.25">
      <c r="A5021">
        <v>227</v>
      </c>
      <c r="B5021">
        <v>219</v>
      </c>
      <c r="C5021">
        <v>2</v>
      </c>
    </row>
    <row r="5022" spans="1:3" x14ac:dyDescent="0.25">
      <c r="A5022">
        <v>238</v>
      </c>
      <c r="B5022">
        <v>219</v>
      </c>
      <c r="C5022">
        <v>1</v>
      </c>
    </row>
    <row r="5023" spans="1:3" x14ac:dyDescent="0.25">
      <c r="A5023">
        <v>251</v>
      </c>
      <c r="B5023">
        <v>219</v>
      </c>
      <c r="C5023">
        <v>1</v>
      </c>
    </row>
    <row r="5024" spans="1:3" x14ac:dyDescent="0.25">
      <c r="A5024">
        <v>264</v>
      </c>
      <c r="B5024">
        <v>219</v>
      </c>
      <c r="C5024">
        <v>5</v>
      </c>
    </row>
    <row r="5025" spans="1:3" x14ac:dyDescent="0.25">
      <c r="A5025">
        <v>284</v>
      </c>
      <c r="B5025">
        <v>219</v>
      </c>
      <c r="C5025">
        <v>2</v>
      </c>
    </row>
    <row r="5026" spans="1:3" x14ac:dyDescent="0.25">
      <c r="A5026">
        <v>39</v>
      </c>
      <c r="B5026">
        <v>220</v>
      </c>
      <c r="C5026">
        <v>4</v>
      </c>
    </row>
    <row r="5027" spans="1:3" x14ac:dyDescent="0.25">
      <c r="A5027">
        <v>47</v>
      </c>
      <c r="B5027">
        <v>220</v>
      </c>
      <c r="C5027">
        <v>2</v>
      </c>
    </row>
    <row r="5028" spans="1:3" x14ac:dyDescent="0.25">
      <c r="A5028">
        <v>51</v>
      </c>
      <c r="B5028">
        <v>220</v>
      </c>
      <c r="C5028">
        <v>3</v>
      </c>
    </row>
    <row r="5029" spans="1:3" x14ac:dyDescent="0.25">
      <c r="A5029">
        <v>54</v>
      </c>
      <c r="B5029">
        <v>220</v>
      </c>
      <c r="C5029">
        <v>3</v>
      </c>
    </row>
    <row r="5030" spans="1:3" x14ac:dyDescent="0.25">
      <c r="A5030">
        <v>84</v>
      </c>
      <c r="B5030">
        <v>220</v>
      </c>
      <c r="C5030">
        <v>3</v>
      </c>
    </row>
    <row r="5031" spans="1:3" x14ac:dyDescent="0.25">
      <c r="A5031">
        <v>86</v>
      </c>
      <c r="B5031">
        <v>220</v>
      </c>
      <c r="C5031">
        <v>2</v>
      </c>
    </row>
    <row r="5032" spans="1:3" x14ac:dyDescent="0.25">
      <c r="A5032">
        <v>87</v>
      </c>
      <c r="B5032">
        <v>220</v>
      </c>
      <c r="C5032">
        <v>3</v>
      </c>
    </row>
    <row r="5033" spans="1:3" x14ac:dyDescent="0.25">
      <c r="A5033">
        <v>94</v>
      </c>
      <c r="B5033">
        <v>220</v>
      </c>
      <c r="C5033">
        <v>2</v>
      </c>
    </row>
    <row r="5034" spans="1:3" x14ac:dyDescent="0.25">
      <c r="A5034">
        <v>101</v>
      </c>
      <c r="B5034">
        <v>220</v>
      </c>
      <c r="C5034">
        <v>3</v>
      </c>
    </row>
    <row r="5035" spans="1:3" x14ac:dyDescent="0.25">
      <c r="A5035">
        <v>102</v>
      </c>
      <c r="B5035">
        <v>220</v>
      </c>
      <c r="C5035">
        <v>4</v>
      </c>
    </row>
    <row r="5036" spans="1:3" x14ac:dyDescent="0.25">
      <c r="A5036">
        <v>108</v>
      </c>
      <c r="B5036">
        <v>220</v>
      </c>
      <c r="C5036">
        <v>4</v>
      </c>
    </row>
    <row r="5037" spans="1:3" x14ac:dyDescent="0.25">
      <c r="A5037">
        <v>150</v>
      </c>
      <c r="B5037">
        <v>220</v>
      </c>
      <c r="C5037">
        <v>5</v>
      </c>
    </row>
    <row r="5038" spans="1:3" x14ac:dyDescent="0.25">
      <c r="A5038">
        <v>156</v>
      </c>
      <c r="B5038">
        <v>220</v>
      </c>
      <c r="C5038">
        <v>2</v>
      </c>
    </row>
    <row r="5039" spans="1:3" x14ac:dyDescent="0.25">
      <c r="A5039">
        <v>171</v>
      </c>
      <c r="B5039">
        <v>220</v>
      </c>
      <c r="C5039">
        <v>2</v>
      </c>
    </row>
    <row r="5040" spans="1:3" x14ac:dyDescent="0.25">
      <c r="A5040">
        <v>179</v>
      </c>
      <c r="B5040">
        <v>220</v>
      </c>
      <c r="C5040">
        <v>4</v>
      </c>
    </row>
    <row r="5041" spans="1:3" x14ac:dyDescent="0.25">
      <c r="A5041">
        <v>186</v>
      </c>
      <c r="B5041">
        <v>220</v>
      </c>
      <c r="C5041">
        <v>3</v>
      </c>
    </row>
    <row r="5042" spans="1:3" x14ac:dyDescent="0.25">
      <c r="A5042">
        <v>190</v>
      </c>
      <c r="B5042">
        <v>220</v>
      </c>
      <c r="C5042">
        <v>3</v>
      </c>
    </row>
    <row r="5043" spans="1:3" x14ac:dyDescent="0.25">
      <c r="A5043">
        <v>200</v>
      </c>
      <c r="B5043">
        <v>220</v>
      </c>
      <c r="C5043">
        <v>5</v>
      </c>
    </row>
    <row r="5044" spans="1:3" x14ac:dyDescent="0.25">
      <c r="A5044">
        <v>207</v>
      </c>
      <c r="B5044">
        <v>220</v>
      </c>
      <c r="C5044">
        <v>2</v>
      </c>
    </row>
    <row r="5045" spans="1:3" x14ac:dyDescent="0.25">
      <c r="A5045">
        <v>207</v>
      </c>
      <c r="B5045">
        <v>220</v>
      </c>
      <c r="C5045">
        <v>4</v>
      </c>
    </row>
    <row r="5046" spans="1:3" x14ac:dyDescent="0.25">
      <c r="A5046">
        <v>215</v>
      </c>
      <c r="B5046">
        <v>220</v>
      </c>
      <c r="C5046">
        <v>4</v>
      </c>
    </row>
    <row r="5047" spans="1:3" x14ac:dyDescent="0.25">
      <c r="A5047">
        <v>221</v>
      </c>
      <c r="B5047">
        <v>220</v>
      </c>
      <c r="C5047">
        <v>1</v>
      </c>
    </row>
    <row r="5048" spans="1:3" x14ac:dyDescent="0.25">
      <c r="A5048">
        <v>234</v>
      </c>
      <c r="B5048">
        <v>220</v>
      </c>
      <c r="C5048">
        <v>4</v>
      </c>
    </row>
    <row r="5049" spans="1:3" x14ac:dyDescent="0.25">
      <c r="A5049">
        <v>236</v>
      </c>
      <c r="B5049">
        <v>220</v>
      </c>
      <c r="C5049">
        <v>5</v>
      </c>
    </row>
    <row r="5050" spans="1:3" x14ac:dyDescent="0.25">
      <c r="A5050">
        <v>242</v>
      </c>
      <c r="B5050">
        <v>220</v>
      </c>
      <c r="C5050">
        <v>4</v>
      </c>
    </row>
    <row r="5051" spans="1:3" x14ac:dyDescent="0.25">
      <c r="A5051">
        <v>251</v>
      </c>
      <c r="B5051">
        <v>220</v>
      </c>
      <c r="C5051">
        <v>4</v>
      </c>
    </row>
    <row r="5052" spans="1:3" x14ac:dyDescent="0.25">
      <c r="A5052">
        <v>255</v>
      </c>
      <c r="B5052">
        <v>220</v>
      </c>
      <c r="C5052">
        <v>4</v>
      </c>
    </row>
    <row r="5053" spans="1:3" x14ac:dyDescent="0.25">
      <c r="A5053">
        <v>288</v>
      </c>
      <c r="B5053">
        <v>220</v>
      </c>
      <c r="C5053">
        <v>1</v>
      </c>
    </row>
    <row r="5054" spans="1:3" x14ac:dyDescent="0.25">
      <c r="A5054">
        <v>294</v>
      </c>
      <c r="B5054">
        <v>220</v>
      </c>
      <c r="C5054">
        <v>4</v>
      </c>
    </row>
    <row r="5055" spans="1:3" x14ac:dyDescent="0.25">
      <c r="A5055">
        <v>298</v>
      </c>
      <c r="B5055">
        <v>220</v>
      </c>
      <c r="C5055">
        <v>3</v>
      </c>
    </row>
    <row r="5056" spans="1:3" x14ac:dyDescent="0.25">
      <c r="A5056">
        <v>299</v>
      </c>
      <c r="B5056">
        <v>220</v>
      </c>
      <c r="C5056">
        <v>1</v>
      </c>
    </row>
    <row r="5057" spans="1:3" x14ac:dyDescent="0.25">
      <c r="A5057">
        <v>27</v>
      </c>
      <c r="B5057">
        <v>221</v>
      </c>
      <c r="C5057">
        <v>2</v>
      </c>
    </row>
    <row r="5058" spans="1:3" x14ac:dyDescent="0.25">
      <c r="A5058">
        <v>27</v>
      </c>
      <c r="B5058">
        <v>221</v>
      </c>
      <c r="C5058">
        <v>4</v>
      </c>
    </row>
    <row r="5059" spans="1:3" x14ac:dyDescent="0.25">
      <c r="A5059">
        <v>48</v>
      </c>
      <c r="B5059">
        <v>221</v>
      </c>
      <c r="C5059">
        <v>4</v>
      </c>
    </row>
    <row r="5060" spans="1:3" x14ac:dyDescent="0.25">
      <c r="A5060">
        <v>55</v>
      </c>
      <c r="B5060">
        <v>221</v>
      </c>
      <c r="C5060">
        <v>2</v>
      </c>
    </row>
    <row r="5061" spans="1:3" x14ac:dyDescent="0.25">
      <c r="A5061">
        <v>56</v>
      </c>
      <c r="B5061">
        <v>221</v>
      </c>
      <c r="C5061">
        <v>4</v>
      </c>
    </row>
    <row r="5062" spans="1:3" x14ac:dyDescent="0.25">
      <c r="A5062">
        <v>65</v>
      </c>
      <c r="B5062">
        <v>221</v>
      </c>
      <c r="C5062">
        <v>4</v>
      </c>
    </row>
    <row r="5063" spans="1:3" x14ac:dyDescent="0.25">
      <c r="A5063">
        <v>72</v>
      </c>
      <c r="B5063">
        <v>221</v>
      </c>
      <c r="C5063">
        <v>4</v>
      </c>
    </row>
    <row r="5064" spans="1:3" x14ac:dyDescent="0.25">
      <c r="A5064">
        <v>86</v>
      </c>
      <c r="B5064">
        <v>221</v>
      </c>
      <c r="C5064">
        <v>2</v>
      </c>
    </row>
    <row r="5065" spans="1:3" x14ac:dyDescent="0.25">
      <c r="A5065">
        <v>90</v>
      </c>
      <c r="B5065">
        <v>221</v>
      </c>
      <c r="C5065">
        <v>4</v>
      </c>
    </row>
    <row r="5066" spans="1:3" x14ac:dyDescent="0.25">
      <c r="A5066">
        <v>91</v>
      </c>
      <c r="B5066">
        <v>221</v>
      </c>
      <c r="C5066">
        <v>4</v>
      </c>
    </row>
    <row r="5067" spans="1:3" x14ac:dyDescent="0.25">
      <c r="A5067">
        <v>112</v>
      </c>
      <c r="B5067">
        <v>221</v>
      </c>
      <c r="C5067">
        <v>3</v>
      </c>
    </row>
    <row r="5068" spans="1:3" x14ac:dyDescent="0.25">
      <c r="A5068">
        <v>124</v>
      </c>
      <c r="B5068">
        <v>221</v>
      </c>
      <c r="C5068">
        <v>1</v>
      </c>
    </row>
    <row r="5069" spans="1:3" x14ac:dyDescent="0.25">
      <c r="A5069">
        <v>132</v>
      </c>
      <c r="B5069">
        <v>221</v>
      </c>
      <c r="C5069">
        <v>1</v>
      </c>
    </row>
    <row r="5070" spans="1:3" x14ac:dyDescent="0.25">
      <c r="A5070">
        <v>142</v>
      </c>
      <c r="B5070">
        <v>221</v>
      </c>
      <c r="C5070">
        <v>5</v>
      </c>
    </row>
    <row r="5071" spans="1:3" x14ac:dyDescent="0.25">
      <c r="A5071">
        <v>157</v>
      </c>
      <c r="B5071">
        <v>221</v>
      </c>
      <c r="C5071">
        <v>4</v>
      </c>
    </row>
    <row r="5072" spans="1:3" x14ac:dyDescent="0.25">
      <c r="A5072">
        <v>165</v>
      </c>
      <c r="B5072">
        <v>221</v>
      </c>
      <c r="C5072">
        <v>3</v>
      </c>
    </row>
    <row r="5073" spans="1:3" x14ac:dyDescent="0.25">
      <c r="A5073">
        <v>173</v>
      </c>
      <c r="B5073">
        <v>221</v>
      </c>
      <c r="C5073">
        <v>2</v>
      </c>
    </row>
    <row r="5074" spans="1:3" x14ac:dyDescent="0.25">
      <c r="A5074">
        <v>179</v>
      </c>
      <c r="B5074">
        <v>221</v>
      </c>
      <c r="C5074">
        <v>1</v>
      </c>
    </row>
    <row r="5075" spans="1:3" x14ac:dyDescent="0.25">
      <c r="A5075">
        <v>192</v>
      </c>
      <c r="B5075">
        <v>221</v>
      </c>
      <c r="C5075">
        <v>4</v>
      </c>
    </row>
    <row r="5076" spans="1:3" x14ac:dyDescent="0.25">
      <c r="A5076">
        <v>219</v>
      </c>
      <c r="B5076">
        <v>221</v>
      </c>
      <c r="C5076">
        <v>1</v>
      </c>
    </row>
    <row r="5077" spans="1:3" x14ac:dyDescent="0.25">
      <c r="A5077">
        <v>221</v>
      </c>
      <c r="B5077">
        <v>221</v>
      </c>
      <c r="C5077">
        <v>5</v>
      </c>
    </row>
    <row r="5078" spans="1:3" x14ac:dyDescent="0.25">
      <c r="A5078">
        <v>257</v>
      </c>
      <c r="B5078">
        <v>221</v>
      </c>
      <c r="C5078">
        <v>4</v>
      </c>
    </row>
    <row r="5079" spans="1:3" x14ac:dyDescent="0.25">
      <c r="A5079">
        <v>300</v>
      </c>
      <c r="B5079">
        <v>221</v>
      </c>
      <c r="C5079">
        <v>3</v>
      </c>
    </row>
    <row r="5080" spans="1:3" x14ac:dyDescent="0.25">
      <c r="A5080">
        <v>1</v>
      </c>
      <c r="B5080">
        <v>222</v>
      </c>
      <c r="C5080">
        <v>3</v>
      </c>
    </row>
    <row r="5081" spans="1:3" x14ac:dyDescent="0.25">
      <c r="A5081">
        <v>55</v>
      </c>
      <c r="B5081">
        <v>222</v>
      </c>
      <c r="C5081">
        <v>1</v>
      </c>
    </row>
    <row r="5082" spans="1:3" x14ac:dyDescent="0.25">
      <c r="A5082">
        <v>91</v>
      </c>
      <c r="B5082">
        <v>222</v>
      </c>
      <c r="C5082">
        <v>5</v>
      </c>
    </row>
    <row r="5083" spans="1:3" x14ac:dyDescent="0.25">
      <c r="A5083">
        <v>91</v>
      </c>
      <c r="B5083">
        <v>222</v>
      </c>
      <c r="C5083">
        <v>4</v>
      </c>
    </row>
    <row r="5084" spans="1:3" x14ac:dyDescent="0.25">
      <c r="A5084">
        <v>127</v>
      </c>
      <c r="B5084">
        <v>222</v>
      </c>
      <c r="C5084">
        <v>4</v>
      </c>
    </row>
    <row r="5085" spans="1:3" x14ac:dyDescent="0.25">
      <c r="A5085">
        <v>130</v>
      </c>
      <c r="B5085">
        <v>222</v>
      </c>
      <c r="C5085">
        <v>1</v>
      </c>
    </row>
    <row r="5086" spans="1:3" x14ac:dyDescent="0.25">
      <c r="A5086">
        <v>153</v>
      </c>
      <c r="B5086">
        <v>222</v>
      </c>
      <c r="C5086">
        <v>1</v>
      </c>
    </row>
    <row r="5087" spans="1:3" x14ac:dyDescent="0.25">
      <c r="A5087">
        <v>160</v>
      </c>
      <c r="B5087">
        <v>222</v>
      </c>
      <c r="C5087">
        <v>2</v>
      </c>
    </row>
    <row r="5088" spans="1:3" x14ac:dyDescent="0.25">
      <c r="A5088">
        <v>183</v>
      </c>
      <c r="B5088">
        <v>222</v>
      </c>
      <c r="C5088">
        <v>4</v>
      </c>
    </row>
    <row r="5089" spans="1:3" x14ac:dyDescent="0.25">
      <c r="A5089">
        <v>183</v>
      </c>
      <c r="B5089">
        <v>222</v>
      </c>
      <c r="C5089">
        <v>2</v>
      </c>
    </row>
    <row r="5090" spans="1:3" x14ac:dyDescent="0.25">
      <c r="A5090">
        <v>190</v>
      </c>
      <c r="B5090">
        <v>222</v>
      </c>
      <c r="C5090">
        <v>5</v>
      </c>
    </row>
    <row r="5091" spans="1:3" x14ac:dyDescent="0.25">
      <c r="A5091">
        <v>191</v>
      </c>
      <c r="B5091">
        <v>222</v>
      </c>
      <c r="C5091">
        <v>1</v>
      </c>
    </row>
    <row r="5092" spans="1:3" x14ac:dyDescent="0.25">
      <c r="A5092">
        <v>197</v>
      </c>
      <c r="B5092">
        <v>222</v>
      </c>
      <c r="C5092">
        <v>4</v>
      </c>
    </row>
    <row r="5093" spans="1:3" x14ac:dyDescent="0.25">
      <c r="A5093">
        <v>198</v>
      </c>
      <c r="B5093">
        <v>222</v>
      </c>
      <c r="C5093">
        <v>3</v>
      </c>
    </row>
    <row r="5094" spans="1:3" x14ac:dyDescent="0.25">
      <c r="A5094">
        <v>208</v>
      </c>
      <c r="B5094">
        <v>222</v>
      </c>
      <c r="C5094">
        <v>4</v>
      </c>
    </row>
    <row r="5095" spans="1:3" x14ac:dyDescent="0.25">
      <c r="A5095">
        <v>208</v>
      </c>
      <c r="B5095">
        <v>222</v>
      </c>
      <c r="C5095">
        <v>1</v>
      </c>
    </row>
    <row r="5096" spans="1:3" x14ac:dyDescent="0.25">
      <c r="A5096">
        <v>223</v>
      </c>
      <c r="B5096">
        <v>222</v>
      </c>
      <c r="C5096">
        <v>1</v>
      </c>
    </row>
    <row r="5097" spans="1:3" x14ac:dyDescent="0.25">
      <c r="A5097">
        <v>228</v>
      </c>
      <c r="B5097">
        <v>222</v>
      </c>
      <c r="C5097">
        <v>3</v>
      </c>
    </row>
    <row r="5098" spans="1:3" x14ac:dyDescent="0.25">
      <c r="A5098">
        <v>285</v>
      </c>
      <c r="B5098">
        <v>222</v>
      </c>
      <c r="C5098">
        <v>5</v>
      </c>
    </row>
    <row r="5099" spans="1:3" x14ac:dyDescent="0.25">
      <c r="A5099">
        <v>3</v>
      </c>
      <c r="B5099">
        <v>223</v>
      </c>
      <c r="C5099">
        <v>5</v>
      </c>
    </row>
    <row r="5100" spans="1:3" x14ac:dyDescent="0.25">
      <c r="A5100">
        <v>8</v>
      </c>
      <c r="B5100">
        <v>223</v>
      </c>
      <c r="C5100">
        <v>5</v>
      </c>
    </row>
    <row r="5101" spans="1:3" x14ac:dyDescent="0.25">
      <c r="A5101">
        <v>23</v>
      </c>
      <c r="B5101">
        <v>223</v>
      </c>
      <c r="C5101">
        <v>3</v>
      </c>
    </row>
    <row r="5102" spans="1:3" x14ac:dyDescent="0.25">
      <c r="A5102">
        <v>91</v>
      </c>
      <c r="B5102">
        <v>223</v>
      </c>
      <c r="C5102">
        <v>4</v>
      </c>
    </row>
    <row r="5103" spans="1:3" x14ac:dyDescent="0.25">
      <c r="A5103">
        <v>94</v>
      </c>
      <c r="B5103">
        <v>223</v>
      </c>
      <c r="C5103">
        <v>4</v>
      </c>
    </row>
    <row r="5104" spans="1:3" x14ac:dyDescent="0.25">
      <c r="A5104">
        <v>97</v>
      </c>
      <c r="B5104">
        <v>223</v>
      </c>
      <c r="C5104">
        <v>2</v>
      </c>
    </row>
    <row r="5105" spans="1:3" x14ac:dyDescent="0.25">
      <c r="A5105">
        <v>121</v>
      </c>
      <c r="B5105">
        <v>223</v>
      </c>
      <c r="C5105">
        <v>2</v>
      </c>
    </row>
    <row r="5106" spans="1:3" x14ac:dyDescent="0.25">
      <c r="A5106">
        <v>129</v>
      </c>
      <c r="B5106">
        <v>223</v>
      </c>
      <c r="C5106">
        <v>3</v>
      </c>
    </row>
    <row r="5107" spans="1:3" x14ac:dyDescent="0.25">
      <c r="A5107">
        <v>139</v>
      </c>
      <c r="B5107">
        <v>223</v>
      </c>
      <c r="C5107">
        <v>1</v>
      </c>
    </row>
    <row r="5108" spans="1:3" x14ac:dyDescent="0.25">
      <c r="A5108">
        <v>159</v>
      </c>
      <c r="B5108">
        <v>223</v>
      </c>
      <c r="C5108">
        <v>5</v>
      </c>
    </row>
    <row r="5109" spans="1:3" x14ac:dyDescent="0.25">
      <c r="A5109">
        <v>160</v>
      </c>
      <c r="B5109">
        <v>223</v>
      </c>
      <c r="C5109">
        <v>3</v>
      </c>
    </row>
    <row r="5110" spans="1:3" x14ac:dyDescent="0.25">
      <c r="A5110">
        <v>189</v>
      </c>
      <c r="B5110">
        <v>223</v>
      </c>
      <c r="C5110">
        <v>2</v>
      </c>
    </row>
    <row r="5111" spans="1:3" x14ac:dyDescent="0.25">
      <c r="A5111">
        <v>204</v>
      </c>
      <c r="B5111">
        <v>223</v>
      </c>
      <c r="C5111">
        <v>2</v>
      </c>
    </row>
    <row r="5112" spans="1:3" x14ac:dyDescent="0.25">
      <c r="A5112">
        <v>216</v>
      </c>
      <c r="B5112">
        <v>223</v>
      </c>
      <c r="C5112">
        <v>3</v>
      </c>
    </row>
    <row r="5113" spans="1:3" x14ac:dyDescent="0.25">
      <c r="A5113">
        <v>226</v>
      </c>
      <c r="B5113">
        <v>223</v>
      </c>
      <c r="C5113">
        <v>3</v>
      </c>
    </row>
    <row r="5114" spans="1:3" x14ac:dyDescent="0.25">
      <c r="A5114">
        <v>243</v>
      </c>
      <c r="B5114">
        <v>223</v>
      </c>
      <c r="C5114">
        <v>2</v>
      </c>
    </row>
    <row r="5115" spans="1:3" x14ac:dyDescent="0.25">
      <c r="A5115">
        <v>257</v>
      </c>
      <c r="B5115">
        <v>223</v>
      </c>
      <c r="C5115">
        <v>4</v>
      </c>
    </row>
    <row r="5116" spans="1:3" x14ac:dyDescent="0.25">
      <c r="A5116">
        <v>276</v>
      </c>
      <c r="B5116">
        <v>223</v>
      </c>
      <c r="C5116">
        <v>2</v>
      </c>
    </row>
    <row r="5117" spans="1:3" x14ac:dyDescent="0.25">
      <c r="A5117">
        <v>276</v>
      </c>
      <c r="B5117">
        <v>223</v>
      </c>
      <c r="C5117">
        <v>4</v>
      </c>
    </row>
    <row r="5118" spans="1:3" x14ac:dyDescent="0.25">
      <c r="A5118">
        <v>286</v>
      </c>
      <c r="B5118">
        <v>223</v>
      </c>
      <c r="C5118">
        <v>4</v>
      </c>
    </row>
    <row r="5119" spans="1:3" x14ac:dyDescent="0.25">
      <c r="A5119">
        <v>294</v>
      </c>
      <c r="B5119">
        <v>223</v>
      </c>
      <c r="C5119">
        <v>4</v>
      </c>
    </row>
    <row r="5120" spans="1:3" x14ac:dyDescent="0.25">
      <c r="A5120">
        <v>6</v>
      </c>
      <c r="B5120">
        <v>224</v>
      </c>
      <c r="C5120">
        <v>5</v>
      </c>
    </row>
    <row r="5121" spans="1:3" x14ac:dyDescent="0.25">
      <c r="A5121">
        <v>33</v>
      </c>
      <c r="B5121">
        <v>224</v>
      </c>
      <c r="C5121">
        <v>2</v>
      </c>
    </row>
    <row r="5122" spans="1:3" x14ac:dyDescent="0.25">
      <c r="A5122">
        <v>38</v>
      </c>
      <c r="B5122">
        <v>224</v>
      </c>
      <c r="C5122">
        <v>5</v>
      </c>
    </row>
    <row r="5123" spans="1:3" x14ac:dyDescent="0.25">
      <c r="A5123">
        <v>48</v>
      </c>
      <c r="B5123">
        <v>224</v>
      </c>
      <c r="C5123">
        <v>1</v>
      </c>
    </row>
    <row r="5124" spans="1:3" x14ac:dyDescent="0.25">
      <c r="A5124">
        <v>62</v>
      </c>
      <c r="B5124">
        <v>224</v>
      </c>
      <c r="C5124">
        <v>3</v>
      </c>
    </row>
    <row r="5125" spans="1:3" x14ac:dyDescent="0.25">
      <c r="A5125">
        <v>99</v>
      </c>
      <c r="B5125">
        <v>224</v>
      </c>
      <c r="C5125">
        <v>3</v>
      </c>
    </row>
    <row r="5126" spans="1:3" x14ac:dyDescent="0.25">
      <c r="A5126">
        <v>128</v>
      </c>
      <c r="B5126">
        <v>224</v>
      </c>
      <c r="C5126">
        <v>4</v>
      </c>
    </row>
    <row r="5127" spans="1:3" x14ac:dyDescent="0.25">
      <c r="A5127">
        <v>139</v>
      </c>
      <c r="B5127">
        <v>224</v>
      </c>
      <c r="C5127">
        <v>5</v>
      </c>
    </row>
    <row r="5128" spans="1:3" x14ac:dyDescent="0.25">
      <c r="A5128">
        <v>145</v>
      </c>
      <c r="B5128">
        <v>224</v>
      </c>
      <c r="C5128">
        <v>5</v>
      </c>
    </row>
    <row r="5129" spans="1:3" x14ac:dyDescent="0.25">
      <c r="A5129">
        <v>147</v>
      </c>
      <c r="B5129">
        <v>224</v>
      </c>
      <c r="C5129">
        <v>2</v>
      </c>
    </row>
    <row r="5130" spans="1:3" x14ac:dyDescent="0.25">
      <c r="A5130">
        <v>148</v>
      </c>
      <c r="B5130">
        <v>224</v>
      </c>
      <c r="C5130">
        <v>4</v>
      </c>
    </row>
    <row r="5131" spans="1:3" x14ac:dyDescent="0.25">
      <c r="A5131">
        <v>152</v>
      </c>
      <c r="B5131">
        <v>224</v>
      </c>
      <c r="C5131">
        <v>1</v>
      </c>
    </row>
    <row r="5132" spans="1:3" x14ac:dyDescent="0.25">
      <c r="A5132">
        <v>154</v>
      </c>
      <c r="B5132">
        <v>224</v>
      </c>
      <c r="C5132">
        <v>4</v>
      </c>
    </row>
    <row r="5133" spans="1:3" x14ac:dyDescent="0.25">
      <c r="A5133">
        <v>211</v>
      </c>
      <c r="B5133">
        <v>224</v>
      </c>
      <c r="C5133">
        <v>4</v>
      </c>
    </row>
    <row r="5134" spans="1:3" x14ac:dyDescent="0.25">
      <c r="A5134">
        <v>225</v>
      </c>
      <c r="B5134">
        <v>224</v>
      </c>
      <c r="C5134">
        <v>4</v>
      </c>
    </row>
    <row r="5135" spans="1:3" x14ac:dyDescent="0.25">
      <c r="A5135">
        <v>239</v>
      </c>
      <c r="B5135">
        <v>224</v>
      </c>
      <c r="C5135">
        <v>5</v>
      </c>
    </row>
    <row r="5136" spans="1:3" x14ac:dyDescent="0.25">
      <c r="A5136">
        <v>242</v>
      </c>
      <c r="B5136">
        <v>224</v>
      </c>
      <c r="C5136">
        <v>3</v>
      </c>
    </row>
    <row r="5137" spans="1:3" x14ac:dyDescent="0.25">
      <c r="A5137">
        <v>255</v>
      </c>
      <c r="B5137">
        <v>224</v>
      </c>
      <c r="C5137">
        <v>2</v>
      </c>
    </row>
    <row r="5138" spans="1:3" x14ac:dyDescent="0.25">
      <c r="A5138">
        <v>260</v>
      </c>
      <c r="B5138">
        <v>224</v>
      </c>
      <c r="C5138">
        <v>5</v>
      </c>
    </row>
    <row r="5139" spans="1:3" x14ac:dyDescent="0.25">
      <c r="A5139">
        <v>296</v>
      </c>
      <c r="B5139">
        <v>224</v>
      </c>
      <c r="C5139">
        <v>4</v>
      </c>
    </row>
    <row r="5140" spans="1:3" x14ac:dyDescent="0.25">
      <c r="A5140">
        <v>299</v>
      </c>
      <c r="B5140">
        <v>224</v>
      </c>
      <c r="C5140">
        <v>5</v>
      </c>
    </row>
    <row r="5141" spans="1:3" x14ac:dyDescent="0.25">
      <c r="A5141">
        <v>9</v>
      </c>
      <c r="B5141">
        <v>225</v>
      </c>
      <c r="C5141">
        <v>5</v>
      </c>
    </row>
    <row r="5142" spans="1:3" x14ac:dyDescent="0.25">
      <c r="A5142">
        <v>27</v>
      </c>
      <c r="B5142">
        <v>225</v>
      </c>
      <c r="C5142">
        <v>5</v>
      </c>
    </row>
    <row r="5143" spans="1:3" x14ac:dyDescent="0.25">
      <c r="A5143">
        <v>38</v>
      </c>
      <c r="B5143">
        <v>225</v>
      </c>
      <c r="C5143">
        <v>3</v>
      </c>
    </row>
    <row r="5144" spans="1:3" x14ac:dyDescent="0.25">
      <c r="A5144">
        <v>56</v>
      </c>
      <c r="B5144">
        <v>225</v>
      </c>
      <c r="C5144">
        <v>3</v>
      </c>
    </row>
    <row r="5145" spans="1:3" x14ac:dyDescent="0.25">
      <c r="A5145">
        <v>56</v>
      </c>
      <c r="B5145">
        <v>225</v>
      </c>
      <c r="C5145">
        <v>2</v>
      </c>
    </row>
    <row r="5146" spans="1:3" x14ac:dyDescent="0.25">
      <c r="A5146">
        <v>57</v>
      </c>
      <c r="B5146">
        <v>225</v>
      </c>
      <c r="C5146">
        <v>3</v>
      </c>
    </row>
    <row r="5147" spans="1:3" x14ac:dyDescent="0.25">
      <c r="A5147">
        <v>63</v>
      </c>
      <c r="B5147">
        <v>225</v>
      </c>
      <c r="C5147">
        <v>1</v>
      </c>
    </row>
    <row r="5148" spans="1:3" x14ac:dyDescent="0.25">
      <c r="A5148">
        <v>90</v>
      </c>
      <c r="B5148">
        <v>225</v>
      </c>
      <c r="C5148">
        <v>3</v>
      </c>
    </row>
    <row r="5149" spans="1:3" x14ac:dyDescent="0.25">
      <c r="A5149">
        <v>94</v>
      </c>
      <c r="B5149">
        <v>225</v>
      </c>
      <c r="C5149">
        <v>3</v>
      </c>
    </row>
    <row r="5150" spans="1:3" x14ac:dyDescent="0.25">
      <c r="A5150">
        <v>98</v>
      </c>
      <c r="B5150">
        <v>225</v>
      </c>
      <c r="C5150">
        <v>3</v>
      </c>
    </row>
    <row r="5151" spans="1:3" x14ac:dyDescent="0.25">
      <c r="A5151">
        <v>133</v>
      </c>
      <c r="B5151">
        <v>225</v>
      </c>
      <c r="C5151">
        <v>2</v>
      </c>
    </row>
    <row r="5152" spans="1:3" x14ac:dyDescent="0.25">
      <c r="A5152">
        <v>173</v>
      </c>
      <c r="B5152">
        <v>225</v>
      </c>
      <c r="C5152">
        <v>3</v>
      </c>
    </row>
    <row r="5153" spans="1:3" x14ac:dyDescent="0.25">
      <c r="A5153">
        <v>181</v>
      </c>
      <c r="B5153">
        <v>225</v>
      </c>
      <c r="C5153">
        <v>3</v>
      </c>
    </row>
    <row r="5154" spans="1:3" x14ac:dyDescent="0.25">
      <c r="A5154">
        <v>187</v>
      </c>
      <c r="B5154">
        <v>225</v>
      </c>
      <c r="C5154">
        <v>3</v>
      </c>
    </row>
    <row r="5155" spans="1:3" x14ac:dyDescent="0.25">
      <c r="A5155">
        <v>190</v>
      </c>
      <c r="B5155">
        <v>225</v>
      </c>
      <c r="C5155">
        <v>1</v>
      </c>
    </row>
    <row r="5156" spans="1:3" x14ac:dyDescent="0.25">
      <c r="A5156">
        <v>201</v>
      </c>
      <c r="B5156">
        <v>225</v>
      </c>
      <c r="C5156">
        <v>3</v>
      </c>
    </row>
    <row r="5157" spans="1:3" x14ac:dyDescent="0.25">
      <c r="A5157">
        <v>210</v>
      </c>
      <c r="B5157">
        <v>225</v>
      </c>
      <c r="C5157">
        <v>4</v>
      </c>
    </row>
    <row r="5158" spans="1:3" x14ac:dyDescent="0.25">
      <c r="A5158">
        <v>222</v>
      </c>
      <c r="B5158">
        <v>225</v>
      </c>
      <c r="C5158">
        <v>2</v>
      </c>
    </row>
    <row r="5159" spans="1:3" x14ac:dyDescent="0.25">
      <c r="A5159">
        <v>227</v>
      </c>
      <c r="B5159">
        <v>225</v>
      </c>
      <c r="C5159">
        <v>1</v>
      </c>
    </row>
    <row r="5160" spans="1:3" x14ac:dyDescent="0.25">
      <c r="A5160">
        <v>228</v>
      </c>
      <c r="B5160">
        <v>225</v>
      </c>
      <c r="C5160">
        <v>1</v>
      </c>
    </row>
    <row r="5161" spans="1:3" x14ac:dyDescent="0.25">
      <c r="A5161">
        <v>250</v>
      </c>
      <c r="B5161">
        <v>225</v>
      </c>
      <c r="C5161">
        <v>2</v>
      </c>
    </row>
    <row r="5162" spans="1:3" x14ac:dyDescent="0.25">
      <c r="A5162">
        <v>293</v>
      </c>
      <c r="B5162">
        <v>225</v>
      </c>
      <c r="C5162">
        <v>4</v>
      </c>
    </row>
    <row r="5163" spans="1:3" x14ac:dyDescent="0.25">
      <c r="A5163">
        <v>296</v>
      </c>
      <c r="B5163">
        <v>225</v>
      </c>
      <c r="C5163">
        <v>2</v>
      </c>
    </row>
    <row r="5164" spans="1:3" x14ac:dyDescent="0.25">
      <c r="A5164">
        <v>296</v>
      </c>
      <c r="B5164">
        <v>225</v>
      </c>
      <c r="C5164">
        <v>4</v>
      </c>
    </row>
    <row r="5165" spans="1:3" x14ac:dyDescent="0.25">
      <c r="A5165">
        <v>11</v>
      </c>
      <c r="B5165">
        <v>226</v>
      </c>
      <c r="C5165">
        <v>2</v>
      </c>
    </row>
    <row r="5166" spans="1:3" x14ac:dyDescent="0.25">
      <c r="A5166">
        <v>12</v>
      </c>
      <c r="B5166">
        <v>226</v>
      </c>
      <c r="C5166">
        <v>4</v>
      </c>
    </row>
    <row r="5167" spans="1:3" x14ac:dyDescent="0.25">
      <c r="A5167">
        <v>30</v>
      </c>
      <c r="B5167">
        <v>226</v>
      </c>
      <c r="C5167">
        <v>4</v>
      </c>
    </row>
    <row r="5168" spans="1:3" x14ac:dyDescent="0.25">
      <c r="A5168">
        <v>55</v>
      </c>
      <c r="B5168">
        <v>226</v>
      </c>
      <c r="C5168">
        <v>5</v>
      </c>
    </row>
    <row r="5169" spans="1:3" x14ac:dyDescent="0.25">
      <c r="A5169">
        <v>78</v>
      </c>
      <c r="B5169">
        <v>226</v>
      </c>
      <c r="C5169">
        <v>4</v>
      </c>
    </row>
    <row r="5170" spans="1:3" x14ac:dyDescent="0.25">
      <c r="A5170">
        <v>91</v>
      </c>
      <c r="B5170">
        <v>226</v>
      </c>
      <c r="C5170">
        <v>3</v>
      </c>
    </row>
    <row r="5171" spans="1:3" x14ac:dyDescent="0.25">
      <c r="A5171">
        <v>92</v>
      </c>
      <c r="B5171">
        <v>226</v>
      </c>
      <c r="C5171">
        <v>3</v>
      </c>
    </row>
    <row r="5172" spans="1:3" x14ac:dyDescent="0.25">
      <c r="A5172">
        <v>98</v>
      </c>
      <c r="B5172">
        <v>226</v>
      </c>
      <c r="C5172">
        <v>2</v>
      </c>
    </row>
    <row r="5173" spans="1:3" x14ac:dyDescent="0.25">
      <c r="A5173">
        <v>117</v>
      </c>
      <c r="B5173">
        <v>226</v>
      </c>
      <c r="C5173">
        <v>4</v>
      </c>
    </row>
    <row r="5174" spans="1:3" x14ac:dyDescent="0.25">
      <c r="A5174">
        <v>122</v>
      </c>
      <c r="B5174">
        <v>226</v>
      </c>
      <c r="C5174">
        <v>2</v>
      </c>
    </row>
    <row r="5175" spans="1:3" x14ac:dyDescent="0.25">
      <c r="A5175">
        <v>123</v>
      </c>
      <c r="B5175">
        <v>226</v>
      </c>
      <c r="C5175">
        <v>5</v>
      </c>
    </row>
    <row r="5176" spans="1:3" x14ac:dyDescent="0.25">
      <c r="A5176">
        <v>138</v>
      </c>
      <c r="B5176">
        <v>226</v>
      </c>
      <c r="C5176">
        <v>5</v>
      </c>
    </row>
    <row r="5177" spans="1:3" x14ac:dyDescent="0.25">
      <c r="A5177">
        <v>141</v>
      </c>
      <c r="B5177">
        <v>226</v>
      </c>
      <c r="C5177">
        <v>3</v>
      </c>
    </row>
    <row r="5178" spans="1:3" x14ac:dyDescent="0.25">
      <c r="A5178">
        <v>141</v>
      </c>
      <c r="B5178">
        <v>226</v>
      </c>
      <c r="C5178">
        <v>2</v>
      </c>
    </row>
    <row r="5179" spans="1:3" x14ac:dyDescent="0.25">
      <c r="A5179">
        <v>154</v>
      </c>
      <c r="B5179">
        <v>226</v>
      </c>
      <c r="C5179">
        <v>4</v>
      </c>
    </row>
    <row r="5180" spans="1:3" x14ac:dyDescent="0.25">
      <c r="A5180">
        <v>184</v>
      </c>
      <c r="B5180">
        <v>226</v>
      </c>
      <c r="C5180">
        <v>1</v>
      </c>
    </row>
    <row r="5181" spans="1:3" x14ac:dyDescent="0.25">
      <c r="A5181">
        <v>187</v>
      </c>
      <c r="B5181">
        <v>226</v>
      </c>
      <c r="C5181">
        <v>5</v>
      </c>
    </row>
    <row r="5182" spans="1:3" x14ac:dyDescent="0.25">
      <c r="A5182">
        <v>194</v>
      </c>
      <c r="B5182">
        <v>226</v>
      </c>
      <c r="C5182">
        <v>1</v>
      </c>
    </row>
    <row r="5183" spans="1:3" x14ac:dyDescent="0.25">
      <c r="A5183">
        <v>200</v>
      </c>
      <c r="B5183">
        <v>226</v>
      </c>
      <c r="C5183">
        <v>4</v>
      </c>
    </row>
    <row r="5184" spans="1:3" x14ac:dyDescent="0.25">
      <c r="A5184">
        <v>204</v>
      </c>
      <c r="B5184">
        <v>226</v>
      </c>
      <c r="C5184">
        <v>1</v>
      </c>
    </row>
    <row r="5185" spans="1:3" x14ac:dyDescent="0.25">
      <c r="A5185">
        <v>211</v>
      </c>
      <c r="B5185">
        <v>226</v>
      </c>
      <c r="C5185">
        <v>3</v>
      </c>
    </row>
    <row r="5186" spans="1:3" x14ac:dyDescent="0.25">
      <c r="A5186">
        <v>234</v>
      </c>
      <c r="B5186">
        <v>226</v>
      </c>
      <c r="C5186">
        <v>1</v>
      </c>
    </row>
    <row r="5187" spans="1:3" x14ac:dyDescent="0.25">
      <c r="A5187">
        <v>250</v>
      </c>
      <c r="B5187">
        <v>226</v>
      </c>
      <c r="C5187">
        <v>4</v>
      </c>
    </row>
    <row r="5188" spans="1:3" x14ac:dyDescent="0.25">
      <c r="A5188">
        <v>286</v>
      </c>
      <c r="B5188">
        <v>226</v>
      </c>
      <c r="C5188">
        <v>5</v>
      </c>
    </row>
    <row r="5189" spans="1:3" x14ac:dyDescent="0.25">
      <c r="A5189">
        <v>287</v>
      </c>
      <c r="B5189">
        <v>226</v>
      </c>
      <c r="C5189">
        <v>3</v>
      </c>
    </row>
    <row r="5190" spans="1:3" x14ac:dyDescent="0.25">
      <c r="A5190">
        <v>3</v>
      </c>
      <c r="B5190">
        <v>227</v>
      </c>
      <c r="C5190">
        <v>2</v>
      </c>
    </row>
    <row r="5191" spans="1:3" x14ac:dyDescent="0.25">
      <c r="A5191">
        <v>14</v>
      </c>
      <c r="B5191">
        <v>227</v>
      </c>
      <c r="C5191">
        <v>4</v>
      </c>
    </row>
    <row r="5192" spans="1:3" x14ac:dyDescent="0.25">
      <c r="A5192">
        <v>20</v>
      </c>
      <c r="B5192">
        <v>227</v>
      </c>
      <c r="C5192">
        <v>5</v>
      </c>
    </row>
    <row r="5193" spans="1:3" x14ac:dyDescent="0.25">
      <c r="A5193">
        <v>38</v>
      </c>
      <c r="B5193">
        <v>227</v>
      </c>
      <c r="C5193">
        <v>3</v>
      </c>
    </row>
    <row r="5194" spans="1:3" x14ac:dyDescent="0.25">
      <c r="A5194">
        <v>45</v>
      </c>
      <c r="B5194">
        <v>227</v>
      </c>
      <c r="C5194">
        <v>5</v>
      </c>
    </row>
    <row r="5195" spans="1:3" x14ac:dyDescent="0.25">
      <c r="A5195">
        <v>49</v>
      </c>
      <c r="B5195">
        <v>227</v>
      </c>
      <c r="C5195">
        <v>3</v>
      </c>
    </row>
    <row r="5196" spans="1:3" x14ac:dyDescent="0.25">
      <c r="A5196">
        <v>67</v>
      </c>
      <c r="B5196">
        <v>227</v>
      </c>
      <c r="C5196">
        <v>1</v>
      </c>
    </row>
    <row r="5197" spans="1:3" x14ac:dyDescent="0.25">
      <c r="A5197">
        <v>67</v>
      </c>
      <c r="B5197">
        <v>227</v>
      </c>
      <c r="C5197">
        <v>4</v>
      </c>
    </row>
    <row r="5198" spans="1:3" x14ac:dyDescent="0.25">
      <c r="A5198">
        <v>70</v>
      </c>
      <c r="B5198">
        <v>227</v>
      </c>
      <c r="C5198">
        <v>5</v>
      </c>
    </row>
    <row r="5199" spans="1:3" x14ac:dyDescent="0.25">
      <c r="A5199">
        <v>71</v>
      </c>
      <c r="B5199">
        <v>227</v>
      </c>
      <c r="C5199">
        <v>1</v>
      </c>
    </row>
    <row r="5200" spans="1:3" x14ac:dyDescent="0.25">
      <c r="A5200">
        <v>103</v>
      </c>
      <c r="B5200">
        <v>227</v>
      </c>
      <c r="C5200">
        <v>1</v>
      </c>
    </row>
    <row r="5201" spans="1:3" x14ac:dyDescent="0.25">
      <c r="A5201">
        <v>124</v>
      </c>
      <c r="B5201">
        <v>227</v>
      </c>
      <c r="C5201">
        <v>1</v>
      </c>
    </row>
    <row r="5202" spans="1:3" x14ac:dyDescent="0.25">
      <c r="A5202">
        <v>138</v>
      </c>
      <c r="B5202">
        <v>227</v>
      </c>
      <c r="C5202">
        <v>5</v>
      </c>
    </row>
    <row r="5203" spans="1:3" x14ac:dyDescent="0.25">
      <c r="A5203">
        <v>140</v>
      </c>
      <c r="B5203">
        <v>227</v>
      </c>
      <c r="C5203">
        <v>4</v>
      </c>
    </row>
    <row r="5204" spans="1:3" x14ac:dyDescent="0.25">
      <c r="A5204">
        <v>145</v>
      </c>
      <c r="B5204">
        <v>227</v>
      </c>
      <c r="C5204">
        <v>3</v>
      </c>
    </row>
    <row r="5205" spans="1:3" x14ac:dyDescent="0.25">
      <c r="A5205">
        <v>151</v>
      </c>
      <c r="B5205">
        <v>227</v>
      </c>
      <c r="C5205">
        <v>5</v>
      </c>
    </row>
    <row r="5206" spans="1:3" x14ac:dyDescent="0.25">
      <c r="A5206">
        <v>153</v>
      </c>
      <c r="B5206">
        <v>227</v>
      </c>
      <c r="C5206">
        <v>3</v>
      </c>
    </row>
    <row r="5207" spans="1:3" x14ac:dyDescent="0.25">
      <c r="A5207">
        <v>157</v>
      </c>
      <c r="B5207">
        <v>227</v>
      </c>
      <c r="C5207">
        <v>5</v>
      </c>
    </row>
    <row r="5208" spans="1:3" x14ac:dyDescent="0.25">
      <c r="A5208">
        <v>189</v>
      </c>
      <c r="B5208">
        <v>227</v>
      </c>
      <c r="C5208">
        <v>4</v>
      </c>
    </row>
    <row r="5209" spans="1:3" x14ac:dyDescent="0.25">
      <c r="A5209">
        <v>192</v>
      </c>
      <c r="B5209">
        <v>227</v>
      </c>
      <c r="C5209">
        <v>2</v>
      </c>
    </row>
    <row r="5210" spans="1:3" x14ac:dyDescent="0.25">
      <c r="A5210">
        <v>213</v>
      </c>
      <c r="B5210">
        <v>227</v>
      </c>
      <c r="C5210">
        <v>5</v>
      </c>
    </row>
    <row r="5211" spans="1:3" x14ac:dyDescent="0.25">
      <c r="A5211">
        <v>221</v>
      </c>
      <c r="B5211">
        <v>227</v>
      </c>
      <c r="C5211">
        <v>4</v>
      </c>
    </row>
    <row r="5212" spans="1:3" x14ac:dyDescent="0.25">
      <c r="A5212">
        <v>244</v>
      </c>
      <c r="B5212">
        <v>227</v>
      </c>
      <c r="C5212">
        <v>1</v>
      </c>
    </row>
    <row r="5213" spans="1:3" x14ac:dyDescent="0.25">
      <c r="A5213">
        <v>258</v>
      </c>
      <c r="B5213">
        <v>227</v>
      </c>
      <c r="C5213">
        <v>3</v>
      </c>
    </row>
    <row r="5214" spans="1:3" x14ac:dyDescent="0.25">
      <c r="A5214">
        <v>274</v>
      </c>
      <c r="B5214">
        <v>227</v>
      </c>
      <c r="C5214">
        <v>5</v>
      </c>
    </row>
    <row r="5215" spans="1:3" x14ac:dyDescent="0.25">
      <c r="A5215">
        <v>274</v>
      </c>
      <c r="B5215">
        <v>227</v>
      </c>
      <c r="C5215">
        <v>3</v>
      </c>
    </row>
    <row r="5216" spans="1:3" x14ac:dyDescent="0.25">
      <c r="A5216">
        <v>3</v>
      </c>
      <c r="B5216">
        <v>228</v>
      </c>
      <c r="C5216">
        <v>3</v>
      </c>
    </row>
    <row r="5217" spans="1:3" x14ac:dyDescent="0.25">
      <c r="A5217">
        <v>7</v>
      </c>
      <c r="B5217">
        <v>228</v>
      </c>
      <c r="C5217">
        <v>3</v>
      </c>
    </row>
    <row r="5218" spans="1:3" x14ac:dyDescent="0.25">
      <c r="A5218">
        <v>19</v>
      </c>
      <c r="B5218">
        <v>228</v>
      </c>
      <c r="C5218">
        <v>2</v>
      </c>
    </row>
    <row r="5219" spans="1:3" x14ac:dyDescent="0.25">
      <c r="A5219">
        <v>28</v>
      </c>
      <c r="B5219">
        <v>228</v>
      </c>
      <c r="C5219">
        <v>4</v>
      </c>
    </row>
    <row r="5220" spans="1:3" x14ac:dyDescent="0.25">
      <c r="A5220">
        <v>47</v>
      </c>
      <c r="B5220">
        <v>228</v>
      </c>
      <c r="C5220">
        <v>2</v>
      </c>
    </row>
    <row r="5221" spans="1:3" x14ac:dyDescent="0.25">
      <c r="A5221">
        <v>54</v>
      </c>
      <c r="B5221">
        <v>228</v>
      </c>
      <c r="C5221">
        <v>2</v>
      </c>
    </row>
    <row r="5222" spans="1:3" x14ac:dyDescent="0.25">
      <c r="A5222">
        <v>73</v>
      </c>
      <c r="B5222">
        <v>228</v>
      </c>
      <c r="C5222">
        <v>5</v>
      </c>
    </row>
    <row r="5223" spans="1:3" x14ac:dyDescent="0.25">
      <c r="A5223">
        <v>79</v>
      </c>
      <c r="B5223">
        <v>228</v>
      </c>
      <c r="C5223">
        <v>5</v>
      </c>
    </row>
    <row r="5224" spans="1:3" x14ac:dyDescent="0.25">
      <c r="A5224">
        <v>83</v>
      </c>
      <c r="B5224">
        <v>228</v>
      </c>
      <c r="C5224">
        <v>4</v>
      </c>
    </row>
    <row r="5225" spans="1:3" x14ac:dyDescent="0.25">
      <c r="A5225">
        <v>92</v>
      </c>
      <c r="B5225">
        <v>228</v>
      </c>
      <c r="C5225">
        <v>4</v>
      </c>
    </row>
    <row r="5226" spans="1:3" x14ac:dyDescent="0.25">
      <c r="A5226">
        <v>113</v>
      </c>
      <c r="B5226">
        <v>228</v>
      </c>
      <c r="C5226">
        <v>4</v>
      </c>
    </row>
    <row r="5227" spans="1:3" x14ac:dyDescent="0.25">
      <c r="A5227">
        <v>134</v>
      </c>
      <c r="B5227">
        <v>228</v>
      </c>
      <c r="C5227">
        <v>3</v>
      </c>
    </row>
    <row r="5228" spans="1:3" x14ac:dyDescent="0.25">
      <c r="A5228">
        <v>155</v>
      </c>
      <c r="B5228">
        <v>228</v>
      </c>
      <c r="C5228">
        <v>1</v>
      </c>
    </row>
    <row r="5229" spans="1:3" x14ac:dyDescent="0.25">
      <c r="A5229">
        <v>155</v>
      </c>
      <c r="B5229">
        <v>228</v>
      </c>
      <c r="C5229">
        <v>4</v>
      </c>
    </row>
    <row r="5230" spans="1:3" x14ac:dyDescent="0.25">
      <c r="A5230">
        <v>157</v>
      </c>
      <c r="B5230">
        <v>228</v>
      </c>
      <c r="C5230">
        <v>1</v>
      </c>
    </row>
    <row r="5231" spans="1:3" x14ac:dyDescent="0.25">
      <c r="A5231">
        <v>170</v>
      </c>
      <c r="B5231">
        <v>228</v>
      </c>
      <c r="C5231">
        <v>2</v>
      </c>
    </row>
    <row r="5232" spans="1:3" x14ac:dyDescent="0.25">
      <c r="A5232">
        <v>173</v>
      </c>
      <c r="B5232">
        <v>228</v>
      </c>
      <c r="C5232">
        <v>1</v>
      </c>
    </row>
    <row r="5233" spans="1:3" x14ac:dyDescent="0.25">
      <c r="A5233">
        <v>206</v>
      </c>
      <c r="B5233">
        <v>228</v>
      </c>
      <c r="C5233">
        <v>5</v>
      </c>
    </row>
    <row r="5234" spans="1:3" x14ac:dyDescent="0.25">
      <c r="A5234">
        <v>232</v>
      </c>
      <c r="B5234">
        <v>228</v>
      </c>
      <c r="C5234">
        <v>5</v>
      </c>
    </row>
    <row r="5235" spans="1:3" x14ac:dyDescent="0.25">
      <c r="A5235">
        <v>245</v>
      </c>
      <c r="B5235">
        <v>228</v>
      </c>
      <c r="C5235">
        <v>2</v>
      </c>
    </row>
    <row r="5236" spans="1:3" x14ac:dyDescent="0.25">
      <c r="A5236">
        <v>258</v>
      </c>
      <c r="B5236">
        <v>228</v>
      </c>
      <c r="C5236">
        <v>2</v>
      </c>
    </row>
    <row r="5237" spans="1:3" x14ac:dyDescent="0.25">
      <c r="A5237">
        <v>278</v>
      </c>
      <c r="B5237">
        <v>228</v>
      </c>
      <c r="C5237">
        <v>1</v>
      </c>
    </row>
    <row r="5238" spans="1:3" x14ac:dyDescent="0.25">
      <c r="A5238">
        <v>4</v>
      </c>
      <c r="B5238">
        <v>229</v>
      </c>
      <c r="C5238">
        <v>2</v>
      </c>
    </row>
    <row r="5239" spans="1:3" x14ac:dyDescent="0.25">
      <c r="A5239">
        <v>11</v>
      </c>
      <c r="B5239">
        <v>229</v>
      </c>
      <c r="C5239">
        <v>2</v>
      </c>
    </row>
    <row r="5240" spans="1:3" x14ac:dyDescent="0.25">
      <c r="A5240">
        <v>13</v>
      </c>
      <c r="B5240">
        <v>229</v>
      </c>
      <c r="C5240">
        <v>2</v>
      </c>
    </row>
    <row r="5241" spans="1:3" x14ac:dyDescent="0.25">
      <c r="A5241">
        <v>31</v>
      </c>
      <c r="B5241">
        <v>229</v>
      </c>
      <c r="C5241">
        <v>2</v>
      </c>
    </row>
    <row r="5242" spans="1:3" x14ac:dyDescent="0.25">
      <c r="A5242">
        <v>65</v>
      </c>
      <c r="B5242">
        <v>229</v>
      </c>
      <c r="C5242">
        <v>2</v>
      </c>
    </row>
    <row r="5243" spans="1:3" x14ac:dyDescent="0.25">
      <c r="A5243">
        <v>86</v>
      </c>
      <c r="B5243">
        <v>229</v>
      </c>
      <c r="C5243">
        <v>4</v>
      </c>
    </row>
    <row r="5244" spans="1:3" x14ac:dyDescent="0.25">
      <c r="A5244">
        <v>96</v>
      </c>
      <c r="B5244">
        <v>229</v>
      </c>
      <c r="C5244">
        <v>1</v>
      </c>
    </row>
    <row r="5245" spans="1:3" x14ac:dyDescent="0.25">
      <c r="A5245">
        <v>117</v>
      </c>
      <c r="B5245">
        <v>229</v>
      </c>
      <c r="C5245">
        <v>4</v>
      </c>
    </row>
    <row r="5246" spans="1:3" x14ac:dyDescent="0.25">
      <c r="A5246">
        <v>145</v>
      </c>
      <c r="B5246">
        <v>229</v>
      </c>
      <c r="C5246">
        <v>3</v>
      </c>
    </row>
    <row r="5247" spans="1:3" x14ac:dyDescent="0.25">
      <c r="A5247">
        <v>155</v>
      </c>
      <c r="B5247">
        <v>229</v>
      </c>
      <c r="C5247">
        <v>4</v>
      </c>
    </row>
    <row r="5248" spans="1:3" x14ac:dyDescent="0.25">
      <c r="A5248">
        <v>182</v>
      </c>
      <c r="B5248">
        <v>229</v>
      </c>
      <c r="C5248">
        <v>5</v>
      </c>
    </row>
    <row r="5249" spans="1:3" x14ac:dyDescent="0.25">
      <c r="A5249">
        <v>194</v>
      </c>
      <c r="B5249">
        <v>229</v>
      </c>
      <c r="C5249">
        <v>4</v>
      </c>
    </row>
    <row r="5250" spans="1:3" x14ac:dyDescent="0.25">
      <c r="A5250">
        <v>203</v>
      </c>
      <c r="B5250">
        <v>229</v>
      </c>
      <c r="C5250">
        <v>2</v>
      </c>
    </row>
    <row r="5251" spans="1:3" x14ac:dyDescent="0.25">
      <c r="A5251">
        <v>260</v>
      </c>
      <c r="B5251">
        <v>229</v>
      </c>
      <c r="C5251">
        <v>4</v>
      </c>
    </row>
    <row r="5252" spans="1:3" x14ac:dyDescent="0.25">
      <c r="A5252">
        <v>10</v>
      </c>
      <c r="B5252">
        <v>230</v>
      </c>
      <c r="C5252">
        <v>4</v>
      </c>
    </row>
    <row r="5253" spans="1:3" x14ac:dyDescent="0.25">
      <c r="A5253">
        <v>14</v>
      </c>
      <c r="B5253">
        <v>230</v>
      </c>
      <c r="C5253">
        <v>5</v>
      </c>
    </row>
    <row r="5254" spans="1:3" x14ac:dyDescent="0.25">
      <c r="A5254">
        <v>34</v>
      </c>
      <c r="B5254">
        <v>230</v>
      </c>
      <c r="C5254">
        <v>4</v>
      </c>
    </row>
    <row r="5255" spans="1:3" x14ac:dyDescent="0.25">
      <c r="A5255">
        <v>34</v>
      </c>
      <c r="B5255">
        <v>230</v>
      </c>
      <c r="C5255">
        <v>4</v>
      </c>
    </row>
    <row r="5256" spans="1:3" x14ac:dyDescent="0.25">
      <c r="A5256">
        <v>36</v>
      </c>
      <c r="B5256">
        <v>230</v>
      </c>
      <c r="C5256">
        <v>5</v>
      </c>
    </row>
    <row r="5257" spans="1:3" x14ac:dyDescent="0.25">
      <c r="A5257">
        <v>74</v>
      </c>
      <c r="B5257">
        <v>230</v>
      </c>
      <c r="C5257">
        <v>1</v>
      </c>
    </row>
    <row r="5258" spans="1:3" x14ac:dyDescent="0.25">
      <c r="A5258">
        <v>105</v>
      </c>
      <c r="B5258">
        <v>230</v>
      </c>
      <c r="C5258">
        <v>5</v>
      </c>
    </row>
    <row r="5259" spans="1:3" x14ac:dyDescent="0.25">
      <c r="A5259">
        <v>107</v>
      </c>
      <c r="B5259">
        <v>230</v>
      </c>
      <c r="C5259">
        <v>3</v>
      </c>
    </row>
    <row r="5260" spans="1:3" x14ac:dyDescent="0.25">
      <c r="A5260">
        <v>117</v>
      </c>
      <c r="B5260">
        <v>230</v>
      </c>
      <c r="C5260">
        <v>3</v>
      </c>
    </row>
    <row r="5261" spans="1:3" x14ac:dyDescent="0.25">
      <c r="A5261">
        <v>122</v>
      </c>
      <c r="B5261">
        <v>230</v>
      </c>
      <c r="C5261">
        <v>2</v>
      </c>
    </row>
    <row r="5262" spans="1:3" x14ac:dyDescent="0.25">
      <c r="A5262">
        <v>130</v>
      </c>
      <c r="B5262">
        <v>230</v>
      </c>
      <c r="C5262">
        <v>5</v>
      </c>
    </row>
    <row r="5263" spans="1:3" x14ac:dyDescent="0.25">
      <c r="A5263">
        <v>160</v>
      </c>
      <c r="B5263">
        <v>230</v>
      </c>
      <c r="C5263">
        <v>5</v>
      </c>
    </row>
    <row r="5264" spans="1:3" x14ac:dyDescent="0.25">
      <c r="A5264">
        <v>170</v>
      </c>
      <c r="B5264">
        <v>230</v>
      </c>
      <c r="C5264">
        <v>5</v>
      </c>
    </row>
    <row r="5265" spans="1:3" x14ac:dyDescent="0.25">
      <c r="A5265">
        <v>170</v>
      </c>
      <c r="B5265">
        <v>230</v>
      </c>
      <c r="C5265">
        <v>4</v>
      </c>
    </row>
    <row r="5266" spans="1:3" x14ac:dyDescent="0.25">
      <c r="A5266">
        <v>215</v>
      </c>
      <c r="B5266">
        <v>230</v>
      </c>
      <c r="C5266">
        <v>2</v>
      </c>
    </row>
    <row r="5267" spans="1:3" x14ac:dyDescent="0.25">
      <c r="A5267">
        <v>237</v>
      </c>
      <c r="B5267">
        <v>230</v>
      </c>
      <c r="C5267">
        <v>3</v>
      </c>
    </row>
    <row r="5268" spans="1:3" x14ac:dyDescent="0.25">
      <c r="A5268">
        <v>273</v>
      </c>
      <c r="B5268">
        <v>230</v>
      </c>
      <c r="C5268">
        <v>2</v>
      </c>
    </row>
    <row r="5269" spans="1:3" x14ac:dyDescent="0.25">
      <c r="A5269">
        <v>31</v>
      </c>
      <c r="B5269">
        <v>231</v>
      </c>
      <c r="C5269">
        <v>5</v>
      </c>
    </row>
    <row r="5270" spans="1:3" x14ac:dyDescent="0.25">
      <c r="A5270">
        <v>58</v>
      </c>
      <c r="B5270">
        <v>231</v>
      </c>
      <c r="C5270">
        <v>4</v>
      </c>
    </row>
    <row r="5271" spans="1:3" x14ac:dyDescent="0.25">
      <c r="A5271">
        <v>68</v>
      </c>
      <c r="B5271">
        <v>231</v>
      </c>
      <c r="C5271">
        <v>5</v>
      </c>
    </row>
    <row r="5272" spans="1:3" x14ac:dyDescent="0.25">
      <c r="A5272">
        <v>70</v>
      </c>
      <c r="B5272">
        <v>231</v>
      </c>
      <c r="C5272">
        <v>1</v>
      </c>
    </row>
    <row r="5273" spans="1:3" x14ac:dyDescent="0.25">
      <c r="A5273">
        <v>86</v>
      </c>
      <c r="B5273">
        <v>231</v>
      </c>
      <c r="C5273">
        <v>3</v>
      </c>
    </row>
    <row r="5274" spans="1:3" x14ac:dyDescent="0.25">
      <c r="A5274">
        <v>102</v>
      </c>
      <c r="B5274">
        <v>231</v>
      </c>
      <c r="C5274">
        <v>3</v>
      </c>
    </row>
    <row r="5275" spans="1:3" x14ac:dyDescent="0.25">
      <c r="A5275">
        <v>107</v>
      </c>
      <c r="B5275">
        <v>231</v>
      </c>
      <c r="C5275">
        <v>2</v>
      </c>
    </row>
    <row r="5276" spans="1:3" x14ac:dyDescent="0.25">
      <c r="A5276">
        <v>113</v>
      </c>
      <c r="B5276">
        <v>231</v>
      </c>
      <c r="C5276">
        <v>1</v>
      </c>
    </row>
    <row r="5277" spans="1:3" x14ac:dyDescent="0.25">
      <c r="A5277">
        <v>124</v>
      </c>
      <c r="B5277">
        <v>231</v>
      </c>
      <c r="C5277">
        <v>4</v>
      </c>
    </row>
    <row r="5278" spans="1:3" x14ac:dyDescent="0.25">
      <c r="A5278">
        <v>130</v>
      </c>
      <c r="B5278">
        <v>231</v>
      </c>
      <c r="C5278">
        <v>1</v>
      </c>
    </row>
    <row r="5279" spans="1:3" x14ac:dyDescent="0.25">
      <c r="A5279">
        <v>135</v>
      </c>
      <c r="B5279">
        <v>231</v>
      </c>
      <c r="C5279">
        <v>3</v>
      </c>
    </row>
    <row r="5280" spans="1:3" x14ac:dyDescent="0.25">
      <c r="A5280">
        <v>154</v>
      </c>
      <c r="B5280">
        <v>231</v>
      </c>
      <c r="C5280">
        <v>2</v>
      </c>
    </row>
    <row r="5281" spans="1:3" x14ac:dyDescent="0.25">
      <c r="A5281">
        <v>164</v>
      </c>
      <c r="B5281">
        <v>231</v>
      </c>
      <c r="C5281">
        <v>5</v>
      </c>
    </row>
    <row r="5282" spans="1:3" x14ac:dyDescent="0.25">
      <c r="A5282">
        <v>173</v>
      </c>
      <c r="B5282">
        <v>231</v>
      </c>
      <c r="C5282">
        <v>4</v>
      </c>
    </row>
    <row r="5283" spans="1:3" x14ac:dyDescent="0.25">
      <c r="A5283">
        <v>178</v>
      </c>
      <c r="B5283">
        <v>231</v>
      </c>
      <c r="C5283">
        <v>1</v>
      </c>
    </row>
    <row r="5284" spans="1:3" x14ac:dyDescent="0.25">
      <c r="A5284">
        <v>210</v>
      </c>
      <c r="B5284">
        <v>231</v>
      </c>
      <c r="C5284">
        <v>4</v>
      </c>
    </row>
    <row r="5285" spans="1:3" x14ac:dyDescent="0.25">
      <c r="A5285">
        <v>212</v>
      </c>
      <c r="B5285">
        <v>231</v>
      </c>
      <c r="C5285">
        <v>4</v>
      </c>
    </row>
    <row r="5286" spans="1:3" x14ac:dyDescent="0.25">
      <c r="A5286">
        <v>223</v>
      </c>
      <c r="B5286">
        <v>231</v>
      </c>
      <c r="C5286">
        <v>3</v>
      </c>
    </row>
    <row r="5287" spans="1:3" x14ac:dyDescent="0.25">
      <c r="A5287">
        <v>230</v>
      </c>
      <c r="B5287">
        <v>231</v>
      </c>
      <c r="C5287">
        <v>3</v>
      </c>
    </row>
    <row r="5288" spans="1:3" x14ac:dyDescent="0.25">
      <c r="A5288">
        <v>247</v>
      </c>
      <c r="B5288">
        <v>231</v>
      </c>
      <c r="C5288">
        <v>3</v>
      </c>
    </row>
    <row r="5289" spans="1:3" x14ac:dyDescent="0.25">
      <c r="A5289">
        <v>260</v>
      </c>
      <c r="B5289">
        <v>231</v>
      </c>
      <c r="C5289">
        <v>4</v>
      </c>
    </row>
    <row r="5290" spans="1:3" x14ac:dyDescent="0.25">
      <c r="A5290">
        <v>290</v>
      </c>
      <c r="B5290">
        <v>231</v>
      </c>
      <c r="C5290">
        <v>4</v>
      </c>
    </row>
    <row r="5291" spans="1:3" x14ac:dyDescent="0.25">
      <c r="A5291">
        <v>45</v>
      </c>
      <c r="B5291">
        <v>232</v>
      </c>
      <c r="C5291">
        <v>3</v>
      </c>
    </row>
    <row r="5292" spans="1:3" x14ac:dyDescent="0.25">
      <c r="A5292">
        <v>54</v>
      </c>
      <c r="B5292">
        <v>232</v>
      </c>
      <c r="C5292">
        <v>4</v>
      </c>
    </row>
    <row r="5293" spans="1:3" x14ac:dyDescent="0.25">
      <c r="A5293">
        <v>78</v>
      </c>
      <c r="B5293">
        <v>232</v>
      </c>
      <c r="C5293">
        <v>3</v>
      </c>
    </row>
    <row r="5294" spans="1:3" x14ac:dyDescent="0.25">
      <c r="A5294">
        <v>87</v>
      </c>
      <c r="B5294">
        <v>232</v>
      </c>
      <c r="C5294">
        <v>4</v>
      </c>
    </row>
    <row r="5295" spans="1:3" x14ac:dyDescent="0.25">
      <c r="A5295">
        <v>91</v>
      </c>
      <c r="B5295">
        <v>232</v>
      </c>
      <c r="C5295">
        <v>1</v>
      </c>
    </row>
    <row r="5296" spans="1:3" x14ac:dyDescent="0.25">
      <c r="A5296">
        <v>93</v>
      </c>
      <c r="B5296">
        <v>232</v>
      </c>
      <c r="C5296">
        <v>4</v>
      </c>
    </row>
    <row r="5297" spans="1:3" x14ac:dyDescent="0.25">
      <c r="A5297">
        <v>97</v>
      </c>
      <c r="B5297">
        <v>232</v>
      </c>
      <c r="C5297">
        <v>4</v>
      </c>
    </row>
    <row r="5298" spans="1:3" x14ac:dyDescent="0.25">
      <c r="A5298">
        <v>99</v>
      </c>
      <c r="B5298">
        <v>232</v>
      </c>
      <c r="C5298">
        <v>4</v>
      </c>
    </row>
    <row r="5299" spans="1:3" x14ac:dyDescent="0.25">
      <c r="A5299">
        <v>123</v>
      </c>
      <c r="B5299">
        <v>232</v>
      </c>
      <c r="C5299">
        <v>2</v>
      </c>
    </row>
    <row r="5300" spans="1:3" x14ac:dyDescent="0.25">
      <c r="A5300">
        <v>134</v>
      </c>
      <c r="B5300">
        <v>232</v>
      </c>
      <c r="C5300">
        <v>1</v>
      </c>
    </row>
    <row r="5301" spans="1:3" x14ac:dyDescent="0.25">
      <c r="A5301">
        <v>143</v>
      </c>
      <c r="B5301">
        <v>232</v>
      </c>
      <c r="C5301">
        <v>4</v>
      </c>
    </row>
    <row r="5302" spans="1:3" x14ac:dyDescent="0.25">
      <c r="A5302">
        <v>149</v>
      </c>
      <c r="B5302">
        <v>232</v>
      </c>
      <c r="C5302">
        <v>1</v>
      </c>
    </row>
    <row r="5303" spans="1:3" x14ac:dyDescent="0.25">
      <c r="A5303">
        <v>167</v>
      </c>
      <c r="B5303">
        <v>232</v>
      </c>
      <c r="C5303">
        <v>5</v>
      </c>
    </row>
    <row r="5304" spans="1:3" x14ac:dyDescent="0.25">
      <c r="A5304">
        <v>168</v>
      </c>
      <c r="B5304">
        <v>232</v>
      </c>
      <c r="C5304">
        <v>3</v>
      </c>
    </row>
    <row r="5305" spans="1:3" x14ac:dyDescent="0.25">
      <c r="A5305">
        <v>188</v>
      </c>
      <c r="B5305">
        <v>232</v>
      </c>
      <c r="C5305">
        <v>5</v>
      </c>
    </row>
    <row r="5306" spans="1:3" x14ac:dyDescent="0.25">
      <c r="A5306">
        <v>235</v>
      </c>
      <c r="B5306">
        <v>232</v>
      </c>
      <c r="C5306">
        <v>5</v>
      </c>
    </row>
    <row r="5307" spans="1:3" x14ac:dyDescent="0.25">
      <c r="A5307">
        <v>235</v>
      </c>
      <c r="B5307">
        <v>232</v>
      </c>
      <c r="C5307">
        <v>5</v>
      </c>
    </row>
    <row r="5308" spans="1:3" x14ac:dyDescent="0.25">
      <c r="A5308">
        <v>249</v>
      </c>
      <c r="B5308">
        <v>232</v>
      </c>
      <c r="C5308">
        <v>2</v>
      </c>
    </row>
    <row r="5309" spans="1:3" x14ac:dyDescent="0.25">
      <c r="A5309">
        <v>253</v>
      </c>
      <c r="B5309">
        <v>232</v>
      </c>
      <c r="C5309">
        <v>5</v>
      </c>
    </row>
    <row r="5310" spans="1:3" x14ac:dyDescent="0.25">
      <c r="A5310">
        <v>263</v>
      </c>
      <c r="B5310">
        <v>232</v>
      </c>
      <c r="C5310">
        <v>5</v>
      </c>
    </row>
    <row r="5311" spans="1:3" x14ac:dyDescent="0.25">
      <c r="A5311">
        <v>263</v>
      </c>
      <c r="B5311">
        <v>232</v>
      </c>
      <c r="C5311">
        <v>5</v>
      </c>
    </row>
    <row r="5312" spans="1:3" x14ac:dyDescent="0.25">
      <c r="A5312">
        <v>281</v>
      </c>
      <c r="B5312">
        <v>232</v>
      </c>
      <c r="C5312">
        <v>3</v>
      </c>
    </row>
    <row r="5313" spans="1:3" x14ac:dyDescent="0.25">
      <c r="A5313">
        <v>287</v>
      </c>
      <c r="B5313">
        <v>232</v>
      </c>
      <c r="C5313">
        <v>3</v>
      </c>
    </row>
    <row r="5314" spans="1:3" x14ac:dyDescent="0.25">
      <c r="A5314">
        <v>9</v>
      </c>
      <c r="B5314">
        <v>233</v>
      </c>
      <c r="C5314">
        <v>4</v>
      </c>
    </row>
    <row r="5315" spans="1:3" x14ac:dyDescent="0.25">
      <c r="A5315">
        <v>9</v>
      </c>
      <c r="B5315">
        <v>233</v>
      </c>
      <c r="C5315">
        <v>5</v>
      </c>
    </row>
    <row r="5316" spans="1:3" x14ac:dyDescent="0.25">
      <c r="A5316">
        <v>14</v>
      </c>
      <c r="B5316">
        <v>233</v>
      </c>
      <c r="C5316">
        <v>3</v>
      </c>
    </row>
    <row r="5317" spans="1:3" x14ac:dyDescent="0.25">
      <c r="A5317">
        <v>21</v>
      </c>
      <c r="B5317">
        <v>233</v>
      </c>
      <c r="C5317">
        <v>4</v>
      </c>
    </row>
    <row r="5318" spans="1:3" x14ac:dyDescent="0.25">
      <c r="A5318">
        <v>49</v>
      </c>
      <c r="B5318">
        <v>233</v>
      </c>
      <c r="C5318">
        <v>2</v>
      </c>
    </row>
    <row r="5319" spans="1:3" x14ac:dyDescent="0.25">
      <c r="A5319">
        <v>72</v>
      </c>
      <c r="B5319">
        <v>233</v>
      </c>
      <c r="C5319">
        <v>3</v>
      </c>
    </row>
    <row r="5320" spans="1:3" x14ac:dyDescent="0.25">
      <c r="A5320">
        <v>89</v>
      </c>
      <c r="B5320">
        <v>233</v>
      </c>
      <c r="C5320">
        <v>3</v>
      </c>
    </row>
    <row r="5321" spans="1:3" x14ac:dyDescent="0.25">
      <c r="A5321">
        <v>106</v>
      </c>
      <c r="B5321">
        <v>233</v>
      </c>
      <c r="C5321">
        <v>2</v>
      </c>
    </row>
    <row r="5322" spans="1:3" x14ac:dyDescent="0.25">
      <c r="A5322">
        <v>107</v>
      </c>
      <c r="B5322">
        <v>233</v>
      </c>
      <c r="C5322">
        <v>5</v>
      </c>
    </row>
    <row r="5323" spans="1:3" x14ac:dyDescent="0.25">
      <c r="A5323">
        <v>108</v>
      </c>
      <c r="B5323">
        <v>233</v>
      </c>
      <c r="C5323">
        <v>1</v>
      </c>
    </row>
    <row r="5324" spans="1:3" x14ac:dyDescent="0.25">
      <c r="A5324">
        <v>110</v>
      </c>
      <c r="B5324">
        <v>233</v>
      </c>
      <c r="C5324">
        <v>2</v>
      </c>
    </row>
    <row r="5325" spans="1:3" x14ac:dyDescent="0.25">
      <c r="A5325">
        <v>111</v>
      </c>
      <c r="B5325">
        <v>233</v>
      </c>
      <c r="C5325">
        <v>1</v>
      </c>
    </row>
    <row r="5326" spans="1:3" x14ac:dyDescent="0.25">
      <c r="A5326">
        <v>123</v>
      </c>
      <c r="B5326">
        <v>233</v>
      </c>
      <c r="C5326">
        <v>4</v>
      </c>
    </row>
    <row r="5327" spans="1:3" x14ac:dyDescent="0.25">
      <c r="A5327">
        <v>126</v>
      </c>
      <c r="B5327">
        <v>233</v>
      </c>
      <c r="C5327">
        <v>4</v>
      </c>
    </row>
    <row r="5328" spans="1:3" x14ac:dyDescent="0.25">
      <c r="A5328">
        <v>128</v>
      </c>
      <c r="B5328">
        <v>233</v>
      </c>
      <c r="C5328">
        <v>4</v>
      </c>
    </row>
    <row r="5329" spans="1:3" x14ac:dyDescent="0.25">
      <c r="A5329">
        <v>149</v>
      </c>
      <c r="B5329">
        <v>233</v>
      </c>
      <c r="C5329">
        <v>2</v>
      </c>
    </row>
    <row r="5330" spans="1:3" x14ac:dyDescent="0.25">
      <c r="A5330">
        <v>152</v>
      </c>
      <c r="B5330">
        <v>233</v>
      </c>
      <c r="C5330">
        <v>2</v>
      </c>
    </row>
    <row r="5331" spans="1:3" x14ac:dyDescent="0.25">
      <c r="A5331">
        <v>155</v>
      </c>
      <c r="B5331">
        <v>233</v>
      </c>
      <c r="C5331">
        <v>3</v>
      </c>
    </row>
    <row r="5332" spans="1:3" x14ac:dyDescent="0.25">
      <c r="A5332">
        <v>158</v>
      </c>
      <c r="B5332">
        <v>233</v>
      </c>
      <c r="C5332">
        <v>2</v>
      </c>
    </row>
    <row r="5333" spans="1:3" x14ac:dyDescent="0.25">
      <c r="A5333">
        <v>158</v>
      </c>
      <c r="B5333">
        <v>233</v>
      </c>
      <c r="C5333">
        <v>3</v>
      </c>
    </row>
    <row r="5334" spans="1:3" x14ac:dyDescent="0.25">
      <c r="A5334">
        <v>161</v>
      </c>
      <c r="B5334">
        <v>233</v>
      </c>
      <c r="C5334">
        <v>2</v>
      </c>
    </row>
    <row r="5335" spans="1:3" x14ac:dyDescent="0.25">
      <c r="A5335">
        <v>171</v>
      </c>
      <c r="B5335">
        <v>233</v>
      </c>
      <c r="C5335">
        <v>3</v>
      </c>
    </row>
    <row r="5336" spans="1:3" x14ac:dyDescent="0.25">
      <c r="A5336">
        <v>178</v>
      </c>
      <c r="B5336">
        <v>233</v>
      </c>
      <c r="C5336">
        <v>2</v>
      </c>
    </row>
    <row r="5337" spans="1:3" x14ac:dyDescent="0.25">
      <c r="A5337">
        <v>196</v>
      </c>
      <c r="B5337">
        <v>233</v>
      </c>
      <c r="C5337">
        <v>2</v>
      </c>
    </row>
    <row r="5338" spans="1:3" x14ac:dyDescent="0.25">
      <c r="A5338">
        <v>204</v>
      </c>
      <c r="B5338">
        <v>233</v>
      </c>
      <c r="C5338">
        <v>4</v>
      </c>
    </row>
    <row r="5339" spans="1:3" x14ac:dyDescent="0.25">
      <c r="A5339">
        <v>205</v>
      </c>
      <c r="B5339">
        <v>233</v>
      </c>
      <c r="C5339">
        <v>4</v>
      </c>
    </row>
    <row r="5340" spans="1:3" x14ac:dyDescent="0.25">
      <c r="A5340">
        <v>223</v>
      </c>
      <c r="B5340">
        <v>233</v>
      </c>
      <c r="C5340">
        <v>5</v>
      </c>
    </row>
    <row r="5341" spans="1:3" x14ac:dyDescent="0.25">
      <c r="A5341">
        <v>226</v>
      </c>
      <c r="B5341">
        <v>233</v>
      </c>
      <c r="C5341">
        <v>4</v>
      </c>
    </row>
    <row r="5342" spans="1:3" x14ac:dyDescent="0.25">
      <c r="A5342">
        <v>230</v>
      </c>
      <c r="B5342">
        <v>233</v>
      </c>
      <c r="C5342">
        <v>4</v>
      </c>
    </row>
    <row r="5343" spans="1:3" x14ac:dyDescent="0.25">
      <c r="A5343">
        <v>250</v>
      </c>
      <c r="B5343">
        <v>233</v>
      </c>
      <c r="C5343">
        <v>5</v>
      </c>
    </row>
    <row r="5344" spans="1:3" x14ac:dyDescent="0.25">
      <c r="A5344">
        <v>292</v>
      </c>
      <c r="B5344">
        <v>233</v>
      </c>
      <c r="C5344">
        <v>2</v>
      </c>
    </row>
    <row r="5345" spans="1:3" x14ac:dyDescent="0.25">
      <c r="A5345">
        <v>10</v>
      </c>
      <c r="B5345">
        <v>234</v>
      </c>
      <c r="C5345">
        <v>3</v>
      </c>
    </row>
    <row r="5346" spans="1:3" x14ac:dyDescent="0.25">
      <c r="A5346">
        <v>43</v>
      </c>
      <c r="B5346">
        <v>234</v>
      </c>
      <c r="C5346">
        <v>4</v>
      </c>
    </row>
    <row r="5347" spans="1:3" x14ac:dyDescent="0.25">
      <c r="A5347">
        <v>60</v>
      </c>
      <c r="B5347">
        <v>234</v>
      </c>
      <c r="C5347">
        <v>3</v>
      </c>
    </row>
    <row r="5348" spans="1:3" x14ac:dyDescent="0.25">
      <c r="A5348">
        <v>64</v>
      </c>
      <c r="B5348">
        <v>234</v>
      </c>
      <c r="C5348">
        <v>1</v>
      </c>
    </row>
    <row r="5349" spans="1:3" x14ac:dyDescent="0.25">
      <c r="A5349">
        <v>94</v>
      </c>
      <c r="B5349">
        <v>234</v>
      </c>
      <c r="C5349">
        <v>1</v>
      </c>
    </row>
    <row r="5350" spans="1:3" x14ac:dyDescent="0.25">
      <c r="A5350">
        <v>97</v>
      </c>
      <c r="B5350">
        <v>234</v>
      </c>
      <c r="C5350">
        <v>2</v>
      </c>
    </row>
    <row r="5351" spans="1:3" x14ac:dyDescent="0.25">
      <c r="A5351">
        <v>106</v>
      </c>
      <c r="B5351">
        <v>234</v>
      </c>
      <c r="C5351">
        <v>2</v>
      </c>
    </row>
    <row r="5352" spans="1:3" x14ac:dyDescent="0.25">
      <c r="A5352">
        <v>120</v>
      </c>
      <c r="B5352">
        <v>234</v>
      </c>
      <c r="C5352">
        <v>1</v>
      </c>
    </row>
    <row r="5353" spans="1:3" x14ac:dyDescent="0.25">
      <c r="A5353">
        <v>137</v>
      </c>
      <c r="B5353">
        <v>234</v>
      </c>
      <c r="C5353">
        <v>1</v>
      </c>
    </row>
    <row r="5354" spans="1:3" x14ac:dyDescent="0.25">
      <c r="A5354">
        <v>140</v>
      </c>
      <c r="B5354">
        <v>234</v>
      </c>
      <c r="C5354">
        <v>1</v>
      </c>
    </row>
    <row r="5355" spans="1:3" x14ac:dyDescent="0.25">
      <c r="A5355">
        <v>143</v>
      </c>
      <c r="B5355">
        <v>234</v>
      </c>
      <c r="C5355">
        <v>4</v>
      </c>
    </row>
    <row r="5356" spans="1:3" x14ac:dyDescent="0.25">
      <c r="A5356">
        <v>173</v>
      </c>
      <c r="B5356">
        <v>234</v>
      </c>
      <c r="C5356">
        <v>1</v>
      </c>
    </row>
    <row r="5357" spans="1:3" x14ac:dyDescent="0.25">
      <c r="A5357">
        <v>204</v>
      </c>
      <c r="B5357">
        <v>234</v>
      </c>
      <c r="C5357">
        <v>1</v>
      </c>
    </row>
    <row r="5358" spans="1:3" x14ac:dyDescent="0.25">
      <c r="A5358">
        <v>208</v>
      </c>
      <c r="B5358">
        <v>234</v>
      </c>
      <c r="C5358">
        <v>4</v>
      </c>
    </row>
    <row r="5359" spans="1:3" x14ac:dyDescent="0.25">
      <c r="A5359">
        <v>210</v>
      </c>
      <c r="B5359">
        <v>234</v>
      </c>
      <c r="C5359">
        <v>3</v>
      </c>
    </row>
    <row r="5360" spans="1:3" x14ac:dyDescent="0.25">
      <c r="A5360">
        <v>227</v>
      </c>
      <c r="B5360">
        <v>234</v>
      </c>
      <c r="C5360">
        <v>1</v>
      </c>
    </row>
    <row r="5361" spans="1:3" x14ac:dyDescent="0.25">
      <c r="A5361">
        <v>249</v>
      </c>
      <c r="B5361">
        <v>234</v>
      </c>
      <c r="C5361">
        <v>1</v>
      </c>
    </row>
    <row r="5362" spans="1:3" x14ac:dyDescent="0.25">
      <c r="A5362">
        <v>276</v>
      </c>
      <c r="B5362">
        <v>234</v>
      </c>
      <c r="C5362">
        <v>1</v>
      </c>
    </row>
    <row r="5363" spans="1:3" x14ac:dyDescent="0.25">
      <c r="A5363">
        <v>277</v>
      </c>
      <c r="B5363">
        <v>234</v>
      </c>
      <c r="C5363">
        <v>4</v>
      </c>
    </row>
    <row r="5364" spans="1:3" x14ac:dyDescent="0.25">
      <c r="A5364">
        <v>278</v>
      </c>
      <c r="B5364">
        <v>234</v>
      </c>
      <c r="C5364">
        <v>3</v>
      </c>
    </row>
    <row r="5365" spans="1:3" x14ac:dyDescent="0.25">
      <c r="A5365">
        <v>281</v>
      </c>
      <c r="B5365">
        <v>234</v>
      </c>
      <c r="C5365">
        <v>2</v>
      </c>
    </row>
    <row r="5366" spans="1:3" x14ac:dyDescent="0.25">
      <c r="A5366">
        <v>297</v>
      </c>
      <c r="B5366">
        <v>234</v>
      </c>
      <c r="C5366">
        <v>3</v>
      </c>
    </row>
    <row r="5367" spans="1:3" x14ac:dyDescent="0.25">
      <c r="A5367">
        <v>297</v>
      </c>
      <c r="B5367">
        <v>234</v>
      </c>
      <c r="C5367">
        <v>4</v>
      </c>
    </row>
    <row r="5368" spans="1:3" x14ac:dyDescent="0.25">
      <c r="A5368">
        <v>8</v>
      </c>
      <c r="B5368">
        <v>235</v>
      </c>
      <c r="C5368">
        <v>4</v>
      </c>
    </row>
    <row r="5369" spans="1:3" x14ac:dyDescent="0.25">
      <c r="A5369">
        <v>18</v>
      </c>
      <c r="B5369">
        <v>235</v>
      </c>
      <c r="C5369">
        <v>5</v>
      </c>
    </row>
    <row r="5370" spans="1:3" x14ac:dyDescent="0.25">
      <c r="A5370">
        <v>87</v>
      </c>
      <c r="B5370">
        <v>235</v>
      </c>
      <c r="C5370">
        <v>1</v>
      </c>
    </row>
    <row r="5371" spans="1:3" x14ac:dyDescent="0.25">
      <c r="A5371">
        <v>92</v>
      </c>
      <c r="B5371">
        <v>235</v>
      </c>
      <c r="C5371">
        <v>3</v>
      </c>
    </row>
    <row r="5372" spans="1:3" x14ac:dyDescent="0.25">
      <c r="A5372">
        <v>94</v>
      </c>
      <c r="B5372">
        <v>235</v>
      </c>
      <c r="C5372">
        <v>4</v>
      </c>
    </row>
    <row r="5373" spans="1:3" x14ac:dyDescent="0.25">
      <c r="A5373">
        <v>104</v>
      </c>
      <c r="B5373">
        <v>235</v>
      </c>
      <c r="C5373">
        <v>4</v>
      </c>
    </row>
    <row r="5374" spans="1:3" x14ac:dyDescent="0.25">
      <c r="A5374">
        <v>109</v>
      </c>
      <c r="B5374">
        <v>235</v>
      </c>
      <c r="C5374">
        <v>1</v>
      </c>
    </row>
    <row r="5375" spans="1:3" x14ac:dyDescent="0.25">
      <c r="A5375">
        <v>110</v>
      </c>
      <c r="B5375">
        <v>235</v>
      </c>
      <c r="C5375">
        <v>2</v>
      </c>
    </row>
    <row r="5376" spans="1:3" x14ac:dyDescent="0.25">
      <c r="A5376">
        <v>118</v>
      </c>
      <c r="B5376">
        <v>235</v>
      </c>
      <c r="C5376">
        <v>2</v>
      </c>
    </row>
    <row r="5377" spans="1:3" x14ac:dyDescent="0.25">
      <c r="A5377">
        <v>141</v>
      </c>
      <c r="B5377">
        <v>235</v>
      </c>
      <c r="C5377">
        <v>3</v>
      </c>
    </row>
    <row r="5378" spans="1:3" x14ac:dyDescent="0.25">
      <c r="A5378">
        <v>159</v>
      </c>
      <c r="B5378">
        <v>235</v>
      </c>
      <c r="C5378">
        <v>5</v>
      </c>
    </row>
    <row r="5379" spans="1:3" x14ac:dyDescent="0.25">
      <c r="A5379">
        <v>178</v>
      </c>
      <c r="B5379">
        <v>235</v>
      </c>
      <c r="C5379">
        <v>1</v>
      </c>
    </row>
    <row r="5380" spans="1:3" x14ac:dyDescent="0.25">
      <c r="A5380">
        <v>206</v>
      </c>
      <c r="B5380">
        <v>235</v>
      </c>
      <c r="C5380">
        <v>5</v>
      </c>
    </row>
    <row r="5381" spans="1:3" x14ac:dyDescent="0.25">
      <c r="A5381">
        <v>207</v>
      </c>
      <c r="B5381">
        <v>235</v>
      </c>
      <c r="C5381">
        <v>4</v>
      </c>
    </row>
    <row r="5382" spans="1:3" x14ac:dyDescent="0.25">
      <c r="A5382">
        <v>215</v>
      </c>
      <c r="B5382">
        <v>235</v>
      </c>
      <c r="C5382">
        <v>5</v>
      </c>
    </row>
    <row r="5383" spans="1:3" x14ac:dyDescent="0.25">
      <c r="A5383">
        <v>222</v>
      </c>
      <c r="B5383">
        <v>235</v>
      </c>
      <c r="C5383">
        <v>5</v>
      </c>
    </row>
    <row r="5384" spans="1:3" x14ac:dyDescent="0.25">
      <c r="A5384">
        <v>242</v>
      </c>
      <c r="B5384">
        <v>235</v>
      </c>
      <c r="C5384">
        <v>3</v>
      </c>
    </row>
    <row r="5385" spans="1:3" x14ac:dyDescent="0.25">
      <c r="A5385">
        <v>269</v>
      </c>
      <c r="B5385">
        <v>235</v>
      </c>
      <c r="C5385">
        <v>2</v>
      </c>
    </row>
    <row r="5386" spans="1:3" x14ac:dyDescent="0.25">
      <c r="A5386">
        <v>276</v>
      </c>
      <c r="B5386">
        <v>235</v>
      </c>
      <c r="C5386">
        <v>4</v>
      </c>
    </row>
    <row r="5387" spans="1:3" x14ac:dyDescent="0.25">
      <c r="A5387">
        <v>279</v>
      </c>
      <c r="B5387">
        <v>235</v>
      </c>
      <c r="C5387">
        <v>2</v>
      </c>
    </row>
    <row r="5388" spans="1:3" x14ac:dyDescent="0.25">
      <c r="A5388">
        <v>283</v>
      </c>
      <c r="B5388">
        <v>235</v>
      </c>
      <c r="C5388">
        <v>2</v>
      </c>
    </row>
    <row r="5389" spans="1:3" x14ac:dyDescent="0.25">
      <c r="A5389">
        <v>291</v>
      </c>
      <c r="B5389">
        <v>235</v>
      </c>
      <c r="C5389">
        <v>5</v>
      </c>
    </row>
    <row r="5390" spans="1:3" x14ac:dyDescent="0.25">
      <c r="A5390">
        <v>291</v>
      </c>
      <c r="B5390">
        <v>235</v>
      </c>
      <c r="C5390">
        <v>4</v>
      </c>
    </row>
    <row r="5391" spans="1:3" x14ac:dyDescent="0.25">
      <c r="A5391">
        <v>10</v>
      </c>
      <c r="B5391">
        <v>236</v>
      </c>
      <c r="C5391">
        <v>4</v>
      </c>
    </row>
    <row r="5392" spans="1:3" x14ac:dyDescent="0.25">
      <c r="A5392">
        <v>11</v>
      </c>
      <c r="B5392">
        <v>236</v>
      </c>
      <c r="C5392">
        <v>2</v>
      </c>
    </row>
    <row r="5393" spans="1:3" x14ac:dyDescent="0.25">
      <c r="A5393">
        <v>12</v>
      </c>
      <c r="B5393">
        <v>236</v>
      </c>
      <c r="C5393">
        <v>3</v>
      </c>
    </row>
    <row r="5394" spans="1:3" x14ac:dyDescent="0.25">
      <c r="A5394">
        <v>17</v>
      </c>
      <c r="B5394">
        <v>236</v>
      </c>
      <c r="C5394">
        <v>3</v>
      </c>
    </row>
    <row r="5395" spans="1:3" x14ac:dyDescent="0.25">
      <c r="A5395">
        <v>30</v>
      </c>
      <c r="B5395">
        <v>236</v>
      </c>
      <c r="C5395">
        <v>5</v>
      </c>
    </row>
    <row r="5396" spans="1:3" x14ac:dyDescent="0.25">
      <c r="A5396">
        <v>32</v>
      </c>
      <c r="B5396">
        <v>236</v>
      </c>
      <c r="C5396">
        <v>3</v>
      </c>
    </row>
    <row r="5397" spans="1:3" x14ac:dyDescent="0.25">
      <c r="A5397">
        <v>33</v>
      </c>
      <c r="B5397">
        <v>236</v>
      </c>
      <c r="C5397">
        <v>5</v>
      </c>
    </row>
    <row r="5398" spans="1:3" x14ac:dyDescent="0.25">
      <c r="A5398">
        <v>38</v>
      </c>
      <c r="B5398">
        <v>236</v>
      </c>
      <c r="C5398">
        <v>2</v>
      </c>
    </row>
    <row r="5399" spans="1:3" x14ac:dyDescent="0.25">
      <c r="A5399">
        <v>49</v>
      </c>
      <c r="B5399">
        <v>236</v>
      </c>
      <c r="C5399">
        <v>5</v>
      </c>
    </row>
    <row r="5400" spans="1:3" x14ac:dyDescent="0.25">
      <c r="A5400">
        <v>59</v>
      </c>
      <c r="B5400">
        <v>236</v>
      </c>
      <c r="C5400">
        <v>2</v>
      </c>
    </row>
    <row r="5401" spans="1:3" x14ac:dyDescent="0.25">
      <c r="A5401">
        <v>60</v>
      </c>
      <c r="B5401">
        <v>236</v>
      </c>
      <c r="C5401">
        <v>4</v>
      </c>
    </row>
    <row r="5402" spans="1:3" x14ac:dyDescent="0.25">
      <c r="A5402">
        <v>63</v>
      </c>
      <c r="B5402">
        <v>236</v>
      </c>
      <c r="C5402">
        <v>1</v>
      </c>
    </row>
    <row r="5403" spans="1:3" x14ac:dyDescent="0.25">
      <c r="A5403">
        <v>67</v>
      </c>
      <c r="B5403">
        <v>236</v>
      </c>
      <c r="C5403">
        <v>5</v>
      </c>
    </row>
    <row r="5404" spans="1:3" x14ac:dyDescent="0.25">
      <c r="A5404">
        <v>82</v>
      </c>
      <c r="B5404">
        <v>236</v>
      </c>
      <c r="C5404">
        <v>4</v>
      </c>
    </row>
    <row r="5405" spans="1:3" x14ac:dyDescent="0.25">
      <c r="A5405">
        <v>85</v>
      </c>
      <c r="B5405">
        <v>236</v>
      </c>
      <c r="C5405">
        <v>1</v>
      </c>
    </row>
    <row r="5406" spans="1:3" x14ac:dyDescent="0.25">
      <c r="A5406">
        <v>88</v>
      </c>
      <c r="B5406">
        <v>236</v>
      </c>
      <c r="C5406">
        <v>1</v>
      </c>
    </row>
    <row r="5407" spans="1:3" x14ac:dyDescent="0.25">
      <c r="A5407">
        <v>105</v>
      </c>
      <c r="B5407">
        <v>236</v>
      </c>
      <c r="C5407">
        <v>1</v>
      </c>
    </row>
    <row r="5408" spans="1:3" x14ac:dyDescent="0.25">
      <c r="A5408">
        <v>157</v>
      </c>
      <c r="B5408">
        <v>236</v>
      </c>
      <c r="C5408">
        <v>4</v>
      </c>
    </row>
    <row r="5409" spans="1:3" x14ac:dyDescent="0.25">
      <c r="A5409">
        <v>181</v>
      </c>
      <c r="B5409">
        <v>236</v>
      </c>
      <c r="C5409">
        <v>5</v>
      </c>
    </row>
    <row r="5410" spans="1:3" x14ac:dyDescent="0.25">
      <c r="A5410">
        <v>201</v>
      </c>
      <c r="B5410">
        <v>236</v>
      </c>
      <c r="C5410">
        <v>5</v>
      </c>
    </row>
    <row r="5411" spans="1:3" x14ac:dyDescent="0.25">
      <c r="A5411">
        <v>205</v>
      </c>
      <c r="B5411">
        <v>236</v>
      </c>
      <c r="C5411">
        <v>5</v>
      </c>
    </row>
    <row r="5412" spans="1:3" x14ac:dyDescent="0.25">
      <c r="A5412">
        <v>217</v>
      </c>
      <c r="B5412">
        <v>236</v>
      </c>
      <c r="C5412">
        <v>2</v>
      </c>
    </row>
    <row r="5413" spans="1:3" x14ac:dyDescent="0.25">
      <c r="A5413">
        <v>224</v>
      </c>
      <c r="B5413">
        <v>236</v>
      </c>
      <c r="C5413">
        <v>3</v>
      </c>
    </row>
    <row r="5414" spans="1:3" x14ac:dyDescent="0.25">
      <c r="A5414">
        <v>225</v>
      </c>
      <c r="B5414">
        <v>236</v>
      </c>
      <c r="C5414">
        <v>2</v>
      </c>
    </row>
    <row r="5415" spans="1:3" x14ac:dyDescent="0.25">
      <c r="A5415">
        <v>263</v>
      </c>
      <c r="B5415">
        <v>236</v>
      </c>
      <c r="C5415">
        <v>5</v>
      </c>
    </row>
    <row r="5416" spans="1:3" x14ac:dyDescent="0.25">
      <c r="A5416">
        <v>263</v>
      </c>
      <c r="B5416">
        <v>236</v>
      </c>
      <c r="C5416">
        <v>1</v>
      </c>
    </row>
    <row r="5417" spans="1:3" x14ac:dyDescent="0.25">
      <c r="A5417">
        <v>267</v>
      </c>
      <c r="B5417">
        <v>236</v>
      </c>
      <c r="C5417">
        <v>5</v>
      </c>
    </row>
    <row r="5418" spans="1:3" x14ac:dyDescent="0.25">
      <c r="A5418">
        <v>289</v>
      </c>
      <c r="B5418">
        <v>236</v>
      </c>
      <c r="C5418">
        <v>2</v>
      </c>
    </row>
    <row r="5419" spans="1:3" x14ac:dyDescent="0.25">
      <c r="A5419">
        <v>290</v>
      </c>
      <c r="B5419">
        <v>236</v>
      </c>
      <c r="C5419">
        <v>2</v>
      </c>
    </row>
    <row r="5420" spans="1:3" x14ac:dyDescent="0.25">
      <c r="A5420">
        <v>298</v>
      </c>
      <c r="B5420">
        <v>236</v>
      </c>
      <c r="C5420">
        <v>4</v>
      </c>
    </row>
    <row r="5421" spans="1:3" x14ac:dyDescent="0.25">
      <c r="A5421">
        <v>3</v>
      </c>
      <c r="B5421">
        <v>237</v>
      </c>
      <c r="C5421">
        <v>3</v>
      </c>
    </row>
    <row r="5422" spans="1:3" x14ac:dyDescent="0.25">
      <c r="A5422">
        <v>7</v>
      </c>
      <c r="B5422">
        <v>237</v>
      </c>
      <c r="C5422">
        <v>5</v>
      </c>
    </row>
    <row r="5423" spans="1:3" x14ac:dyDescent="0.25">
      <c r="A5423">
        <v>16</v>
      </c>
      <c r="B5423">
        <v>237</v>
      </c>
      <c r="C5423">
        <v>4</v>
      </c>
    </row>
    <row r="5424" spans="1:3" x14ac:dyDescent="0.25">
      <c r="A5424">
        <v>17</v>
      </c>
      <c r="B5424">
        <v>237</v>
      </c>
      <c r="C5424">
        <v>3</v>
      </c>
    </row>
    <row r="5425" spans="1:3" x14ac:dyDescent="0.25">
      <c r="A5425">
        <v>30</v>
      </c>
      <c r="B5425">
        <v>237</v>
      </c>
      <c r="C5425">
        <v>2</v>
      </c>
    </row>
    <row r="5426" spans="1:3" x14ac:dyDescent="0.25">
      <c r="A5426">
        <v>38</v>
      </c>
      <c r="B5426">
        <v>237</v>
      </c>
      <c r="C5426">
        <v>4</v>
      </c>
    </row>
    <row r="5427" spans="1:3" x14ac:dyDescent="0.25">
      <c r="A5427">
        <v>92</v>
      </c>
      <c r="B5427">
        <v>237</v>
      </c>
      <c r="C5427">
        <v>5</v>
      </c>
    </row>
    <row r="5428" spans="1:3" x14ac:dyDescent="0.25">
      <c r="A5428">
        <v>113</v>
      </c>
      <c r="B5428">
        <v>237</v>
      </c>
      <c r="C5428">
        <v>2</v>
      </c>
    </row>
    <row r="5429" spans="1:3" x14ac:dyDescent="0.25">
      <c r="A5429">
        <v>117</v>
      </c>
      <c r="B5429">
        <v>237</v>
      </c>
      <c r="C5429">
        <v>3</v>
      </c>
    </row>
    <row r="5430" spans="1:3" x14ac:dyDescent="0.25">
      <c r="A5430">
        <v>124</v>
      </c>
      <c r="B5430">
        <v>237</v>
      </c>
      <c r="C5430">
        <v>2</v>
      </c>
    </row>
    <row r="5431" spans="1:3" x14ac:dyDescent="0.25">
      <c r="A5431">
        <v>133</v>
      </c>
      <c r="B5431">
        <v>237</v>
      </c>
      <c r="C5431">
        <v>2</v>
      </c>
    </row>
    <row r="5432" spans="1:3" x14ac:dyDescent="0.25">
      <c r="A5432">
        <v>170</v>
      </c>
      <c r="B5432">
        <v>237</v>
      </c>
      <c r="C5432">
        <v>1</v>
      </c>
    </row>
    <row r="5433" spans="1:3" x14ac:dyDescent="0.25">
      <c r="A5433">
        <v>202</v>
      </c>
      <c r="B5433">
        <v>237</v>
      </c>
      <c r="C5433">
        <v>4</v>
      </c>
    </row>
    <row r="5434" spans="1:3" x14ac:dyDescent="0.25">
      <c r="A5434">
        <v>213</v>
      </c>
      <c r="B5434">
        <v>237</v>
      </c>
      <c r="C5434">
        <v>3</v>
      </c>
    </row>
    <row r="5435" spans="1:3" x14ac:dyDescent="0.25">
      <c r="A5435">
        <v>232</v>
      </c>
      <c r="B5435">
        <v>237</v>
      </c>
      <c r="C5435">
        <v>2</v>
      </c>
    </row>
    <row r="5436" spans="1:3" x14ac:dyDescent="0.25">
      <c r="A5436">
        <v>236</v>
      </c>
      <c r="B5436">
        <v>237</v>
      </c>
      <c r="C5436">
        <v>4</v>
      </c>
    </row>
    <row r="5437" spans="1:3" x14ac:dyDescent="0.25">
      <c r="A5437">
        <v>277</v>
      </c>
      <c r="B5437">
        <v>237</v>
      </c>
      <c r="C5437">
        <v>4</v>
      </c>
    </row>
    <row r="5438" spans="1:3" x14ac:dyDescent="0.25">
      <c r="A5438">
        <v>281</v>
      </c>
      <c r="B5438">
        <v>237</v>
      </c>
      <c r="C5438">
        <v>3</v>
      </c>
    </row>
    <row r="5439" spans="1:3" x14ac:dyDescent="0.25">
      <c r="A5439">
        <v>8</v>
      </c>
      <c r="B5439">
        <v>238</v>
      </c>
      <c r="C5439">
        <v>3</v>
      </c>
    </row>
    <row r="5440" spans="1:3" x14ac:dyDescent="0.25">
      <c r="A5440">
        <v>31</v>
      </c>
      <c r="B5440">
        <v>238</v>
      </c>
      <c r="C5440">
        <v>4</v>
      </c>
    </row>
    <row r="5441" spans="1:3" x14ac:dyDescent="0.25">
      <c r="A5441">
        <v>46</v>
      </c>
      <c r="B5441">
        <v>238</v>
      </c>
      <c r="C5441">
        <v>5</v>
      </c>
    </row>
    <row r="5442" spans="1:3" x14ac:dyDescent="0.25">
      <c r="A5442">
        <v>81</v>
      </c>
      <c r="B5442">
        <v>238</v>
      </c>
      <c r="C5442">
        <v>2</v>
      </c>
    </row>
    <row r="5443" spans="1:3" x14ac:dyDescent="0.25">
      <c r="A5443">
        <v>96</v>
      </c>
      <c r="B5443">
        <v>238</v>
      </c>
      <c r="C5443">
        <v>2</v>
      </c>
    </row>
    <row r="5444" spans="1:3" x14ac:dyDescent="0.25">
      <c r="A5444">
        <v>106</v>
      </c>
      <c r="B5444">
        <v>238</v>
      </c>
      <c r="C5444">
        <v>2</v>
      </c>
    </row>
    <row r="5445" spans="1:3" x14ac:dyDescent="0.25">
      <c r="A5445">
        <v>151</v>
      </c>
      <c r="B5445">
        <v>238</v>
      </c>
      <c r="C5445">
        <v>3</v>
      </c>
    </row>
    <row r="5446" spans="1:3" x14ac:dyDescent="0.25">
      <c r="A5446">
        <v>161</v>
      </c>
      <c r="B5446">
        <v>238</v>
      </c>
      <c r="C5446">
        <v>4</v>
      </c>
    </row>
    <row r="5447" spans="1:3" x14ac:dyDescent="0.25">
      <c r="A5447">
        <v>162</v>
      </c>
      <c r="B5447">
        <v>238</v>
      </c>
      <c r="C5447">
        <v>1</v>
      </c>
    </row>
    <row r="5448" spans="1:3" x14ac:dyDescent="0.25">
      <c r="A5448">
        <v>181</v>
      </c>
      <c r="B5448">
        <v>238</v>
      </c>
      <c r="C5448">
        <v>5</v>
      </c>
    </row>
    <row r="5449" spans="1:3" x14ac:dyDescent="0.25">
      <c r="A5449">
        <v>190</v>
      </c>
      <c r="B5449">
        <v>238</v>
      </c>
      <c r="C5449">
        <v>4</v>
      </c>
    </row>
    <row r="5450" spans="1:3" x14ac:dyDescent="0.25">
      <c r="A5450">
        <v>218</v>
      </c>
      <c r="B5450">
        <v>238</v>
      </c>
      <c r="C5450">
        <v>1</v>
      </c>
    </row>
    <row r="5451" spans="1:3" x14ac:dyDescent="0.25">
      <c r="A5451">
        <v>227</v>
      </c>
      <c r="B5451">
        <v>238</v>
      </c>
      <c r="C5451">
        <v>1</v>
      </c>
    </row>
    <row r="5452" spans="1:3" x14ac:dyDescent="0.25">
      <c r="A5452">
        <v>235</v>
      </c>
      <c r="B5452">
        <v>238</v>
      </c>
      <c r="C5452">
        <v>4</v>
      </c>
    </row>
    <row r="5453" spans="1:3" x14ac:dyDescent="0.25">
      <c r="A5453">
        <v>250</v>
      </c>
      <c r="B5453">
        <v>238</v>
      </c>
      <c r="C5453">
        <v>4</v>
      </c>
    </row>
    <row r="5454" spans="1:3" x14ac:dyDescent="0.25">
      <c r="A5454">
        <v>264</v>
      </c>
      <c r="B5454">
        <v>238</v>
      </c>
      <c r="C5454">
        <v>3</v>
      </c>
    </row>
    <row r="5455" spans="1:3" x14ac:dyDescent="0.25">
      <c r="A5455">
        <v>287</v>
      </c>
      <c r="B5455">
        <v>238</v>
      </c>
      <c r="C5455">
        <v>4</v>
      </c>
    </row>
    <row r="5456" spans="1:3" x14ac:dyDescent="0.25">
      <c r="A5456">
        <v>298</v>
      </c>
      <c r="B5456">
        <v>238</v>
      </c>
      <c r="C5456">
        <v>4</v>
      </c>
    </row>
    <row r="5457" spans="1:3" x14ac:dyDescent="0.25">
      <c r="A5457">
        <v>15</v>
      </c>
      <c r="B5457">
        <v>239</v>
      </c>
      <c r="C5457">
        <v>3</v>
      </c>
    </row>
    <row r="5458" spans="1:3" x14ac:dyDescent="0.25">
      <c r="A5458">
        <v>20</v>
      </c>
      <c r="B5458">
        <v>239</v>
      </c>
      <c r="C5458">
        <v>4</v>
      </c>
    </row>
    <row r="5459" spans="1:3" x14ac:dyDescent="0.25">
      <c r="A5459">
        <v>26</v>
      </c>
      <c r="B5459">
        <v>239</v>
      </c>
      <c r="C5459">
        <v>3</v>
      </c>
    </row>
    <row r="5460" spans="1:3" x14ac:dyDescent="0.25">
      <c r="A5460">
        <v>42</v>
      </c>
      <c r="B5460">
        <v>239</v>
      </c>
      <c r="C5460">
        <v>2</v>
      </c>
    </row>
    <row r="5461" spans="1:3" x14ac:dyDescent="0.25">
      <c r="A5461">
        <v>45</v>
      </c>
      <c r="B5461">
        <v>239</v>
      </c>
      <c r="C5461">
        <v>3</v>
      </c>
    </row>
    <row r="5462" spans="1:3" x14ac:dyDescent="0.25">
      <c r="A5462">
        <v>84</v>
      </c>
      <c r="B5462">
        <v>239</v>
      </c>
      <c r="C5462">
        <v>5</v>
      </c>
    </row>
    <row r="5463" spans="1:3" x14ac:dyDescent="0.25">
      <c r="A5463">
        <v>114</v>
      </c>
      <c r="B5463">
        <v>239</v>
      </c>
      <c r="C5463">
        <v>2</v>
      </c>
    </row>
    <row r="5464" spans="1:3" x14ac:dyDescent="0.25">
      <c r="A5464">
        <v>131</v>
      </c>
      <c r="B5464">
        <v>239</v>
      </c>
      <c r="C5464">
        <v>2</v>
      </c>
    </row>
    <row r="5465" spans="1:3" x14ac:dyDescent="0.25">
      <c r="A5465">
        <v>138</v>
      </c>
      <c r="B5465">
        <v>239</v>
      </c>
      <c r="C5465">
        <v>2</v>
      </c>
    </row>
    <row r="5466" spans="1:3" x14ac:dyDescent="0.25">
      <c r="A5466">
        <v>138</v>
      </c>
      <c r="B5466">
        <v>239</v>
      </c>
      <c r="C5466">
        <v>1</v>
      </c>
    </row>
    <row r="5467" spans="1:3" x14ac:dyDescent="0.25">
      <c r="A5467">
        <v>150</v>
      </c>
      <c r="B5467">
        <v>239</v>
      </c>
      <c r="C5467">
        <v>5</v>
      </c>
    </row>
    <row r="5468" spans="1:3" x14ac:dyDescent="0.25">
      <c r="A5468">
        <v>173</v>
      </c>
      <c r="B5468">
        <v>239</v>
      </c>
      <c r="C5468">
        <v>2</v>
      </c>
    </row>
    <row r="5469" spans="1:3" x14ac:dyDescent="0.25">
      <c r="A5469">
        <v>186</v>
      </c>
      <c r="B5469">
        <v>239</v>
      </c>
      <c r="C5469">
        <v>5</v>
      </c>
    </row>
    <row r="5470" spans="1:3" x14ac:dyDescent="0.25">
      <c r="A5470">
        <v>191</v>
      </c>
      <c r="B5470">
        <v>239</v>
      </c>
      <c r="C5470">
        <v>5</v>
      </c>
    </row>
    <row r="5471" spans="1:3" x14ac:dyDescent="0.25">
      <c r="A5471">
        <v>196</v>
      </c>
      <c r="B5471">
        <v>239</v>
      </c>
      <c r="C5471">
        <v>3</v>
      </c>
    </row>
    <row r="5472" spans="1:3" x14ac:dyDescent="0.25">
      <c r="A5472">
        <v>212</v>
      </c>
      <c r="B5472">
        <v>239</v>
      </c>
      <c r="C5472">
        <v>1</v>
      </c>
    </row>
    <row r="5473" spans="1:3" x14ac:dyDescent="0.25">
      <c r="A5473">
        <v>225</v>
      </c>
      <c r="B5473">
        <v>239</v>
      </c>
      <c r="C5473">
        <v>3</v>
      </c>
    </row>
    <row r="5474" spans="1:3" x14ac:dyDescent="0.25">
      <c r="A5474">
        <v>243</v>
      </c>
      <c r="B5474">
        <v>239</v>
      </c>
      <c r="C5474">
        <v>3</v>
      </c>
    </row>
    <row r="5475" spans="1:3" x14ac:dyDescent="0.25">
      <c r="A5475">
        <v>276</v>
      </c>
      <c r="B5475">
        <v>239</v>
      </c>
      <c r="C5475">
        <v>1</v>
      </c>
    </row>
    <row r="5476" spans="1:3" x14ac:dyDescent="0.25">
      <c r="A5476">
        <v>291</v>
      </c>
      <c r="B5476">
        <v>239</v>
      </c>
      <c r="C5476">
        <v>5</v>
      </c>
    </row>
    <row r="5477" spans="1:3" x14ac:dyDescent="0.25">
      <c r="A5477">
        <v>291</v>
      </c>
      <c r="B5477">
        <v>239</v>
      </c>
      <c r="C5477">
        <v>3</v>
      </c>
    </row>
    <row r="5478" spans="1:3" x14ac:dyDescent="0.25">
      <c r="A5478">
        <v>23</v>
      </c>
      <c r="B5478">
        <v>240</v>
      </c>
      <c r="C5478">
        <v>4</v>
      </c>
    </row>
    <row r="5479" spans="1:3" x14ac:dyDescent="0.25">
      <c r="A5479">
        <v>53</v>
      </c>
      <c r="B5479">
        <v>240</v>
      </c>
      <c r="C5479">
        <v>2</v>
      </c>
    </row>
    <row r="5480" spans="1:3" x14ac:dyDescent="0.25">
      <c r="A5480">
        <v>60</v>
      </c>
      <c r="B5480">
        <v>240</v>
      </c>
      <c r="C5480">
        <v>3</v>
      </c>
    </row>
    <row r="5481" spans="1:3" x14ac:dyDescent="0.25">
      <c r="A5481">
        <v>62</v>
      </c>
      <c r="B5481">
        <v>240</v>
      </c>
      <c r="C5481">
        <v>3</v>
      </c>
    </row>
    <row r="5482" spans="1:3" x14ac:dyDescent="0.25">
      <c r="A5482">
        <v>107</v>
      </c>
      <c r="B5482">
        <v>240</v>
      </c>
      <c r="C5482">
        <v>5</v>
      </c>
    </row>
    <row r="5483" spans="1:3" x14ac:dyDescent="0.25">
      <c r="A5483">
        <v>116</v>
      </c>
      <c r="B5483">
        <v>240</v>
      </c>
      <c r="C5483">
        <v>1</v>
      </c>
    </row>
    <row r="5484" spans="1:3" x14ac:dyDescent="0.25">
      <c r="A5484">
        <v>152</v>
      </c>
      <c r="B5484">
        <v>240</v>
      </c>
      <c r="C5484">
        <v>5</v>
      </c>
    </row>
    <row r="5485" spans="1:3" x14ac:dyDescent="0.25">
      <c r="A5485">
        <v>154</v>
      </c>
      <c r="B5485">
        <v>240</v>
      </c>
      <c r="C5485">
        <v>3</v>
      </c>
    </row>
    <row r="5486" spans="1:3" x14ac:dyDescent="0.25">
      <c r="A5486">
        <v>167</v>
      </c>
      <c r="B5486">
        <v>240</v>
      </c>
      <c r="C5486">
        <v>2</v>
      </c>
    </row>
    <row r="5487" spans="1:3" x14ac:dyDescent="0.25">
      <c r="A5487">
        <v>171</v>
      </c>
      <c r="B5487">
        <v>240</v>
      </c>
      <c r="C5487">
        <v>5</v>
      </c>
    </row>
    <row r="5488" spans="1:3" x14ac:dyDescent="0.25">
      <c r="A5488">
        <v>181</v>
      </c>
      <c r="B5488">
        <v>240</v>
      </c>
      <c r="C5488">
        <v>1</v>
      </c>
    </row>
    <row r="5489" spans="1:3" x14ac:dyDescent="0.25">
      <c r="A5489">
        <v>206</v>
      </c>
      <c r="B5489">
        <v>240</v>
      </c>
      <c r="C5489">
        <v>4</v>
      </c>
    </row>
    <row r="5490" spans="1:3" x14ac:dyDescent="0.25">
      <c r="A5490">
        <v>220</v>
      </c>
      <c r="B5490">
        <v>240</v>
      </c>
      <c r="C5490">
        <v>2</v>
      </c>
    </row>
    <row r="5491" spans="1:3" x14ac:dyDescent="0.25">
      <c r="A5491">
        <v>232</v>
      </c>
      <c r="B5491">
        <v>240</v>
      </c>
      <c r="C5491">
        <v>1</v>
      </c>
    </row>
    <row r="5492" spans="1:3" x14ac:dyDescent="0.25">
      <c r="A5492">
        <v>250</v>
      </c>
      <c r="B5492">
        <v>240</v>
      </c>
      <c r="C5492">
        <v>4</v>
      </c>
    </row>
    <row r="5493" spans="1:3" x14ac:dyDescent="0.25">
      <c r="A5493">
        <v>255</v>
      </c>
      <c r="B5493">
        <v>240</v>
      </c>
      <c r="C5493">
        <v>5</v>
      </c>
    </row>
    <row r="5494" spans="1:3" x14ac:dyDescent="0.25">
      <c r="A5494">
        <v>263</v>
      </c>
      <c r="B5494">
        <v>240</v>
      </c>
      <c r="C5494">
        <v>1</v>
      </c>
    </row>
    <row r="5495" spans="1:3" x14ac:dyDescent="0.25">
      <c r="A5495">
        <v>277</v>
      </c>
      <c r="B5495">
        <v>240</v>
      </c>
      <c r="C5495">
        <v>2</v>
      </c>
    </row>
    <row r="5496" spans="1:3" x14ac:dyDescent="0.25">
      <c r="A5496">
        <v>294</v>
      </c>
      <c r="B5496">
        <v>240</v>
      </c>
      <c r="C5496">
        <v>4</v>
      </c>
    </row>
    <row r="5497" spans="1:3" x14ac:dyDescent="0.25">
      <c r="A5497">
        <v>296</v>
      </c>
      <c r="B5497">
        <v>240</v>
      </c>
      <c r="C5497">
        <v>2</v>
      </c>
    </row>
    <row r="5498" spans="1:3" x14ac:dyDescent="0.25">
      <c r="A5498">
        <v>298</v>
      </c>
      <c r="B5498">
        <v>240</v>
      </c>
      <c r="C5498">
        <v>4</v>
      </c>
    </row>
    <row r="5499" spans="1:3" x14ac:dyDescent="0.25">
      <c r="A5499">
        <v>298</v>
      </c>
      <c r="B5499">
        <v>240</v>
      </c>
      <c r="C5499">
        <v>5</v>
      </c>
    </row>
    <row r="5500" spans="1:3" x14ac:dyDescent="0.25">
      <c r="A5500">
        <v>21</v>
      </c>
      <c r="B5500">
        <v>241</v>
      </c>
      <c r="C5500">
        <v>4</v>
      </c>
    </row>
    <row r="5501" spans="1:3" x14ac:dyDescent="0.25">
      <c r="A5501">
        <v>32</v>
      </c>
      <c r="B5501">
        <v>241</v>
      </c>
      <c r="C5501">
        <v>4</v>
      </c>
    </row>
    <row r="5502" spans="1:3" x14ac:dyDescent="0.25">
      <c r="A5502">
        <v>35</v>
      </c>
      <c r="B5502">
        <v>241</v>
      </c>
      <c r="C5502">
        <v>2</v>
      </c>
    </row>
    <row r="5503" spans="1:3" x14ac:dyDescent="0.25">
      <c r="A5503">
        <v>39</v>
      </c>
      <c r="B5503">
        <v>241</v>
      </c>
      <c r="C5503">
        <v>4</v>
      </c>
    </row>
    <row r="5504" spans="1:3" x14ac:dyDescent="0.25">
      <c r="A5504">
        <v>44</v>
      </c>
      <c r="B5504">
        <v>241</v>
      </c>
      <c r="C5504">
        <v>4</v>
      </c>
    </row>
    <row r="5505" spans="1:3" x14ac:dyDescent="0.25">
      <c r="A5505">
        <v>48</v>
      </c>
      <c r="B5505">
        <v>241</v>
      </c>
      <c r="C5505">
        <v>5</v>
      </c>
    </row>
    <row r="5506" spans="1:3" x14ac:dyDescent="0.25">
      <c r="A5506">
        <v>55</v>
      </c>
      <c r="B5506">
        <v>241</v>
      </c>
      <c r="C5506">
        <v>3</v>
      </c>
    </row>
    <row r="5507" spans="1:3" x14ac:dyDescent="0.25">
      <c r="A5507">
        <v>68</v>
      </c>
      <c r="B5507">
        <v>241</v>
      </c>
      <c r="C5507">
        <v>4</v>
      </c>
    </row>
    <row r="5508" spans="1:3" x14ac:dyDescent="0.25">
      <c r="A5508">
        <v>68</v>
      </c>
      <c r="B5508">
        <v>241</v>
      </c>
      <c r="C5508">
        <v>5</v>
      </c>
    </row>
    <row r="5509" spans="1:3" x14ac:dyDescent="0.25">
      <c r="A5509">
        <v>79</v>
      </c>
      <c r="B5509">
        <v>241</v>
      </c>
      <c r="C5509">
        <v>2</v>
      </c>
    </row>
    <row r="5510" spans="1:3" x14ac:dyDescent="0.25">
      <c r="A5510">
        <v>98</v>
      </c>
      <c r="B5510">
        <v>241</v>
      </c>
      <c r="C5510">
        <v>5</v>
      </c>
    </row>
    <row r="5511" spans="1:3" x14ac:dyDescent="0.25">
      <c r="A5511">
        <v>119</v>
      </c>
      <c r="B5511">
        <v>241</v>
      </c>
      <c r="C5511">
        <v>1</v>
      </c>
    </row>
    <row r="5512" spans="1:3" x14ac:dyDescent="0.25">
      <c r="A5512">
        <v>123</v>
      </c>
      <c r="B5512">
        <v>241</v>
      </c>
      <c r="C5512">
        <v>2</v>
      </c>
    </row>
    <row r="5513" spans="1:3" x14ac:dyDescent="0.25">
      <c r="A5513">
        <v>128</v>
      </c>
      <c r="B5513">
        <v>241</v>
      </c>
      <c r="C5513">
        <v>2</v>
      </c>
    </row>
    <row r="5514" spans="1:3" x14ac:dyDescent="0.25">
      <c r="A5514">
        <v>138</v>
      </c>
      <c r="B5514">
        <v>241</v>
      </c>
      <c r="C5514">
        <v>4</v>
      </c>
    </row>
    <row r="5515" spans="1:3" x14ac:dyDescent="0.25">
      <c r="A5515">
        <v>141</v>
      </c>
      <c r="B5515">
        <v>241</v>
      </c>
      <c r="C5515">
        <v>1</v>
      </c>
    </row>
    <row r="5516" spans="1:3" x14ac:dyDescent="0.25">
      <c r="A5516">
        <v>143</v>
      </c>
      <c r="B5516">
        <v>241</v>
      </c>
      <c r="C5516">
        <v>5</v>
      </c>
    </row>
    <row r="5517" spans="1:3" x14ac:dyDescent="0.25">
      <c r="A5517">
        <v>160</v>
      </c>
      <c r="B5517">
        <v>241</v>
      </c>
      <c r="C5517">
        <v>1</v>
      </c>
    </row>
    <row r="5518" spans="1:3" x14ac:dyDescent="0.25">
      <c r="A5518">
        <v>169</v>
      </c>
      <c r="B5518">
        <v>241</v>
      </c>
      <c r="C5518">
        <v>5</v>
      </c>
    </row>
    <row r="5519" spans="1:3" x14ac:dyDescent="0.25">
      <c r="A5519">
        <v>177</v>
      </c>
      <c r="B5519">
        <v>241</v>
      </c>
      <c r="C5519">
        <v>4</v>
      </c>
    </row>
    <row r="5520" spans="1:3" x14ac:dyDescent="0.25">
      <c r="A5520">
        <v>183</v>
      </c>
      <c r="B5520">
        <v>241</v>
      </c>
      <c r="C5520">
        <v>2</v>
      </c>
    </row>
    <row r="5521" spans="1:3" x14ac:dyDescent="0.25">
      <c r="A5521">
        <v>208</v>
      </c>
      <c r="B5521">
        <v>241</v>
      </c>
      <c r="C5521">
        <v>2</v>
      </c>
    </row>
    <row r="5522" spans="1:3" x14ac:dyDescent="0.25">
      <c r="A5522">
        <v>232</v>
      </c>
      <c r="B5522">
        <v>241</v>
      </c>
      <c r="C5522">
        <v>2</v>
      </c>
    </row>
    <row r="5523" spans="1:3" x14ac:dyDescent="0.25">
      <c r="A5523">
        <v>250</v>
      </c>
      <c r="B5523">
        <v>241</v>
      </c>
      <c r="C5523">
        <v>5</v>
      </c>
    </row>
    <row r="5524" spans="1:3" x14ac:dyDescent="0.25">
      <c r="A5524">
        <v>260</v>
      </c>
      <c r="B5524">
        <v>241</v>
      </c>
      <c r="C5524">
        <v>4</v>
      </c>
    </row>
    <row r="5525" spans="1:3" x14ac:dyDescent="0.25">
      <c r="A5525">
        <v>297</v>
      </c>
      <c r="B5525">
        <v>241</v>
      </c>
      <c r="C5525">
        <v>4</v>
      </c>
    </row>
    <row r="5526" spans="1:3" x14ac:dyDescent="0.25">
      <c r="A5526">
        <v>4</v>
      </c>
      <c r="B5526">
        <v>242</v>
      </c>
      <c r="C5526">
        <v>4</v>
      </c>
    </row>
    <row r="5527" spans="1:3" x14ac:dyDescent="0.25">
      <c r="A5527">
        <v>9</v>
      </c>
      <c r="B5527">
        <v>242</v>
      </c>
      <c r="C5527">
        <v>3</v>
      </c>
    </row>
    <row r="5528" spans="1:3" x14ac:dyDescent="0.25">
      <c r="A5528">
        <v>13</v>
      </c>
      <c r="B5528">
        <v>242</v>
      </c>
      <c r="C5528">
        <v>3</v>
      </c>
    </row>
    <row r="5529" spans="1:3" x14ac:dyDescent="0.25">
      <c r="A5529">
        <v>22</v>
      </c>
      <c r="B5529">
        <v>242</v>
      </c>
      <c r="C5529">
        <v>4</v>
      </c>
    </row>
    <row r="5530" spans="1:3" x14ac:dyDescent="0.25">
      <c r="A5530">
        <v>36</v>
      </c>
      <c r="B5530">
        <v>242</v>
      </c>
      <c r="C5530">
        <v>3</v>
      </c>
    </row>
    <row r="5531" spans="1:3" x14ac:dyDescent="0.25">
      <c r="A5531">
        <v>45</v>
      </c>
      <c r="B5531">
        <v>242</v>
      </c>
      <c r="C5531">
        <v>5</v>
      </c>
    </row>
    <row r="5532" spans="1:3" x14ac:dyDescent="0.25">
      <c r="A5532">
        <v>53</v>
      </c>
      <c r="B5532">
        <v>242</v>
      </c>
      <c r="C5532">
        <v>5</v>
      </c>
    </row>
    <row r="5533" spans="1:3" x14ac:dyDescent="0.25">
      <c r="A5533">
        <v>75</v>
      </c>
      <c r="B5533">
        <v>242</v>
      </c>
      <c r="C5533">
        <v>5</v>
      </c>
    </row>
    <row r="5534" spans="1:3" x14ac:dyDescent="0.25">
      <c r="A5534">
        <v>111</v>
      </c>
      <c r="B5534">
        <v>242</v>
      </c>
      <c r="C5534">
        <v>4</v>
      </c>
    </row>
    <row r="5535" spans="1:3" x14ac:dyDescent="0.25">
      <c r="A5535">
        <v>116</v>
      </c>
      <c r="B5535">
        <v>242</v>
      </c>
      <c r="C5535">
        <v>4</v>
      </c>
    </row>
    <row r="5536" spans="1:3" x14ac:dyDescent="0.25">
      <c r="A5536">
        <v>148</v>
      </c>
      <c r="B5536">
        <v>242</v>
      </c>
      <c r="C5536">
        <v>3</v>
      </c>
    </row>
    <row r="5537" spans="1:3" x14ac:dyDescent="0.25">
      <c r="A5537">
        <v>158</v>
      </c>
      <c r="B5537">
        <v>242</v>
      </c>
      <c r="C5537">
        <v>4</v>
      </c>
    </row>
    <row r="5538" spans="1:3" x14ac:dyDescent="0.25">
      <c r="A5538">
        <v>209</v>
      </c>
      <c r="B5538">
        <v>242</v>
      </c>
      <c r="C5538">
        <v>1</v>
      </c>
    </row>
    <row r="5539" spans="1:3" x14ac:dyDescent="0.25">
      <c r="A5539">
        <v>229</v>
      </c>
      <c r="B5539">
        <v>242</v>
      </c>
      <c r="C5539">
        <v>1</v>
      </c>
    </row>
    <row r="5540" spans="1:3" x14ac:dyDescent="0.25">
      <c r="A5540">
        <v>233</v>
      </c>
      <c r="B5540">
        <v>242</v>
      </c>
      <c r="C5540">
        <v>5</v>
      </c>
    </row>
    <row r="5541" spans="1:3" x14ac:dyDescent="0.25">
      <c r="A5541">
        <v>255</v>
      </c>
      <c r="B5541">
        <v>242</v>
      </c>
      <c r="C5541">
        <v>2</v>
      </c>
    </row>
    <row r="5542" spans="1:3" x14ac:dyDescent="0.25">
      <c r="A5542">
        <v>257</v>
      </c>
      <c r="B5542">
        <v>242</v>
      </c>
      <c r="C5542">
        <v>2</v>
      </c>
    </row>
    <row r="5543" spans="1:3" x14ac:dyDescent="0.25">
      <c r="A5543">
        <v>263</v>
      </c>
      <c r="B5543">
        <v>242</v>
      </c>
      <c r="C5543">
        <v>3</v>
      </c>
    </row>
    <row r="5544" spans="1:3" x14ac:dyDescent="0.25">
      <c r="A5544">
        <v>279</v>
      </c>
      <c r="B5544">
        <v>242</v>
      </c>
      <c r="C5544">
        <v>1</v>
      </c>
    </row>
    <row r="5545" spans="1:3" x14ac:dyDescent="0.25">
      <c r="A5545">
        <v>292</v>
      </c>
      <c r="B5545">
        <v>242</v>
      </c>
      <c r="C5545">
        <v>3</v>
      </c>
    </row>
    <row r="5546" spans="1:3" x14ac:dyDescent="0.25">
      <c r="A5546">
        <v>6</v>
      </c>
      <c r="B5546">
        <v>243</v>
      </c>
      <c r="C5546">
        <v>5</v>
      </c>
    </row>
    <row r="5547" spans="1:3" x14ac:dyDescent="0.25">
      <c r="A5547">
        <v>59</v>
      </c>
      <c r="B5547">
        <v>243</v>
      </c>
      <c r="C5547">
        <v>3</v>
      </c>
    </row>
    <row r="5548" spans="1:3" x14ac:dyDescent="0.25">
      <c r="A5548">
        <v>61</v>
      </c>
      <c r="B5548">
        <v>243</v>
      </c>
      <c r="C5548">
        <v>4</v>
      </c>
    </row>
    <row r="5549" spans="1:3" x14ac:dyDescent="0.25">
      <c r="A5549">
        <v>64</v>
      </c>
      <c r="B5549">
        <v>243</v>
      </c>
      <c r="C5549">
        <v>3</v>
      </c>
    </row>
    <row r="5550" spans="1:3" x14ac:dyDescent="0.25">
      <c r="A5550">
        <v>65</v>
      </c>
      <c r="B5550">
        <v>243</v>
      </c>
      <c r="C5550">
        <v>1</v>
      </c>
    </row>
    <row r="5551" spans="1:3" x14ac:dyDescent="0.25">
      <c r="A5551">
        <v>81</v>
      </c>
      <c r="B5551">
        <v>243</v>
      </c>
      <c r="C5551">
        <v>2</v>
      </c>
    </row>
    <row r="5552" spans="1:3" x14ac:dyDescent="0.25">
      <c r="A5552">
        <v>118</v>
      </c>
      <c r="B5552">
        <v>243</v>
      </c>
      <c r="C5552">
        <v>1</v>
      </c>
    </row>
    <row r="5553" spans="1:3" x14ac:dyDescent="0.25">
      <c r="A5553">
        <v>160</v>
      </c>
      <c r="B5553">
        <v>243</v>
      </c>
      <c r="C5553">
        <v>2</v>
      </c>
    </row>
    <row r="5554" spans="1:3" x14ac:dyDescent="0.25">
      <c r="A5554">
        <v>167</v>
      </c>
      <c r="B5554">
        <v>243</v>
      </c>
      <c r="C5554">
        <v>5</v>
      </c>
    </row>
    <row r="5555" spans="1:3" x14ac:dyDescent="0.25">
      <c r="A5555">
        <v>200</v>
      </c>
      <c r="B5555">
        <v>243</v>
      </c>
      <c r="C5555">
        <v>4</v>
      </c>
    </row>
    <row r="5556" spans="1:3" x14ac:dyDescent="0.25">
      <c r="A5556">
        <v>224</v>
      </c>
      <c r="B5556">
        <v>243</v>
      </c>
      <c r="C5556">
        <v>4</v>
      </c>
    </row>
    <row r="5557" spans="1:3" x14ac:dyDescent="0.25">
      <c r="A5557">
        <v>248</v>
      </c>
      <c r="B5557">
        <v>243</v>
      </c>
      <c r="C5557">
        <v>5</v>
      </c>
    </row>
    <row r="5558" spans="1:3" x14ac:dyDescent="0.25">
      <c r="A5558">
        <v>273</v>
      </c>
      <c r="B5558">
        <v>243</v>
      </c>
      <c r="C5558">
        <v>5</v>
      </c>
    </row>
    <row r="5559" spans="1:3" x14ac:dyDescent="0.25">
      <c r="A5559">
        <v>291</v>
      </c>
      <c r="B5559">
        <v>243</v>
      </c>
      <c r="C5559">
        <v>4</v>
      </c>
    </row>
    <row r="5560" spans="1:3" x14ac:dyDescent="0.25">
      <c r="A5560">
        <v>22</v>
      </c>
      <c r="B5560">
        <v>244</v>
      </c>
      <c r="C5560">
        <v>2</v>
      </c>
    </row>
    <row r="5561" spans="1:3" x14ac:dyDescent="0.25">
      <c r="A5561">
        <v>31</v>
      </c>
      <c r="B5561">
        <v>244</v>
      </c>
      <c r="C5561">
        <v>4</v>
      </c>
    </row>
    <row r="5562" spans="1:3" x14ac:dyDescent="0.25">
      <c r="A5562">
        <v>54</v>
      </c>
      <c r="B5562">
        <v>244</v>
      </c>
      <c r="C5562">
        <v>2</v>
      </c>
    </row>
    <row r="5563" spans="1:3" x14ac:dyDescent="0.25">
      <c r="A5563">
        <v>54</v>
      </c>
      <c r="B5563">
        <v>244</v>
      </c>
      <c r="C5563">
        <v>4</v>
      </c>
    </row>
    <row r="5564" spans="1:3" x14ac:dyDescent="0.25">
      <c r="A5564">
        <v>55</v>
      </c>
      <c r="B5564">
        <v>244</v>
      </c>
      <c r="C5564">
        <v>1</v>
      </c>
    </row>
    <row r="5565" spans="1:3" x14ac:dyDescent="0.25">
      <c r="A5565">
        <v>66</v>
      </c>
      <c r="B5565">
        <v>244</v>
      </c>
      <c r="C5565">
        <v>3</v>
      </c>
    </row>
    <row r="5566" spans="1:3" x14ac:dyDescent="0.25">
      <c r="A5566">
        <v>68</v>
      </c>
      <c r="B5566">
        <v>244</v>
      </c>
      <c r="C5566">
        <v>5</v>
      </c>
    </row>
    <row r="5567" spans="1:3" x14ac:dyDescent="0.25">
      <c r="A5567">
        <v>76</v>
      </c>
      <c r="B5567">
        <v>244</v>
      </c>
      <c r="C5567">
        <v>3</v>
      </c>
    </row>
    <row r="5568" spans="1:3" x14ac:dyDescent="0.25">
      <c r="A5568">
        <v>95</v>
      </c>
      <c r="B5568">
        <v>244</v>
      </c>
      <c r="C5568">
        <v>1</v>
      </c>
    </row>
    <row r="5569" spans="1:3" x14ac:dyDescent="0.25">
      <c r="A5569">
        <v>99</v>
      </c>
      <c r="B5569">
        <v>244</v>
      </c>
      <c r="C5569">
        <v>2</v>
      </c>
    </row>
    <row r="5570" spans="1:3" x14ac:dyDescent="0.25">
      <c r="A5570">
        <v>103</v>
      </c>
      <c r="B5570">
        <v>244</v>
      </c>
      <c r="C5570">
        <v>2</v>
      </c>
    </row>
    <row r="5571" spans="1:3" x14ac:dyDescent="0.25">
      <c r="A5571">
        <v>108</v>
      </c>
      <c r="B5571">
        <v>244</v>
      </c>
      <c r="C5571">
        <v>1</v>
      </c>
    </row>
    <row r="5572" spans="1:3" x14ac:dyDescent="0.25">
      <c r="A5572">
        <v>125</v>
      </c>
      <c r="B5572">
        <v>244</v>
      </c>
      <c r="C5572">
        <v>2</v>
      </c>
    </row>
    <row r="5573" spans="1:3" x14ac:dyDescent="0.25">
      <c r="A5573">
        <v>131</v>
      </c>
      <c r="B5573">
        <v>244</v>
      </c>
      <c r="C5573">
        <v>4</v>
      </c>
    </row>
    <row r="5574" spans="1:3" x14ac:dyDescent="0.25">
      <c r="A5574">
        <v>131</v>
      </c>
      <c r="B5574">
        <v>244</v>
      </c>
      <c r="C5574">
        <v>4</v>
      </c>
    </row>
    <row r="5575" spans="1:3" x14ac:dyDescent="0.25">
      <c r="A5575">
        <v>142</v>
      </c>
      <c r="B5575">
        <v>244</v>
      </c>
      <c r="C5575">
        <v>1</v>
      </c>
    </row>
    <row r="5576" spans="1:3" x14ac:dyDescent="0.25">
      <c r="A5576">
        <v>149</v>
      </c>
      <c r="B5576">
        <v>244</v>
      </c>
      <c r="C5576">
        <v>5</v>
      </c>
    </row>
    <row r="5577" spans="1:3" x14ac:dyDescent="0.25">
      <c r="A5577">
        <v>168</v>
      </c>
      <c r="B5577">
        <v>244</v>
      </c>
      <c r="C5577">
        <v>2</v>
      </c>
    </row>
    <row r="5578" spans="1:3" x14ac:dyDescent="0.25">
      <c r="A5578">
        <v>171</v>
      </c>
      <c r="B5578">
        <v>244</v>
      </c>
      <c r="C5578">
        <v>4</v>
      </c>
    </row>
    <row r="5579" spans="1:3" x14ac:dyDescent="0.25">
      <c r="A5579">
        <v>177</v>
      </c>
      <c r="B5579">
        <v>244</v>
      </c>
      <c r="C5579">
        <v>4</v>
      </c>
    </row>
    <row r="5580" spans="1:3" x14ac:dyDescent="0.25">
      <c r="A5580">
        <v>177</v>
      </c>
      <c r="B5580">
        <v>244</v>
      </c>
      <c r="C5580">
        <v>2</v>
      </c>
    </row>
    <row r="5581" spans="1:3" x14ac:dyDescent="0.25">
      <c r="A5581">
        <v>181</v>
      </c>
      <c r="B5581">
        <v>244</v>
      </c>
      <c r="C5581">
        <v>5</v>
      </c>
    </row>
    <row r="5582" spans="1:3" x14ac:dyDescent="0.25">
      <c r="A5582">
        <v>182</v>
      </c>
      <c r="B5582">
        <v>244</v>
      </c>
      <c r="C5582">
        <v>5</v>
      </c>
    </row>
    <row r="5583" spans="1:3" x14ac:dyDescent="0.25">
      <c r="A5583">
        <v>189</v>
      </c>
      <c r="B5583">
        <v>244</v>
      </c>
      <c r="C5583">
        <v>3</v>
      </c>
    </row>
    <row r="5584" spans="1:3" x14ac:dyDescent="0.25">
      <c r="A5584">
        <v>194</v>
      </c>
      <c r="B5584">
        <v>244</v>
      </c>
      <c r="C5584">
        <v>3</v>
      </c>
    </row>
    <row r="5585" spans="1:3" x14ac:dyDescent="0.25">
      <c r="A5585">
        <v>202</v>
      </c>
      <c r="B5585">
        <v>244</v>
      </c>
      <c r="C5585">
        <v>4</v>
      </c>
    </row>
    <row r="5586" spans="1:3" x14ac:dyDescent="0.25">
      <c r="A5586">
        <v>229</v>
      </c>
      <c r="B5586">
        <v>244</v>
      </c>
      <c r="C5586">
        <v>4</v>
      </c>
    </row>
    <row r="5587" spans="1:3" x14ac:dyDescent="0.25">
      <c r="A5587">
        <v>244</v>
      </c>
      <c r="B5587">
        <v>244</v>
      </c>
      <c r="C5587">
        <v>5</v>
      </c>
    </row>
    <row r="5588" spans="1:3" x14ac:dyDescent="0.25">
      <c r="A5588">
        <v>247</v>
      </c>
      <c r="B5588">
        <v>244</v>
      </c>
      <c r="C5588">
        <v>5</v>
      </c>
    </row>
    <row r="5589" spans="1:3" x14ac:dyDescent="0.25">
      <c r="A5589">
        <v>260</v>
      </c>
      <c r="B5589">
        <v>244</v>
      </c>
      <c r="C5589">
        <v>2</v>
      </c>
    </row>
    <row r="5590" spans="1:3" x14ac:dyDescent="0.25">
      <c r="A5590">
        <v>262</v>
      </c>
      <c r="B5590">
        <v>244</v>
      </c>
      <c r="C5590">
        <v>5</v>
      </c>
    </row>
    <row r="5591" spans="1:3" x14ac:dyDescent="0.25">
      <c r="A5591">
        <v>277</v>
      </c>
      <c r="B5591">
        <v>244</v>
      </c>
      <c r="C5591">
        <v>3</v>
      </c>
    </row>
    <row r="5592" spans="1:3" x14ac:dyDescent="0.25">
      <c r="A5592">
        <v>284</v>
      </c>
      <c r="B5592">
        <v>244</v>
      </c>
      <c r="C5592">
        <v>1</v>
      </c>
    </row>
    <row r="5593" spans="1:3" x14ac:dyDescent="0.25">
      <c r="A5593">
        <v>299</v>
      </c>
      <c r="B5593">
        <v>244</v>
      </c>
      <c r="C5593">
        <v>4</v>
      </c>
    </row>
    <row r="5594" spans="1:3" x14ac:dyDescent="0.25">
      <c r="A5594">
        <v>13</v>
      </c>
      <c r="B5594">
        <v>245</v>
      </c>
      <c r="C5594">
        <v>4</v>
      </c>
    </row>
    <row r="5595" spans="1:3" x14ac:dyDescent="0.25">
      <c r="A5595">
        <v>18</v>
      </c>
      <c r="B5595">
        <v>245</v>
      </c>
      <c r="C5595">
        <v>4</v>
      </c>
    </row>
    <row r="5596" spans="1:3" x14ac:dyDescent="0.25">
      <c r="A5596">
        <v>70</v>
      </c>
      <c r="B5596">
        <v>245</v>
      </c>
      <c r="C5596">
        <v>1</v>
      </c>
    </row>
    <row r="5597" spans="1:3" x14ac:dyDescent="0.25">
      <c r="A5597">
        <v>71</v>
      </c>
      <c r="B5597">
        <v>245</v>
      </c>
      <c r="C5597">
        <v>1</v>
      </c>
    </row>
    <row r="5598" spans="1:3" x14ac:dyDescent="0.25">
      <c r="A5598">
        <v>78</v>
      </c>
      <c r="B5598">
        <v>245</v>
      </c>
      <c r="C5598">
        <v>4</v>
      </c>
    </row>
    <row r="5599" spans="1:3" x14ac:dyDescent="0.25">
      <c r="A5599">
        <v>121</v>
      </c>
      <c r="B5599">
        <v>245</v>
      </c>
      <c r="C5599">
        <v>4</v>
      </c>
    </row>
    <row r="5600" spans="1:3" x14ac:dyDescent="0.25">
      <c r="A5600">
        <v>127</v>
      </c>
      <c r="B5600">
        <v>245</v>
      </c>
      <c r="C5600">
        <v>1</v>
      </c>
    </row>
    <row r="5601" spans="1:3" x14ac:dyDescent="0.25">
      <c r="A5601">
        <v>145</v>
      </c>
      <c r="B5601">
        <v>245</v>
      </c>
      <c r="C5601">
        <v>3</v>
      </c>
    </row>
    <row r="5602" spans="1:3" x14ac:dyDescent="0.25">
      <c r="A5602">
        <v>147</v>
      </c>
      <c r="B5602">
        <v>245</v>
      </c>
      <c r="C5602">
        <v>5</v>
      </c>
    </row>
    <row r="5603" spans="1:3" x14ac:dyDescent="0.25">
      <c r="A5603">
        <v>172</v>
      </c>
      <c r="B5603">
        <v>245</v>
      </c>
      <c r="C5603">
        <v>3</v>
      </c>
    </row>
    <row r="5604" spans="1:3" x14ac:dyDescent="0.25">
      <c r="A5604">
        <v>182</v>
      </c>
      <c r="B5604">
        <v>245</v>
      </c>
      <c r="C5604">
        <v>1</v>
      </c>
    </row>
    <row r="5605" spans="1:3" x14ac:dyDescent="0.25">
      <c r="A5605">
        <v>184</v>
      </c>
      <c r="B5605">
        <v>245</v>
      </c>
      <c r="C5605">
        <v>1</v>
      </c>
    </row>
    <row r="5606" spans="1:3" x14ac:dyDescent="0.25">
      <c r="A5606">
        <v>195</v>
      </c>
      <c r="B5606">
        <v>245</v>
      </c>
      <c r="C5606">
        <v>5</v>
      </c>
    </row>
    <row r="5607" spans="1:3" x14ac:dyDescent="0.25">
      <c r="A5607">
        <v>200</v>
      </c>
      <c r="B5607">
        <v>245</v>
      </c>
      <c r="C5607">
        <v>3</v>
      </c>
    </row>
    <row r="5608" spans="1:3" x14ac:dyDescent="0.25">
      <c r="A5608">
        <v>210</v>
      </c>
      <c r="B5608">
        <v>245</v>
      </c>
      <c r="C5608">
        <v>1</v>
      </c>
    </row>
    <row r="5609" spans="1:3" x14ac:dyDescent="0.25">
      <c r="A5609">
        <v>235</v>
      </c>
      <c r="B5609">
        <v>245</v>
      </c>
      <c r="C5609">
        <v>2</v>
      </c>
    </row>
    <row r="5610" spans="1:3" x14ac:dyDescent="0.25">
      <c r="A5610">
        <v>238</v>
      </c>
      <c r="B5610">
        <v>245</v>
      </c>
      <c r="C5610">
        <v>5</v>
      </c>
    </row>
    <row r="5611" spans="1:3" x14ac:dyDescent="0.25">
      <c r="A5611">
        <v>238</v>
      </c>
      <c r="B5611">
        <v>245</v>
      </c>
      <c r="C5611">
        <v>4</v>
      </c>
    </row>
    <row r="5612" spans="1:3" x14ac:dyDescent="0.25">
      <c r="A5612">
        <v>270</v>
      </c>
      <c r="B5612">
        <v>245</v>
      </c>
      <c r="C5612">
        <v>3</v>
      </c>
    </row>
    <row r="5613" spans="1:3" x14ac:dyDescent="0.25">
      <c r="A5613">
        <v>289</v>
      </c>
      <c r="B5613">
        <v>245</v>
      </c>
      <c r="C5613">
        <v>3</v>
      </c>
    </row>
    <row r="5614" spans="1:3" x14ac:dyDescent="0.25">
      <c r="A5614">
        <v>290</v>
      </c>
      <c r="B5614">
        <v>245</v>
      </c>
      <c r="C5614">
        <v>4</v>
      </c>
    </row>
    <row r="5615" spans="1:3" x14ac:dyDescent="0.25">
      <c r="A5615">
        <v>1</v>
      </c>
      <c r="B5615">
        <v>246</v>
      </c>
      <c r="C5615">
        <v>4</v>
      </c>
    </row>
    <row r="5616" spans="1:3" x14ac:dyDescent="0.25">
      <c r="A5616">
        <v>9</v>
      </c>
      <c r="B5616">
        <v>246</v>
      </c>
      <c r="C5616">
        <v>5</v>
      </c>
    </row>
    <row r="5617" spans="1:3" x14ac:dyDescent="0.25">
      <c r="A5617">
        <v>26</v>
      </c>
      <c r="B5617">
        <v>246</v>
      </c>
      <c r="C5617">
        <v>3</v>
      </c>
    </row>
    <row r="5618" spans="1:3" x14ac:dyDescent="0.25">
      <c r="A5618">
        <v>29</v>
      </c>
      <c r="B5618">
        <v>246</v>
      </c>
      <c r="C5618">
        <v>3</v>
      </c>
    </row>
    <row r="5619" spans="1:3" x14ac:dyDescent="0.25">
      <c r="A5619">
        <v>32</v>
      </c>
      <c r="B5619">
        <v>246</v>
      </c>
      <c r="C5619">
        <v>4</v>
      </c>
    </row>
    <row r="5620" spans="1:3" x14ac:dyDescent="0.25">
      <c r="A5620">
        <v>65</v>
      </c>
      <c r="B5620">
        <v>246</v>
      </c>
      <c r="C5620">
        <v>3</v>
      </c>
    </row>
    <row r="5621" spans="1:3" x14ac:dyDescent="0.25">
      <c r="A5621">
        <v>65</v>
      </c>
      <c r="B5621">
        <v>246</v>
      </c>
      <c r="C5621">
        <v>4</v>
      </c>
    </row>
    <row r="5622" spans="1:3" x14ac:dyDescent="0.25">
      <c r="A5622">
        <v>69</v>
      </c>
      <c r="B5622">
        <v>246</v>
      </c>
      <c r="C5622">
        <v>5</v>
      </c>
    </row>
    <row r="5623" spans="1:3" x14ac:dyDescent="0.25">
      <c r="A5623">
        <v>80</v>
      </c>
      <c r="B5623">
        <v>246</v>
      </c>
      <c r="C5623">
        <v>3</v>
      </c>
    </row>
    <row r="5624" spans="1:3" x14ac:dyDescent="0.25">
      <c r="A5624">
        <v>94</v>
      </c>
      <c r="B5624">
        <v>246</v>
      </c>
      <c r="C5624">
        <v>2</v>
      </c>
    </row>
    <row r="5625" spans="1:3" x14ac:dyDescent="0.25">
      <c r="A5625">
        <v>95</v>
      </c>
      <c r="B5625">
        <v>246</v>
      </c>
      <c r="C5625">
        <v>4</v>
      </c>
    </row>
    <row r="5626" spans="1:3" x14ac:dyDescent="0.25">
      <c r="A5626">
        <v>119</v>
      </c>
      <c r="B5626">
        <v>246</v>
      </c>
      <c r="C5626">
        <v>4</v>
      </c>
    </row>
    <row r="5627" spans="1:3" x14ac:dyDescent="0.25">
      <c r="A5627">
        <v>138</v>
      </c>
      <c r="B5627">
        <v>246</v>
      </c>
      <c r="C5627">
        <v>3</v>
      </c>
    </row>
    <row r="5628" spans="1:3" x14ac:dyDescent="0.25">
      <c r="A5628">
        <v>138</v>
      </c>
      <c r="B5628">
        <v>246</v>
      </c>
      <c r="C5628">
        <v>1</v>
      </c>
    </row>
    <row r="5629" spans="1:3" x14ac:dyDescent="0.25">
      <c r="A5629">
        <v>159</v>
      </c>
      <c r="B5629">
        <v>246</v>
      </c>
      <c r="C5629">
        <v>1</v>
      </c>
    </row>
    <row r="5630" spans="1:3" x14ac:dyDescent="0.25">
      <c r="A5630">
        <v>159</v>
      </c>
      <c r="B5630">
        <v>246</v>
      </c>
      <c r="C5630">
        <v>4</v>
      </c>
    </row>
    <row r="5631" spans="1:3" x14ac:dyDescent="0.25">
      <c r="A5631">
        <v>178</v>
      </c>
      <c r="B5631">
        <v>246</v>
      </c>
      <c r="C5631">
        <v>5</v>
      </c>
    </row>
    <row r="5632" spans="1:3" x14ac:dyDescent="0.25">
      <c r="A5632">
        <v>181</v>
      </c>
      <c r="B5632">
        <v>246</v>
      </c>
      <c r="C5632">
        <v>3</v>
      </c>
    </row>
    <row r="5633" spans="1:3" x14ac:dyDescent="0.25">
      <c r="A5633">
        <v>190</v>
      </c>
      <c r="B5633">
        <v>246</v>
      </c>
      <c r="C5633">
        <v>3</v>
      </c>
    </row>
    <row r="5634" spans="1:3" x14ac:dyDescent="0.25">
      <c r="A5634">
        <v>217</v>
      </c>
      <c r="B5634">
        <v>246</v>
      </c>
      <c r="C5634">
        <v>5</v>
      </c>
    </row>
    <row r="5635" spans="1:3" x14ac:dyDescent="0.25">
      <c r="A5635">
        <v>218</v>
      </c>
      <c r="B5635">
        <v>246</v>
      </c>
      <c r="C5635">
        <v>2</v>
      </c>
    </row>
    <row r="5636" spans="1:3" x14ac:dyDescent="0.25">
      <c r="A5636">
        <v>233</v>
      </c>
      <c r="B5636">
        <v>246</v>
      </c>
      <c r="C5636">
        <v>1</v>
      </c>
    </row>
    <row r="5637" spans="1:3" x14ac:dyDescent="0.25">
      <c r="A5637">
        <v>234</v>
      </c>
      <c r="B5637">
        <v>246</v>
      </c>
      <c r="C5637">
        <v>1</v>
      </c>
    </row>
    <row r="5638" spans="1:3" x14ac:dyDescent="0.25">
      <c r="A5638">
        <v>246</v>
      </c>
      <c r="B5638">
        <v>246</v>
      </c>
      <c r="C5638">
        <v>5</v>
      </c>
    </row>
    <row r="5639" spans="1:3" x14ac:dyDescent="0.25">
      <c r="A5639">
        <v>262</v>
      </c>
      <c r="B5639">
        <v>246</v>
      </c>
      <c r="C5639">
        <v>5</v>
      </c>
    </row>
    <row r="5640" spans="1:3" x14ac:dyDescent="0.25">
      <c r="A5640">
        <v>264</v>
      </c>
      <c r="B5640">
        <v>246</v>
      </c>
      <c r="C5640">
        <v>5</v>
      </c>
    </row>
    <row r="5641" spans="1:3" x14ac:dyDescent="0.25">
      <c r="A5641">
        <v>267</v>
      </c>
      <c r="B5641">
        <v>246</v>
      </c>
      <c r="C5641">
        <v>2</v>
      </c>
    </row>
    <row r="5642" spans="1:3" x14ac:dyDescent="0.25">
      <c r="A5642">
        <v>294</v>
      </c>
      <c r="B5642">
        <v>246</v>
      </c>
      <c r="C5642">
        <v>4</v>
      </c>
    </row>
    <row r="5643" spans="1:3" x14ac:dyDescent="0.25">
      <c r="A5643">
        <v>7</v>
      </c>
      <c r="B5643">
        <v>247</v>
      </c>
      <c r="C5643">
        <v>4</v>
      </c>
    </row>
    <row r="5644" spans="1:3" x14ac:dyDescent="0.25">
      <c r="A5644">
        <v>19</v>
      </c>
      <c r="B5644">
        <v>247</v>
      </c>
      <c r="C5644">
        <v>3</v>
      </c>
    </row>
    <row r="5645" spans="1:3" x14ac:dyDescent="0.25">
      <c r="A5645">
        <v>34</v>
      </c>
      <c r="B5645">
        <v>247</v>
      </c>
      <c r="C5645">
        <v>4</v>
      </c>
    </row>
    <row r="5646" spans="1:3" x14ac:dyDescent="0.25">
      <c r="A5646">
        <v>40</v>
      </c>
      <c r="B5646">
        <v>247</v>
      </c>
      <c r="C5646">
        <v>3</v>
      </c>
    </row>
    <row r="5647" spans="1:3" x14ac:dyDescent="0.25">
      <c r="A5647">
        <v>59</v>
      </c>
      <c r="B5647">
        <v>247</v>
      </c>
      <c r="C5647">
        <v>5</v>
      </c>
    </row>
    <row r="5648" spans="1:3" x14ac:dyDescent="0.25">
      <c r="A5648">
        <v>59</v>
      </c>
      <c r="B5648">
        <v>247</v>
      </c>
      <c r="C5648">
        <v>1</v>
      </c>
    </row>
    <row r="5649" spans="1:3" x14ac:dyDescent="0.25">
      <c r="A5649">
        <v>105</v>
      </c>
      <c r="B5649">
        <v>247</v>
      </c>
      <c r="C5649">
        <v>5</v>
      </c>
    </row>
    <row r="5650" spans="1:3" x14ac:dyDescent="0.25">
      <c r="A5650">
        <v>120</v>
      </c>
      <c r="B5650">
        <v>247</v>
      </c>
      <c r="C5650">
        <v>1</v>
      </c>
    </row>
    <row r="5651" spans="1:3" x14ac:dyDescent="0.25">
      <c r="A5651">
        <v>145</v>
      </c>
      <c r="B5651">
        <v>247</v>
      </c>
      <c r="C5651">
        <v>3</v>
      </c>
    </row>
    <row r="5652" spans="1:3" x14ac:dyDescent="0.25">
      <c r="A5652">
        <v>189</v>
      </c>
      <c r="B5652">
        <v>247</v>
      </c>
      <c r="C5652">
        <v>1</v>
      </c>
    </row>
    <row r="5653" spans="1:3" x14ac:dyDescent="0.25">
      <c r="A5653">
        <v>198</v>
      </c>
      <c r="B5653">
        <v>247</v>
      </c>
      <c r="C5653">
        <v>1</v>
      </c>
    </row>
    <row r="5654" spans="1:3" x14ac:dyDescent="0.25">
      <c r="A5654">
        <v>200</v>
      </c>
      <c r="B5654">
        <v>247</v>
      </c>
      <c r="C5654">
        <v>4</v>
      </c>
    </row>
    <row r="5655" spans="1:3" x14ac:dyDescent="0.25">
      <c r="A5655">
        <v>214</v>
      </c>
      <c r="B5655">
        <v>247</v>
      </c>
      <c r="C5655">
        <v>2</v>
      </c>
    </row>
    <row r="5656" spans="1:3" x14ac:dyDescent="0.25">
      <c r="A5656">
        <v>225</v>
      </c>
      <c r="B5656">
        <v>247</v>
      </c>
      <c r="C5656">
        <v>3</v>
      </c>
    </row>
    <row r="5657" spans="1:3" x14ac:dyDescent="0.25">
      <c r="A5657">
        <v>225</v>
      </c>
      <c r="B5657">
        <v>247</v>
      </c>
      <c r="C5657">
        <v>3</v>
      </c>
    </row>
    <row r="5658" spans="1:3" x14ac:dyDescent="0.25">
      <c r="A5658">
        <v>231</v>
      </c>
      <c r="B5658">
        <v>247</v>
      </c>
      <c r="C5658">
        <v>3</v>
      </c>
    </row>
    <row r="5659" spans="1:3" x14ac:dyDescent="0.25">
      <c r="A5659">
        <v>244</v>
      </c>
      <c r="B5659">
        <v>247</v>
      </c>
      <c r="C5659">
        <v>1</v>
      </c>
    </row>
    <row r="5660" spans="1:3" x14ac:dyDescent="0.25">
      <c r="A5660">
        <v>262</v>
      </c>
      <c r="B5660">
        <v>247</v>
      </c>
      <c r="C5660">
        <v>3</v>
      </c>
    </row>
    <row r="5661" spans="1:3" x14ac:dyDescent="0.25">
      <c r="A5661">
        <v>278</v>
      </c>
      <c r="B5661">
        <v>247</v>
      </c>
      <c r="C5661">
        <v>2</v>
      </c>
    </row>
    <row r="5662" spans="1:3" x14ac:dyDescent="0.25">
      <c r="A5662">
        <v>15</v>
      </c>
      <c r="B5662">
        <v>248</v>
      </c>
      <c r="C5662">
        <v>2</v>
      </c>
    </row>
    <row r="5663" spans="1:3" x14ac:dyDescent="0.25">
      <c r="A5663">
        <v>15</v>
      </c>
      <c r="B5663">
        <v>248</v>
      </c>
      <c r="C5663">
        <v>4</v>
      </c>
    </row>
    <row r="5664" spans="1:3" x14ac:dyDescent="0.25">
      <c r="A5664">
        <v>49</v>
      </c>
      <c r="B5664">
        <v>248</v>
      </c>
      <c r="C5664">
        <v>4</v>
      </c>
    </row>
    <row r="5665" spans="1:3" x14ac:dyDescent="0.25">
      <c r="A5665">
        <v>57</v>
      </c>
      <c r="B5665">
        <v>248</v>
      </c>
      <c r="C5665">
        <v>5</v>
      </c>
    </row>
    <row r="5666" spans="1:3" x14ac:dyDescent="0.25">
      <c r="A5666">
        <v>70</v>
      </c>
      <c r="B5666">
        <v>248</v>
      </c>
      <c r="C5666">
        <v>5</v>
      </c>
    </row>
    <row r="5667" spans="1:3" x14ac:dyDescent="0.25">
      <c r="A5667">
        <v>78</v>
      </c>
      <c r="B5667">
        <v>248</v>
      </c>
      <c r="C5667">
        <v>4</v>
      </c>
    </row>
    <row r="5668" spans="1:3" x14ac:dyDescent="0.25">
      <c r="A5668">
        <v>78</v>
      </c>
      <c r="B5668">
        <v>248</v>
      </c>
      <c r="C5668">
        <v>3</v>
      </c>
    </row>
    <row r="5669" spans="1:3" x14ac:dyDescent="0.25">
      <c r="A5669">
        <v>81</v>
      </c>
      <c r="B5669">
        <v>248</v>
      </c>
      <c r="C5669">
        <v>2</v>
      </c>
    </row>
    <row r="5670" spans="1:3" x14ac:dyDescent="0.25">
      <c r="A5670">
        <v>92</v>
      </c>
      <c r="B5670">
        <v>248</v>
      </c>
      <c r="C5670">
        <v>4</v>
      </c>
    </row>
    <row r="5671" spans="1:3" x14ac:dyDescent="0.25">
      <c r="A5671">
        <v>110</v>
      </c>
      <c r="B5671">
        <v>248</v>
      </c>
      <c r="C5671">
        <v>2</v>
      </c>
    </row>
    <row r="5672" spans="1:3" x14ac:dyDescent="0.25">
      <c r="A5672">
        <v>125</v>
      </c>
      <c r="B5672">
        <v>248</v>
      </c>
      <c r="C5672">
        <v>3</v>
      </c>
    </row>
    <row r="5673" spans="1:3" x14ac:dyDescent="0.25">
      <c r="A5673">
        <v>138</v>
      </c>
      <c r="B5673">
        <v>248</v>
      </c>
      <c r="C5673">
        <v>4</v>
      </c>
    </row>
    <row r="5674" spans="1:3" x14ac:dyDescent="0.25">
      <c r="A5674">
        <v>148</v>
      </c>
      <c r="B5674">
        <v>248</v>
      </c>
      <c r="C5674">
        <v>5</v>
      </c>
    </row>
    <row r="5675" spans="1:3" x14ac:dyDescent="0.25">
      <c r="A5675">
        <v>155</v>
      </c>
      <c r="B5675">
        <v>248</v>
      </c>
      <c r="C5675">
        <v>1</v>
      </c>
    </row>
    <row r="5676" spans="1:3" x14ac:dyDescent="0.25">
      <c r="A5676">
        <v>164</v>
      </c>
      <c r="B5676">
        <v>248</v>
      </c>
      <c r="C5676">
        <v>3</v>
      </c>
    </row>
    <row r="5677" spans="1:3" x14ac:dyDescent="0.25">
      <c r="A5677">
        <v>178</v>
      </c>
      <c r="B5677">
        <v>248</v>
      </c>
      <c r="C5677">
        <v>3</v>
      </c>
    </row>
    <row r="5678" spans="1:3" x14ac:dyDescent="0.25">
      <c r="A5678">
        <v>180</v>
      </c>
      <c r="B5678">
        <v>248</v>
      </c>
      <c r="C5678">
        <v>1</v>
      </c>
    </row>
    <row r="5679" spans="1:3" x14ac:dyDescent="0.25">
      <c r="A5679">
        <v>181</v>
      </c>
      <c r="B5679">
        <v>248</v>
      </c>
      <c r="C5679">
        <v>3</v>
      </c>
    </row>
    <row r="5680" spans="1:3" x14ac:dyDescent="0.25">
      <c r="A5680">
        <v>195</v>
      </c>
      <c r="B5680">
        <v>248</v>
      </c>
      <c r="C5680">
        <v>4</v>
      </c>
    </row>
    <row r="5681" spans="1:3" x14ac:dyDescent="0.25">
      <c r="A5681">
        <v>203</v>
      </c>
      <c r="B5681">
        <v>248</v>
      </c>
      <c r="C5681">
        <v>5</v>
      </c>
    </row>
    <row r="5682" spans="1:3" x14ac:dyDescent="0.25">
      <c r="A5682">
        <v>212</v>
      </c>
      <c r="B5682">
        <v>248</v>
      </c>
      <c r="C5682">
        <v>3</v>
      </c>
    </row>
    <row r="5683" spans="1:3" x14ac:dyDescent="0.25">
      <c r="A5683">
        <v>216</v>
      </c>
      <c r="B5683">
        <v>248</v>
      </c>
      <c r="C5683">
        <v>5</v>
      </c>
    </row>
    <row r="5684" spans="1:3" x14ac:dyDescent="0.25">
      <c r="A5684">
        <v>222</v>
      </c>
      <c r="B5684">
        <v>248</v>
      </c>
      <c r="C5684">
        <v>5</v>
      </c>
    </row>
    <row r="5685" spans="1:3" x14ac:dyDescent="0.25">
      <c r="A5685">
        <v>228</v>
      </c>
      <c r="B5685">
        <v>248</v>
      </c>
      <c r="C5685">
        <v>3</v>
      </c>
    </row>
    <row r="5686" spans="1:3" x14ac:dyDescent="0.25">
      <c r="A5686">
        <v>236</v>
      </c>
      <c r="B5686">
        <v>248</v>
      </c>
      <c r="C5686">
        <v>2</v>
      </c>
    </row>
    <row r="5687" spans="1:3" x14ac:dyDescent="0.25">
      <c r="A5687">
        <v>236</v>
      </c>
      <c r="B5687">
        <v>248</v>
      </c>
      <c r="C5687">
        <v>1</v>
      </c>
    </row>
    <row r="5688" spans="1:3" x14ac:dyDescent="0.25">
      <c r="A5688">
        <v>242</v>
      </c>
      <c r="B5688">
        <v>248</v>
      </c>
      <c r="C5688">
        <v>4</v>
      </c>
    </row>
    <row r="5689" spans="1:3" x14ac:dyDescent="0.25">
      <c r="A5689">
        <v>259</v>
      </c>
      <c r="B5689">
        <v>248</v>
      </c>
      <c r="C5689">
        <v>2</v>
      </c>
    </row>
    <row r="5690" spans="1:3" x14ac:dyDescent="0.25">
      <c r="A5690">
        <v>261</v>
      </c>
      <c r="B5690">
        <v>248</v>
      </c>
      <c r="C5690">
        <v>2</v>
      </c>
    </row>
    <row r="5691" spans="1:3" x14ac:dyDescent="0.25">
      <c r="A5691">
        <v>269</v>
      </c>
      <c r="B5691">
        <v>248</v>
      </c>
      <c r="C5691">
        <v>1</v>
      </c>
    </row>
    <row r="5692" spans="1:3" x14ac:dyDescent="0.25">
      <c r="A5692">
        <v>271</v>
      </c>
      <c r="B5692">
        <v>248</v>
      </c>
      <c r="C5692">
        <v>3</v>
      </c>
    </row>
    <row r="5693" spans="1:3" x14ac:dyDescent="0.25">
      <c r="A5693">
        <v>279</v>
      </c>
      <c r="B5693">
        <v>248</v>
      </c>
      <c r="C5693">
        <v>2</v>
      </c>
    </row>
    <row r="5694" spans="1:3" x14ac:dyDescent="0.25">
      <c r="A5694">
        <v>280</v>
      </c>
      <c r="B5694">
        <v>248</v>
      </c>
      <c r="C5694">
        <v>1</v>
      </c>
    </row>
    <row r="5695" spans="1:3" x14ac:dyDescent="0.25">
      <c r="A5695">
        <v>3</v>
      </c>
      <c r="B5695">
        <v>249</v>
      </c>
      <c r="C5695">
        <v>3</v>
      </c>
    </row>
    <row r="5696" spans="1:3" x14ac:dyDescent="0.25">
      <c r="A5696">
        <v>14</v>
      </c>
      <c r="B5696">
        <v>249</v>
      </c>
      <c r="C5696">
        <v>5</v>
      </c>
    </row>
    <row r="5697" spans="1:3" x14ac:dyDescent="0.25">
      <c r="A5697">
        <v>44</v>
      </c>
      <c r="B5697">
        <v>249</v>
      </c>
      <c r="C5697">
        <v>4</v>
      </c>
    </row>
    <row r="5698" spans="1:3" x14ac:dyDescent="0.25">
      <c r="A5698">
        <v>56</v>
      </c>
      <c r="B5698">
        <v>249</v>
      </c>
      <c r="C5698">
        <v>5</v>
      </c>
    </row>
    <row r="5699" spans="1:3" x14ac:dyDescent="0.25">
      <c r="A5699">
        <v>61</v>
      </c>
      <c r="B5699">
        <v>249</v>
      </c>
      <c r="C5699">
        <v>5</v>
      </c>
    </row>
    <row r="5700" spans="1:3" x14ac:dyDescent="0.25">
      <c r="A5700">
        <v>62</v>
      </c>
      <c r="B5700">
        <v>249</v>
      </c>
      <c r="C5700">
        <v>2</v>
      </c>
    </row>
    <row r="5701" spans="1:3" x14ac:dyDescent="0.25">
      <c r="A5701">
        <v>89</v>
      </c>
      <c r="B5701">
        <v>249</v>
      </c>
      <c r="C5701">
        <v>5</v>
      </c>
    </row>
    <row r="5702" spans="1:3" x14ac:dyDescent="0.25">
      <c r="A5702">
        <v>94</v>
      </c>
      <c r="B5702">
        <v>249</v>
      </c>
      <c r="C5702">
        <v>3</v>
      </c>
    </row>
    <row r="5703" spans="1:3" x14ac:dyDescent="0.25">
      <c r="A5703">
        <v>96</v>
      </c>
      <c r="B5703">
        <v>249</v>
      </c>
      <c r="C5703">
        <v>3</v>
      </c>
    </row>
    <row r="5704" spans="1:3" x14ac:dyDescent="0.25">
      <c r="A5704">
        <v>149</v>
      </c>
      <c r="B5704">
        <v>249</v>
      </c>
      <c r="C5704">
        <v>1</v>
      </c>
    </row>
    <row r="5705" spans="1:3" x14ac:dyDescent="0.25">
      <c r="A5705">
        <v>161</v>
      </c>
      <c r="B5705">
        <v>249</v>
      </c>
      <c r="C5705">
        <v>1</v>
      </c>
    </row>
    <row r="5706" spans="1:3" x14ac:dyDescent="0.25">
      <c r="A5706">
        <v>164</v>
      </c>
      <c r="B5706">
        <v>249</v>
      </c>
      <c r="C5706">
        <v>4</v>
      </c>
    </row>
    <row r="5707" spans="1:3" x14ac:dyDescent="0.25">
      <c r="A5707">
        <v>164</v>
      </c>
      <c r="B5707">
        <v>249</v>
      </c>
      <c r="C5707">
        <v>5</v>
      </c>
    </row>
    <row r="5708" spans="1:3" x14ac:dyDescent="0.25">
      <c r="A5708">
        <v>195</v>
      </c>
      <c r="B5708">
        <v>249</v>
      </c>
      <c r="C5708">
        <v>5</v>
      </c>
    </row>
    <row r="5709" spans="1:3" x14ac:dyDescent="0.25">
      <c r="A5709">
        <v>211</v>
      </c>
      <c r="B5709">
        <v>249</v>
      </c>
      <c r="C5709">
        <v>2</v>
      </c>
    </row>
    <row r="5710" spans="1:3" x14ac:dyDescent="0.25">
      <c r="A5710">
        <v>213</v>
      </c>
      <c r="B5710">
        <v>249</v>
      </c>
      <c r="C5710">
        <v>2</v>
      </c>
    </row>
    <row r="5711" spans="1:3" x14ac:dyDescent="0.25">
      <c r="A5711">
        <v>234</v>
      </c>
      <c r="B5711">
        <v>249</v>
      </c>
      <c r="C5711">
        <v>2</v>
      </c>
    </row>
    <row r="5712" spans="1:3" x14ac:dyDescent="0.25">
      <c r="A5712">
        <v>264</v>
      </c>
      <c r="B5712">
        <v>249</v>
      </c>
      <c r="C5712">
        <v>4</v>
      </c>
    </row>
    <row r="5713" spans="1:3" x14ac:dyDescent="0.25">
      <c r="A5713">
        <v>266</v>
      </c>
      <c r="B5713">
        <v>249</v>
      </c>
      <c r="C5713">
        <v>3</v>
      </c>
    </row>
    <row r="5714" spans="1:3" x14ac:dyDescent="0.25">
      <c r="A5714">
        <v>271</v>
      </c>
      <c r="B5714">
        <v>249</v>
      </c>
      <c r="C5714">
        <v>5</v>
      </c>
    </row>
    <row r="5715" spans="1:3" x14ac:dyDescent="0.25">
      <c r="A5715">
        <v>3</v>
      </c>
      <c r="B5715">
        <v>250</v>
      </c>
      <c r="C5715">
        <v>2</v>
      </c>
    </row>
    <row r="5716" spans="1:3" x14ac:dyDescent="0.25">
      <c r="A5716">
        <v>25</v>
      </c>
      <c r="B5716">
        <v>250</v>
      </c>
      <c r="C5716">
        <v>5</v>
      </c>
    </row>
    <row r="5717" spans="1:3" x14ac:dyDescent="0.25">
      <c r="A5717">
        <v>26</v>
      </c>
      <c r="B5717">
        <v>250</v>
      </c>
      <c r="C5717">
        <v>4</v>
      </c>
    </row>
    <row r="5718" spans="1:3" x14ac:dyDescent="0.25">
      <c r="A5718">
        <v>36</v>
      </c>
      <c r="B5718">
        <v>250</v>
      </c>
      <c r="C5718">
        <v>2</v>
      </c>
    </row>
    <row r="5719" spans="1:3" x14ac:dyDescent="0.25">
      <c r="A5719">
        <v>47</v>
      </c>
      <c r="B5719">
        <v>250</v>
      </c>
      <c r="C5719">
        <v>3</v>
      </c>
    </row>
    <row r="5720" spans="1:3" x14ac:dyDescent="0.25">
      <c r="A5720">
        <v>56</v>
      </c>
      <c r="B5720">
        <v>250</v>
      </c>
      <c r="C5720">
        <v>1</v>
      </c>
    </row>
    <row r="5721" spans="1:3" x14ac:dyDescent="0.25">
      <c r="A5721">
        <v>63</v>
      </c>
      <c r="B5721">
        <v>250</v>
      </c>
      <c r="C5721">
        <v>1</v>
      </c>
    </row>
    <row r="5722" spans="1:3" x14ac:dyDescent="0.25">
      <c r="A5722">
        <v>86</v>
      </c>
      <c r="B5722">
        <v>250</v>
      </c>
      <c r="C5722">
        <v>4</v>
      </c>
    </row>
    <row r="5723" spans="1:3" x14ac:dyDescent="0.25">
      <c r="A5723">
        <v>92</v>
      </c>
      <c r="B5723">
        <v>250</v>
      </c>
      <c r="C5723">
        <v>4</v>
      </c>
    </row>
    <row r="5724" spans="1:3" x14ac:dyDescent="0.25">
      <c r="A5724">
        <v>94</v>
      </c>
      <c r="B5724">
        <v>250</v>
      </c>
      <c r="C5724">
        <v>3</v>
      </c>
    </row>
    <row r="5725" spans="1:3" x14ac:dyDescent="0.25">
      <c r="A5725">
        <v>108</v>
      </c>
      <c r="B5725">
        <v>250</v>
      </c>
      <c r="C5725">
        <v>4</v>
      </c>
    </row>
    <row r="5726" spans="1:3" x14ac:dyDescent="0.25">
      <c r="A5726">
        <v>125</v>
      </c>
      <c r="B5726">
        <v>250</v>
      </c>
      <c r="C5726">
        <v>1</v>
      </c>
    </row>
    <row r="5727" spans="1:3" x14ac:dyDescent="0.25">
      <c r="A5727">
        <v>139</v>
      </c>
      <c r="B5727">
        <v>250</v>
      </c>
      <c r="C5727">
        <v>2</v>
      </c>
    </row>
    <row r="5728" spans="1:3" x14ac:dyDescent="0.25">
      <c r="A5728">
        <v>144</v>
      </c>
      <c r="B5728">
        <v>250</v>
      </c>
      <c r="C5728">
        <v>2</v>
      </c>
    </row>
    <row r="5729" spans="1:3" x14ac:dyDescent="0.25">
      <c r="A5729">
        <v>144</v>
      </c>
      <c r="B5729">
        <v>250</v>
      </c>
      <c r="C5729">
        <v>2</v>
      </c>
    </row>
    <row r="5730" spans="1:3" x14ac:dyDescent="0.25">
      <c r="A5730">
        <v>146</v>
      </c>
      <c r="B5730">
        <v>250</v>
      </c>
      <c r="C5730">
        <v>5</v>
      </c>
    </row>
    <row r="5731" spans="1:3" x14ac:dyDescent="0.25">
      <c r="A5731">
        <v>162</v>
      </c>
      <c r="B5731">
        <v>250</v>
      </c>
      <c r="C5731">
        <v>2</v>
      </c>
    </row>
    <row r="5732" spans="1:3" x14ac:dyDescent="0.25">
      <c r="A5732">
        <v>170</v>
      </c>
      <c r="B5732">
        <v>250</v>
      </c>
      <c r="C5732">
        <v>1</v>
      </c>
    </row>
    <row r="5733" spans="1:3" x14ac:dyDescent="0.25">
      <c r="A5733">
        <v>173</v>
      </c>
      <c r="B5733">
        <v>250</v>
      </c>
      <c r="C5733">
        <v>5</v>
      </c>
    </row>
    <row r="5734" spans="1:3" x14ac:dyDescent="0.25">
      <c r="A5734">
        <v>201</v>
      </c>
      <c r="B5734">
        <v>250</v>
      </c>
      <c r="C5734">
        <v>3</v>
      </c>
    </row>
    <row r="5735" spans="1:3" x14ac:dyDescent="0.25">
      <c r="A5735">
        <v>218</v>
      </c>
      <c r="B5735">
        <v>250</v>
      </c>
      <c r="C5735">
        <v>3</v>
      </c>
    </row>
    <row r="5736" spans="1:3" x14ac:dyDescent="0.25">
      <c r="A5736">
        <v>227</v>
      </c>
      <c r="B5736">
        <v>250</v>
      </c>
      <c r="C5736">
        <v>2</v>
      </c>
    </row>
    <row r="5737" spans="1:3" x14ac:dyDescent="0.25">
      <c r="A5737">
        <v>231</v>
      </c>
      <c r="B5737">
        <v>250</v>
      </c>
      <c r="C5737">
        <v>1</v>
      </c>
    </row>
    <row r="5738" spans="1:3" x14ac:dyDescent="0.25">
      <c r="A5738">
        <v>243</v>
      </c>
      <c r="B5738">
        <v>250</v>
      </c>
      <c r="C5738">
        <v>1</v>
      </c>
    </row>
    <row r="5739" spans="1:3" x14ac:dyDescent="0.25">
      <c r="A5739">
        <v>245</v>
      </c>
      <c r="B5739">
        <v>250</v>
      </c>
      <c r="C5739">
        <v>2</v>
      </c>
    </row>
    <row r="5740" spans="1:3" x14ac:dyDescent="0.25">
      <c r="A5740">
        <v>247</v>
      </c>
      <c r="B5740">
        <v>250</v>
      </c>
      <c r="C5740">
        <v>5</v>
      </c>
    </row>
    <row r="5741" spans="1:3" x14ac:dyDescent="0.25">
      <c r="A5741">
        <v>265</v>
      </c>
      <c r="B5741">
        <v>250</v>
      </c>
      <c r="C5741">
        <v>3</v>
      </c>
    </row>
    <row r="5742" spans="1:3" x14ac:dyDescent="0.25">
      <c r="A5742">
        <v>273</v>
      </c>
      <c r="B5742">
        <v>250</v>
      </c>
      <c r="C5742">
        <v>3</v>
      </c>
    </row>
    <row r="5743" spans="1:3" x14ac:dyDescent="0.25">
      <c r="A5743">
        <v>282</v>
      </c>
      <c r="B5743">
        <v>250</v>
      </c>
      <c r="C5743">
        <v>5</v>
      </c>
    </row>
    <row r="5744" spans="1:3" x14ac:dyDescent="0.25">
      <c r="A5744">
        <v>290</v>
      </c>
      <c r="B5744">
        <v>250</v>
      </c>
      <c r="C5744">
        <v>4</v>
      </c>
    </row>
    <row r="5745" spans="1:3" x14ac:dyDescent="0.25">
      <c r="A5745">
        <v>26</v>
      </c>
      <c r="B5745">
        <v>251</v>
      </c>
      <c r="C5745">
        <v>5</v>
      </c>
    </row>
    <row r="5746" spans="1:3" x14ac:dyDescent="0.25">
      <c r="A5746">
        <v>31</v>
      </c>
      <c r="B5746">
        <v>251</v>
      </c>
      <c r="C5746">
        <v>2</v>
      </c>
    </row>
    <row r="5747" spans="1:3" x14ac:dyDescent="0.25">
      <c r="A5747">
        <v>44</v>
      </c>
      <c r="B5747">
        <v>251</v>
      </c>
      <c r="C5747">
        <v>3</v>
      </c>
    </row>
    <row r="5748" spans="1:3" x14ac:dyDescent="0.25">
      <c r="A5748">
        <v>49</v>
      </c>
      <c r="B5748">
        <v>251</v>
      </c>
      <c r="C5748">
        <v>2</v>
      </c>
    </row>
    <row r="5749" spans="1:3" x14ac:dyDescent="0.25">
      <c r="A5749">
        <v>63</v>
      </c>
      <c r="B5749">
        <v>251</v>
      </c>
      <c r="C5749">
        <v>5</v>
      </c>
    </row>
    <row r="5750" spans="1:3" x14ac:dyDescent="0.25">
      <c r="A5750">
        <v>75</v>
      </c>
      <c r="B5750">
        <v>251</v>
      </c>
      <c r="C5750">
        <v>4</v>
      </c>
    </row>
    <row r="5751" spans="1:3" x14ac:dyDescent="0.25">
      <c r="A5751">
        <v>110</v>
      </c>
      <c r="B5751">
        <v>251</v>
      </c>
      <c r="C5751">
        <v>1</v>
      </c>
    </row>
    <row r="5752" spans="1:3" x14ac:dyDescent="0.25">
      <c r="A5752">
        <v>166</v>
      </c>
      <c r="B5752">
        <v>251</v>
      </c>
      <c r="C5752">
        <v>4</v>
      </c>
    </row>
    <row r="5753" spans="1:3" x14ac:dyDescent="0.25">
      <c r="A5753">
        <v>179</v>
      </c>
      <c r="B5753">
        <v>251</v>
      </c>
      <c r="C5753">
        <v>5</v>
      </c>
    </row>
    <row r="5754" spans="1:3" x14ac:dyDescent="0.25">
      <c r="A5754">
        <v>192</v>
      </c>
      <c r="B5754">
        <v>251</v>
      </c>
      <c r="C5754">
        <v>3</v>
      </c>
    </row>
    <row r="5755" spans="1:3" x14ac:dyDescent="0.25">
      <c r="A5755">
        <v>196</v>
      </c>
      <c r="B5755">
        <v>251</v>
      </c>
      <c r="C5755">
        <v>5</v>
      </c>
    </row>
    <row r="5756" spans="1:3" x14ac:dyDescent="0.25">
      <c r="A5756">
        <v>199</v>
      </c>
      <c r="B5756">
        <v>251</v>
      </c>
      <c r="C5756">
        <v>3</v>
      </c>
    </row>
    <row r="5757" spans="1:3" x14ac:dyDescent="0.25">
      <c r="A5757">
        <v>239</v>
      </c>
      <c r="B5757">
        <v>251</v>
      </c>
      <c r="C5757">
        <v>5</v>
      </c>
    </row>
    <row r="5758" spans="1:3" x14ac:dyDescent="0.25">
      <c r="A5758">
        <v>242</v>
      </c>
      <c r="B5758">
        <v>251</v>
      </c>
      <c r="C5758">
        <v>5</v>
      </c>
    </row>
    <row r="5759" spans="1:3" x14ac:dyDescent="0.25">
      <c r="A5759">
        <v>266</v>
      </c>
      <c r="B5759">
        <v>251</v>
      </c>
      <c r="C5759">
        <v>5</v>
      </c>
    </row>
    <row r="5760" spans="1:3" x14ac:dyDescent="0.25">
      <c r="A5760">
        <v>276</v>
      </c>
      <c r="B5760">
        <v>251</v>
      </c>
      <c r="C5760">
        <v>1</v>
      </c>
    </row>
    <row r="5761" spans="1:3" x14ac:dyDescent="0.25">
      <c r="A5761">
        <v>279</v>
      </c>
      <c r="B5761">
        <v>251</v>
      </c>
      <c r="C5761">
        <v>1</v>
      </c>
    </row>
    <row r="5762" spans="1:3" x14ac:dyDescent="0.25">
      <c r="A5762">
        <v>281</v>
      </c>
      <c r="B5762">
        <v>251</v>
      </c>
      <c r="C5762">
        <v>4</v>
      </c>
    </row>
    <row r="5763" spans="1:3" x14ac:dyDescent="0.25">
      <c r="A5763">
        <v>16</v>
      </c>
      <c r="B5763">
        <v>252</v>
      </c>
      <c r="C5763">
        <v>2</v>
      </c>
    </row>
    <row r="5764" spans="1:3" x14ac:dyDescent="0.25">
      <c r="A5764">
        <v>19</v>
      </c>
      <c r="B5764">
        <v>252</v>
      </c>
      <c r="C5764">
        <v>5</v>
      </c>
    </row>
    <row r="5765" spans="1:3" x14ac:dyDescent="0.25">
      <c r="A5765">
        <v>40</v>
      </c>
      <c r="B5765">
        <v>252</v>
      </c>
      <c r="C5765">
        <v>3</v>
      </c>
    </row>
    <row r="5766" spans="1:3" x14ac:dyDescent="0.25">
      <c r="A5766">
        <v>58</v>
      </c>
      <c r="B5766">
        <v>252</v>
      </c>
      <c r="C5766">
        <v>2</v>
      </c>
    </row>
    <row r="5767" spans="1:3" x14ac:dyDescent="0.25">
      <c r="A5767">
        <v>59</v>
      </c>
      <c r="B5767">
        <v>252</v>
      </c>
      <c r="C5767">
        <v>2</v>
      </c>
    </row>
    <row r="5768" spans="1:3" x14ac:dyDescent="0.25">
      <c r="A5768">
        <v>65</v>
      </c>
      <c r="B5768">
        <v>252</v>
      </c>
      <c r="C5768">
        <v>5</v>
      </c>
    </row>
    <row r="5769" spans="1:3" x14ac:dyDescent="0.25">
      <c r="A5769">
        <v>100</v>
      </c>
      <c r="B5769">
        <v>252</v>
      </c>
      <c r="C5769">
        <v>1</v>
      </c>
    </row>
    <row r="5770" spans="1:3" x14ac:dyDescent="0.25">
      <c r="A5770">
        <v>108</v>
      </c>
      <c r="B5770">
        <v>252</v>
      </c>
      <c r="C5770">
        <v>3</v>
      </c>
    </row>
    <row r="5771" spans="1:3" x14ac:dyDescent="0.25">
      <c r="A5771">
        <v>114</v>
      </c>
      <c r="B5771">
        <v>252</v>
      </c>
      <c r="C5771">
        <v>2</v>
      </c>
    </row>
    <row r="5772" spans="1:3" x14ac:dyDescent="0.25">
      <c r="A5772">
        <v>122</v>
      </c>
      <c r="B5772">
        <v>252</v>
      </c>
      <c r="C5772">
        <v>1</v>
      </c>
    </row>
    <row r="5773" spans="1:3" x14ac:dyDescent="0.25">
      <c r="A5773">
        <v>127</v>
      </c>
      <c r="B5773">
        <v>252</v>
      </c>
      <c r="C5773">
        <v>4</v>
      </c>
    </row>
    <row r="5774" spans="1:3" x14ac:dyDescent="0.25">
      <c r="A5774">
        <v>132</v>
      </c>
      <c r="B5774">
        <v>252</v>
      </c>
      <c r="C5774">
        <v>3</v>
      </c>
    </row>
    <row r="5775" spans="1:3" x14ac:dyDescent="0.25">
      <c r="A5775">
        <v>133</v>
      </c>
      <c r="B5775">
        <v>252</v>
      </c>
      <c r="C5775">
        <v>5</v>
      </c>
    </row>
    <row r="5776" spans="1:3" x14ac:dyDescent="0.25">
      <c r="A5776">
        <v>135</v>
      </c>
      <c r="B5776">
        <v>252</v>
      </c>
      <c r="C5776">
        <v>1</v>
      </c>
    </row>
    <row r="5777" spans="1:3" x14ac:dyDescent="0.25">
      <c r="A5777">
        <v>137</v>
      </c>
      <c r="B5777">
        <v>252</v>
      </c>
      <c r="C5777">
        <v>5</v>
      </c>
    </row>
    <row r="5778" spans="1:3" x14ac:dyDescent="0.25">
      <c r="A5778">
        <v>184</v>
      </c>
      <c r="B5778">
        <v>252</v>
      </c>
      <c r="C5778">
        <v>3</v>
      </c>
    </row>
    <row r="5779" spans="1:3" x14ac:dyDescent="0.25">
      <c r="A5779">
        <v>204</v>
      </c>
      <c r="B5779">
        <v>252</v>
      </c>
      <c r="C5779">
        <v>1</v>
      </c>
    </row>
    <row r="5780" spans="1:3" x14ac:dyDescent="0.25">
      <c r="A5780">
        <v>205</v>
      </c>
      <c r="B5780">
        <v>252</v>
      </c>
      <c r="C5780">
        <v>4</v>
      </c>
    </row>
    <row r="5781" spans="1:3" x14ac:dyDescent="0.25">
      <c r="A5781">
        <v>214</v>
      </c>
      <c r="B5781">
        <v>252</v>
      </c>
      <c r="C5781">
        <v>4</v>
      </c>
    </row>
    <row r="5782" spans="1:3" x14ac:dyDescent="0.25">
      <c r="A5782">
        <v>217</v>
      </c>
      <c r="B5782">
        <v>252</v>
      </c>
      <c r="C5782">
        <v>2</v>
      </c>
    </row>
    <row r="5783" spans="1:3" x14ac:dyDescent="0.25">
      <c r="A5783">
        <v>226</v>
      </c>
      <c r="B5783">
        <v>252</v>
      </c>
      <c r="C5783">
        <v>3</v>
      </c>
    </row>
    <row r="5784" spans="1:3" x14ac:dyDescent="0.25">
      <c r="A5784">
        <v>228</v>
      </c>
      <c r="B5784">
        <v>252</v>
      </c>
      <c r="C5784">
        <v>3</v>
      </c>
    </row>
    <row r="5785" spans="1:3" x14ac:dyDescent="0.25">
      <c r="A5785">
        <v>228</v>
      </c>
      <c r="B5785">
        <v>252</v>
      </c>
      <c r="C5785">
        <v>5</v>
      </c>
    </row>
    <row r="5786" spans="1:3" x14ac:dyDescent="0.25">
      <c r="A5786">
        <v>234</v>
      </c>
      <c r="B5786">
        <v>252</v>
      </c>
      <c r="C5786">
        <v>5</v>
      </c>
    </row>
    <row r="5787" spans="1:3" x14ac:dyDescent="0.25">
      <c r="A5787">
        <v>258</v>
      </c>
      <c r="B5787">
        <v>252</v>
      </c>
      <c r="C5787">
        <v>5</v>
      </c>
    </row>
    <row r="5788" spans="1:3" x14ac:dyDescent="0.25">
      <c r="A5788">
        <v>267</v>
      </c>
      <c r="B5788">
        <v>252</v>
      </c>
      <c r="C5788">
        <v>2</v>
      </c>
    </row>
    <row r="5789" spans="1:3" x14ac:dyDescent="0.25">
      <c r="A5789">
        <v>268</v>
      </c>
      <c r="B5789">
        <v>252</v>
      </c>
      <c r="C5789">
        <v>2</v>
      </c>
    </row>
    <row r="5790" spans="1:3" x14ac:dyDescent="0.25">
      <c r="A5790">
        <v>276</v>
      </c>
      <c r="B5790">
        <v>252</v>
      </c>
      <c r="C5790">
        <v>5</v>
      </c>
    </row>
    <row r="5791" spans="1:3" x14ac:dyDescent="0.25">
      <c r="A5791">
        <v>285</v>
      </c>
      <c r="B5791">
        <v>252</v>
      </c>
      <c r="C5791">
        <v>3</v>
      </c>
    </row>
    <row r="5792" spans="1:3" x14ac:dyDescent="0.25">
      <c r="A5792">
        <v>286</v>
      </c>
      <c r="B5792">
        <v>252</v>
      </c>
      <c r="C5792">
        <v>4</v>
      </c>
    </row>
    <row r="5793" spans="1:3" x14ac:dyDescent="0.25">
      <c r="A5793">
        <v>9</v>
      </c>
      <c r="B5793">
        <v>253</v>
      </c>
      <c r="C5793">
        <v>4</v>
      </c>
    </row>
    <row r="5794" spans="1:3" x14ac:dyDescent="0.25">
      <c r="A5794">
        <v>25</v>
      </c>
      <c r="B5794">
        <v>253</v>
      </c>
      <c r="C5794">
        <v>4</v>
      </c>
    </row>
    <row r="5795" spans="1:3" x14ac:dyDescent="0.25">
      <c r="A5795">
        <v>77</v>
      </c>
      <c r="B5795">
        <v>253</v>
      </c>
      <c r="C5795">
        <v>1</v>
      </c>
    </row>
    <row r="5796" spans="1:3" x14ac:dyDescent="0.25">
      <c r="A5796">
        <v>118</v>
      </c>
      <c r="B5796">
        <v>253</v>
      </c>
      <c r="C5796">
        <v>2</v>
      </c>
    </row>
    <row r="5797" spans="1:3" x14ac:dyDescent="0.25">
      <c r="A5797">
        <v>121</v>
      </c>
      <c r="B5797">
        <v>253</v>
      </c>
      <c r="C5797">
        <v>2</v>
      </c>
    </row>
    <row r="5798" spans="1:3" x14ac:dyDescent="0.25">
      <c r="A5798">
        <v>124</v>
      </c>
      <c r="B5798">
        <v>253</v>
      </c>
      <c r="C5798">
        <v>3</v>
      </c>
    </row>
    <row r="5799" spans="1:3" x14ac:dyDescent="0.25">
      <c r="A5799">
        <v>125</v>
      </c>
      <c r="B5799">
        <v>253</v>
      </c>
      <c r="C5799">
        <v>5</v>
      </c>
    </row>
    <row r="5800" spans="1:3" x14ac:dyDescent="0.25">
      <c r="A5800">
        <v>126</v>
      </c>
      <c r="B5800">
        <v>253</v>
      </c>
      <c r="C5800">
        <v>4</v>
      </c>
    </row>
    <row r="5801" spans="1:3" x14ac:dyDescent="0.25">
      <c r="A5801">
        <v>148</v>
      </c>
      <c r="B5801">
        <v>253</v>
      </c>
      <c r="C5801">
        <v>4</v>
      </c>
    </row>
    <row r="5802" spans="1:3" x14ac:dyDescent="0.25">
      <c r="A5802">
        <v>165</v>
      </c>
      <c r="B5802">
        <v>253</v>
      </c>
      <c r="C5802">
        <v>2</v>
      </c>
    </row>
    <row r="5803" spans="1:3" x14ac:dyDescent="0.25">
      <c r="A5803">
        <v>176</v>
      </c>
      <c r="B5803">
        <v>253</v>
      </c>
      <c r="C5803">
        <v>4</v>
      </c>
    </row>
    <row r="5804" spans="1:3" x14ac:dyDescent="0.25">
      <c r="A5804">
        <v>194</v>
      </c>
      <c r="B5804">
        <v>253</v>
      </c>
      <c r="C5804">
        <v>5</v>
      </c>
    </row>
    <row r="5805" spans="1:3" x14ac:dyDescent="0.25">
      <c r="A5805">
        <v>205</v>
      </c>
      <c r="B5805">
        <v>253</v>
      </c>
      <c r="C5805">
        <v>3</v>
      </c>
    </row>
    <row r="5806" spans="1:3" x14ac:dyDescent="0.25">
      <c r="A5806">
        <v>217</v>
      </c>
      <c r="B5806">
        <v>253</v>
      </c>
      <c r="C5806">
        <v>3</v>
      </c>
    </row>
    <row r="5807" spans="1:3" x14ac:dyDescent="0.25">
      <c r="A5807">
        <v>233</v>
      </c>
      <c r="B5807">
        <v>253</v>
      </c>
      <c r="C5807">
        <v>4</v>
      </c>
    </row>
    <row r="5808" spans="1:3" x14ac:dyDescent="0.25">
      <c r="A5808">
        <v>256</v>
      </c>
      <c r="B5808">
        <v>253</v>
      </c>
      <c r="C5808">
        <v>5</v>
      </c>
    </row>
    <row r="5809" spans="1:3" x14ac:dyDescent="0.25">
      <c r="A5809">
        <v>258</v>
      </c>
      <c r="B5809">
        <v>253</v>
      </c>
      <c r="C5809">
        <v>5</v>
      </c>
    </row>
    <row r="5810" spans="1:3" x14ac:dyDescent="0.25">
      <c r="A5810">
        <v>259</v>
      </c>
      <c r="B5810">
        <v>253</v>
      </c>
      <c r="C5810">
        <v>1</v>
      </c>
    </row>
    <row r="5811" spans="1:3" x14ac:dyDescent="0.25">
      <c r="A5811">
        <v>273</v>
      </c>
      <c r="B5811">
        <v>253</v>
      </c>
      <c r="C5811">
        <v>5</v>
      </c>
    </row>
    <row r="5812" spans="1:3" x14ac:dyDescent="0.25">
      <c r="A5812">
        <v>273</v>
      </c>
      <c r="B5812">
        <v>253</v>
      </c>
      <c r="C5812">
        <v>1</v>
      </c>
    </row>
    <row r="5813" spans="1:3" x14ac:dyDescent="0.25">
      <c r="A5813">
        <v>281</v>
      </c>
      <c r="B5813">
        <v>253</v>
      </c>
      <c r="C5813">
        <v>5</v>
      </c>
    </row>
    <row r="5814" spans="1:3" x14ac:dyDescent="0.25">
      <c r="A5814">
        <v>289</v>
      </c>
      <c r="B5814">
        <v>253</v>
      </c>
      <c r="C5814">
        <v>5</v>
      </c>
    </row>
    <row r="5815" spans="1:3" x14ac:dyDescent="0.25">
      <c r="A5815">
        <v>35</v>
      </c>
      <c r="B5815">
        <v>254</v>
      </c>
      <c r="C5815">
        <v>5</v>
      </c>
    </row>
    <row r="5816" spans="1:3" x14ac:dyDescent="0.25">
      <c r="A5816">
        <v>39</v>
      </c>
      <c r="B5816">
        <v>254</v>
      </c>
      <c r="C5816">
        <v>4</v>
      </c>
    </row>
    <row r="5817" spans="1:3" x14ac:dyDescent="0.25">
      <c r="A5817">
        <v>57</v>
      </c>
      <c r="B5817">
        <v>254</v>
      </c>
      <c r="C5817">
        <v>3</v>
      </c>
    </row>
    <row r="5818" spans="1:3" x14ac:dyDescent="0.25">
      <c r="A5818">
        <v>79</v>
      </c>
      <c r="B5818">
        <v>254</v>
      </c>
      <c r="C5818">
        <v>5</v>
      </c>
    </row>
    <row r="5819" spans="1:3" x14ac:dyDescent="0.25">
      <c r="A5819">
        <v>98</v>
      </c>
      <c r="B5819">
        <v>254</v>
      </c>
      <c r="C5819">
        <v>3</v>
      </c>
    </row>
    <row r="5820" spans="1:3" x14ac:dyDescent="0.25">
      <c r="A5820">
        <v>111</v>
      </c>
      <c r="B5820">
        <v>254</v>
      </c>
      <c r="C5820">
        <v>5</v>
      </c>
    </row>
    <row r="5821" spans="1:3" x14ac:dyDescent="0.25">
      <c r="A5821">
        <v>117</v>
      </c>
      <c r="B5821">
        <v>254</v>
      </c>
      <c r="C5821">
        <v>4</v>
      </c>
    </row>
    <row r="5822" spans="1:3" x14ac:dyDescent="0.25">
      <c r="A5822">
        <v>122</v>
      </c>
      <c r="B5822">
        <v>254</v>
      </c>
      <c r="C5822">
        <v>5</v>
      </c>
    </row>
    <row r="5823" spans="1:3" x14ac:dyDescent="0.25">
      <c r="A5823">
        <v>136</v>
      </c>
      <c r="B5823">
        <v>254</v>
      </c>
      <c r="C5823">
        <v>2</v>
      </c>
    </row>
    <row r="5824" spans="1:3" x14ac:dyDescent="0.25">
      <c r="A5824">
        <v>141</v>
      </c>
      <c r="B5824">
        <v>254</v>
      </c>
      <c r="C5824">
        <v>2</v>
      </c>
    </row>
    <row r="5825" spans="1:3" x14ac:dyDescent="0.25">
      <c r="A5825">
        <v>177</v>
      </c>
      <c r="B5825">
        <v>254</v>
      </c>
      <c r="C5825">
        <v>5</v>
      </c>
    </row>
    <row r="5826" spans="1:3" x14ac:dyDescent="0.25">
      <c r="A5826">
        <v>186</v>
      </c>
      <c r="B5826">
        <v>254</v>
      </c>
      <c r="C5826">
        <v>3</v>
      </c>
    </row>
    <row r="5827" spans="1:3" x14ac:dyDescent="0.25">
      <c r="A5827">
        <v>231</v>
      </c>
      <c r="B5827">
        <v>254</v>
      </c>
      <c r="C5827">
        <v>4</v>
      </c>
    </row>
    <row r="5828" spans="1:3" x14ac:dyDescent="0.25">
      <c r="A5828">
        <v>257</v>
      </c>
      <c r="B5828">
        <v>254</v>
      </c>
      <c r="C5828">
        <v>2</v>
      </c>
    </row>
    <row r="5829" spans="1:3" x14ac:dyDescent="0.25">
      <c r="A5829">
        <v>263</v>
      </c>
      <c r="B5829">
        <v>254</v>
      </c>
      <c r="C5829">
        <v>5</v>
      </c>
    </row>
    <row r="5830" spans="1:3" x14ac:dyDescent="0.25">
      <c r="A5830">
        <v>264</v>
      </c>
      <c r="B5830">
        <v>254</v>
      </c>
      <c r="C5830">
        <v>1</v>
      </c>
    </row>
    <row r="5831" spans="1:3" x14ac:dyDescent="0.25">
      <c r="A5831">
        <v>270</v>
      </c>
      <c r="B5831">
        <v>254</v>
      </c>
      <c r="C5831">
        <v>5</v>
      </c>
    </row>
    <row r="5832" spans="1:3" x14ac:dyDescent="0.25">
      <c r="A5832">
        <v>285</v>
      </c>
      <c r="B5832">
        <v>254</v>
      </c>
      <c r="C5832">
        <v>4</v>
      </c>
    </row>
    <row r="5833" spans="1:3" x14ac:dyDescent="0.25">
      <c r="A5833">
        <v>298</v>
      </c>
      <c r="B5833">
        <v>254</v>
      </c>
      <c r="C5833">
        <v>5</v>
      </c>
    </row>
    <row r="5834" spans="1:3" x14ac:dyDescent="0.25">
      <c r="A5834">
        <v>7</v>
      </c>
      <c r="B5834">
        <v>255</v>
      </c>
      <c r="C5834">
        <v>5</v>
      </c>
    </row>
    <row r="5835" spans="1:3" x14ac:dyDescent="0.25">
      <c r="A5835">
        <v>40</v>
      </c>
      <c r="B5835">
        <v>255</v>
      </c>
      <c r="C5835">
        <v>2</v>
      </c>
    </row>
    <row r="5836" spans="1:3" x14ac:dyDescent="0.25">
      <c r="A5836">
        <v>59</v>
      </c>
      <c r="B5836">
        <v>255</v>
      </c>
      <c r="C5836">
        <v>4</v>
      </c>
    </row>
    <row r="5837" spans="1:3" x14ac:dyDescent="0.25">
      <c r="A5837">
        <v>61</v>
      </c>
      <c r="B5837">
        <v>255</v>
      </c>
      <c r="C5837">
        <v>5</v>
      </c>
    </row>
    <row r="5838" spans="1:3" x14ac:dyDescent="0.25">
      <c r="A5838">
        <v>69</v>
      </c>
      <c r="B5838">
        <v>255</v>
      </c>
      <c r="C5838">
        <v>4</v>
      </c>
    </row>
    <row r="5839" spans="1:3" x14ac:dyDescent="0.25">
      <c r="A5839">
        <v>98</v>
      </c>
      <c r="B5839">
        <v>255</v>
      </c>
      <c r="C5839">
        <v>1</v>
      </c>
    </row>
    <row r="5840" spans="1:3" x14ac:dyDescent="0.25">
      <c r="A5840">
        <v>100</v>
      </c>
      <c r="B5840">
        <v>255</v>
      </c>
      <c r="C5840">
        <v>5</v>
      </c>
    </row>
    <row r="5841" spans="1:3" x14ac:dyDescent="0.25">
      <c r="A5841">
        <v>111</v>
      </c>
      <c r="B5841">
        <v>255</v>
      </c>
      <c r="C5841">
        <v>3</v>
      </c>
    </row>
    <row r="5842" spans="1:3" x14ac:dyDescent="0.25">
      <c r="A5842">
        <v>113</v>
      </c>
      <c r="B5842">
        <v>255</v>
      </c>
      <c r="C5842">
        <v>5</v>
      </c>
    </row>
    <row r="5843" spans="1:3" x14ac:dyDescent="0.25">
      <c r="A5843">
        <v>152</v>
      </c>
      <c r="B5843">
        <v>255</v>
      </c>
      <c r="C5843">
        <v>3</v>
      </c>
    </row>
    <row r="5844" spans="1:3" x14ac:dyDescent="0.25">
      <c r="A5844">
        <v>181</v>
      </c>
      <c r="B5844">
        <v>255</v>
      </c>
      <c r="C5844">
        <v>3</v>
      </c>
    </row>
    <row r="5845" spans="1:3" x14ac:dyDescent="0.25">
      <c r="A5845">
        <v>182</v>
      </c>
      <c r="B5845">
        <v>255</v>
      </c>
      <c r="C5845">
        <v>2</v>
      </c>
    </row>
    <row r="5846" spans="1:3" x14ac:dyDescent="0.25">
      <c r="A5846">
        <v>183</v>
      </c>
      <c r="B5846">
        <v>255</v>
      </c>
      <c r="C5846">
        <v>3</v>
      </c>
    </row>
    <row r="5847" spans="1:3" x14ac:dyDescent="0.25">
      <c r="A5847">
        <v>225</v>
      </c>
      <c r="B5847">
        <v>255</v>
      </c>
      <c r="C5847">
        <v>2</v>
      </c>
    </row>
    <row r="5848" spans="1:3" x14ac:dyDescent="0.25">
      <c r="A5848">
        <v>227</v>
      </c>
      <c r="B5848">
        <v>255</v>
      </c>
      <c r="C5848">
        <v>5</v>
      </c>
    </row>
    <row r="5849" spans="1:3" x14ac:dyDescent="0.25">
      <c r="A5849">
        <v>232</v>
      </c>
      <c r="B5849">
        <v>255</v>
      </c>
      <c r="C5849">
        <v>5</v>
      </c>
    </row>
    <row r="5850" spans="1:3" x14ac:dyDescent="0.25">
      <c r="A5850">
        <v>250</v>
      </c>
      <c r="B5850">
        <v>255</v>
      </c>
      <c r="C5850">
        <v>3</v>
      </c>
    </row>
    <row r="5851" spans="1:3" x14ac:dyDescent="0.25">
      <c r="A5851">
        <v>257</v>
      </c>
      <c r="B5851">
        <v>255</v>
      </c>
      <c r="C5851">
        <v>1</v>
      </c>
    </row>
    <row r="5852" spans="1:3" x14ac:dyDescent="0.25">
      <c r="A5852">
        <v>261</v>
      </c>
      <c r="B5852">
        <v>255</v>
      </c>
      <c r="C5852">
        <v>1</v>
      </c>
    </row>
    <row r="5853" spans="1:3" x14ac:dyDescent="0.25">
      <c r="A5853">
        <v>267</v>
      </c>
      <c r="B5853">
        <v>255</v>
      </c>
      <c r="C5853">
        <v>2</v>
      </c>
    </row>
    <row r="5854" spans="1:3" x14ac:dyDescent="0.25">
      <c r="A5854">
        <v>269</v>
      </c>
      <c r="B5854">
        <v>255</v>
      </c>
      <c r="C5854">
        <v>1</v>
      </c>
    </row>
    <row r="5855" spans="1:3" x14ac:dyDescent="0.25">
      <c r="A5855">
        <v>274</v>
      </c>
      <c r="B5855">
        <v>255</v>
      </c>
      <c r="C5855">
        <v>4</v>
      </c>
    </row>
    <row r="5856" spans="1:3" x14ac:dyDescent="0.25">
      <c r="A5856">
        <v>295</v>
      </c>
      <c r="B5856">
        <v>255</v>
      </c>
      <c r="C5856">
        <v>3</v>
      </c>
    </row>
    <row r="5857" spans="1:3" x14ac:dyDescent="0.25">
      <c r="A5857">
        <v>298</v>
      </c>
      <c r="B5857">
        <v>255</v>
      </c>
      <c r="C5857">
        <v>5</v>
      </c>
    </row>
    <row r="5858" spans="1:3" x14ac:dyDescent="0.25">
      <c r="A5858">
        <v>300</v>
      </c>
      <c r="B5858">
        <v>255</v>
      </c>
      <c r="C5858">
        <v>4</v>
      </c>
    </row>
    <row r="5859" spans="1:3" x14ac:dyDescent="0.25">
      <c r="A5859">
        <v>17</v>
      </c>
      <c r="B5859">
        <v>256</v>
      </c>
      <c r="C5859">
        <v>4</v>
      </c>
    </row>
    <row r="5860" spans="1:3" x14ac:dyDescent="0.25">
      <c r="A5860">
        <v>32</v>
      </c>
      <c r="B5860">
        <v>256</v>
      </c>
      <c r="C5860">
        <v>3</v>
      </c>
    </row>
    <row r="5861" spans="1:3" x14ac:dyDescent="0.25">
      <c r="A5861">
        <v>37</v>
      </c>
      <c r="B5861">
        <v>256</v>
      </c>
      <c r="C5861">
        <v>2</v>
      </c>
    </row>
    <row r="5862" spans="1:3" x14ac:dyDescent="0.25">
      <c r="A5862">
        <v>68</v>
      </c>
      <c r="B5862">
        <v>256</v>
      </c>
      <c r="C5862">
        <v>3</v>
      </c>
    </row>
    <row r="5863" spans="1:3" x14ac:dyDescent="0.25">
      <c r="A5863">
        <v>111</v>
      </c>
      <c r="B5863">
        <v>256</v>
      </c>
      <c r="C5863">
        <v>5</v>
      </c>
    </row>
    <row r="5864" spans="1:3" x14ac:dyDescent="0.25">
      <c r="A5864">
        <v>136</v>
      </c>
      <c r="B5864">
        <v>256</v>
      </c>
      <c r="C5864">
        <v>4</v>
      </c>
    </row>
    <row r="5865" spans="1:3" x14ac:dyDescent="0.25">
      <c r="A5865">
        <v>142</v>
      </c>
      <c r="B5865">
        <v>256</v>
      </c>
      <c r="C5865">
        <v>2</v>
      </c>
    </row>
    <row r="5866" spans="1:3" x14ac:dyDescent="0.25">
      <c r="A5866">
        <v>167</v>
      </c>
      <c r="B5866">
        <v>256</v>
      </c>
      <c r="C5866">
        <v>3</v>
      </c>
    </row>
    <row r="5867" spans="1:3" x14ac:dyDescent="0.25">
      <c r="A5867">
        <v>169</v>
      </c>
      <c r="B5867">
        <v>256</v>
      </c>
      <c r="C5867">
        <v>1</v>
      </c>
    </row>
    <row r="5868" spans="1:3" x14ac:dyDescent="0.25">
      <c r="A5868">
        <v>181</v>
      </c>
      <c r="B5868">
        <v>256</v>
      </c>
      <c r="C5868">
        <v>1</v>
      </c>
    </row>
    <row r="5869" spans="1:3" x14ac:dyDescent="0.25">
      <c r="A5869">
        <v>202</v>
      </c>
      <c r="B5869">
        <v>256</v>
      </c>
      <c r="C5869">
        <v>4</v>
      </c>
    </row>
    <row r="5870" spans="1:3" x14ac:dyDescent="0.25">
      <c r="A5870">
        <v>232</v>
      </c>
      <c r="B5870">
        <v>256</v>
      </c>
      <c r="C5870">
        <v>3</v>
      </c>
    </row>
    <row r="5871" spans="1:3" x14ac:dyDescent="0.25">
      <c r="A5871">
        <v>236</v>
      </c>
      <c r="B5871">
        <v>256</v>
      </c>
      <c r="C5871">
        <v>4</v>
      </c>
    </row>
    <row r="5872" spans="1:3" x14ac:dyDescent="0.25">
      <c r="A5872">
        <v>259</v>
      </c>
      <c r="B5872">
        <v>256</v>
      </c>
      <c r="C5872">
        <v>4</v>
      </c>
    </row>
    <row r="5873" spans="1:3" x14ac:dyDescent="0.25">
      <c r="A5873">
        <v>260</v>
      </c>
      <c r="B5873">
        <v>256</v>
      </c>
      <c r="C5873">
        <v>5</v>
      </c>
    </row>
    <row r="5874" spans="1:3" x14ac:dyDescent="0.25">
      <c r="A5874">
        <v>6</v>
      </c>
      <c r="B5874">
        <v>257</v>
      </c>
      <c r="C5874">
        <v>2</v>
      </c>
    </row>
    <row r="5875" spans="1:3" x14ac:dyDescent="0.25">
      <c r="A5875">
        <v>40</v>
      </c>
      <c r="B5875">
        <v>257</v>
      </c>
      <c r="C5875">
        <v>2</v>
      </c>
    </row>
    <row r="5876" spans="1:3" x14ac:dyDescent="0.25">
      <c r="A5876">
        <v>50</v>
      </c>
      <c r="B5876">
        <v>257</v>
      </c>
      <c r="C5876">
        <v>2</v>
      </c>
    </row>
    <row r="5877" spans="1:3" x14ac:dyDescent="0.25">
      <c r="A5877">
        <v>64</v>
      </c>
      <c r="B5877">
        <v>257</v>
      </c>
      <c r="C5877">
        <v>4</v>
      </c>
    </row>
    <row r="5878" spans="1:3" x14ac:dyDescent="0.25">
      <c r="A5878">
        <v>72</v>
      </c>
      <c r="B5878">
        <v>257</v>
      </c>
      <c r="C5878">
        <v>2</v>
      </c>
    </row>
    <row r="5879" spans="1:3" x14ac:dyDescent="0.25">
      <c r="A5879">
        <v>77</v>
      </c>
      <c r="B5879">
        <v>257</v>
      </c>
      <c r="C5879">
        <v>3</v>
      </c>
    </row>
    <row r="5880" spans="1:3" x14ac:dyDescent="0.25">
      <c r="A5880">
        <v>81</v>
      </c>
      <c r="B5880">
        <v>257</v>
      </c>
      <c r="C5880">
        <v>3</v>
      </c>
    </row>
    <row r="5881" spans="1:3" x14ac:dyDescent="0.25">
      <c r="A5881">
        <v>84</v>
      </c>
      <c r="B5881">
        <v>257</v>
      </c>
      <c r="C5881">
        <v>3</v>
      </c>
    </row>
    <row r="5882" spans="1:3" x14ac:dyDescent="0.25">
      <c r="A5882">
        <v>122</v>
      </c>
      <c r="B5882">
        <v>257</v>
      </c>
      <c r="C5882">
        <v>4</v>
      </c>
    </row>
    <row r="5883" spans="1:3" x14ac:dyDescent="0.25">
      <c r="A5883">
        <v>147</v>
      </c>
      <c r="B5883">
        <v>257</v>
      </c>
      <c r="C5883">
        <v>5</v>
      </c>
    </row>
    <row r="5884" spans="1:3" x14ac:dyDescent="0.25">
      <c r="A5884">
        <v>147</v>
      </c>
      <c r="B5884">
        <v>257</v>
      </c>
      <c r="C5884">
        <v>2</v>
      </c>
    </row>
    <row r="5885" spans="1:3" x14ac:dyDescent="0.25">
      <c r="A5885">
        <v>168</v>
      </c>
      <c r="B5885">
        <v>257</v>
      </c>
      <c r="C5885">
        <v>4</v>
      </c>
    </row>
    <row r="5886" spans="1:3" x14ac:dyDescent="0.25">
      <c r="A5886">
        <v>185</v>
      </c>
      <c r="B5886">
        <v>257</v>
      </c>
      <c r="C5886">
        <v>2</v>
      </c>
    </row>
    <row r="5887" spans="1:3" x14ac:dyDescent="0.25">
      <c r="A5887">
        <v>202</v>
      </c>
      <c r="B5887">
        <v>257</v>
      </c>
      <c r="C5887">
        <v>5</v>
      </c>
    </row>
    <row r="5888" spans="1:3" x14ac:dyDescent="0.25">
      <c r="A5888">
        <v>213</v>
      </c>
      <c r="B5888">
        <v>257</v>
      </c>
      <c r="C5888">
        <v>2</v>
      </c>
    </row>
    <row r="5889" spans="1:3" x14ac:dyDescent="0.25">
      <c r="A5889">
        <v>230</v>
      </c>
      <c r="B5889">
        <v>257</v>
      </c>
      <c r="C5889">
        <v>4</v>
      </c>
    </row>
    <row r="5890" spans="1:3" x14ac:dyDescent="0.25">
      <c r="A5890">
        <v>231</v>
      </c>
      <c r="B5890">
        <v>257</v>
      </c>
      <c r="C5890">
        <v>4</v>
      </c>
    </row>
    <row r="5891" spans="1:3" x14ac:dyDescent="0.25">
      <c r="A5891">
        <v>235</v>
      </c>
      <c r="B5891">
        <v>257</v>
      </c>
      <c r="C5891">
        <v>1</v>
      </c>
    </row>
    <row r="5892" spans="1:3" x14ac:dyDescent="0.25">
      <c r="A5892">
        <v>236</v>
      </c>
      <c r="B5892">
        <v>257</v>
      </c>
      <c r="C5892">
        <v>3</v>
      </c>
    </row>
    <row r="5893" spans="1:3" x14ac:dyDescent="0.25">
      <c r="A5893">
        <v>250</v>
      </c>
      <c r="B5893">
        <v>257</v>
      </c>
      <c r="C5893">
        <v>2</v>
      </c>
    </row>
    <row r="5894" spans="1:3" x14ac:dyDescent="0.25">
      <c r="A5894">
        <v>251</v>
      </c>
      <c r="B5894">
        <v>257</v>
      </c>
      <c r="C5894">
        <v>2</v>
      </c>
    </row>
    <row r="5895" spans="1:3" x14ac:dyDescent="0.25">
      <c r="A5895">
        <v>253</v>
      </c>
      <c r="B5895">
        <v>257</v>
      </c>
      <c r="C5895">
        <v>1</v>
      </c>
    </row>
    <row r="5896" spans="1:3" x14ac:dyDescent="0.25">
      <c r="A5896">
        <v>254</v>
      </c>
      <c r="B5896">
        <v>257</v>
      </c>
      <c r="C5896">
        <v>4</v>
      </c>
    </row>
    <row r="5897" spans="1:3" x14ac:dyDescent="0.25">
      <c r="A5897">
        <v>283</v>
      </c>
      <c r="B5897">
        <v>257</v>
      </c>
      <c r="C5897">
        <v>1</v>
      </c>
    </row>
    <row r="5898" spans="1:3" x14ac:dyDescent="0.25">
      <c r="A5898">
        <v>1</v>
      </c>
      <c r="B5898">
        <v>258</v>
      </c>
      <c r="C5898">
        <v>5</v>
      </c>
    </row>
    <row r="5899" spans="1:3" x14ac:dyDescent="0.25">
      <c r="A5899">
        <v>56</v>
      </c>
      <c r="B5899">
        <v>258</v>
      </c>
      <c r="C5899">
        <v>2</v>
      </c>
    </row>
    <row r="5900" spans="1:3" x14ac:dyDescent="0.25">
      <c r="A5900">
        <v>63</v>
      </c>
      <c r="B5900">
        <v>258</v>
      </c>
      <c r="C5900">
        <v>4</v>
      </c>
    </row>
    <row r="5901" spans="1:3" x14ac:dyDescent="0.25">
      <c r="A5901">
        <v>69</v>
      </c>
      <c r="B5901">
        <v>258</v>
      </c>
      <c r="C5901">
        <v>2</v>
      </c>
    </row>
    <row r="5902" spans="1:3" x14ac:dyDescent="0.25">
      <c r="A5902">
        <v>87</v>
      </c>
      <c r="B5902">
        <v>258</v>
      </c>
      <c r="C5902">
        <v>1</v>
      </c>
    </row>
    <row r="5903" spans="1:3" x14ac:dyDescent="0.25">
      <c r="A5903">
        <v>92</v>
      </c>
      <c r="B5903">
        <v>258</v>
      </c>
      <c r="C5903">
        <v>3</v>
      </c>
    </row>
    <row r="5904" spans="1:3" x14ac:dyDescent="0.25">
      <c r="A5904">
        <v>96</v>
      </c>
      <c r="B5904">
        <v>258</v>
      </c>
      <c r="C5904">
        <v>5</v>
      </c>
    </row>
    <row r="5905" spans="1:3" x14ac:dyDescent="0.25">
      <c r="A5905">
        <v>107</v>
      </c>
      <c r="B5905">
        <v>258</v>
      </c>
      <c r="C5905">
        <v>3</v>
      </c>
    </row>
    <row r="5906" spans="1:3" x14ac:dyDescent="0.25">
      <c r="A5906">
        <v>111</v>
      </c>
      <c r="B5906">
        <v>258</v>
      </c>
      <c r="C5906">
        <v>5</v>
      </c>
    </row>
    <row r="5907" spans="1:3" x14ac:dyDescent="0.25">
      <c r="A5907">
        <v>133</v>
      </c>
      <c r="B5907">
        <v>258</v>
      </c>
      <c r="C5907">
        <v>4</v>
      </c>
    </row>
    <row r="5908" spans="1:3" x14ac:dyDescent="0.25">
      <c r="A5908">
        <v>137</v>
      </c>
      <c r="B5908">
        <v>258</v>
      </c>
      <c r="C5908">
        <v>3</v>
      </c>
    </row>
    <row r="5909" spans="1:3" x14ac:dyDescent="0.25">
      <c r="A5909">
        <v>141</v>
      </c>
      <c r="B5909">
        <v>258</v>
      </c>
      <c r="C5909">
        <v>3</v>
      </c>
    </row>
    <row r="5910" spans="1:3" x14ac:dyDescent="0.25">
      <c r="A5910">
        <v>163</v>
      </c>
      <c r="B5910">
        <v>258</v>
      </c>
      <c r="C5910">
        <v>5</v>
      </c>
    </row>
    <row r="5911" spans="1:3" x14ac:dyDescent="0.25">
      <c r="A5911">
        <v>171</v>
      </c>
      <c r="B5911">
        <v>258</v>
      </c>
      <c r="C5911">
        <v>1</v>
      </c>
    </row>
    <row r="5912" spans="1:3" x14ac:dyDescent="0.25">
      <c r="A5912">
        <v>187</v>
      </c>
      <c r="B5912">
        <v>258</v>
      </c>
      <c r="C5912">
        <v>1</v>
      </c>
    </row>
    <row r="5913" spans="1:3" x14ac:dyDescent="0.25">
      <c r="A5913">
        <v>187</v>
      </c>
      <c r="B5913">
        <v>258</v>
      </c>
      <c r="C5913">
        <v>3</v>
      </c>
    </row>
    <row r="5914" spans="1:3" x14ac:dyDescent="0.25">
      <c r="A5914">
        <v>194</v>
      </c>
      <c r="B5914">
        <v>258</v>
      </c>
      <c r="C5914">
        <v>1</v>
      </c>
    </row>
    <row r="5915" spans="1:3" x14ac:dyDescent="0.25">
      <c r="A5915">
        <v>200</v>
      </c>
      <c r="B5915">
        <v>258</v>
      </c>
      <c r="C5915">
        <v>5</v>
      </c>
    </row>
    <row r="5916" spans="1:3" x14ac:dyDescent="0.25">
      <c r="A5916">
        <v>216</v>
      </c>
      <c r="B5916">
        <v>258</v>
      </c>
      <c r="C5916">
        <v>3</v>
      </c>
    </row>
    <row r="5917" spans="1:3" x14ac:dyDescent="0.25">
      <c r="A5917">
        <v>219</v>
      </c>
      <c r="B5917">
        <v>258</v>
      </c>
      <c r="C5917">
        <v>2</v>
      </c>
    </row>
    <row r="5918" spans="1:3" x14ac:dyDescent="0.25">
      <c r="A5918">
        <v>250</v>
      </c>
      <c r="B5918">
        <v>258</v>
      </c>
      <c r="C5918">
        <v>3</v>
      </c>
    </row>
    <row r="5919" spans="1:3" x14ac:dyDescent="0.25">
      <c r="A5919">
        <v>256</v>
      </c>
      <c r="B5919">
        <v>258</v>
      </c>
      <c r="C5919">
        <v>2</v>
      </c>
    </row>
    <row r="5920" spans="1:3" x14ac:dyDescent="0.25">
      <c r="A5920">
        <v>267</v>
      </c>
      <c r="B5920">
        <v>258</v>
      </c>
      <c r="C5920">
        <v>5</v>
      </c>
    </row>
    <row r="5921" spans="1:3" x14ac:dyDescent="0.25">
      <c r="A5921">
        <v>289</v>
      </c>
      <c r="B5921">
        <v>258</v>
      </c>
      <c r="C5921">
        <v>2</v>
      </c>
    </row>
    <row r="5922" spans="1:3" x14ac:dyDescent="0.25">
      <c r="A5922">
        <v>14</v>
      </c>
      <c r="B5922">
        <v>259</v>
      </c>
      <c r="C5922">
        <v>5</v>
      </c>
    </row>
    <row r="5923" spans="1:3" x14ac:dyDescent="0.25">
      <c r="A5923">
        <v>62</v>
      </c>
      <c r="B5923">
        <v>259</v>
      </c>
      <c r="C5923">
        <v>5</v>
      </c>
    </row>
    <row r="5924" spans="1:3" x14ac:dyDescent="0.25">
      <c r="A5924">
        <v>77</v>
      </c>
      <c r="B5924">
        <v>259</v>
      </c>
      <c r="C5924">
        <v>1</v>
      </c>
    </row>
    <row r="5925" spans="1:3" x14ac:dyDescent="0.25">
      <c r="A5925">
        <v>92</v>
      </c>
      <c r="B5925">
        <v>259</v>
      </c>
      <c r="C5925">
        <v>3</v>
      </c>
    </row>
    <row r="5926" spans="1:3" x14ac:dyDescent="0.25">
      <c r="A5926">
        <v>102</v>
      </c>
      <c r="B5926">
        <v>259</v>
      </c>
      <c r="C5926">
        <v>2</v>
      </c>
    </row>
    <row r="5927" spans="1:3" x14ac:dyDescent="0.25">
      <c r="A5927">
        <v>112</v>
      </c>
      <c r="B5927">
        <v>259</v>
      </c>
      <c r="C5927">
        <v>5</v>
      </c>
    </row>
    <row r="5928" spans="1:3" x14ac:dyDescent="0.25">
      <c r="A5928">
        <v>113</v>
      </c>
      <c r="B5928">
        <v>259</v>
      </c>
      <c r="C5928">
        <v>3</v>
      </c>
    </row>
    <row r="5929" spans="1:3" x14ac:dyDescent="0.25">
      <c r="A5929">
        <v>116</v>
      </c>
      <c r="B5929">
        <v>259</v>
      </c>
      <c r="C5929">
        <v>3</v>
      </c>
    </row>
    <row r="5930" spans="1:3" x14ac:dyDescent="0.25">
      <c r="A5930">
        <v>116</v>
      </c>
      <c r="B5930">
        <v>259</v>
      </c>
      <c r="C5930">
        <v>3</v>
      </c>
    </row>
    <row r="5931" spans="1:3" x14ac:dyDescent="0.25">
      <c r="A5931">
        <v>119</v>
      </c>
      <c r="B5931">
        <v>259</v>
      </c>
      <c r="C5931">
        <v>3</v>
      </c>
    </row>
    <row r="5932" spans="1:3" x14ac:dyDescent="0.25">
      <c r="A5932">
        <v>141</v>
      </c>
      <c r="B5932">
        <v>259</v>
      </c>
      <c r="C5932">
        <v>4</v>
      </c>
    </row>
    <row r="5933" spans="1:3" x14ac:dyDescent="0.25">
      <c r="A5933">
        <v>151</v>
      </c>
      <c r="B5933">
        <v>259</v>
      </c>
      <c r="C5933">
        <v>3</v>
      </c>
    </row>
    <row r="5934" spans="1:3" x14ac:dyDescent="0.25">
      <c r="A5934">
        <v>152</v>
      </c>
      <c r="B5934">
        <v>259</v>
      </c>
      <c r="C5934">
        <v>5</v>
      </c>
    </row>
    <row r="5935" spans="1:3" x14ac:dyDescent="0.25">
      <c r="A5935">
        <v>152</v>
      </c>
      <c r="B5935">
        <v>259</v>
      </c>
      <c r="C5935">
        <v>1</v>
      </c>
    </row>
    <row r="5936" spans="1:3" x14ac:dyDescent="0.25">
      <c r="A5936">
        <v>160</v>
      </c>
      <c r="B5936">
        <v>259</v>
      </c>
      <c r="C5936">
        <v>1</v>
      </c>
    </row>
    <row r="5937" spans="1:3" x14ac:dyDescent="0.25">
      <c r="A5937">
        <v>170</v>
      </c>
      <c r="B5937">
        <v>259</v>
      </c>
      <c r="C5937">
        <v>4</v>
      </c>
    </row>
    <row r="5938" spans="1:3" x14ac:dyDescent="0.25">
      <c r="A5938">
        <v>174</v>
      </c>
      <c r="B5938">
        <v>259</v>
      </c>
      <c r="C5938">
        <v>3</v>
      </c>
    </row>
    <row r="5939" spans="1:3" x14ac:dyDescent="0.25">
      <c r="A5939">
        <v>187</v>
      </c>
      <c r="B5939">
        <v>259</v>
      </c>
      <c r="C5939">
        <v>1</v>
      </c>
    </row>
    <row r="5940" spans="1:3" x14ac:dyDescent="0.25">
      <c r="A5940">
        <v>187</v>
      </c>
      <c r="B5940">
        <v>259</v>
      </c>
      <c r="C5940">
        <v>3</v>
      </c>
    </row>
    <row r="5941" spans="1:3" x14ac:dyDescent="0.25">
      <c r="A5941">
        <v>200</v>
      </c>
      <c r="B5941">
        <v>259</v>
      </c>
      <c r="C5941">
        <v>5</v>
      </c>
    </row>
    <row r="5942" spans="1:3" x14ac:dyDescent="0.25">
      <c r="A5942">
        <v>206</v>
      </c>
      <c r="B5942">
        <v>259</v>
      </c>
      <c r="C5942">
        <v>2</v>
      </c>
    </row>
    <row r="5943" spans="1:3" x14ac:dyDescent="0.25">
      <c r="A5943">
        <v>211</v>
      </c>
      <c r="B5943">
        <v>259</v>
      </c>
      <c r="C5943">
        <v>3</v>
      </c>
    </row>
    <row r="5944" spans="1:3" x14ac:dyDescent="0.25">
      <c r="A5944">
        <v>213</v>
      </c>
      <c r="B5944">
        <v>259</v>
      </c>
      <c r="C5944">
        <v>1</v>
      </c>
    </row>
    <row r="5945" spans="1:3" x14ac:dyDescent="0.25">
      <c r="A5945">
        <v>252</v>
      </c>
      <c r="B5945">
        <v>259</v>
      </c>
      <c r="C5945">
        <v>3</v>
      </c>
    </row>
    <row r="5946" spans="1:3" x14ac:dyDescent="0.25">
      <c r="A5946">
        <v>275</v>
      </c>
      <c r="B5946">
        <v>259</v>
      </c>
      <c r="C5946">
        <v>1</v>
      </c>
    </row>
    <row r="5947" spans="1:3" x14ac:dyDescent="0.25">
      <c r="A5947">
        <v>285</v>
      </c>
      <c r="B5947">
        <v>259</v>
      </c>
      <c r="C5947">
        <v>2</v>
      </c>
    </row>
    <row r="5948" spans="1:3" x14ac:dyDescent="0.25">
      <c r="A5948">
        <v>285</v>
      </c>
      <c r="B5948">
        <v>259</v>
      </c>
      <c r="C5948">
        <v>4</v>
      </c>
    </row>
    <row r="5949" spans="1:3" x14ac:dyDescent="0.25">
      <c r="A5949">
        <v>286</v>
      </c>
      <c r="B5949">
        <v>259</v>
      </c>
      <c r="C5949">
        <v>1</v>
      </c>
    </row>
    <row r="5950" spans="1:3" x14ac:dyDescent="0.25">
      <c r="A5950">
        <v>296</v>
      </c>
      <c r="B5950">
        <v>259</v>
      </c>
      <c r="C5950">
        <v>3</v>
      </c>
    </row>
    <row r="5951" spans="1:3" x14ac:dyDescent="0.25">
      <c r="A5951">
        <v>15</v>
      </c>
      <c r="B5951">
        <v>260</v>
      </c>
      <c r="C5951">
        <v>5</v>
      </c>
    </row>
    <row r="5952" spans="1:3" x14ac:dyDescent="0.25">
      <c r="A5952">
        <v>18</v>
      </c>
      <c r="B5952">
        <v>260</v>
      </c>
      <c r="C5952">
        <v>4</v>
      </c>
    </row>
    <row r="5953" spans="1:3" x14ac:dyDescent="0.25">
      <c r="A5953">
        <v>23</v>
      </c>
      <c r="B5953">
        <v>260</v>
      </c>
      <c r="C5953">
        <v>4</v>
      </c>
    </row>
    <row r="5954" spans="1:3" x14ac:dyDescent="0.25">
      <c r="A5954">
        <v>26</v>
      </c>
      <c r="B5954">
        <v>260</v>
      </c>
      <c r="C5954">
        <v>5</v>
      </c>
    </row>
    <row r="5955" spans="1:3" x14ac:dyDescent="0.25">
      <c r="A5955">
        <v>37</v>
      </c>
      <c r="B5955">
        <v>260</v>
      </c>
      <c r="C5955">
        <v>3</v>
      </c>
    </row>
    <row r="5956" spans="1:3" x14ac:dyDescent="0.25">
      <c r="A5956">
        <v>39</v>
      </c>
      <c r="B5956">
        <v>260</v>
      </c>
      <c r="C5956">
        <v>3</v>
      </c>
    </row>
    <row r="5957" spans="1:3" x14ac:dyDescent="0.25">
      <c r="A5957">
        <v>74</v>
      </c>
      <c r="B5957">
        <v>260</v>
      </c>
      <c r="C5957">
        <v>4</v>
      </c>
    </row>
    <row r="5958" spans="1:3" x14ac:dyDescent="0.25">
      <c r="A5958">
        <v>78</v>
      </c>
      <c r="B5958">
        <v>260</v>
      </c>
      <c r="C5958">
        <v>5</v>
      </c>
    </row>
    <row r="5959" spans="1:3" x14ac:dyDescent="0.25">
      <c r="A5959">
        <v>83</v>
      </c>
      <c r="B5959">
        <v>260</v>
      </c>
      <c r="C5959">
        <v>1</v>
      </c>
    </row>
    <row r="5960" spans="1:3" x14ac:dyDescent="0.25">
      <c r="A5960">
        <v>93</v>
      </c>
      <c r="B5960">
        <v>260</v>
      </c>
      <c r="C5960">
        <v>3</v>
      </c>
    </row>
    <row r="5961" spans="1:3" x14ac:dyDescent="0.25">
      <c r="A5961">
        <v>95</v>
      </c>
      <c r="B5961">
        <v>260</v>
      </c>
      <c r="C5961">
        <v>4</v>
      </c>
    </row>
    <row r="5962" spans="1:3" x14ac:dyDescent="0.25">
      <c r="A5962">
        <v>156</v>
      </c>
      <c r="B5962">
        <v>260</v>
      </c>
      <c r="C5962">
        <v>4</v>
      </c>
    </row>
    <row r="5963" spans="1:3" x14ac:dyDescent="0.25">
      <c r="A5963">
        <v>161</v>
      </c>
      <c r="B5963">
        <v>260</v>
      </c>
      <c r="C5963">
        <v>2</v>
      </c>
    </row>
    <row r="5964" spans="1:3" x14ac:dyDescent="0.25">
      <c r="A5964">
        <v>170</v>
      </c>
      <c r="B5964">
        <v>260</v>
      </c>
      <c r="C5964">
        <v>3</v>
      </c>
    </row>
    <row r="5965" spans="1:3" x14ac:dyDescent="0.25">
      <c r="A5965">
        <v>176</v>
      </c>
      <c r="B5965">
        <v>260</v>
      </c>
      <c r="C5965">
        <v>5</v>
      </c>
    </row>
    <row r="5966" spans="1:3" x14ac:dyDescent="0.25">
      <c r="A5966">
        <v>179</v>
      </c>
      <c r="B5966">
        <v>260</v>
      </c>
      <c r="C5966">
        <v>5</v>
      </c>
    </row>
    <row r="5967" spans="1:3" x14ac:dyDescent="0.25">
      <c r="A5967">
        <v>183</v>
      </c>
      <c r="B5967">
        <v>260</v>
      </c>
      <c r="C5967">
        <v>3</v>
      </c>
    </row>
    <row r="5968" spans="1:3" x14ac:dyDescent="0.25">
      <c r="A5968">
        <v>187</v>
      </c>
      <c r="B5968">
        <v>260</v>
      </c>
      <c r="C5968">
        <v>2</v>
      </c>
    </row>
    <row r="5969" spans="1:3" x14ac:dyDescent="0.25">
      <c r="A5969">
        <v>194</v>
      </c>
      <c r="B5969">
        <v>260</v>
      </c>
      <c r="C5969">
        <v>5</v>
      </c>
    </row>
    <row r="5970" spans="1:3" x14ac:dyDescent="0.25">
      <c r="A5970">
        <v>201</v>
      </c>
      <c r="B5970">
        <v>260</v>
      </c>
      <c r="C5970">
        <v>2</v>
      </c>
    </row>
    <row r="5971" spans="1:3" x14ac:dyDescent="0.25">
      <c r="A5971">
        <v>202</v>
      </c>
      <c r="B5971">
        <v>260</v>
      </c>
      <c r="C5971">
        <v>2</v>
      </c>
    </row>
    <row r="5972" spans="1:3" x14ac:dyDescent="0.25">
      <c r="A5972">
        <v>207</v>
      </c>
      <c r="B5972">
        <v>260</v>
      </c>
      <c r="C5972">
        <v>1</v>
      </c>
    </row>
    <row r="5973" spans="1:3" x14ac:dyDescent="0.25">
      <c r="A5973">
        <v>230</v>
      </c>
      <c r="B5973">
        <v>260</v>
      </c>
      <c r="C5973">
        <v>3</v>
      </c>
    </row>
    <row r="5974" spans="1:3" x14ac:dyDescent="0.25">
      <c r="A5974">
        <v>246</v>
      </c>
      <c r="B5974">
        <v>260</v>
      </c>
      <c r="C5974">
        <v>2</v>
      </c>
    </row>
    <row r="5975" spans="1:3" x14ac:dyDescent="0.25">
      <c r="A5975">
        <v>254</v>
      </c>
      <c r="B5975">
        <v>260</v>
      </c>
      <c r="C5975">
        <v>2</v>
      </c>
    </row>
    <row r="5976" spans="1:3" x14ac:dyDescent="0.25">
      <c r="A5976">
        <v>267</v>
      </c>
      <c r="B5976">
        <v>260</v>
      </c>
      <c r="C5976">
        <v>1</v>
      </c>
    </row>
    <row r="5977" spans="1:3" x14ac:dyDescent="0.25">
      <c r="A5977">
        <v>282</v>
      </c>
      <c r="B5977">
        <v>260</v>
      </c>
      <c r="C5977">
        <v>3</v>
      </c>
    </row>
    <row r="5978" spans="1:3" x14ac:dyDescent="0.25">
      <c r="A5978">
        <v>293</v>
      </c>
      <c r="B5978">
        <v>260</v>
      </c>
      <c r="C5978">
        <v>1</v>
      </c>
    </row>
    <row r="5979" spans="1:3" x14ac:dyDescent="0.25">
      <c r="A5979">
        <v>18</v>
      </c>
      <c r="B5979">
        <v>261</v>
      </c>
      <c r="C5979">
        <v>2</v>
      </c>
    </row>
    <row r="5980" spans="1:3" x14ac:dyDescent="0.25">
      <c r="A5980">
        <v>34</v>
      </c>
      <c r="B5980">
        <v>261</v>
      </c>
      <c r="C5980">
        <v>3</v>
      </c>
    </row>
    <row r="5981" spans="1:3" x14ac:dyDescent="0.25">
      <c r="A5981">
        <v>52</v>
      </c>
      <c r="B5981">
        <v>261</v>
      </c>
      <c r="C5981">
        <v>5</v>
      </c>
    </row>
    <row r="5982" spans="1:3" x14ac:dyDescent="0.25">
      <c r="A5982">
        <v>85</v>
      </c>
      <c r="B5982">
        <v>261</v>
      </c>
      <c r="C5982">
        <v>1</v>
      </c>
    </row>
    <row r="5983" spans="1:3" x14ac:dyDescent="0.25">
      <c r="A5983">
        <v>117</v>
      </c>
      <c r="B5983">
        <v>261</v>
      </c>
      <c r="C5983">
        <v>5</v>
      </c>
    </row>
    <row r="5984" spans="1:3" x14ac:dyDescent="0.25">
      <c r="A5984">
        <v>129</v>
      </c>
      <c r="B5984">
        <v>261</v>
      </c>
      <c r="C5984">
        <v>4</v>
      </c>
    </row>
    <row r="5985" spans="1:3" x14ac:dyDescent="0.25">
      <c r="A5985">
        <v>136</v>
      </c>
      <c r="B5985">
        <v>261</v>
      </c>
      <c r="C5985">
        <v>3</v>
      </c>
    </row>
    <row r="5986" spans="1:3" x14ac:dyDescent="0.25">
      <c r="A5986">
        <v>162</v>
      </c>
      <c r="B5986">
        <v>261</v>
      </c>
      <c r="C5986">
        <v>5</v>
      </c>
    </row>
    <row r="5987" spans="1:3" x14ac:dyDescent="0.25">
      <c r="A5987">
        <v>168</v>
      </c>
      <c r="B5987">
        <v>261</v>
      </c>
      <c r="C5987">
        <v>4</v>
      </c>
    </row>
    <row r="5988" spans="1:3" x14ac:dyDescent="0.25">
      <c r="A5988">
        <v>175</v>
      </c>
      <c r="B5988">
        <v>261</v>
      </c>
      <c r="C5988">
        <v>5</v>
      </c>
    </row>
    <row r="5989" spans="1:3" x14ac:dyDescent="0.25">
      <c r="A5989">
        <v>182</v>
      </c>
      <c r="B5989">
        <v>261</v>
      </c>
      <c r="C5989">
        <v>2</v>
      </c>
    </row>
    <row r="5990" spans="1:3" x14ac:dyDescent="0.25">
      <c r="A5990">
        <v>201</v>
      </c>
      <c r="B5990">
        <v>261</v>
      </c>
      <c r="C5990">
        <v>2</v>
      </c>
    </row>
    <row r="5991" spans="1:3" x14ac:dyDescent="0.25">
      <c r="A5991">
        <v>209</v>
      </c>
      <c r="B5991">
        <v>261</v>
      </c>
      <c r="C5991">
        <v>5</v>
      </c>
    </row>
    <row r="5992" spans="1:3" x14ac:dyDescent="0.25">
      <c r="A5992">
        <v>221</v>
      </c>
      <c r="B5992">
        <v>261</v>
      </c>
      <c r="C5992">
        <v>1</v>
      </c>
    </row>
    <row r="5993" spans="1:3" x14ac:dyDescent="0.25">
      <c r="A5993">
        <v>224</v>
      </c>
      <c r="B5993">
        <v>261</v>
      </c>
      <c r="C5993">
        <v>4</v>
      </c>
    </row>
    <row r="5994" spans="1:3" x14ac:dyDescent="0.25">
      <c r="A5994">
        <v>258</v>
      </c>
      <c r="B5994">
        <v>261</v>
      </c>
      <c r="C5994">
        <v>5</v>
      </c>
    </row>
    <row r="5995" spans="1:3" x14ac:dyDescent="0.25">
      <c r="A5995">
        <v>262</v>
      </c>
      <c r="B5995">
        <v>261</v>
      </c>
      <c r="C5995">
        <v>5</v>
      </c>
    </row>
    <row r="5996" spans="1:3" x14ac:dyDescent="0.25">
      <c r="A5996">
        <v>267</v>
      </c>
      <c r="B5996">
        <v>261</v>
      </c>
      <c r="C5996">
        <v>3</v>
      </c>
    </row>
    <row r="5997" spans="1:3" x14ac:dyDescent="0.25">
      <c r="A5997">
        <v>274</v>
      </c>
      <c r="B5997">
        <v>261</v>
      </c>
      <c r="C5997">
        <v>2</v>
      </c>
    </row>
    <row r="5998" spans="1:3" x14ac:dyDescent="0.25">
      <c r="A5998">
        <v>2</v>
      </c>
      <c r="B5998">
        <v>262</v>
      </c>
      <c r="C5998">
        <v>3</v>
      </c>
    </row>
    <row r="5999" spans="1:3" x14ac:dyDescent="0.25">
      <c r="A5999">
        <v>17</v>
      </c>
      <c r="B5999">
        <v>262</v>
      </c>
      <c r="C5999">
        <v>2</v>
      </c>
    </row>
    <row r="6000" spans="1:3" x14ac:dyDescent="0.25">
      <c r="A6000">
        <v>69</v>
      </c>
      <c r="B6000">
        <v>262</v>
      </c>
      <c r="C6000">
        <v>1</v>
      </c>
    </row>
    <row r="6001" spans="1:3" x14ac:dyDescent="0.25">
      <c r="A6001">
        <v>79</v>
      </c>
      <c r="B6001">
        <v>262</v>
      </c>
      <c r="C6001">
        <v>1</v>
      </c>
    </row>
    <row r="6002" spans="1:3" x14ac:dyDescent="0.25">
      <c r="A6002">
        <v>84</v>
      </c>
      <c r="B6002">
        <v>262</v>
      </c>
      <c r="C6002">
        <v>5</v>
      </c>
    </row>
    <row r="6003" spans="1:3" x14ac:dyDescent="0.25">
      <c r="A6003">
        <v>91</v>
      </c>
      <c r="B6003">
        <v>262</v>
      </c>
      <c r="C6003">
        <v>1</v>
      </c>
    </row>
    <row r="6004" spans="1:3" x14ac:dyDescent="0.25">
      <c r="A6004">
        <v>140</v>
      </c>
      <c r="B6004">
        <v>262</v>
      </c>
      <c r="C6004">
        <v>1</v>
      </c>
    </row>
    <row r="6005" spans="1:3" x14ac:dyDescent="0.25">
      <c r="A6005">
        <v>141</v>
      </c>
      <c r="B6005">
        <v>262</v>
      </c>
      <c r="C6005">
        <v>4</v>
      </c>
    </row>
    <row r="6006" spans="1:3" x14ac:dyDescent="0.25">
      <c r="A6006">
        <v>157</v>
      </c>
      <c r="B6006">
        <v>262</v>
      </c>
      <c r="C6006">
        <v>3</v>
      </c>
    </row>
    <row r="6007" spans="1:3" x14ac:dyDescent="0.25">
      <c r="A6007">
        <v>166</v>
      </c>
      <c r="B6007">
        <v>262</v>
      </c>
      <c r="C6007">
        <v>1</v>
      </c>
    </row>
    <row r="6008" spans="1:3" x14ac:dyDescent="0.25">
      <c r="A6008">
        <v>166</v>
      </c>
      <c r="B6008">
        <v>262</v>
      </c>
      <c r="C6008">
        <v>1</v>
      </c>
    </row>
    <row r="6009" spans="1:3" x14ac:dyDescent="0.25">
      <c r="A6009">
        <v>172</v>
      </c>
      <c r="B6009">
        <v>262</v>
      </c>
      <c r="C6009">
        <v>4</v>
      </c>
    </row>
    <row r="6010" spans="1:3" x14ac:dyDescent="0.25">
      <c r="A6010">
        <v>195</v>
      </c>
      <c r="B6010">
        <v>262</v>
      </c>
      <c r="C6010">
        <v>1</v>
      </c>
    </row>
    <row r="6011" spans="1:3" x14ac:dyDescent="0.25">
      <c r="A6011">
        <v>221</v>
      </c>
      <c r="B6011">
        <v>262</v>
      </c>
      <c r="C6011">
        <v>5</v>
      </c>
    </row>
    <row r="6012" spans="1:3" x14ac:dyDescent="0.25">
      <c r="A6012">
        <v>223</v>
      </c>
      <c r="B6012">
        <v>262</v>
      </c>
      <c r="C6012">
        <v>1</v>
      </c>
    </row>
    <row r="6013" spans="1:3" x14ac:dyDescent="0.25">
      <c r="A6013">
        <v>233</v>
      </c>
      <c r="B6013">
        <v>262</v>
      </c>
      <c r="C6013">
        <v>3</v>
      </c>
    </row>
    <row r="6014" spans="1:3" x14ac:dyDescent="0.25">
      <c r="A6014">
        <v>246</v>
      </c>
      <c r="B6014">
        <v>262</v>
      </c>
      <c r="C6014">
        <v>3</v>
      </c>
    </row>
    <row r="6015" spans="1:3" x14ac:dyDescent="0.25">
      <c r="A6015">
        <v>278</v>
      </c>
      <c r="B6015">
        <v>262</v>
      </c>
      <c r="C6015">
        <v>3</v>
      </c>
    </row>
    <row r="6016" spans="1:3" x14ac:dyDescent="0.25">
      <c r="A6016">
        <v>27</v>
      </c>
      <c r="B6016">
        <v>263</v>
      </c>
      <c r="C6016">
        <v>2</v>
      </c>
    </row>
    <row r="6017" spans="1:3" x14ac:dyDescent="0.25">
      <c r="A6017">
        <v>30</v>
      </c>
      <c r="B6017">
        <v>263</v>
      </c>
      <c r="C6017">
        <v>2</v>
      </c>
    </row>
    <row r="6018" spans="1:3" x14ac:dyDescent="0.25">
      <c r="A6018">
        <v>54</v>
      </c>
      <c r="B6018">
        <v>263</v>
      </c>
      <c r="C6018">
        <v>5</v>
      </c>
    </row>
    <row r="6019" spans="1:3" x14ac:dyDescent="0.25">
      <c r="A6019">
        <v>62</v>
      </c>
      <c r="B6019">
        <v>263</v>
      </c>
      <c r="C6019">
        <v>2</v>
      </c>
    </row>
    <row r="6020" spans="1:3" x14ac:dyDescent="0.25">
      <c r="A6020">
        <v>65</v>
      </c>
      <c r="B6020">
        <v>263</v>
      </c>
      <c r="C6020">
        <v>5</v>
      </c>
    </row>
    <row r="6021" spans="1:3" x14ac:dyDescent="0.25">
      <c r="A6021">
        <v>82</v>
      </c>
      <c r="B6021">
        <v>263</v>
      </c>
      <c r="C6021">
        <v>3</v>
      </c>
    </row>
    <row r="6022" spans="1:3" x14ac:dyDescent="0.25">
      <c r="A6022">
        <v>90</v>
      </c>
      <c r="B6022">
        <v>263</v>
      </c>
      <c r="C6022">
        <v>2</v>
      </c>
    </row>
    <row r="6023" spans="1:3" x14ac:dyDescent="0.25">
      <c r="A6023">
        <v>90</v>
      </c>
      <c r="B6023">
        <v>263</v>
      </c>
      <c r="C6023">
        <v>5</v>
      </c>
    </row>
    <row r="6024" spans="1:3" x14ac:dyDescent="0.25">
      <c r="A6024">
        <v>97</v>
      </c>
      <c r="B6024">
        <v>263</v>
      </c>
      <c r="C6024">
        <v>5</v>
      </c>
    </row>
    <row r="6025" spans="1:3" x14ac:dyDescent="0.25">
      <c r="A6025">
        <v>114</v>
      </c>
      <c r="B6025">
        <v>263</v>
      </c>
      <c r="C6025">
        <v>5</v>
      </c>
    </row>
    <row r="6026" spans="1:3" x14ac:dyDescent="0.25">
      <c r="A6026">
        <v>116</v>
      </c>
      <c r="B6026">
        <v>263</v>
      </c>
      <c r="C6026">
        <v>2</v>
      </c>
    </row>
    <row r="6027" spans="1:3" x14ac:dyDescent="0.25">
      <c r="A6027">
        <v>146</v>
      </c>
      <c r="B6027">
        <v>263</v>
      </c>
      <c r="C6027">
        <v>4</v>
      </c>
    </row>
    <row r="6028" spans="1:3" x14ac:dyDescent="0.25">
      <c r="A6028">
        <v>171</v>
      </c>
      <c r="B6028">
        <v>263</v>
      </c>
      <c r="C6028">
        <v>5</v>
      </c>
    </row>
    <row r="6029" spans="1:3" x14ac:dyDescent="0.25">
      <c r="A6029">
        <v>192</v>
      </c>
      <c r="B6029">
        <v>263</v>
      </c>
      <c r="C6029">
        <v>5</v>
      </c>
    </row>
    <row r="6030" spans="1:3" x14ac:dyDescent="0.25">
      <c r="A6030">
        <v>194</v>
      </c>
      <c r="B6030">
        <v>263</v>
      </c>
      <c r="C6030">
        <v>4</v>
      </c>
    </row>
    <row r="6031" spans="1:3" x14ac:dyDescent="0.25">
      <c r="A6031">
        <v>235</v>
      </c>
      <c r="B6031">
        <v>263</v>
      </c>
      <c r="C6031">
        <v>3</v>
      </c>
    </row>
    <row r="6032" spans="1:3" x14ac:dyDescent="0.25">
      <c r="A6032">
        <v>242</v>
      </c>
      <c r="B6032">
        <v>263</v>
      </c>
      <c r="C6032">
        <v>2</v>
      </c>
    </row>
    <row r="6033" spans="1:3" x14ac:dyDescent="0.25">
      <c r="A6033">
        <v>262</v>
      </c>
      <c r="B6033">
        <v>263</v>
      </c>
      <c r="C6033">
        <v>2</v>
      </c>
    </row>
    <row r="6034" spans="1:3" x14ac:dyDescent="0.25">
      <c r="A6034">
        <v>281</v>
      </c>
      <c r="B6034">
        <v>263</v>
      </c>
      <c r="C6034">
        <v>4</v>
      </c>
    </row>
    <row r="6035" spans="1:3" x14ac:dyDescent="0.25">
      <c r="A6035">
        <v>286</v>
      </c>
      <c r="B6035">
        <v>263</v>
      </c>
      <c r="C6035">
        <v>4</v>
      </c>
    </row>
    <row r="6036" spans="1:3" x14ac:dyDescent="0.25">
      <c r="A6036">
        <v>289</v>
      </c>
      <c r="B6036">
        <v>263</v>
      </c>
      <c r="C6036">
        <v>3</v>
      </c>
    </row>
    <row r="6037" spans="1:3" x14ac:dyDescent="0.25">
      <c r="A6037">
        <v>9</v>
      </c>
      <c r="B6037">
        <v>264</v>
      </c>
      <c r="C6037">
        <v>3</v>
      </c>
    </row>
    <row r="6038" spans="1:3" x14ac:dyDescent="0.25">
      <c r="A6038">
        <v>16</v>
      </c>
      <c r="B6038">
        <v>264</v>
      </c>
      <c r="C6038">
        <v>2</v>
      </c>
    </row>
    <row r="6039" spans="1:3" x14ac:dyDescent="0.25">
      <c r="A6039">
        <v>24</v>
      </c>
      <c r="B6039">
        <v>264</v>
      </c>
      <c r="C6039">
        <v>2</v>
      </c>
    </row>
    <row r="6040" spans="1:3" x14ac:dyDescent="0.25">
      <c r="A6040">
        <v>33</v>
      </c>
      <c r="B6040">
        <v>264</v>
      </c>
      <c r="C6040">
        <v>2</v>
      </c>
    </row>
    <row r="6041" spans="1:3" x14ac:dyDescent="0.25">
      <c r="A6041">
        <v>38</v>
      </c>
      <c r="B6041">
        <v>264</v>
      </c>
      <c r="C6041">
        <v>3</v>
      </c>
    </row>
    <row r="6042" spans="1:3" x14ac:dyDescent="0.25">
      <c r="A6042">
        <v>48</v>
      </c>
      <c r="B6042">
        <v>264</v>
      </c>
      <c r="C6042">
        <v>4</v>
      </c>
    </row>
    <row r="6043" spans="1:3" x14ac:dyDescent="0.25">
      <c r="A6043">
        <v>56</v>
      </c>
      <c r="B6043">
        <v>264</v>
      </c>
      <c r="C6043">
        <v>2</v>
      </c>
    </row>
    <row r="6044" spans="1:3" x14ac:dyDescent="0.25">
      <c r="A6044">
        <v>85</v>
      </c>
      <c r="B6044">
        <v>264</v>
      </c>
      <c r="C6044">
        <v>2</v>
      </c>
    </row>
    <row r="6045" spans="1:3" x14ac:dyDescent="0.25">
      <c r="A6045">
        <v>93</v>
      </c>
      <c r="B6045">
        <v>264</v>
      </c>
      <c r="C6045">
        <v>2</v>
      </c>
    </row>
    <row r="6046" spans="1:3" x14ac:dyDescent="0.25">
      <c r="A6046">
        <v>96</v>
      </c>
      <c r="B6046">
        <v>264</v>
      </c>
      <c r="C6046">
        <v>4</v>
      </c>
    </row>
    <row r="6047" spans="1:3" x14ac:dyDescent="0.25">
      <c r="A6047">
        <v>141</v>
      </c>
      <c r="B6047">
        <v>264</v>
      </c>
      <c r="C6047">
        <v>4</v>
      </c>
    </row>
    <row r="6048" spans="1:3" x14ac:dyDescent="0.25">
      <c r="A6048">
        <v>153</v>
      </c>
      <c r="B6048">
        <v>264</v>
      </c>
      <c r="C6048">
        <v>3</v>
      </c>
    </row>
    <row r="6049" spans="1:3" x14ac:dyDescent="0.25">
      <c r="A6049">
        <v>164</v>
      </c>
      <c r="B6049">
        <v>264</v>
      </c>
      <c r="C6049">
        <v>4</v>
      </c>
    </row>
    <row r="6050" spans="1:3" x14ac:dyDescent="0.25">
      <c r="A6050">
        <v>170</v>
      </c>
      <c r="B6050">
        <v>264</v>
      </c>
      <c r="C6050">
        <v>2</v>
      </c>
    </row>
    <row r="6051" spans="1:3" x14ac:dyDescent="0.25">
      <c r="A6051">
        <v>171</v>
      </c>
      <c r="B6051">
        <v>264</v>
      </c>
      <c r="C6051">
        <v>3</v>
      </c>
    </row>
    <row r="6052" spans="1:3" x14ac:dyDescent="0.25">
      <c r="A6052">
        <v>176</v>
      </c>
      <c r="B6052">
        <v>264</v>
      </c>
      <c r="C6052">
        <v>1</v>
      </c>
    </row>
    <row r="6053" spans="1:3" x14ac:dyDescent="0.25">
      <c r="A6053">
        <v>209</v>
      </c>
      <c r="B6053">
        <v>264</v>
      </c>
      <c r="C6053">
        <v>4</v>
      </c>
    </row>
    <row r="6054" spans="1:3" x14ac:dyDescent="0.25">
      <c r="A6054">
        <v>238</v>
      </c>
      <c r="B6054">
        <v>264</v>
      </c>
      <c r="C6054">
        <v>4</v>
      </c>
    </row>
    <row r="6055" spans="1:3" x14ac:dyDescent="0.25">
      <c r="A6055">
        <v>244</v>
      </c>
      <c r="B6055">
        <v>264</v>
      </c>
      <c r="C6055">
        <v>3</v>
      </c>
    </row>
    <row r="6056" spans="1:3" x14ac:dyDescent="0.25">
      <c r="A6056">
        <v>253</v>
      </c>
      <c r="B6056">
        <v>264</v>
      </c>
      <c r="C6056">
        <v>3</v>
      </c>
    </row>
    <row r="6057" spans="1:3" x14ac:dyDescent="0.25">
      <c r="A6057">
        <v>277</v>
      </c>
      <c r="B6057">
        <v>264</v>
      </c>
      <c r="C6057">
        <v>3</v>
      </c>
    </row>
    <row r="6058" spans="1:3" x14ac:dyDescent="0.25">
      <c r="A6058">
        <v>288</v>
      </c>
      <c r="B6058">
        <v>264</v>
      </c>
      <c r="C6058">
        <v>5</v>
      </c>
    </row>
    <row r="6059" spans="1:3" x14ac:dyDescent="0.25">
      <c r="A6059">
        <v>289</v>
      </c>
      <c r="B6059">
        <v>264</v>
      </c>
      <c r="C6059">
        <v>5</v>
      </c>
    </row>
    <row r="6060" spans="1:3" x14ac:dyDescent="0.25">
      <c r="A6060">
        <v>291</v>
      </c>
      <c r="B6060">
        <v>264</v>
      </c>
      <c r="C6060">
        <v>4</v>
      </c>
    </row>
    <row r="6061" spans="1:3" x14ac:dyDescent="0.25">
      <c r="A6061">
        <v>1</v>
      </c>
      <c r="B6061">
        <v>265</v>
      </c>
      <c r="C6061">
        <v>5</v>
      </c>
    </row>
    <row r="6062" spans="1:3" x14ac:dyDescent="0.25">
      <c r="A6062">
        <v>9</v>
      </c>
      <c r="B6062">
        <v>265</v>
      </c>
      <c r="C6062">
        <v>4</v>
      </c>
    </row>
    <row r="6063" spans="1:3" x14ac:dyDescent="0.25">
      <c r="A6063">
        <v>12</v>
      </c>
      <c r="B6063">
        <v>265</v>
      </c>
      <c r="C6063">
        <v>4</v>
      </c>
    </row>
    <row r="6064" spans="1:3" x14ac:dyDescent="0.25">
      <c r="A6064">
        <v>13</v>
      </c>
      <c r="B6064">
        <v>265</v>
      </c>
      <c r="C6064">
        <v>4</v>
      </c>
    </row>
    <row r="6065" spans="1:3" x14ac:dyDescent="0.25">
      <c r="A6065">
        <v>17</v>
      </c>
      <c r="B6065">
        <v>265</v>
      </c>
      <c r="C6065">
        <v>4</v>
      </c>
    </row>
    <row r="6066" spans="1:3" x14ac:dyDescent="0.25">
      <c r="A6066">
        <v>33</v>
      </c>
      <c r="B6066">
        <v>265</v>
      </c>
      <c r="C6066">
        <v>4</v>
      </c>
    </row>
    <row r="6067" spans="1:3" x14ac:dyDescent="0.25">
      <c r="A6067">
        <v>38</v>
      </c>
      <c r="B6067">
        <v>265</v>
      </c>
      <c r="C6067">
        <v>4</v>
      </c>
    </row>
    <row r="6068" spans="1:3" x14ac:dyDescent="0.25">
      <c r="A6068">
        <v>42</v>
      </c>
      <c r="B6068">
        <v>265</v>
      </c>
      <c r="C6068">
        <v>2</v>
      </c>
    </row>
    <row r="6069" spans="1:3" x14ac:dyDescent="0.25">
      <c r="A6069">
        <v>63</v>
      </c>
      <c r="B6069">
        <v>265</v>
      </c>
      <c r="C6069">
        <v>3</v>
      </c>
    </row>
    <row r="6070" spans="1:3" x14ac:dyDescent="0.25">
      <c r="A6070">
        <v>94</v>
      </c>
      <c r="B6070">
        <v>265</v>
      </c>
      <c r="C6070">
        <v>1</v>
      </c>
    </row>
    <row r="6071" spans="1:3" x14ac:dyDescent="0.25">
      <c r="A6071">
        <v>104</v>
      </c>
      <c r="B6071">
        <v>265</v>
      </c>
      <c r="C6071">
        <v>2</v>
      </c>
    </row>
    <row r="6072" spans="1:3" x14ac:dyDescent="0.25">
      <c r="A6072">
        <v>107</v>
      </c>
      <c r="B6072">
        <v>265</v>
      </c>
      <c r="C6072">
        <v>5</v>
      </c>
    </row>
    <row r="6073" spans="1:3" x14ac:dyDescent="0.25">
      <c r="A6073">
        <v>118</v>
      </c>
      <c r="B6073">
        <v>265</v>
      </c>
      <c r="C6073">
        <v>4</v>
      </c>
    </row>
    <row r="6074" spans="1:3" x14ac:dyDescent="0.25">
      <c r="A6074">
        <v>122</v>
      </c>
      <c r="B6074">
        <v>265</v>
      </c>
      <c r="C6074">
        <v>1</v>
      </c>
    </row>
    <row r="6075" spans="1:3" x14ac:dyDescent="0.25">
      <c r="A6075">
        <v>166</v>
      </c>
      <c r="B6075">
        <v>265</v>
      </c>
      <c r="C6075">
        <v>3</v>
      </c>
    </row>
    <row r="6076" spans="1:3" x14ac:dyDescent="0.25">
      <c r="A6076">
        <v>167</v>
      </c>
      <c r="B6076">
        <v>265</v>
      </c>
      <c r="C6076">
        <v>3</v>
      </c>
    </row>
    <row r="6077" spans="1:3" x14ac:dyDescent="0.25">
      <c r="A6077">
        <v>170</v>
      </c>
      <c r="B6077">
        <v>265</v>
      </c>
      <c r="C6077">
        <v>2</v>
      </c>
    </row>
    <row r="6078" spans="1:3" x14ac:dyDescent="0.25">
      <c r="A6078">
        <v>182</v>
      </c>
      <c r="B6078">
        <v>265</v>
      </c>
      <c r="C6078">
        <v>2</v>
      </c>
    </row>
    <row r="6079" spans="1:3" x14ac:dyDescent="0.25">
      <c r="A6079">
        <v>186</v>
      </c>
      <c r="B6079">
        <v>265</v>
      </c>
      <c r="C6079">
        <v>4</v>
      </c>
    </row>
    <row r="6080" spans="1:3" x14ac:dyDescent="0.25">
      <c r="A6080">
        <v>200</v>
      </c>
      <c r="B6080">
        <v>265</v>
      </c>
      <c r="C6080">
        <v>1</v>
      </c>
    </row>
    <row r="6081" spans="1:3" x14ac:dyDescent="0.25">
      <c r="A6081">
        <v>204</v>
      </c>
      <c r="B6081">
        <v>265</v>
      </c>
      <c r="C6081">
        <v>2</v>
      </c>
    </row>
    <row r="6082" spans="1:3" x14ac:dyDescent="0.25">
      <c r="A6082">
        <v>204</v>
      </c>
      <c r="B6082">
        <v>265</v>
      </c>
      <c r="C6082">
        <v>3</v>
      </c>
    </row>
    <row r="6083" spans="1:3" x14ac:dyDescent="0.25">
      <c r="A6083">
        <v>208</v>
      </c>
      <c r="B6083">
        <v>265</v>
      </c>
      <c r="C6083">
        <v>4</v>
      </c>
    </row>
    <row r="6084" spans="1:3" x14ac:dyDescent="0.25">
      <c r="A6084">
        <v>214</v>
      </c>
      <c r="B6084">
        <v>265</v>
      </c>
      <c r="C6084">
        <v>3</v>
      </c>
    </row>
    <row r="6085" spans="1:3" x14ac:dyDescent="0.25">
      <c r="A6085">
        <v>239</v>
      </c>
      <c r="B6085">
        <v>265</v>
      </c>
      <c r="C6085">
        <v>4</v>
      </c>
    </row>
    <row r="6086" spans="1:3" x14ac:dyDescent="0.25">
      <c r="A6086">
        <v>243</v>
      </c>
      <c r="B6086">
        <v>265</v>
      </c>
      <c r="C6086">
        <v>2</v>
      </c>
    </row>
    <row r="6087" spans="1:3" x14ac:dyDescent="0.25">
      <c r="A6087">
        <v>248</v>
      </c>
      <c r="B6087">
        <v>265</v>
      </c>
      <c r="C6087">
        <v>4</v>
      </c>
    </row>
    <row r="6088" spans="1:3" x14ac:dyDescent="0.25">
      <c r="A6088">
        <v>261</v>
      </c>
      <c r="B6088">
        <v>265</v>
      </c>
      <c r="C6088">
        <v>3</v>
      </c>
    </row>
    <row r="6089" spans="1:3" x14ac:dyDescent="0.25">
      <c r="A6089">
        <v>267</v>
      </c>
      <c r="B6089">
        <v>265</v>
      </c>
      <c r="C6089">
        <v>3</v>
      </c>
    </row>
    <row r="6090" spans="1:3" x14ac:dyDescent="0.25">
      <c r="A6090">
        <v>268</v>
      </c>
      <c r="B6090">
        <v>265</v>
      </c>
      <c r="C6090">
        <v>2</v>
      </c>
    </row>
    <row r="6091" spans="1:3" x14ac:dyDescent="0.25">
      <c r="A6091">
        <v>284</v>
      </c>
      <c r="B6091">
        <v>265</v>
      </c>
      <c r="C6091">
        <v>3</v>
      </c>
    </row>
    <row r="6092" spans="1:3" x14ac:dyDescent="0.25">
      <c r="A6092">
        <v>6</v>
      </c>
      <c r="B6092">
        <v>266</v>
      </c>
      <c r="C6092">
        <v>3</v>
      </c>
    </row>
    <row r="6093" spans="1:3" x14ac:dyDescent="0.25">
      <c r="A6093">
        <v>16</v>
      </c>
      <c r="B6093">
        <v>266</v>
      </c>
      <c r="C6093">
        <v>4</v>
      </c>
    </row>
    <row r="6094" spans="1:3" x14ac:dyDescent="0.25">
      <c r="A6094">
        <v>29</v>
      </c>
      <c r="B6094">
        <v>266</v>
      </c>
      <c r="C6094">
        <v>2</v>
      </c>
    </row>
    <row r="6095" spans="1:3" x14ac:dyDescent="0.25">
      <c r="A6095">
        <v>34</v>
      </c>
      <c r="B6095">
        <v>266</v>
      </c>
      <c r="C6095">
        <v>3</v>
      </c>
    </row>
    <row r="6096" spans="1:3" x14ac:dyDescent="0.25">
      <c r="A6096">
        <v>57</v>
      </c>
      <c r="B6096">
        <v>266</v>
      </c>
      <c r="C6096">
        <v>3</v>
      </c>
    </row>
    <row r="6097" spans="1:3" x14ac:dyDescent="0.25">
      <c r="A6097">
        <v>72</v>
      </c>
      <c r="B6097">
        <v>266</v>
      </c>
      <c r="C6097">
        <v>5</v>
      </c>
    </row>
    <row r="6098" spans="1:3" x14ac:dyDescent="0.25">
      <c r="A6098">
        <v>76</v>
      </c>
      <c r="B6098">
        <v>266</v>
      </c>
      <c r="C6098">
        <v>1</v>
      </c>
    </row>
    <row r="6099" spans="1:3" x14ac:dyDescent="0.25">
      <c r="A6099">
        <v>81</v>
      </c>
      <c r="B6099">
        <v>266</v>
      </c>
      <c r="C6099">
        <v>1</v>
      </c>
    </row>
    <row r="6100" spans="1:3" x14ac:dyDescent="0.25">
      <c r="A6100">
        <v>84</v>
      </c>
      <c r="B6100">
        <v>266</v>
      </c>
      <c r="C6100">
        <v>1</v>
      </c>
    </row>
    <row r="6101" spans="1:3" x14ac:dyDescent="0.25">
      <c r="A6101">
        <v>92</v>
      </c>
      <c r="B6101">
        <v>266</v>
      </c>
      <c r="C6101">
        <v>1</v>
      </c>
    </row>
    <row r="6102" spans="1:3" x14ac:dyDescent="0.25">
      <c r="A6102">
        <v>95</v>
      </c>
      <c r="B6102">
        <v>266</v>
      </c>
      <c r="C6102">
        <v>4</v>
      </c>
    </row>
    <row r="6103" spans="1:3" x14ac:dyDescent="0.25">
      <c r="A6103">
        <v>97</v>
      </c>
      <c r="B6103">
        <v>266</v>
      </c>
      <c r="C6103">
        <v>1</v>
      </c>
    </row>
    <row r="6104" spans="1:3" x14ac:dyDescent="0.25">
      <c r="A6104">
        <v>97</v>
      </c>
      <c r="B6104">
        <v>266</v>
      </c>
      <c r="C6104">
        <v>4</v>
      </c>
    </row>
    <row r="6105" spans="1:3" x14ac:dyDescent="0.25">
      <c r="A6105">
        <v>167</v>
      </c>
      <c r="B6105">
        <v>266</v>
      </c>
      <c r="C6105">
        <v>2</v>
      </c>
    </row>
    <row r="6106" spans="1:3" x14ac:dyDescent="0.25">
      <c r="A6106">
        <v>182</v>
      </c>
      <c r="B6106">
        <v>266</v>
      </c>
      <c r="C6106">
        <v>3</v>
      </c>
    </row>
    <row r="6107" spans="1:3" x14ac:dyDescent="0.25">
      <c r="A6107">
        <v>202</v>
      </c>
      <c r="B6107">
        <v>266</v>
      </c>
      <c r="C6107">
        <v>1</v>
      </c>
    </row>
    <row r="6108" spans="1:3" x14ac:dyDescent="0.25">
      <c r="A6108">
        <v>204</v>
      </c>
      <c r="B6108">
        <v>266</v>
      </c>
      <c r="C6108">
        <v>4</v>
      </c>
    </row>
    <row r="6109" spans="1:3" x14ac:dyDescent="0.25">
      <c r="A6109">
        <v>206</v>
      </c>
      <c r="B6109">
        <v>266</v>
      </c>
      <c r="C6109">
        <v>5</v>
      </c>
    </row>
    <row r="6110" spans="1:3" x14ac:dyDescent="0.25">
      <c r="A6110">
        <v>206</v>
      </c>
      <c r="B6110">
        <v>266</v>
      </c>
      <c r="C6110">
        <v>4</v>
      </c>
    </row>
    <row r="6111" spans="1:3" x14ac:dyDescent="0.25">
      <c r="A6111">
        <v>211</v>
      </c>
      <c r="B6111">
        <v>266</v>
      </c>
      <c r="C6111">
        <v>2</v>
      </c>
    </row>
    <row r="6112" spans="1:3" x14ac:dyDescent="0.25">
      <c r="A6112">
        <v>230</v>
      </c>
      <c r="B6112">
        <v>266</v>
      </c>
      <c r="C6112">
        <v>3</v>
      </c>
    </row>
    <row r="6113" spans="1:3" x14ac:dyDescent="0.25">
      <c r="A6113">
        <v>277</v>
      </c>
      <c r="B6113">
        <v>266</v>
      </c>
      <c r="C6113">
        <v>1</v>
      </c>
    </row>
    <row r="6114" spans="1:3" x14ac:dyDescent="0.25">
      <c r="A6114">
        <v>279</v>
      </c>
      <c r="B6114">
        <v>266</v>
      </c>
      <c r="C6114">
        <v>4</v>
      </c>
    </row>
    <row r="6115" spans="1:3" x14ac:dyDescent="0.25">
      <c r="A6115">
        <v>287</v>
      </c>
      <c r="B6115">
        <v>266</v>
      </c>
      <c r="C6115">
        <v>2</v>
      </c>
    </row>
    <row r="6116" spans="1:3" x14ac:dyDescent="0.25">
      <c r="A6116">
        <v>295</v>
      </c>
      <c r="B6116">
        <v>266</v>
      </c>
      <c r="C6116">
        <v>5</v>
      </c>
    </row>
    <row r="6117" spans="1:3" x14ac:dyDescent="0.25">
      <c r="A6117">
        <v>8</v>
      </c>
      <c r="B6117">
        <v>267</v>
      </c>
      <c r="C6117">
        <v>4</v>
      </c>
    </row>
    <row r="6118" spans="1:3" x14ac:dyDescent="0.25">
      <c r="A6118">
        <v>17</v>
      </c>
      <c r="B6118">
        <v>267</v>
      </c>
      <c r="C6118">
        <v>5</v>
      </c>
    </row>
    <row r="6119" spans="1:3" x14ac:dyDescent="0.25">
      <c r="A6119">
        <v>29</v>
      </c>
      <c r="B6119">
        <v>267</v>
      </c>
      <c r="C6119">
        <v>5</v>
      </c>
    </row>
    <row r="6120" spans="1:3" x14ac:dyDescent="0.25">
      <c r="A6120">
        <v>31</v>
      </c>
      <c r="B6120">
        <v>267</v>
      </c>
      <c r="C6120">
        <v>4</v>
      </c>
    </row>
    <row r="6121" spans="1:3" x14ac:dyDescent="0.25">
      <c r="A6121">
        <v>37</v>
      </c>
      <c r="B6121">
        <v>267</v>
      </c>
      <c r="C6121">
        <v>4</v>
      </c>
    </row>
    <row r="6122" spans="1:3" x14ac:dyDescent="0.25">
      <c r="A6122">
        <v>42</v>
      </c>
      <c r="B6122">
        <v>267</v>
      </c>
      <c r="C6122">
        <v>3</v>
      </c>
    </row>
    <row r="6123" spans="1:3" x14ac:dyDescent="0.25">
      <c r="A6123">
        <v>56</v>
      </c>
      <c r="B6123">
        <v>267</v>
      </c>
      <c r="C6123">
        <v>4</v>
      </c>
    </row>
    <row r="6124" spans="1:3" x14ac:dyDescent="0.25">
      <c r="A6124">
        <v>69</v>
      </c>
      <c r="B6124">
        <v>267</v>
      </c>
      <c r="C6124">
        <v>2</v>
      </c>
    </row>
    <row r="6125" spans="1:3" x14ac:dyDescent="0.25">
      <c r="A6125">
        <v>109</v>
      </c>
      <c r="B6125">
        <v>267</v>
      </c>
      <c r="C6125">
        <v>4</v>
      </c>
    </row>
    <row r="6126" spans="1:3" x14ac:dyDescent="0.25">
      <c r="A6126">
        <v>112</v>
      </c>
      <c r="B6126">
        <v>267</v>
      </c>
      <c r="C6126">
        <v>1</v>
      </c>
    </row>
    <row r="6127" spans="1:3" x14ac:dyDescent="0.25">
      <c r="A6127">
        <v>170</v>
      </c>
      <c r="B6127">
        <v>267</v>
      </c>
      <c r="C6127">
        <v>1</v>
      </c>
    </row>
    <row r="6128" spans="1:3" x14ac:dyDescent="0.25">
      <c r="A6128">
        <v>189</v>
      </c>
      <c r="B6128">
        <v>267</v>
      </c>
      <c r="C6128">
        <v>1</v>
      </c>
    </row>
    <row r="6129" spans="1:3" x14ac:dyDescent="0.25">
      <c r="A6129">
        <v>203</v>
      </c>
      <c r="B6129">
        <v>267</v>
      </c>
      <c r="C6129">
        <v>2</v>
      </c>
    </row>
    <row r="6130" spans="1:3" x14ac:dyDescent="0.25">
      <c r="A6130">
        <v>209</v>
      </c>
      <c r="B6130">
        <v>267</v>
      </c>
      <c r="C6130">
        <v>4</v>
      </c>
    </row>
    <row r="6131" spans="1:3" x14ac:dyDescent="0.25">
      <c r="A6131">
        <v>228</v>
      </c>
      <c r="B6131">
        <v>267</v>
      </c>
      <c r="C6131">
        <v>3</v>
      </c>
    </row>
    <row r="6132" spans="1:3" x14ac:dyDescent="0.25">
      <c r="A6132">
        <v>235</v>
      </c>
      <c r="B6132">
        <v>267</v>
      </c>
      <c r="C6132">
        <v>1</v>
      </c>
    </row>
    <row r="6133" spans="1:3" x14ac:dyDescent="0.25">
      <c r="A6133">
        <v>255</v>
      </c>
      <c r="B6133">
        <v>267</v>
      </c>
      <c r="C6133">
        <v>1</v>
      </c>
    </row>
    <row r="6134" spans="1:3" x14ac:dyDescent="0.25">
      <c r="A6134">
        <v>255</v>
      </c>
      <c r="B6134">
        <v>267</v>
      </c>
      <c r="C6134">
        <v>1</v>
      </c>
    </row>
    <row r="6135" spans="1:3" x14ac:dyDescent="0.25">
      <c r="A6135">
        <v>299</v>
      </c>
      <c r="B6135">
        <v>267</v>
      </c>
      <c r="C6135">
        <v>4</v>
      </c>
    </row>
    <row r="6136" spans="1:3" x14ac:dyDescent="0.25">
      <c r="A6136">
        <v>4</v>
      </c>
      <c r="B6136">
        <v>268</v>
      </c>
      <c r="C6136">
        <v>4</v>
      </c>
    </row>
    <row r="6137" spans="1:3" x14ac:dyDescent="0.25">
      <c r="A6137">
        <v>10</v>
      </c>
      <c r="B6137">
        <v>268</v>
      </c>
      <c r="C6137">
        <v>3</v>
      </c>
    </row>
    <row r="6138" spans="1:3" x14ac:dyDescent="0.25">
      <c r="A6138">
        <v>25</v>
      </c>
      <c r="B6138">
        <v>268</v>
      </c>
      <c r="C6138">
        <v>3</v>
      </c>
    </row>
    <row r="6139" spans="1:3" x14ac:dyDescent="0.25">
      <c r="A6139">
        <v>33</v>
      </c>
      <c r="B6139">
        <v>268</v>
      </c>
      <c r="C6139">
        <v>3</v>
      </c>
    </row>
    <row r="6140" spans="1:3" x14ac:dyDescent="0.25">
      <c r="A6140">
        <v>51</v>
      </c>
      <c r="B6140">
        <v>268</v>
      </c>
      <c r="C6140">
        <v>5</v>
      </c>
    </row>
    <row r="6141" spans="1:3" x14ac:dyDescent="0.25">
      <c r="A6141">
        <v>54</v>
      </c>
      <c r="B6141">
        <v>268</v>
      </c>
      <c r="C6141">
        <v>2</v>
      </c>
    </row>
    <row r="6142" spans="1:3" x14ac:dyDescent="0.25">
      <c r="A6142">
        <v>94</v>
      </c>
      <c r="B6142">
        <v>268</v>
      </c>
      <c r="C6142">
        <v>3</v>
      </c>
    </row>
    <row r="6143" spans="1:3" x14ac:dyDescent="0.25">
      <c r="A6143">
        <v>95</v>
      </c>
      <c r="B6143">
        <v>268</v>
      </c>
      <c r="C6143">
        <v>1</v>
      </c>
    </row>
    <row r="6144" spans="1:3" x14ac:dyDescent="0.25">
      <c r="A6144">
        <v>107</v>
      </c>
      <c r="B6144">
        <v>268</v>
      </c>
      <c r="C6144">
        <v>4</v>
      </c>
    </row>
    <row r="6145" spans="1:3" x14ac:dyDescent="0.25">
      <c r="A6145">
        <v>142</v>
      </c>
      <c r="B6145">
        <v>268</v>
      </c>
      <c r="C6145">
        <v>2</v>
      </c>
    </row>
    <row r="6146" spans="1:3" x14ac:dyDescent="0.25">
      <c r="A6146">
        <v>160</v>
      </c>
      <c r="B6146">
        <v>268</v>
      </c>
      <c r="C6146">
        <v>2</v>
      </c>
    </row>
    <row r="6147" spans="1:3" x14ac:dyDescent="0.25">
      <c r="A6147">
        <v>197</v>
      </c>
      <c r="B6147">
        <v>268</v>
      </c>
      <c r="C6147">
        <v>3</v>
      </c>
    </row>
    <row r="6148" spans="1:3" x14ac:dyDescent="0.25">
      <c r="A6148">
        <v>213</v>
      </c>
      <c r="B6148">
        <v>268</v>
      </c>
      <c r="C6148">
        <v>5</v>
      </c>
    </row>
    <row r="6149" spans="1:3" x14ac:dyDescent="0.25">
      <c r="A6149">
        <v>214</v>
      </c>
      <c r="B6149">
        <v>268</v>
      </c>
      <c r="C6149">
        <v>5</v>
      </c>
    </row>
    <row r="6150" spans="1:3" x14ac:dyDescent="0.25">
      <c r="A6150">
        <v>217</v>
      </c>
      <c r="B6150">
        <v>268</v>
      </c>
      <c r="C6150">
        <v>1</v>
      </c>
    </row>
    <row r="6151" spans="1:3" x14ac:dyDescent="0.25">
      <c r="A6151">
        <v>224</v>
      </c>
      <c r="B6151">
        <v>268</v>
      </c>
      <c r="C6151">
        <v>2</v>
      </c>
    </row>
    <row r="6152" spans="1:3" x14ac:dyDescent="0.25">
      <c r="A6152">
        <v>263</v>
      </c>
      <c r="B6152">
        <v>268</v>
      </c>
      <c r="C6152">
        <v>3</v>
      </c>
    </row>
    <row r="6153" spans="1:3" x14ac:dyDescent="0.25">
      <c r="A6153">
        <v>266</v>
      </c>
      <c r="B6153">
        <v>268</v>
      </c>
      <c r="C6153">
        <v>1</v>
      </c>
    </row>
    <row r="6154" spans="1:3" x14ac:dyDescent="0.25">
      <c r="A6154">
        <v>266</v>
      </c>
      <c r="B6154">
        <v>268</v>
      </c>
      <c r="C6154">
        <v>4</v>
      </c>
    </row>
    <row r="6155" spans="1:3" x14ac:dyDescent="0.25">
      <c r="A6155">
        <v>267</v>
      </c>
      <c r="B6155">
        <v>268</v>
      </c>
      <c r="C6155">
        <v>2</v>
      </c>
    </row>
    <row r="6156" spans="1:3" x14ac:dyDescent="0.25">
      <c r="A6156">
        <v>286</v>
      </c>
      <c r="B6156">
        <v>268</v>
      </c>
      <c r="C6156">
        <v>4</v>
      </c>
    </row>
    <row r="6157" spans="1:3" x14ac:dyDescent="0.25">
      <c r="A6157">
        <v>294</v>
      </c>
      <c r="B6157">
        <v>268</v>
      </c>
      <c r="C6157">
        <v>2</v>
      </c>
    </row>
    <row r="6158" spans="1:3" x14ac:dyDescent="0.25">
      <c r="A6158">
        <v>294</v>
      </c>
      <c r="B6158">
        <v>268</v>
      </c>
      <c r="C6158">
        <v>3</v>
      </c>
    </row>
    <row r="6159" spans="1:3" x14ac:dyDescent="0.25">
      <c r="A6159">
        <v>298</v>
      </c>
      <c r="B6159">
        <v>268</v>
      </c>
      <c r="C6159">
        <v>2</v>
      </c>
    </row>
    <row r="6160" spans="1:3" x14ac:dyDescent="0.25">
      <c r="A6160">
        <v>7</v>
      </c>
      <c r="B6160">
        <v>269</v>
      </c>
      <c r="C6160">
        <v>3</v>
      </c>
    </row>
    <row r="6161" spans="1:3" x14ac:dyDescent="0.25">
      <c r="A6161">
        <v>28</v>
      </c>
      <c r="B6161">
        <v>269</v>
      </c>
      <c r="C6161">
        <v>4</v>
      </c>
    </row>
    <row r="6162" spans="1:3" x14ac:dyDescent="0.25">
      <c r="A6162">
        <v>30</v>
      </c>
      <c r="B6162">
        <v>269</v>
      </c>
      <c r="C6162">
        <v>3</v>
      </c>
    </row>
    <row r="6163" spans="1:3" x14ac:dyDescent="0.25">
      <c r="A6163">
        <v>38</v>
      </c>
      <c r="B6163">
        <v>269</v>
      </c>
      <c r="C6163">
        <v>3</v>
      </c>
    </row>
    <row r="6164" spans="1:3" x14ac:dyDescent="0.25">
      <c r="A6164">
        <v>39</v>
      </c>
      <c r="B6164">
        <v>269</v>
      </c>
      <c r="C6164">
        <v>3</v>
      </c>
    </row>
    <row r="6165" spans="1:3" x14ac:dyDescent="0.25">
      <c r="A6165">
        <v>45</v>
      </c>
      <c r="B6165">
        <v>269</v>
      </c>
      <c r="C6165">
        <v>2</v>
      </c>
    </row>
    <row r="6166" spans="1:3" x14ac:dyDescent="0.25">
      <c r="A6166">
        <v>57</v>
      </c>
      <c r="B6166">
        <v>269</v>
      </c>
      <c r="C6166">
        <v>1</v>
      </c>
    </row>
    <row r="6167" spans="1:3" x14ac:dyDescent="0.25">
      <c r="A6167">
        <v>63</v>
      </c>
      <c r="B6167">
        <v>269</v>
      </c>
      <c r="C6167">
        <v>3</v>
      </c>
    </row>
    <row r="6168" spans="1:3" x14ac:dyDescent="0.25">
      <c r="A6168">
        <v>93</v>
      </c>
      <c r="B6168">
        <v>269</v>
      </c>
      <c r="C6168">
        <v>2</v>
      </c>
    </row>
    <row r="6169" spans="1:3" x14ac:dyDescent="0.25">
      <c r="A6169">
        <v>119</v>
      </c>
      <c r="B6169">
        <v>269</v>
      </c>
      <c r="C6169">
        <v>2</v>
      </c>
    </row>
    <row r="6170" spans="1:3" x14ac:dyDescent="0.25">
      <c r="A6170">
        <v>124</v>
      </c>
      <c r="B6170">
        <v>269</v>
      </c>
      <c r="C6170">
        <v>2</v>
      </c>
    </row>
    <row r="6171" spans="1:3" x14ac:dyDescent="0.25">
      <c r="A6171">
        <v>153</v>
      </c>
      <c r="B6171">
        <v>269</v>
      </c>
      <c r="C6171">
        <v>3</v>
      </c>
    </row>
    <row r="6172" spans="1:3" x14ac:dyDescent="0.25">
      <c r="A6172">
        <v>171</v>
      </c>
      <c r="B6172">
        <v>269</v>
      </c>
      <c r="C6172">
        <v>3</v>
      </c>
    </row>
    <row r="6173" spans="1:3" x14ac:dyDescent="0.25">
      <c r="A6173">
        <v>174</v>
      </c>
      <c r="B6173">
        <v>269</v>
      </c>
      <c r="C6173">
        <v>5</v>
      </c>
    </row>
    <row r="6174" spans="1:3" x14ac:dyDescent="0.25">
      <c r="A6174">
        <v>184</v>
      </c>
      <c r="B6174">
        <v>269</v>
      </c>
      <c r="C6174">
        <v>2</v>
      </c>
    </row>
    <row r="6175" spans="1:3" x14ac:dyDescent="0.25">
      <c r="A6175">
        <v>206</v>
      </c>
      <c r="B6175">
        <v>269</v>
      </c>
      <c r="C6175">
        <v>2</v>
      </c>
    </row>
    <row r="6176" spans="1:3" x14ac:dyDescent="0.25">
      <c r="A6176">
        <v>228</v>
      </c>
      <c r="B6176">
        <v>269</v>
      </c>
      <c r="C6176">
        <v>2</v>
      </c>
    </row>
    <row r="6177" spans="1:3" x14ac:dyDescent="0.25">
      <c r="A6177">
        <v>231</v>
      </c>
      <c r="B6177">
        <v>269</v>
      </c>
      <c r="C6177">
        <v>2</v>
      </c>
    </row>
    <row r="6178" spans="1:3" x14ac:dyDescent="0.25">
      <c r="A6178">
        <v>234</v>
      </c>
      <c r="B6178">
        <v>269</v>
      </c>
      <c r="C6178">
        <v>4</v>
      </c>
    </row>
    <row r="6179" spans="1:3" x14ac:dyDescent="0.25">
      <c r="A6179">
        <v>236</v>
      </c>
      <c r="B6179">
        <v>269</v>
      </c>
      <c r="C6179">
        <v>5</v>
      </c>
    </row>
    <row r="6180" spans="1:3" x14ac:dyDescent="0.25">
      <c r="A6180">
        <v>247</v>
      </c>
      <c r="B6180">
        <v>269</v>
      </c>
      <c r="C6180">
        <v>5</v>
      </c>
    </row>
    <row r="6181" spans="1:3" x14ac:dyDescent="0.25">
      <c r="A6181">
        <v>257</v>
      </c>
      <c r="B6181">
        <v>269</v>
      </c>
      <c r="C6181">
        <v>4</v>
      </c>
    </row>
    <row r="6182" spans="1:3" x14ac:dyDescent="0.25">
      <c r="A6182">
        <v>262</v>
      </c>
      <c r="B6182">
        <v>269</v>
      </c>
      <c r="C6182">
        <v>3</v>
      </c>
    </row>
    <row r="6183" spans="1:3" x14ac:dyDescent="0.25">
      <c r="A6183">
        <v>279</v>
      </c>
      <c r="B6183">
        <v>269</v>
      </c>
      <c r="C6183">
        <v>4</v>
      </c>
    </row>
    <row r="6184" spans="1:3" x14ac:dyDescent="0.25">
      <c r="A6184">
        <v>287</v>
      </c>
      <c r="B6184">
        <v>269</v>
      </c>
      <c r="C6184">
        <v>3</v>
      </c>
    </row>
    <row r="6185" spans="1:3" x14ac:dyDescent="0.25">
      <c r="A6185">
        <v>288</v>
      </c>
      <c r="B6185">
        <v>269</v>
      </c>
      <c r="C6185">
        <v>1</v>
      </c>
    </row>
    <row r="6186" spans="1:3" x14ac:dyDescent="0.25">
      <c r="A6186">
        <v>16</v>
      </c>
      <c r="B6186">
        <v>270</v>
      </c>
      <c r="C6186">
        <v>5</v>
      </c>
    </row>
    <row r="6187" spans="1:3" x14ac:dyDescent="0.25">
      <c r="A6187">
        <v>48</v>
      </c>
      <c r="B6187">
        <v>270</v>
      </c>
      <c r="C6187">
        <v>4</v>
      </c>
    </row>
    <row r="6188" spans="1:3" x14ac:dyDescent="0.25">
      <c r="A6188">
        <v>97</v>
      </c>
      <c r="B6188">
        <v>270</v>
      </c>
      <c r="C6188">
        <v>4</v>
      </c>
    </row>
    <row r="6189" spans="1:3" x14ac:dyDescent="0.25">
      <c r="A6189">
        <v>105</v>
      </c>
      <c r="B6189">
        <v>270</v>
      </c>
      <c r="C6189">
        <v>1</v>
      </c>
    </row>
    <row r="6190" spans="1:3" x14ac:dyDescent="0.25">
      <c r="A6190">
        <v>128</v>
      </c>
      <c r="B6190">
        <v>270</v>
      </c>
      <c r="C6190">
        <v>2</v>
      </c>
    </row>
    <row r="6191" spans="1:3" x14ac:dyDescent="0.25">
      <c r="A6191">
        <v>159</v>
      </c>
      <c r="B6191">
        <v>270</v>
      </c>
      <c r="C6191">
        <v>1</v>
      </c>
    </row>
    <row r="6192" spans="1:3" x14ac:dyDescent="0.25">
      <c r="A6192">
        <v>177</v>
      </c>
      <c r="B6192">
        <v>270</v>
      </c>
      <c r="C6192">
        <v>3</v>
      </c>
    </row>
    <row r="6193" spans="1:3" x14ac:dyDescent="0.25">
      <c r="A6193">
        <v>178</v>
      </c>
      <c r="B6193">
        <v>270</v>
      </c>
      <c r="C6193">
        <v>5</v>
      </c>
    </row>
    <row r="6194" spans="1:3" x14ac:dyDescent="0.25">
      <c r="A6194">
        <v>220</v>
      </c>
      <c r="B6194">
        <v>270</v>
      </c>
      <c r="C6194">
        <v>4</v>
      </c>
    </row>
    <row r="6195" spans="1:3" x14ac:dyDescent="0.25">
      <c r="A6195">
        <v>258</v>
      </c>
      <c r="B6195">
        <v>270</v>
      </c>
      <c r="C6195">
        <v>3</v>
      </c>
    </row>
    <row r="6196" spans="1:3" x14ac:dyDescent="0.25">
      <c r="A6196">
        <v>267</v>
      </c>
      <c r="B6196">
        <v>270</v>
      </c>
      <c r="C6196">
        <v>3</v>
      </c>
    </row>
    <row r="6197" spans="1:3" x14ac:dyDescent="0.25">
      <c r="A6197">
        <v>269</v>
      </c>
      <c r="B6197">
        <v>270</v>
      </c>
      <c r="C6197">
        <v>1</v>
      </c>
    </row>
    <row r="6198" spans="1:3" x14ac:dyDescent="0.25">
      <c r="A6198">
        <v>291</v>
      </c>
      <c r="B6198">
        <v>270</v>
      </c>
      <c r="C6198">
        <v>1</v>
      </c>
    </row>
    <row r="6199" spans="1:3" x14ac:dyDescent="0.25">
      <c r="A6199">
        <v>294</v>
      </c>
      <c r="B6199">
        <v>270</v>
      </c>
      <c r="C6199">
        <v>4</v>
      </c>
    </row>
    <row r="6200" spans="1:3" x14ac:dyDescent="0.25">
      <c r="A6200">
        <v>60</v>
      </c>
      <c r="B6200">
        <v>271</v>
      </c>
      <c r="C6200">
        <v>4</v>
      </c>
    </row>
    <row r="6201" spans="1:3" x14ac:dyDescent="0.25">
      <c r="A6201">
        <v>83</v>
      </c>
      <c r="B6201">
        <v>271</v>
      </c>
      <c r="C6201">
        <v>4</v>
      </c>
    </row>
    <row r="6202" spans="1:3" x14ac:dyDescent="0.25">
      <c r="A6202">
        <v>101</v>
      </c>
      <c r="B6202">
        <v>271</v>
      </c>
      <c r="C6202">
        <v>3</v>
      </c>
    </row>
    <row r="6203" spans="1:3" x14ac:dyDescent="0.25">
      <c r="A6203">
        <v>106</v>
      </c>
      <c r="B6203">
        <v>271</v>
      </c>
      <c r="C6203">
        <v>3</v>
      </c>
    </row>
    <row r="6204" spans="1:3" x14ac:dyDescent="0.25">
      <c r="A6204">
        <v>112</v>
      </c>
      <c r="B6204">
        <v>271</v>
      </c>
      <c r="C6204">
        <v>1</v>
      </c>
    </row>
    <row r="6205" spans="1:3" x14ac:dyDescent="0.25">
      <c r="A6205">
        <v>130</v>
      </c>
      <c r="B6205">
        <v>271</v>
      </c>
      <c r="C6205">
        <v>4</v>
      </c>
    </row>
    <row r="6206" spans="1:3" x14ac:dyDescent="0.25">
      <c r="A6206">
        <v>134</v>
      </c>
      <c r="B6206">
        <v>271</v>
      </c>
      <c r="C6206">
        <v>3</v>
      </c>
    </row>
    <row r="6207" spans="1:3" x14ac:dyDescent="0.25">
      <c r="A6207">
        <v>153</v>
      </c>
      <c r="B6207">
        <v>271</v>
      </c>
      <c r="C6207">
        <v>5</v>
      </c>
    </row>
    <row r="6208" spans="1:3" x14ac:dyDescent="0.25">
      <c r="A6208">
        <v>156</v>
      </c>
      <c r="B6208">
        <v>271</v>
      </c>
      <c r="C6208">
        <v>3</v>
      </c>
    </row>
    <row r="6209" spans="1:3" x14ac:dyDescent="0.25">
      <c r="A6209">
        <v>169</v>
      </c>
      <c r="B6209">
        <v>271</v>
      </c>
      <c r="C6209">
        <v>2</v>
      </c>
    </row>
    <row r="6210" spans="1:3" x14ac:dyDescent="0.25">
      <c r="A6210">
        <v>170</v>
      </c>
      <c r="B6210">
        <v>271</v>
      </c>
      <c r="C6210">
        <v>4</v>
      </c>
    </row>
    <row r="6211" spans="1:3" x14ac:dyDescent="0.25">
      <c r="A6211">
        <v>181</v>
      </c>
      <c r="B6211">
        <v>271</v>
      </c>
      <c r="C6211">
        <v>4</v>
      </c>
    </row>
    <row r="6212" spans="1:3" x14ac:dyDescent="0.25">
      <c r="A6212">
        <v>196</v>
      </c>
      <c r="B6212">
        <v>271</v>
      </c>
      <c r="C6212">
        <v>2</v>
      </c>
    </row>
    <row r="6213" spans="1:3" x14ac:dyDescent="0.25">
      <c r="A6213">
        <v>217</v>
      </c>
      <c r="B6213">
        <v>271</v>
      </c>
      <c r="C6213">
        <v>4</v>
      </c>
    </row>
    <row r="6214" spans="1:3" x14ac:dyDescent="0.25">
      <c r="A6214">
        <v>220</v>
      </c>
      <c r="B6214">
        <v>271</v>
      </c>
      <c r="C6214">
        <v>1</v>
      </c>
    </row>
    <row r="6215" spans="1:3" x14ac:dyDescent="0.25">
      <c r="A6215">
        <v>224</v>
      </c>
      <c r="B6215">
        <v>271</v>
      </c>
      <c r="C6215">
        <v>2</v>
      </c>
    </row>
    <row r="6216" spans="1:3" x14ac:dyDescent="0.25">
      <c r="A6216">
        <v>229</v>
      </c>
      <c r="B6216">
        <v>271</v>
      </c>
      <c r="C6216">
        <v>1</v>
      </c>
    </row>
    <row r="6217" spans="1:3" x14ac:dyDescent="0.25">
      <c r="A6217">
        <v>266</v>
      </c>
      <c r="B6217">
        <v>271</v>
      </c>
      <c r="C6217">
        <v>2</v>
      </c>
    </row>
    <row r="6218" spans="1:3" x14ac:dyDescent="0.25">
      <c r="A6218">
        <v>18</v>
      </c>
      <c r="B6218">
        <v>272</v>
      </c>
      <c r="C6218">
        <v>3</v>
      </c>
    </row>
    <row r="6219" spans="1:3" x14ac:dyDescent="0.25">
      <c r="A6219">
        <v>25</v>
      </c>
      <c r="B6219">
        <v>272</v>
      </c>
      <c r="C6219">
        <v>4</v>
      </c>
    </row>
    <row r="6220" spans="1:3" x14ac:dyDescent="0.25">
      <c r="A6220">
        <v>30</v>
      </c>
      <c r="B6220">
        <v>272</v>
      </c>
      <c r="C6220">
        <v>2</v>
      </c>
    </row>
    <row r="6221" spans="1:3" x14ac:dyDescent="0.25">
      <c r="A6221">
        <v>46</v>
      </c>
      <c r="B6221">
        <v>272</v>
      </c>
      <c r="C6221">
        <v>5</v>
      </c>
    </row>
    <row r="6222" spans="1:3" x14ac:dyDescent="0.25">
      <c r="A6222">
        <v>55</v>
      </c>
      <c r="B6222">
        <v>272</v>
      </c>
      <c r="C6222">
        <v>1</v>
      </c>
    </row>
    <row r="6223" spans="1:3" x14ac:dyDescent="0.25">
      <c r="A6223">
        <v>66</v>
      </c>
      <c r="B6223">
        <v>272</v>
      </c>
      <c r="C6223">
        <v>4</v>
      </c>
    </row>
    <row r="6224" spans="1:3" x14ac:dyDescent="0.25">
      <c r="A6224">
        <v>72</v>
      </c>
      <c r="B6224">
        <v>272</v>
      </c>
      <c r="C6224">
        <v>4</v>
      </c>
    </row>
    <row r="6225" spans="1:3" x14ac:dyDescent="0.25">
      <c r="A6225">
        <v>77</v>
      </c>
      <c r="B6225">
        <v>272</v>
      </c>
      <c r="C6225">
        <v>3</v>
      </c>
    </row>
    <row r="6226" spans="1:3" x14ac:dyDescent="0.25">
      <c r="A6226">
        <v>77</v>
      </c>
      <c r="B6226">
        <v>272</v>
      </c>
      <c r="C6226">
        <v>5</v>
      </c>
    </row>
    <row r="6227" spans="1:3" x14ac:dyDescent="0.25">
      <c r="A6227">
        <v>79</v>
      </c>
      <c r="B6227">
        <v>272</v>
      </c>
      <c r="C6227">
        <v>3</v>
      </c>
    </row>
    <row r="6228" spans="1:3" x14ac:dyDescent="0.25">
      <c r="A6228">
        <v>80</v>
      </c>
      <c r="B6228">
        <v>272</v>
      </c>
      <c r="C6228">
        <v>2</v>
      </c>
    </row>
    <row r="6229" spans="1:3" x14ac:dyDescent="0.25">
      <c r="A6229">
        <v>80</v>
      </c>
      <c r="B6229">
        <v>272</v>
      </c>
      <c r="C6229">
        <v>1</v>
      </c>
    </row>
    <row r="6230" spans="1:3" x14ac:dyDescent="0.25">
      <c r="A6230">
        <v>99</v>
      </c>
      <c r="B6230">
        <v>272</v>
      </c>
      <c r="C6230">
        <v>4</v>
      </c>
    </row>
    <row r="6231" spans="1:3" x14ac:dyDescent="0.25">
      <c r="A6231">
        <v>102</v>
      </c>
      <c r="B6231">
        <v>272</v>
      </c>
      <c r="C6231">
        <v>5</v>
      </c>
    </row>
    <row r="6232" spans="1:3" x14ac:dyDescent="0.25">
      <c r="A6232">
        <v>119</v>
      </c>
      <c r="B6232">
        <v>272</v>
      </c>
      <c r="C6232">
        <v>2</v>
      </c>
    </row>
    <row r="6233" spans="1:3" x14ac:dyDescent="0.25">
      <c r="A6233">
        <v>129</v>
      </c>
      <c r="B6233">
        <v>272</v>
      </c>
      <c r="C6233">
        <v>5</v>
      </c>
    </row>
    <row r="6234" spans="1:3" x14ac:dyDescent="0.25">
      <c r="A6234">
        <v>133</v>
      </c>
      <c r="B6234">
        <v>272</v>
      </c>
      <c r="C6234">
        <v>3</v>
      </c>
    </row>
    <row r="6235" spans="1:3" x14ac:dyDescent="0.25">
      <c r="A6235">
        <v>136</v>
      </c>
      <c r="B6235">
        <v>272</v>
      </c>
      <c r="C6235">
        <v>1</v>
      </c>
    </row>
    <row r="6236" spans="1:3" x14ac:dyDescent="0.25">
      <c r="A6236">
        <v>175</v>
      </c>
      <c r="B6236">
        <v>272</v>
      </c>
      <c r="C6236">
        <v>3</v>
      </c>
    </row>
    <row r="6237" spans="1:3" x14ac:dyDescent="0.25">
      <c r="A6237">
        <v>246</v>
      </c>
      <c r="B6237">
        <v>272</v>
      </c>
      <c r="C6237">
        <v>3</v>
      </c>
    </row>
    <row r="6238" spans="1:3" x14ac:dyDescent="0.25">
      <c r="A6238">
        <v>247</v>
      </c>
      <c r="B6238">
        <v>272</v>
      </c>
      <c r="C6238">
        <v>5</v>
      </c>
    </row>
    <row r="6239" spans="1:3" x14ac:dyDescent="0.25">
      <c r="A6239">
        <v>258</v>
      </c>
      <c r="B6239">
        <v>272</v>
      </c>
      <c r="C6239">
        <v>1</v>
      </c>
    </row>
    <row r="6240" spans="1:3" x14ac:dyDescent="0.25">
      <c r="A6240">
        <v>31</v>
      </c>
      <c r="B6240">
        <v>273</v>
      </c>
      <c r="C6240">
        <v>5</v>
      </c>
    </row>
    <row r="6241" spans="1:3" x14ac:dyDescent="0.25">
      <c r="A6241">
        <v>49</v>
      </c>
      <c r="B6241">
        <v>273</v>
      </c>
      <c r="C6241">
        <v>1</v>
      </c>
    </row>
    <row r="6242" spans="1:3" x14ac:dyDescent="0.25">
      <c r="A6242">
        <v>55</v>
      </c>
      <c r="B6242">
        <v>273</v>
      </c>
      <c r="C6242">
        <v>2</v>
      </c>
    </row>
    <row r="6243" spans="1:3" x14ac:dyDescent="0.25">
      <c r="A6243">
        <v>56</v>
      </c>
      <c r="B6243">
        <v>273</v>
      </c>
      <c r="C6243">
        <v>2</v>
      </c>
    </row>
    <row r="6244" spans="1:3" x14ac:dyDescent="0.25">
      <c r="A6244">
        <v>65</v>
      </c>
      <c r="B6244">
        <v>273</v>
      </c>
      <c r="C6244">
        <v>5</v>
      </c>
    </row>
    <row r="6245" spans="1:3" x14ac:dyDescent="0.25">
      <c r="A6245">
        <v>125</v>
      </c>
      <c r="B6245">
        <v>273</v>
      </c>
      <c r="C6245">
        <v>1</v>
      </c>
    </row>
    <row r="6246" spans="1:3" x14ac:dyDescent="0.25">
      <c r="A6246">
        <v>132</v>
      </c>
      <c r="B6246">
        <v>273</v>
      </c>
      <c r="C6246">
        <v>2</v>
      </c>
    </row>
    <row r="6247" spans="1:3" x14ac:dyDescent="0.25">
      <c r="A6247">
        <v>133</v>
      </c>
      <c r="B6247">
        <v>273</v>
      </c>
      <c r="C6247">
        <v>1</v>
      </c>
    </row>
    <row r="6248" spans="1:3" x14ac:dyDescent="0.25">
      <c r="A6248">
        <v>146</v>
      </c>
      <c r="B6248">
        <v>273</v>
      </c>
      <c r="C6248">
        <v>2</v>
      </c>
    </row>
    <row r="6249" spans="1:3" x14ac:dyDescent="0.25">
      <c r="A6249">
        <v>152</v>
      </c>
      <c r="B6249">
        <v>273</v>
      </c>
      <c r="C6249">
        <v>3</v>
      </c>
    </row>
    <row r="6250" spans="1:3" x14ac:dyDescent="0.25">
      <c r="A6250">
        <v>180</v>
      </c>
      <c r="B6250">
        <v>273</v>
      </c>
      <c r="C6250">
        <v>2</v>
      </c>
    </row>
    <row r="6251" spans="1:3" x14ac:dyDescent="0.25">
      <c r="A6251">
        <v>188</v>
      </c>
      <c r="B6251">
        <v>273</v>
      </c>
      <c r="C6251">
        <v>1</v>
      </c>
    </row>
    <row r="6252" spans="1:3" x14ac:dyDescent="0.25">
      <c r="A6252">
        <v>200</v>
      </c>
      <c r="B6252">
        <v>273</v>
      </c>
      <c r="C6252">
        <v>4</v>
      </c>
    </row>
    <row r="6253" spans="1:3" x14ac:dyDescent="0.25">
      <c r="A6253">
        <v>218</v>
      </c>
      <c r="B6253">
        <v>273</v>
      </c>
      <c r="C6253">
        <v>5</v>
      </c>
    </row>
    <row r="6254" spans="1:3" x14ac:dyDescent="0.25">
      <c r="A6254">
        <v>237</v>
      </c>
      <c r="B6254">
        <v>273</v>
      </c>
      <c r="C6254">
        <v>4</v>
      </c>
    </row>
    <row r="6255" spans="1:3" x14ac:dyDescent="0.25">
      <c r="A6255">
        <v>251</v>
      </c>
      <c r="B6255">
        <v>273</v>
      </c>
      <c r="C6255">
        <v>1</v>
      </c>
    </row>
    <row r="6256" spans="1:3" x14ac:dyDescent="0.25">
      <c r="A6256">
        <v>253</v>
      </c>
      <c r="B6256">
        <v>273</v>
      </c>
      <c r="C6256">
        <v>2</v>
      </c>
    </row>
    <row r="6257" spans="1:3" x14ac:dyDescent="0.25">
      <c r="A6257">
        <v>264</v>
      </c>
      <c r="B6257">
        <v>273</v>
      </c>
      <c r="C6257">
        <v>1</v>
      </c>
    </row>
    <row r="6258" spans="1:3" x14ac:dyDescent="0.25">
      <c r="A6258">
        <v>276</v>
      </c>
      <c r="B6258">
        <v>273</v>
      </c>
      <c r="C6258">
        <v>4</v>
      </c>
    </row>
    <row r="6259" spans="1:3" x14ac:dyDescent="0.25">
      <c r="A6259">
        <v>284</v>
      </c>
      <c r="B6259">
        <v>273</v>
      </c>
      <c r="C6259">
        <v>3</v>
      </c>
    </row>
    <row r="6260" spans="1:3" x14ac:dyDescent="0.25">
      <c r="A6260">
        <v>288</v>
      </c>
      <c r="B6260">
        <v>273</v>
      </c>
      <c r="C6260">
        <v>1</v>
      </c>
    </row>
    <row r="6261" spans="1:3" x14ac:dyDescent="0.25">
      <c r="A6261">
        <v>12</v>
      </c>
      <c r="B6261">
        <v>274</v>
      </c>
      <c r="C6261">
        <v>4</v>
      </c>
    </row>
    <row r="6262" spans="1:3" x14ac:dyDescent="0.25">
      <c r="A6262">
        <v>14</v>
      </c>
      <c r="B6262">
        <v>274</v>
      </c>
      <c r="C6262">
        <v>4</v>
      </c>
    </row>
    <row r="6263" spans="1:3" x14ac:dyDescent="0.25">
      <c r="A6263">
        <v>22</v>
      </c>
      <c r="B6263">
        <v>274</v>
      </c>
      <c r="C6263">
        <v>3</v>
      </c>
    </row>
    <row r="6264" spans="1:3" x14ac:dyDescent="0.25">
      <c r="A6264">
        <v>36</v>
      </c>
      <c r="B6264">
        <v>274</v>
      </c>
      <c r="C6264">
        <v>4</v>
      </c>
    </row>
    <row r="6265" spans="1:3" x14ac:dyDescent="0.25">
      <c r="A6265">
        <v>38</v>
      </c>
      <c r="B6265">
        <v>274</v>
      </c>
      <c r="C6265">
        <v>2</v>
      </c>
    </row>
    <row r="6266" spans="1:3" x14ac:dyDescent="0.25">
      <c r="A6266">
        <v>42</v>
      </c>
      <c r="B6266">
        <v>274</v>
      </c>
      <c r="C6266">
        <v>5</v>
      </c>
    </row>
    <row r="6267" spans="1:3" x14ac:dyDescent="0.25">
      <c r="A6267">
        <v>49</v>
      </c>
      <c r="B6267">
        <v>274</v>
      </c>
      <c r="C6267">
        <v>1</v>
      </c>
    </row>
    <row r="6268" spans="1:3" x14ac:dyDescent="0.25">
      <c r="A6268">
        <v>77</v>
      </c>
      <c r="B6268">
        <v>274</v>
      </c>
      <c r="C6268">
        <v>2</v>
      </c>
    </row>
    <row r="6269" spans="1:3" x14ac:dyDescent="0.25">
      <c r="A6269">
        <v>80</v>
      </c>
      <c r="B6269">
        <v>274</v>
      </c>
      <c r="C6269">
        <v>2</v>
      </c>
    </row>
    <row r="6270" spans="1:3" x14ac:dyDescent="0.25">
      <c r="A6270">
        <v>83</v>
      </c>
      <c r="B6270">
        <v>274</v>
      </c>
      <c r="C6270">
        <v>1</v>
      </c>
    </row>
    <row r="6271" spans="1:3" x14ac:dyDescent="0.25">
      <c r="A6271">
        <v>100</v>
      </c>
      <c r="B6271">
        <v>274</v>
      </c>
      <c r="C6271">
        <v>4</v>
      </c>
    </row>
    <row r="6272" spans="1:3" x14ac:dyDescent="0.25">
      <c r="A6272">
        <v>127</v>
      </c>
      <c r="B6272">
        <v>274</v>
      </c>
      <c r="C6272">
        <v>3</v>
      </c>
    </row>
    <row r="6273" spans="1:3" x14ac:dyDescent="0.25">
      <c r="A6273">
        <v>136</v>
      </c>
      <c r="B6273">
        <v>274</v>
      </c>
      <c r="C6273">
        <v>2</v>
      </c>
    </row>
    <row r="6274" spans="1:3" x14ac:dyDescent="0.25">
      <c r="A6274">
        <v>148</v>
      </c>
      <c r="B6274">
        <v>274</v>
      </c>
      <c r="C6274">
        <v>4</v>
      </c>
    </row>
    <row r="6275" spans="1:3" x14ac:dyDescent="0.25">
      <c r="A6275">
        <v>169</v>
      </c>
      <c r="B6275">
        <v>274</v>
      </c>
      <c r="C6275">
        <v>1</v>
      </c>
    </row>
    <row r="6276" spans="1:3" x14ac:dyDescent="0.25">
      <c r="A6276">
        <v>170</v>
      </c>
      <c r="B6276">
        <v>274</v>
      </c>
      <c r="C6276">
        <v>2</v>
      </c>
    </row>
    <row r="6277" spans="1:3" x14ac:dyDescent="0.25">
      <c r="A6277">
        <v>177</v>
      </c>
      <c r="B6277">
        <v>274</v>
      </c>
      <c r="C6277">
        <v>4</v>
      </c>
    </row>
    <row r="6278" spans="1:3" x14ac:dyDescent="0.25">
      <c r="A6278">
        <v>179</v>
      </c>
      <c r="B6278">
        <v>274</v>
      </c>
      <c r="C6278">
        <v>1</v>
      </c>
    </row>
    <row r="6279" spans="1:3" x14ac:dyDescent="0.25">
      <c r="A6279">
        <v>191</v>
      </c>
      <c r="B6279">
        <v>274</v>
      </c>
      <c r="C6279">
        <v>3</v>
      </c>
    </row>
    <row r="6280" spans="1:3" x14ac:dyDescent="0.25">
      <c r="A6280">
        <v>198</v>
      </c>
      <c r="B6280">
        <v>274</v>
      </c>
      <c r="C6280">
        <v>1</v>
      </c>
    </row>
    <row r="6281" spans="1:3" x14ac:dyDescent="0.25">
      <c r="A6281">
        <v>203</v>
      </c>
      <c r="B6281">
        <v>274</v>
      </c>
      <c r="C6281">
        <v>2</v>
      </c>
    </row>
    <row r="6282" spans="1:3" x14ac:dyDescent="0.25">
      <c r="A6282">
        <v>209</v>
      </c>
      <c r="B6282">
        <v>274</v>
      </c>
      <c r="C6282">
        <v>1</v>
      </c>
    </row>
    <row r="6283" spans="1:3" x14ac:dyDescent="0.25">
      <c r="A6283">
        <v>218</v>
      </c>
      <c r="B6283">
        <v>274</v>
      </c>
      <c r="C6283">
        <v>2</v>
      </c>
    </row>
    <row r="6284" spans="1:3" x14ac:dyDescent="0.25">
      <c r="A6284">
        <v>231</v>
      </c>
      <c r="B6284">
        <v>274</v>
      </c>
      <c r="C6284">
        <v>3</v>
      </c>
    </row>
    <row r="6285" spans="1:3" x14ac:dyDescent="0.25">
      <c r="A6285">
        <v>237</v>
      </c>
      <c r="B6285">
        <v>274</v>
      </c>
      <c r="C6285">
        <v>2</v>
      </c>
    </row>
    <row r="6286" spans="1:3" x14ac:dyDescent="0.25">
      <c r="A6286">
        <v>248</v>
      </c>
      <c r="B6286">
        <v>274</v>
      </c>
      <c r="C6286">
        <v>4</v>
      </c>
    </row>
    <row r="6287" spans="1:3" x14ac:dyDescent="0.25">
      <c r="A6287">
        <v>256</v>
      </c>
      <c r="B6287">
        <v>274</v>
      </c>
      <c r="C6287">
        <v>2</v>
      </c>
    </row>
    <row r="6288" spans="1:3" x14ac:dyDescent="0.25">
      <c r="A6288">
        <v>271</v>
      </c>
      <c r="B6288">
        <v>274</v>
      </c>
      <c r="C6288">
        <v>3</v>
      </c>
    </row>
    <row r="6289" spans="1:3" x14ac:dyDescent="0.25">
      <c r="A6289">
        <v>290</v>
      </c>
      <c r="B6289">
        <v>274</v>
      </c>
      <c r="C6289">
        <v>2</v>
      </c>
    </row>
    <row r="6290" spans="1:3" x14ac:dyDescent="0.25">
      <c r="A6290">
        <v>293</v>
      </c>
      <c r="B6290">
        <v>274</v>
      </c>
      <c r="C6290">
        <v>5</v>
      </c>
    </row>
    <row r="6291" spans="1:3" x14ac:dyDescent="0.25">
      <c r="A6291">
        <v>8</v>
      </c>
      <c r="B6291">
        <v>275</v>
      </c>
      <c r="C6291">
        <v>3</v>
      </c>
    </row>
    <row r="6292" spans="1:3" x14ac:dyDescent="0.25">
      <c r="A6292">
        <v>15</v>
      </c>
      <c r="B6292">
        <v>275</v>
      </c>
      <c r="C6292">
        <v>2</v>
      </c>
    </row>
    <row r="6293" spans="1:3" x14ac:dyDescent="0.25">
      <c r="A6293">
        <v>16</v>
      </c>
      <c r="B6293">
        <v>275</v>
      </c>
      <c r="C6293">
        <v>4</v>
      </c>
    </row>
    <row r="6294" spans="1:3" x14ac:dyDescent="0.25">
      <c r="A6294">
        <v>26</v>
      </c>
      <c r="B6294">
        <v>275</v>
      </c>
      <c r="C6294">
        <v>5</v>
      </c>
    </row>
    <row r="6295" spans="1:3" x14ac:dyDescent="0.25">
      <c r="A6295">
        <v>33</v>
      </c>
      <c r="B6295">
        <v>275</v>
      </c>
      <c r="C6295">
        <v>4</v>
      </c>
    </row>
    <row r="6296" spans="1:3" x14ac:dyDescent="0.25">
      <c r="A6296">
        <v>52</v>
      </c>
      <c r="B6296">
        <v>275</v>
      </c>
      <c r="C6296">
        <v>2</v>
      </c>
    </row>
    <row r="6297" spans="1:3" x14ac:dyDescent="0.25">
      <c r="A6297">
        <v>58</v>
      </c>
      <c r="B6297">
        <v>275</v>
      </c>
      <c r="C6297">
        <v>1</v>
      </c>
    </row>
    <row r="6298" spans="1:3" x14ac:dyDescent="0.25">
      <c r="A6298">
        <v>80</v>
      </c>
      <c r="B6298">
        <v>275</v>
      </c>
      <c r="C6298">
        <v>2</v>
      </c>
    </row>
    <row r="6299" spans="1:3" x14ac:dyDescent="0.25">
      <c r="A6299">
        <v>95</v>
      </c>
      <c r="B6299">
        <v>275</v>
      </c>
      <c r="C6299">
        <v>4</v>
      </c>
    </row>
    <row r="6300" spans="1:3" x14ac:dyDescent="0.25">
      <c r="A6300">
        <v>102</v>
      </c>
      <c r="B6300">
        <v>275</v>
      </c>
      <c r="C6300">
        <v>3</v>
      </c>
    </row>
    <row r="6301" spans="1:3" x14ac:dyDescent="0.25">
      <c r="A6301">
        <v>104</v>
      </c>
      <c r="B6301">
        <v>275</v>
      </c>
      <c r="C6301">
        <v>3</v>
      </c>
    </row>
    <row r="6302" spans="1:3" x14ac:dyDescent="0.25">
      <c r="A6302">
        <v>143</v>
      </c>
      <c r="B6302">
        <v>275</v>
      </c>
      <c r="C6302">
        <v>4</v>
      </c>
    </row>
    <row r="6303" spans="1:3" x14ac:dyDescent="0.25">
      <c r="A6303">
        <v>146</v>
      </c>
      <c r="B6303">
        <v>275</v>
      </c>
      <c r="C6303">
        <v>3</v>
      </c>
    </row>
    <row r="6304" spans="1:3" x14ac:dyDescent="0.25">
      <c r="A6304">
        <v>165</v>
      </c>
      <c r="B6304">
        <v>275</v>
      </c>
      <c r="C6304">
        <v>2</v>
      </c>
    </row>
    <row r="6305" spans="1:3" x14ac:dyDescent="0.25">
      <c r="A6305">
        <v>173</v>
      </c>
      <c r="B6305">
        <v>275</v>
      </c>
      <c r="C6305">
        <v>1</v>
      </c>
    </row>
    <row r="6306" spans="1:3" x14ac:dyDescent="0.25">
      <c r="A6306">
        <v>176</v>
      </c>
      <c r="B6306">
        <v>275</v>
      </c>
      <c r="C6306">
        <v>5</v>
      </c>
    </row>
    <row r="6307" spans="1:3" x14ac:dyDescent="0.25">
      <c r="A6307">
        <v>182</v>
      </c>
      <c r="B6307">
        <v>275</v>
      </c>
      <c r="C6307">
        <v>3</v>
      </c>
    </row>
    <row r="6308" spans="1:3" x14ac:dyDescent="0.25">
      <c r="A6308">
        <v>182</v>
      </c>
      <c r="B6308">
        <v>275</v>
      </c>
      <c r="C6308">
        <v>1</v>
      </c>
    </row>
    <row r="6309" spans="1:3" x14ac:dyDescent="0.25">
      <c r="A6309">
        <v>190</v>
      </c>
      <c r="B6309">
        <v>275</v>
      </c>
      <c r="C6309">
        <v>1</v>
      </c>
    </row>
    <row r="6310" spans="1:3" x14ac:dyDescent="0.25">
      <c r="A6310">
        <v>210</v>
      </c>
      <c r="B6310">
        <v>275</v>
      </c>
      <c r="C6310">
        <v>2</v>
      </c>
    </row>
    <row r="6311" spans="1:3" x14ac:dyDescent="0.25">
      <c r="A6311">
        <v>223</v>
      </c>
      <c r="B6311">
        <v>275</v>
      </c>
      <c r="C6311">
        <v>1</v>
      </c>
    </row>
    <row r="6312" spans="1:3" x14ac:dyDescent="0.25">
      <c r="A6312">
        <v>224</v>
      </c>
      <c r="B6312">
        <v>275</v>
      </c>
      <c r="C6312">
        <v>3</v>
      </c>
    </row>
    <row r="6313" spans="1:3" x14ac:dyDescent="0.25">
      <c r="A6313">
        <v>255</v>
      </c>
      <c r="B6313">
        <v>275</v>
      </c>
      <c r="C6313">
        <v>2</v>
      </c>
    </row>
    <row r="6314" spans="1:3" x14ac:dyDescent="0.25">
      <c r="A6314">
        <v>267</v>
      </c>
      <c r="B6314">
        <v>275</v>
      </c>
      <c r="C6314">
        <v>4</v>
      </c>
    </row>
    <row r="6315" spans="1:3" x14ac:dyDescent="0.25">
      <c r="A6315">
        <v>270</v>
      </c>
      <c r="B6315">
        <v>275</v>
      </c>
      <c r="C6315">
        <v>1</v>
      </c>
    </row>
    <row r="6316" spans="1:3" x14ac:dyDescent="0.25">
      <c r="A6316">
        <v>299</v>
      </c>
      <c r="B6316">
        <v>275</v>
      </c>
      <c r="C6316">
        <v>2</v>
      </c>
    </row>
    <row r="6317" spans="1:3" x14ac:dyDescent="0.25">
      <c r="A6317">
        <v>51</v>
      </c>
      <c r="B6317">
        <v>276</v>
      </c>
      <c r="C6317">
        <v>4</v>
      </c>
    </row>
    <row r="6318" spans="1:3" x14ac:dyDescent="0.25">
      <c r="A6318">
        <v>66</v>
      </c>
      <c r="B6318">
        <v>276</v>
      </c>
      <c r="C6318">
        <v>1</v>
      </c>
    </row>
    <row r="6319" spans="1:3" x14ac:dyDescent="0.25">
      <c r="A6319">
        <v>67</v>
      </c>
      <c r="B6319">
        <v>276</v>
      </c>
      <c r="C6319">
        <v>1</v>
      </c>
    </row>
    <row r="6320" spans="1:3" x14ac:dyDescent="0.25">
      <c r="A6320">
        <v>68</v>
      </c>
      <c r="B6320">
        <v>276</v>
      </c>
      <c r="C6320">
        <v>4</v>
      </c>
    </row>
    <row r="6321" spans="1:3" x14ac:dyDescent="0.25">
      <c r="A6321">
        <v>69</v>
      </c>
      <c r="B6321">
        <v>276</v>
      </c>
      <c r="C6321">
        <v>3</v>
      </c>
    </row>
    <row r="6322" spans="1:3" x14ac:dyDescent="0.25">
      <c r="A6322">
        <v>71</v>
      </c>
      <c r="B6322">
        <v>276</v>
      </c>
      <c r="C6322">
        <v>3</v>
      </c>
    </row>
    <row r="6323" spans="1:3" x14ac:dyDescent="0.25">
      <c r="A6323">
        <v>76</v>
      </c>
      <c r="B6323">
        <v>276</v>
      </c>
      <c r="C6323">
        <v>1</v>
      </c>
    </row>
    <row r="6324" spans="1:3" x14ac:dyDescent="0.25">
      <c r="A6324">
        <v>77</v>
      </c>
      <c r="B6324">
        <v>276</v>
      </c>
      <c r="C6324">
        <v>3</v>
      </c>
    </row>
    <row r="6325" spans="1:3" x14ac:dyDescent="0.25">
      <c r="A6325">
        <v>78</v>
      </c>
      <c r="B6325">
        <v>276</v>
      </c>
      <c r="C6325">
        <v>2</v>
      </c>
    </row>
    <row r="6326" spans="1:3" x14ac:dyDescent="0.25">
      <c r="A6326">
        <v>84</v>
      </c>
      <c r="B6326">
        <v>276</v>
      </c>
      <c r="C6326">
        <v>4</v>
      </c>
    </row>
    <row r="6327" spans="1:3" x14ac:dyDescent="0.25">
      <c r="A6327">
        <v>97</v>
      </c>
      <c r="B6327">
        <v>276</v>
      </c>
      <c r="C6327">
        <v>1</v>
      </c>
    </row>
    <row r="6328" spans="1:3" x14ac:dyDescent="0.25">
      <c r="A6328">
        <v>130</v>
      </c>
      <c r="B6328">
        <v>276</v>
      </c>
      <c r="C6328">
        <v>2</v>
      </c>
    </row>
    <row r="6329" spans="1:3" x14ac:dyDescent="0.25">
      <c r="A6329">
        <v>136</v>
      </c>
      <c r="B6329">
        <v>276</v>
      </c>
      <c r="C6329">
        <v>3</v>
      </c>
    </row>
    <row r="6330" spans="1:3" x14ac:dyDescent="0.25">
      <c r="A6330">
        <v>143</v>
      </c>
      <c r="B6330">
        <v>276</v>
      </c>
      <c r="C6330">
        <v>4</v>
      </c>
    </row>
    <row r="6331" spans="1:3" x14ac:dyDescent="0.25">
      <c r="A6331">
        <v>144</v>
      </c>
      <c r="B6331">
        <v>276</v>
      </c>
      <c r="C6331">
        <v>4</v>
      </c>
    </row>
    <row r="6332" spans="1:3" x14ac:dyDescent="0.25">
      <c r="A6332">
        <v>145</v>
      </c>
      <c r="B6332">
        <v>276</v>
      </c>
      <c r="C6332">
        <v>4</v>
      </c>
    </row>
    <row r="6333" spans="1:3" x14ac:dyDescent="0.25">
      <c r="A6333">
        <v>194</v>
      </c>
      <c r="B6333">
        <v>276</v>
      </c>
      <c r="C6333">
        <v>2</v>
      </c>
    </row>
    <row r="6334" spans="1:3" x14ac:dyDescent="0.25">
      <c r="A6334">
        <v>237</v>
      </c>
      <c r="B6334">
        <v>276</v>
      </c>
      <c r="C6334">
        <v>4</v>
      </c>
    </row>
    <row r="6335" spans="1:3" x14ac:dyDescent="0.25">
      <c r="A6335">
        <v>239</v>
      </c>
      <c r="B6335">
        <v>276</v>
      </c>
      <c r="C6335">
        <v>5</v>
      </c>
    </row>
    <row r="6336" spans="1:3" x14ac:dyDescent="0.25">
      <c r="A6336">
        <v>257</v>
      </c>
      <c r="B6336">
        <v>276</v>
      </c>
      <c r="C6336">
        <v>4</v>
      </c>
    </row>
    <row r="6337" spans="1:3" x14ac:dyDescent="0.25">
      <c r="A6337">
        <v>267</v>
      </c>
      <c r="B6337">
        <v>276</v>
      </c>
      <c r="C6337">
        <v>5</v>
      </c>
    </row>
    <row r="6338" spans="1:3" x14ac:dyDescent="0.25">
      <c r="A6338">
        <v>272</v>
      </c>
      <c r="B6338">
        <v>276</v>
      </c>
      <c r="C6338">
        <v>1</v>
      </c>
    </row>
    <row r="6339" spans="1:3" x14ac:dyDescent="0.25">
      <c r="A6339">
        <v>286</v>
      </c>
      <c r="B6339">
        <v>276</v>
      </c>
      <c r="C6339">
        <v>3</v>
      </c>
    </row>
    <row r="6340" spans="1:3" x14ac:dyDescent="0.25">
      <c r="A6340">
        <v>296</v>
      </c>
      <c r="B6340">
        <v>276</v>
      </c>
      <c r="C6340">
        <v>2</v>
      </c>
    </row>
    <row r="6341" spans="1:3" x14ac:dyDescent="0.25">
      <c r="A6341">
        <v>15</v>
      </c>
      <c r="B6341">
        <v>277</v>
      </c>
      <c r="C6341">
        <v>3</v>
      </c>
    </row>
    <row r="6342" spans="1:3" x14ac:dyDescent="0.25">
      <c r="A6342">
        <v>30</v>
      </c>
      <c r="B6342">
        <v>277</v>
      </c>
      <c r="C6342">
        <v>2</v>
      </c>
    </row>
    <row r="6343" spans="1:3" x14ac:dyDescent="0.25">
      <c r="A6343">
        <v>51</v>
      </c>
      <c r="B6343">
        <v>277</v>
      </c>
      <c r="C6343">
        <v>3</v>
      </c>
    </row>
    <row r="6344" spans="1:3" x14ac:dyDescent="0.25">
      <c r="A6344">
        <v>52</v>
      </c>
      <c r="B6344">
        <v>277</v>
      </c>
      <c r="C6344">
        <v>4</v>
      </c>
    </row>
    <row r="6345" spans="1:3" x14ac:dyDescent="0.25">
      <c r="A6345">
        <v>83</v>
      </c>
      <c r="B6345">
        <v>277</v>
      </c>
      <c r="C6345">
        <v>5</v>
      </c>
    </row>
    <row r="6346" spans="1:3" x14ac:dyDescent="0.25">
      <c r="A6346">
        <v>89</v>
      </c>
      <c r="B6346">
        <v>277</v>
      </c>
      <c r="C6346">
        <v>4</v>
      </c>
    </row>
    <row r="6347" spans="1:3" x14ac:dyDescent="0.25">
      <c r="A6347">
        <v>99</v>
      </c>
      <c r="B6347">
        <v>277</v>
      </c>
      <c r="C6347">
        <v>5</v>
      </c>
    </row>
    <row r="6348" spans="1:3" x14ac:dyDescent="0.25">
      <c r="A6348">
        <v>107</v>
      </c>
      <c r="B6348">
        <v>277</v>
      </c>
      <c r="C6348">
        <v>1</v>
      </c>
    </row>
    <row r="6349" spans="1:3" x14ac:dyDescent="0.25">
      <c r="A6349">
        <v>140</v>
      </c>
      <c r="B6349">
        <v>277</v>
      </c>
      <c r="C6349">
        <v>5</v>
      </c>
    </row>
    <row r="6350" spans="1:3" x14ac:dyDescent="0.25">
      <c r="A6350">
        <v>162</v>
      </c>
      <c r="B6350">
        <v>277</v>
      </c>
      <c r="C6350">
        <v>3</v>
      </c>
    </row>
    <row r="6351" spans="1:3" x14ac:dyDescent="0.25">
      <c r="A6351">
        <v>171</v>
      </c>
      <c r="B6351">
        <v>277</v>
      </c>
      <c r="C6351">
        <v>4</v>
      </c>
    </row>
    <row r="6352" spans="1:3" x14ac:dyDescent="0.25">
      <c r="A6352">
        <v>177</v>
      </c>
      <c r="B6352">
        <v>277</v>
      </c>
      <c r="C6352">
        <v>5</v>
      </c>
    </row>
    <row r="6353" spans="1:3" x14ac:dyDescent="0.25">
      <c r="A6353">
        <v>189</v>
      </c>
      <c r="B6353">
        <v>277</v>
      </c>
      <c r="C6353">
        <v>3</v>
      </c>
    </row>
    <row r="6354" spans="1:3" x14ac:dyDescent="0.25">
      <c r="A6354">
        <v>200</v>
      </c>
      <c r="B6354">
        <v>277</v>
      </c>
      <c r="C6354">
        <v>1</v>
      </c>
    </row>
    <row r="6355" spans="1:3" x14ac:dyDescent="0.25">
      <c r="A6355">
        <v>202</v>
      </c>
      <c r="B6355">
        <v>277</v>
      </c>
      <c r="C6355">
        <v>1</v>
      </c>
    </row>
    <row r="6356" spans="1:3" x14ac:dyDescent="0.25">
      <c r="A6356">
        <v>222</v>
      </c>
      <c r="B6356">
        <v>277</v>
      </c>
      <c r="C6356">
        <v>4</v>
      </c>
    </row>
    <row r="6357" spans="1:3" x14ac:dyDescent="0.25">
      <c r="A6357">
        <v>234</v>
      </c>
      <c r="B6357">
        <v>277</v>
      </c>
      <c r="C6357">
        <v>4</v>
      </c>
    </row>
    <row r="6358" spans="1:3" x14ac:dyDescent="0.25">
      <c r="A6358">
        <v>243</v>
      </c>
      <c r="B6358">
        <v>277</v>
      </c>
      <c r="C6358">
        <v>1</v>
      </c>
    </row>
    <row r="6359" spans="1:3" x14ac:dyDescent="0.25">
      <c r="A6359">
        <v>295</v>
      </c>
      <c r="B6359">
        <v>277</v>
      </c>
      <c r="C6359">
        <v>1</v>
      </c>
    </row>
    <row r="6360" spans="1:3" x14ac:dyDescent="0.25">
      <c r="A6360">
        <v>20</v>
      </c>
      <c r="B6360">
        <v>278</v>
      </c>
      <c r="C6360">
        <v>3</v>
      </c>
    </row>
    <row r="6361" spans="1:3" x14ac:dyDescent="0.25">
      <c r="A6361">
        <v>36</v>
      </c>
      <c r="B6361">
        <v>278</v>
      </c>
      <c r="C6361">
        <v>3</v>
      </c>
    </row>
    <row r="6362" spans="1:3" x14ac:dyDescent="0.25">
      <c r="A6362">
        <v>54</v>
      </c>
      <c r="B6362">
        <v>278</v>
      </c>
      <c r="C6362">
        <v>3</v>
      </c>
    </row>
    <row r="6363" spans="1:3" x14ac:dyDescent="0.25">
      <c r="A6363">
        <v>57</v>
      </c>
      <c r="B6363">
        <v>278</v>
      </c>
      <c r="C6363">
        <v>5</v>
      </c>
    </row>
    <row r="6364" spans="1:3" x14ac:dyDescent="0.25">
      <c r="A6364">
        <v>63</v>
      </c>
      <c r="B6364">
        <v>278</v>
      </c>
      <c r="C6364">
        <v>3</v>
      </c>
    </row>
    <row r="6365" spans="1:3" x14ac:dyDescent="0.25">
      <c r="A6365">
        <v>95</v>
      </c>
      <c r="B6365">
        <v>278</v>
      </c>
      <c r="C6365">
        <v>3</v>
      </c>
    </row>
    <row r="6366" spans="1:3" x14ac:dyDescent="0.25">
      <c r="A6366">
        <v>97</v>
      </c>
      <c r="B6366">
        <v>278</v>
      </c>
      <c r="C6366">
        <v>2</v>
      </c>
    </row>
    <row r="6367" spans="1:3" x14ac:dyDescent="0.25">
      <c r="A6367">
        <v>122</v>
      </c>
      <c r="B6367">
        <v>278</v>
      </c>
      <c r="C6367">
        <v>3</v>
      </c>
    </row>
    <row r="6368" spans="1:3" x14ac:dyDescent="0.25">
      <c r="A6368">
        <v>139</v>
      </c>
      <c r="B6368">
        <v>278</v>
      </c>
      <c r="C6368">
        <v>2</v>
      </c>
    </row>
    <row r="6369" spans="1:3" x14ac:dyDescent="0.25">
      <c r="A6369">
        <v>145</v>
      </c>
      <c r="B6369">
        <v>278</v>
      </c>
      <c r="C6369">
        <v>1</v>
      </c>
    </row>
    <row r="6370" spans="1:3" x14ac:dyDescent="0.25">
      <c r="A6370">
        <v>181</v>
      </c>
      <c r="B6370">
        <v>278</v>
      </c>
      <c r="C6370">
        <v>3</v>
      </c>
    </row>
    <row r="6371" spans="1:3" x14ac:dyDescent="0.25">
      <c r="A6371">
        <v>209</v>
      </c>
      <c r="B6371">
        <v>278</v>
      </c>
      <c r="C6371">
        <v>5</v>
      </c>
    </row>
    <row r="6372" spans="1:3" x14ac:dyDescent="0.25">
      <c r="A6372">
        <v>217</v>
      </c>
      <c r="B6372">
        <v>278</v>
      </c>
      <c r="C6372">
        <v>2</v>
      </c>
    </row>
    <row r="6373" spans="1:3" x14ac:dyDescent="0.25">
      <c r="A6373">
        <v>243</v>
      </c>
      <c r="B6373">
        <v>278</v>
      </c>
      <c r="C6373">
        <v>4</v>
      </c>
    </row>
    <row r="6374" spans="1:3" x14ac:dyDescent="0.25">
      <c r="A6374">
        <v>250</v>
      </c>
      <c r="B6374">
        <v>278</v>
      </c>
      <c r="C6374">
        <v>4</v>
      </c>
    </row>
    <row r="6375" spans="1:3" x14ac:dyDescent="0.25">
      <c r="A6375">
        <v>254</v>
      </c>
      <c r="B6375">
        <v>278</v>
      </c>
      <c r="C6375">
        <v>1</v>
      </c>
    </row>
    <row r="6376" spans="1:3" x14ac:dyDescent="0.25">
      <c r="A6376">
        <v>260</v>
      </c>
      <c r="B6376">
        <v>278</v>
      </c>
      <c r="C6376">
        <v>2</v>
      </c>
    </row>
    <row r="6377" spans="1:3" x14ac:dyDescent="0.25">
      <c r="A6377">
        <v>262</v>
      </c>
      <c r="B6377">
        <v>278</v>
      </c>
      <c r="C6377">
        <v>4</v>
      </c>
    </row>
    <row r="6378" spans="1:3" x14ac:dyDescent="0.25">
      <c r="A6378">
        <v>274</v>
      </c>
      <c r="B6378">
        <v>278</v>
      </c>
      <c r="C6378">
        <v>5</v>
      </c>
    </row>
    <row r="6379" spans="1:3" x14ac:dyDescent="0.25">
      <c r="A6379">
        <v>17</v>
      </c>
      <c r="B6379">
        <v>279</v>
      </c>
      <c r="C6379">
        <v>4</v>
      </c>
    </row>
    <row r="6380" spans="1:3" x14ac:dyDescent="0.25">
      <c r="A6380">
        <v>32</v>
      </c>
      <c r="B6380">
        <v>279</v>
      </c>
      <c r="C6380">
        <v>4</v>
      </c>
    </row>
    <row r="6381" spans="1:3" x14ac:dyDescent="0.25">
      <c r="A6381">
        <v>35</v>
      </c>
      <c r="B6381">
        <v>279</v>
      </c>
      <c r="C6381">
        <v>5</v>
      </c>
    </row>
    <row r="6382" spans="1:3" x14ac:dyDescent="0.25">
      <c r="A6382">
        <v>43</v>
      </c>
      <c r="B6382">
        <v>279</v>
      </c>
      <c r="C6382">
        <v>5</v>
      </c>
    </row>
    <row r="6383" spans="1:3" x14ac:dyDescent="0.25">
      <c r="A6383">
        <v>53</v>
      </c>
      <c r="B6383">
        <v>279</v>
      </c>
      <c r="C6383">
        <v>3</v>
      </c>
    </row>
    <row r="6384" spans="1:3" x14ac:dyDescent="0.25">
      <c r="A6384">
        <v>55</v>
      </c>
      <c r="B6384">
        <v>279</v>
      </c>
      <c r="C6384">
        <v>5</v>
      </c>
    </row>
    <row r="6385" spans="1:3" x14ac:dyDescent="0.25">
      <c r="A6385">
        <v>75</v>
      </c>
      <c r="B6385">
        <v>279</v>
      </c>
      <c r="C6385">
        <v>1</v>
      </c>
    </row>
    <row r="6386" spans="1:3" x14ac:dyDescent="0.25">
      <c r="A6386">
        <v>96</v>
      </c>
      <c r="B6386">
        <v>279</v>
      </c>
      <c r="C6386">
        <v>3</v>
      </c>
    </row>
    <row r="6387" spans="1:3" x14ac:dyDescent="0.25">
      <c r="A6387">
        <v>101</v>
      </c>
      <c r="B6387">
        <v>279</v>
      </c>
      <c r="C6387">
        <v>4</v>
      </c>
    </row>
    <row r="6388" spans="1:3" x14ac:dyDescent="0.25">
      <c r="A6388">
        <v>105</v>
      </c>
      <c r="B6388">
        <v>279</v>
      </c>
      <c r="C6388">
        <v>5</v>
      </c>
    </row>
    <row r="6389" spans="1:3" x14ac:dyDescent="0.25">
      <c r="A6389">
        <v>111</v>
      </c>
      <c r="B6389">
        <v>279</v>
      </c>
      <c r="C6389">
        <v>4</v>
      </c>
    </row>
    <row r="6390" spans="1:3" x14ac:dyDescent="0.25">
      <c r="A6390">
        <v>117</v>
      </c>
      <c r="B6390">
        <v>279</v>
      </c>
      <c r="C6390">
        <v>3</v>
      </c>
    </row>
    <row r="6391" spans="1:3" x14ac:dyDescent="0.25">
      <c r="A6391">
        <v>123</v>
      </c>
      <c r="B6391">
        <v>279</v>
      </c>
      <c r="C6391">
        <v>1</v>
      </c>
    </row>
    <row r="6392" spans="1:3" x14ac:dyDescent="0.25">
      <c r="A6392">
        <v>127</v>
      </c>
      <c r="B6392">
        <v>279</v>
      </c>
      <c r="C6392">
        <v>4</v>
      </c>
    </row>
    <row r="6393" spans="1:3" x14ac:dyDescent="0.25">
      <c r="A6393">
        <v>130</v>
      </c>
      <c r="B6393">
        <v>279</v>
      </c>
      <c r="C6393">
        <v>3</v>
      </c>
    </row>
    <row r="6394" spans="1:3" x14ac:dyDescent="0.25">
      <c r="A6394">
        <v>133</v>
      </c>
      <c r="B6394">
        <v>279</v>
      </c>
      <c r="C6394">
        <v>5</v>
      </c>
    </row>
    <row r="6395" spans="1:3" x14ac:dyDescent="0.25">
      <c r="A6395">
        <v>136</v>
      </c>
      <c r="B6395">
        <v>279</v>
      </c>
      <c r="C6395">
        <v>2</v>
      </c>
    </row>
    <row r="6396" spans="1:3" x14ac:dyDescent="0.25">
      <c r="A6396">
        <v>139</v>
      </c>
      <c r="B6396">
        <v>279</v>
      </c>
      <c r="C6396">
        <v>5</v>
      </c>
    </row>
    <row r="6397" spans="1:3" x14ac:dyDescent="0.25">
      <c r="A6397">
        <v>169</v>
      </c>
      <c r="B6397">
        <v>279</v>
      </c>
      <c r="C6397">
        <v>4</v>
      </c>
    </row>
    <row r="6398" spans="1:3" x14ac:dyDescent="0.25">
      <c r="A6398">
        <v>173</v>
      </c>
      <c r="B6398">
        <v>279</v>
      </c>
      <c r="C6398">
        <v>3</v>
      </c>
    </row>
    <row r="6399" spans="1:3" x14ac:dyDescent="0.25">
      <c r="A6399">
        <v>183</v>
      </c>
      <c r="B6399">
        <v>279</v>
      </c>
      <c r="C6399">
        <v>1</v>
      </c>
    </row>
    <row r="6400" spans="1:3" x14ac:dyDescent="0.25">
      <c r="A6400">
        <v>200</v>
      </c>
      <c r="B6400">
        <v>279</v>
      </c>
      <c r="C6400">
        <v>4</v>
      </c>
    </row>
    <row r="6401" spans="1:3" x14ac:dyDescent="0.25">
      <c r="A6401">
        <v>214</v>
      </c>
      <c r="B6401">
        <v>279</v>
      </c>
      <c r="C6401">
        <v>3</v>
      </c>
    </row>
    <row r="6402" spans="1:3" x14ac:dyDescent="0.25">
      <c r="A6402">
        <v>255</v>
      </c>
      <c r="B6402">
        <v>279</v>
      </c>
      <c r="C6402">
        <v>3</v>
      </c>
    </row>
    <row r="6403" spans="1:3" x14ac:dyDescent="0.25">
      <c r="A6403">
        <v>258</v>
      </c>
      <c r="B6403">
        <v>279</v>
      </c>
      <c r="C6403">
        <v>5</v>
      </c>
    </row>
    <row r="6404" spans="1:3" x14ac:dyDescent="0.25">
      <c r="A6404">
        <v>285</v>
      </c>
      <c r="B6404">
        <v>279</v>
      </c>
      <c r="C6404">
        <v>5</v>
      </c>
    </row>
    <row r="6405" spans="1:3" x14ac:dyDescent="0.25">
      <c r="A6405">
        <v>292</v>
      </c>
      <c r="B6405">
        <v>279</v>
      </c>
      <c r="C6405">
        <v>4</v>
      </c>
    </row>
    <row r="6406" spans="1:3" x14ac:dyDescent="0.25">
      <c r="A6406">
        <v>300</v>
      </c>
      <c r="B6406">
        <v>279</v>
      </c>
      <c r="C6406">
        <v>4</v>
      </c>
    </row>
    <row r="6407" spans="1:3" x14ac:dyDescent="0.25">
      <c r="A6407">
        <v>10</v>
      </c>
      <c r="B6407">
        <v>280</v>
      </c>
      <c r="C6407">
        <v>4</v>
      </c>
    </row>
    <row r="6408" spans="1:3" x14ac:dyDescent="0.25">
      <c r="A6408">
        <v>10</v>
      </c>
      <c r="B6408">
        <v>280</v>
      </c>
      <c r="C6408">
        <v>5</v>
      </c>
    </row>
    <row r="6409" spans="1:3" x14ac:dyDescent="0.25">
      <c r="A6409">
        <v>26</v>
      </c>
      <c r="B6409">
        <v>280</v>
      </c>
      <c r="C6409">
        <v>3</v>
      </c>
    </row>
    <row r="6410" spans="1:3" x14ac:dyDescent="0.25">
      <c r="A6410">
        <v>52</v>
      </c>
      <c r="B6410">
        <v>280</v>
      </c>
      <c r="C6410">
        <v>1</v>
      </c>
    </row>
    <row r="6411" spans="1:3" x14ac:dyDescent="0.25">
      <c r="A6411">
        <v>63</v>
      </c>
      <c r="B6411">
        <v>280</v>
      </c>
      <c r="C6411">
        <v>1</v>
      </c>
    </row>
    <row r="6412" spans="1:3" x14ac:dyDescent="0.25">
      <c r="A6412">
        <v>66</v>
      </c>
      <c r="B6412">
        <v>280</v>
      </c>
      <c r="C6412">
        <v>1</v>
      </c>
    </row>
    <row r="6413" spans="1:3" x14ac:dyDescent="0.25">
      <c r="A6413">
        <v>85</v>
      </c>
      <c r="B6413">
        <v>280</v>
      </c>
      <c r="C6413">
        <v>1</v>
      </c>
    </row>
    <row r="6414" spans="1:3" x14ac:dyDescent="0.25">
      <c r="A6414">
        <v>99</v>
      </c>
      <c r="B6414">
        <v>280</v>
      </c>
      <c r="C6414">
        <v>1</v>
      </c>
    </row>
    <row r="6415" spans="1:3" x14ac:dyDescent="0.25">
      <c r="A6415">
        <v>114</v>
      </c>
      <c r="B6415">
        <v>280</v>
      </c>
      <c r="C6415">
        <v>4</v>
      </c>
    </row>
    <row r="6416" spans="1:3" x14ac:dyDescent="0.25">
      <c r="A6416">
        <v>133</v>
      </c>
      <c r="B6416">
        <v>280</v>
      </c>
      <c r="C6416">
        <v>3</v>
      </c>
    </row>
    <row r="6417" spans="1:3" x14ac:dyDescent="0.25">
      <c r="A6417">
        <v>136</v>
      </c>
      <c r="B6417">
        <v>280</v>
      </c>
      <c r="C6417">
        <v>4</v>
      </c>
    </row>
    <row r="6418" spans="1:3" x14ac:dyDescent="0.25">
      <c r="A6418">
        <v>145</v>
      </c>
      <c r="B6418">
        <v>280</v>
      </c>
      <c r="C6418">
        <v>2</v>
      </c>
    </row>
    <row r="6419" spans="1:3" x14ac:dyDescent="0.25">
      <c r="A6419">
        <v>146</v>
      </c>
      <c r="B6419">
        <v>280</v>
      </c>
      <c r="C6419">
        <v>1</v>
      </c>
    </row>
    <row r="6420" spans="1:3" x14ac:dyDescent="0.25">
      <c r="A6420">
        <v>148</v>
      </c>
      <c r="B6420">
        <v>280</v>
      </c>
      <c r="C6420">
        <v>5</v>
      </c>
    </row>
    <row r="6421" spans="1:3" x14ac:dyDescent="0.25">
      <c r="A6421">
        <v>167</v>
      </c>
      <c r="B6421">
        <v>280</v>
      </c>
      <c r="C6421">
        <v>3</v>
      </c>
    </row>
    <row r="6422" spans="1:3" x14ac:dyDescent="0.25">
      <c r="A6422">
        <v>204</v>
      </c>
      <c r="B6422">
        <v>280</v>
      </c>
      <c r="C6422">
        <v>4</v>
      </c>
    </row>
    <row r="6423" spans="1:3" x14ac:dyDescent="0.25">
      <c r="A6423">
        <v>214</v>
      </c>
      <c r="B6423">
        <v>280</v>
      </c>
      <c r="C6423">
        <v>2</v>
      </c>
    </row>
    <row r="6424" spans="1:3" x14ac:dyDescent="0.25">
      <c r="A6424">
        <v>227</v>
      </c>
      <c r="B6424">
        <v>280</v>
      </c>
      <c r="C6424">
        <v>1</v>
      </c>
    </row>
    <row r="6425" spans="1:3" x14ac:dyDescent="0.25">
      <c r="A6425">
        <v>233</v>
      </c>
      <c r="B6425">
        <v>280</v>
      </c>
      <c r="C6425">
        <v>5</v>
      </c>
    </row>
    <row r="6426" spans="1:3" x14ac:dyDescent="0.25">
      <c r="A6426">
        <v>237</v>
      </c>
      <c r="B6426">
        <v>280</v>
      </c>
      <c r="C6426">
        <v>4</v>
      </c>
    </row>
    <row r="6427" spans="1:3" x14ac:dyDescent="0.25">
      <c r="A6427">
        <v>260</v>
      </c>
      <c r="B6427">
        <v>280</v>
      </c>
      <c r="C6427">
        <v>5</v>
      </c>
    </row>
    <row r="6428" spans="1:3" x14ac:dyDescent="0.25">
      <c r="A6428">
        <v>268</v>
      </c>
      <c r="B6428">
        <v>280</v>
      </c>
      <c r="C6428">
        <v>4</v>
      </c>
    </row>
    <row r="6429" spans="1:3" x14ac:dyDescent="0.25">
      <c r="A6429">
        <v>287</v>
      </c>
      <c r="B6429">
        <v>280</v>
      </c>
      <c r="C6429">
        <v>4</v>
      </c>
    </row>
    <row r="6430" spans="1:3" x14ac:dyDescent="0.25">
      <c r="A6430">
        <v>296</v>
      </c>
      <c r="B6430">
        <v>280</v>
      </c>
      <c r="C6430">
        <v>3</v>
      </c>
    </row>
    <row r="6431" spans="1:3" x14ac:dyDescent="0.25">
      <c r="A6431">
        <v>299</v>
      </c>
      <c r="B6431">
        <v>280</v>
      </c>
      <c r="C6431">
        <v>4</v>
      </c>
    </row>
    <row r="6432" spans="1:3" x14ac:dyDescent="0.25">
      <c r="A6432">
        <v>2</v>
      </c>
      <c r="B6432">
        <v>281</v>
      </c>
      <c r="C6432">
        <v>2</v>
      </c>
    </row>
    <row r="6433" spans="1:3" x14ac:dyDescent="0.25">
      <c r="A6433">
        <v>23</v>
      </c>
      <c r="B6433">
        <v>281</v>
      </c>
      <c r="C6433">
        <v>5</v>
      </c>
    </row>
    <row r="6434" spans="1:3" x14ac:dyDescent="0.25">
      <c r="A6434">
        <v>34</v>
      </c>
      <c r="B6434">
        <v>281</v>
      </c>
      <c r="C6434">
        <v>3</v>
      </c>
    </row>
    <row r="6435" spans="1:3" x14ac:dyDescent="0.25">
      <c r="A6435">
        <v>42</v>
      </c>
      <c r="B6435">
        <v>281</v>
      </c>
      <c r="C6435">
        <v>4</v>
      </c>
    </row>
    <row r="6436" spans="1:3" x14ac:dyDescent="0.25">
      <c r="A6436">
        <v>45</v>
      </c>
      <c r="B6436">
        <v>281</v>
      </c>
      <c r="C6436">
        <v>4</v>
      </c>
    </row>
    <row r="6437" spans="1:3" x14ac:dyDescent="0.25">
      <c r="A6437">
        <v>71</v>
      </c>
      <c r="B6437">
        <v>281</v>
      </c>
      <c r="C6437">
        <v>4</v>
      </c>
    </row>
    <row r="6438" spans="1:3" x14ac:dyDescent="0.25">
      <c r="A6438">
        <v>136</v>
      </c>
      <c r="B6438">
        <v>281</v>
      </c>
      <c r="C6438">
        <v>5</v>
      </c>
    </row>
    <row r="6439" spans="1:3" x14ac:dyDescent="0.25">
      <c r="A6439">
        <v>180</v>
      </c>
      <c r="B6439">
        <v>281</v>
      </c>
      <c r="C6439">
        <v>4</v>
      </c>
    </row>
    <row r="6440" spans="1:3" x14ac:dyDescent="0.25">
      <c r="A6440">
        <v>196</v>
      </c>
      <c r="B6440">
        <v>281</v>
      </c>
      <c r="C6440">
        <v>2</v>
      </c>
    </row>
    <row r="6441" spans="1:3" x14ac:dyDescent="0.25">
      <c r="A6441">
        <v>200</v>
      </c>
      <c r="B6441">
        <v>281</v>
      </c>
      <c r="C6441">
        <v>1</v>
      </c>
    </row>
    <row r="6442" spans="1:3" x14ac:dyDescent="0.25">
      <c r="A6442">
        <v>211</v>
      </c>
      <c r="B6442">
        <v>281</v>
      </c>
      <c r="C6442">
        <v>3</v>
      </c>
    </row>
    <row r="6443" spans="1:3" x14ac:dyDescent="0.25">
      <c r="A6443">
        <v>212</v>
      </c>
      <c r="B6443">
        <v>281</v>
      </c>
      <c r="C6443">
        <v>4</v>
      </c>
    </row>
    <row r="6444" spans="1:3" x14ac:dyDescent="0.25">
      <c r="A6444">
        <v>229</v>
      </c>
      <c r="B6444">
        <v>281</v>
      </c>
      <c r="C6444">
        <v>1</v>
      </c>
    </row>
    <row r="6445" spans="1:3" x14ac:dyDescent="0.25">
      <c r="A6445">
        <v>239</v>
      </c>
      <c r="B6445">
        <v>281</v>
      </c>
      <c r="C6445">
        <v>3</v>
      </c>
    </row>
    <row r="6446" spans="1:3" x14ac:dyDescent="0.25">
      <c r="A6446">
        <v>261</v>
      </c>
      <c r="B6446">
        <v>281</v>
      </c>
      <c r="C6446">
        <v>3</v>
      </c>
    </row>
    <row r="6447" spans="1:3" x14ac:dyDescent="0.25">
      <c r="A6447">
        <v>265</v>
      </c>
      <c r="B6447">
        <v>281</v>
      </c>
      <c r="C6447">
        <v>1</v>
      </c>
    </row>
    <row r="6448" spans="1:3" x14ac:dyDescent="0.25">
      <c r="A6448">
        <v>269</v>
      </c>
      <c r="B6448">
        <v>281</v>
      </c>
      <c r="C6448">
        <v>2</v>
      </c>
    </row>
    <row r="6449" spans="1:3" x14ac:dyDescent="0.25">
      <c r="A6449">
        <v>273</v>
      </c>
      <c r="B6449">
        <v>281</v>
      </c>
      <c r="C6449">
        <v>5</v>
      </c>
    </row>
    <row r="6450" spans="1:3" x14ac:dyDescent="0.25">
      <c r="A6450">
        <v>299</v>
      </c>
      <c r="B6450">
        <v>281</v>
      </c>
      <c r="C6450">
        <v>3</v>
      </c>
    </row>
    <row r="6451" spans="1:3" x14ac:dyDescent="0.25">
      <c r="A6451">
        <v>30</v>
      </c>
      <c r="B6451">
        <v>282</v>
      </c>
      <c r="C6451">
        <v>5</v>
      </c>
    </row>
    <row r="6452" spans="1:3" x14ac:dyDescent="0.25">
      <c r="A6452">
        <v>32</v>
      </c>
      <c r="B6452">
        <v>282</v>
      </c>
      <c r="C6452">
        <v>5</v>
      </c>
    </row>
    <row r="6453" spans="1:3" x14ac:dyDescent="0.25">
      <c r="A6453">
        <v>43</v>
      </c>
      <c r="B6453">
        <v>282</v>
      </c>
      <c r="C6453">
        <v>2</v>
      </c>
    </row>
    <row r="6454" spans="1:3" x14ac:dyDescent="0.25">
      <c r="A6454">
        <v>80</v>
      </c>
      <c r="B6454">
        <v>282</v>
      </c>
      <c r="C6454">
        <v>2</v>
      </c>
    </row>
    <row r="6455" spans="1:3" x14ac:dyDescent="0.25">
      <c r="A6455">
        <v>107</v>
      </c>
      <c r="B6455">
        <v>282</v>
      </c>
      <c r="C6455">
        <v>4</v>
      </c>
    </row>
    <row r="6456" spans="1:3" x14ac:dyDescent="0.25">
      <c r="A6456">
        <v>109</v>
      </c>
      <c r="B6456">
        <v>282</v>
      </c>
      <c r="C6456">
        <v>3</v>
      </c>
    </row>
    <row r="6457" spans="1:3" x14ac:dyDescent="0.25">
      <c r="A6457">
        <v>114</v>
      </c>
      <c r="B6457">
        <v>282</v>
      </c>
      <c r="C6457">
        <v>5</v>
      </c>
    </row>
    <row r="6458" spans="1:3" x14ac:dyDescent="0.25">
      <c r="A6458">
        <v>117</v>
      </c>
      <c r="B6458">
        <v>282</v>
      </c>
      <c r="C6458">
        <v>3</v>
      </c>
    </row>
    <row r="6459" spans="1:3" x14ac:dyDescent="0.25">
      <c r="A6459">
        <v>126</v>
      </c>
      <c r="B6459">
        <v>282</v>
      </c>
      <c r="C6459">
        <v>3</v>
      </c>
    </row>
    <row r="6460" spans="1:3" x14ac:dyDescent="0.25">
      <c r="A6460">
        <v>139</v>
      </c>
      <c r="B6460">
        <v>282</v>
      </c>
      <c r="C6460">
        <v>4</v>
      </c>
    </row>
    <row r="6461" spans="1:3" x14ac:dyDescent="0.25">
      <c r="A6461">
        <v>142</v>
      </c>
      <c r="B6461">
        <v>282</v>
      </c>
      <c r="C6461">
        <v>4</v>
      </c>
    </row>
    <row r="6462" spans="1:3" x14ac:dyDescent="0.25">
      <c r="A6462">
        <v>165</v>
      </c>
      <c r="B6462">
        <v>282</v>
      </c>
      <c r="C6462">
        <v>2</v>
      </c>
    </row>
    <row r="6463" spans="1:3" x14ac:dyDescent="0.25">
      <c r="A6463">
        <v>168</v>
      </c>
      <c r="B6463">
        <v>282</v>
      </c>
      <c r="C6463">
        <v>4</v>
      </c>
    </row>
    <row r="6464" spans="1:3" x14ac:dyDescent="0.25">
      <c r="A6464">
        <v>184</v>
      </c>
      <c r="B6464">
        <v>282</v>
      </c>
      <c r="C6464">
        <v>2</v>
      </c>
    </row>
    <row r="6465" spans="1:3" x14ac:dyDescent="0.25">
      <c r="A6465">
        <v>218</v>
      </c>
      <c r="B6465">
        <v>282</v>
      </c>
      <c r="C6465">
        <v>1</v>
      </c>
    </row>
    <row r="6466" spans="1:3" x14ac:dyDescent="0.25">
      <c r="A6466">
        <v>218</v>
      </c>
      <c r="B6466">
        <v>282</v>
      </c>
      <c r="C6466">
        <v>3</v>
      </c>
    </row>
    <row r="6467" spans="1:3" x14ac:dyDescent="0.25">
      <c r="A6467">
        <v>237</v>
      </c>
      <c r="B6467">
        <v>282</v>
      </c>
      <c r="C6467">
        <v>5</v>
      </c>
    </row>
    <row r="6468" spans="1:3" x14ac:dyDescent="0.25">
      <c r="A6468">
        <v>237</v>
      </c>
      <c r="B6468">
        <v>282</v>
      </c>
      <c r="C6468">
        <v>4</v>
      </c>
    </row>
    <row r="6469" spans="1:3" x14ac:dyDescent="0.25">
      <c r="A6469">
        <v>240</v>
      </c>
      <c r="B6469">
        <v>282</v>
      </c>
      <c r="C6469">
        <v>5</v>
      </c>
    </row>
    <row r="6470" spans="1:3" x14ac:dyDescent="0.25">
      <c r="A6470">
        <v>269</v>
      </c>
      <c r="B6470">
        <v>282</v>
      </c>
      <c r="C6470">
        <v>1</v>
      </c>
    </row>
    <row r="6471" spans="1:3" x14ac:dyDescent="0.25">
      <c r="A6471">
        <v>270</v>
      </c>
      <c r="B6471">
        <v>282</v>
      </c>
      <c r="C6471">
        <v>5</v>
      </c>
    </row>
    <row r="6472" spans="1:3" x14ac:dyDescent="0.25">
      <c r="A6472">
        <v>270</v>
      </c>
      <c r="B6472">
        <v>282</v>
      </c>
      <c r="C6472">
        <v>1</v>
      </c>
    </row>
    <row r="6473" spans="1:3" x14ac:dyDescent="0.25">
      <c r="A6473">
        <v>293</v>
      </c>
      <c r="B6473">
        <v>282</v>
      </c>
      <c r="C6473">
        <v>4</v>
      </c>
    </row>
    <row r="6474" spans="1:3" x14ac:dyDescent="0.25">
      <c r="A6474">
        <v>3</v>
      </c>
      <c r="B6474">
        <v>283</v>
      </c>
      <c r="C6474">
        <v>3</v>
      </c>
    </row>
    <row r="6475" spans="1:3" x14ac:dyDescent="0.25">
      <c r="A6475">
        <v>5</v>
      </c>
      <c r="B6475">
        <v>283</v>
      </c>
      <c r="C6475">
        <v>4</v>
      </c>
    </row>
    <row r="6476" spans="1:3" x14ac:dyDescent="0.25">
      <c r="A6476">
        <v>27</v>
      </c>
      <c r="B6476">
        <v>283</v>
      </c>
      <c r="C6476">
        <v>2</v>
      </c>
    </row>
    <row r="6477" spans="1:3" x14ac:dyDescent="0.25">
      <c r="A6477">
        <v>28</v>
      </c>
      <c r="B6477">
        <v>283</v>
      </c>
      <c r="C6477">
        <v>5</v>
      </c>
    </row>
    <row r="6478" spans="1:3" x14ac:dyDescent="0.25">
      <c r="A6478">
        <v>49</v>
      </c>
      <c r="B6478">
        <v>283</v>
      </c>
      <c r="C6478">
        <v>1</v>
      </c>
    </row>
    <row r="6479" spans="1:3" x14ac:dyDescent="0.25">
      <c r="A6479">
        <v>53</v>
      </c>
      <c r="B6479">
        <v>283</v>
      </c>
      <c r="C6479">
        <v>5</v>
      </c>
    </row>
    <row r="6480" spans="1:3" x14ac:dyDescent="0.25">
      <c r="A6480">
        <v>62</v>
      </c>
      <c r="B6480">
        <v>283</v>
      </c>
      <c r="C6480">
        <v>1</v>
      </c>
    </row>
    <row r="6481" spans="1:3" x14ac:dyDescent="0.25">
      <c r="A6481">
        <v>83</v>
      </c>
      <c r="B6481">
        <v>283</v>
      </c>
      <c r="C6481">
        <v>5</v>
      </c>
    </row>
    <row r="6482" spans="1:3" x14ac:dyDescent="0.25">
      <c r="A6482">
        <v>88</v>
      </c>
      <c r="B6482">
        <v>283</v>
      </c>
      <c r="C6482">
        <v>2</v>
      </c>
    </row>
    <row r="6483" spans="1:3" x14ac:dyDescent="0.25">
      <c r="A6483">
        <v>90</v>
      </c>
      <c r="B6483">
        <v>283</v>
      </c>
      <c r="C6483">
        <v>3</v>
      </c>
    </row>
    <row r="6484" spans="1:3" x14ac:dyDescent="0.25">
      <c r="A6484">
        <v>139</v>
      </c>
      <c r="B6484">
        <v>283</v>
      </c>
      <c r="C6484">
        <v>3</v>
      </c>
    </row>
    <row r="6485" spans="1:3" x14ac:dyDescent="0.25">
      <c r="A6485">
        <v>171</v>
      </c>
      <c r="B6485">
        <v>283</v>
      </c>
      <c r="C6485">
        <v>3</v>
      </c>
    </row>
    <row r="6486" spans="1:3" x14ac:dyDescent="0.25">
      <c r="A6486">
        <v>204</v>
      </c>
      <c r="B6486">
        <v>283</v>
      </c>
      <c r="C6486">
        <v>1</v>
      </c>
    </row>
    <row r="6487" spans="1:3" x14ac:dyDescent="0.25">
      <c r="A6487">
        <v>224</v>
      </c>
      <c r="B6487">
        <v>283</v>
      </c>
      <c r="C6487">
        <v>3</v>
      </c>
    </row>
    <row r="6488" spans="1:3" x14ac:dyDescent="0.25">
      <c r="A6488">
        <v>256</v>
      </c>
      <c r="B6488">
        <v>283</v>
      </c>
      <c r="C6488">
        <v>3</v>
      </c>
    </row>
    <row r="6489" spans="1:3" x14ac:dyDescent="0.25">
      <c r="A6489">
        <v>260</v>
      </c>
      <c r="B6489">
        <v>283</v>
      </c>
      <c r="C6489">
        <v>4</v>
      </c>
    </row>
    <row r="6490" spans="1:3" x14ac:dyDescent="0.25">
      <c r="A6490">
        <v>272</v>
      </c>
      <c r="B6490">
        <v>283</v>
      </c>
      <c r="C6490">
        <v>2</v>
      </c>
    </row>
    <row r="6491" spans="1:3" x14ac:dyDescent="0.25">
      <c r="A6491">
        <v>298</v>
      </c>
      <c r="B6491">
        <v>283</v>
      </c>
      <c r="C6491">
        <v>5</v>
      </c>
    </row>
    <row r="6492" spans="1:3" x14ac:dyDescent="0.25">
      <c r="A6492">
        <v>10</v>
      </c>
      <c r="B6492">
        <v>284</v>
      </c>
      <c r="C6492">
        <v>3</v>
      </c>
    </row>
    <row r="6493" spans="1:3" x14ac:dyDescent="0.25">
      <c r="A6493">
        <v>15</v>
      </c>
      <c r="B6493">
        <v>284</v>
      </c>
      <c r="C6493">
        <v>2</v>
      </c>
    </row>
    <row r="6494" spans="1:3" x14ac:dyDescent="0.25">
      <c r="A6494">
        <v>40</v>
      </c>
      <c r="B6494">
        <v>284</v>
      </c>
      <c r="C6494">
        <v>3</v>
      </c>
    </row>
    <row r="6495" spans="1:3" x14ac:dyDescent="0.25">
      <c r="A6495">
        <v>44</v>
      </c>
      <c r="B6495">
        <v>284</v>
      </c>
      <c r="C6495">
        <v>3</v>
      </c>
    </row>
    <row r="6496" spans="1:3" x14ac:dyDescent="0.25">
      <c r="A6496">
        <v>62</v>
      </c>
      <c r="B6496">
        <v>284</v>
      </c>
      <c r="C6496">
        <v>2</v>
      </c>
    </row>
    <row r="6497" spans="1:3" x14ac:dyDescent="0.25">
      <c r="A6497">
        <v>68</v>
      </c>
      <c r="B6497">
        <v>284</v>
      </c>
      <c r="C6497">
        <v>4</v>
      </c>
    </row>
    <row r="6498" spans="1:3" x14ac:dyDescent="0.25">
      <c r="A6498">
        <v>71</v>
      </c>
      <c r="B6498">
        <v>284</v>
      </c>
      <c r="C6498">
        <v>5</v>
      </c>
    </row>
    <row r="6499" spans="1:3" x14ac:dyDescent="0.25">
      <c r="A6499">
        <v>71</v>
      </c>
      <c r="B6499">
        <v>284</v>
      </c>
      <c r="C6499">
        <v>3</v>
      </c>
    </row>
    <row r="6500" spans="1:3" x14ac:dyDescent="0.25">
      <c r="A6500">
        <v>85</v>
      </c>
      <c r="B6500">
        <v>284</v>
      </c>
      <c r="C6500">
        <v>5</v>
      </c>
    </row>
    <row r="6501" spans="1:3" x14ac:dyDescent="0.25">
      <c r="A6501">
        <v>93</v>
      </c>
      <c r="B6501">
        <v>284</v>
      </c>
      <c r="C6501">
        <v>2</v>
      </c>
    </row>
    <row r="6502" spans="1:3" x14ac:dyDescent="0.25">
      <c r="A6502">
        <v>123</v>
      </c>
      <c r="B6502">
        <v>284</v>
      </c>
      <c r="C6502">
        <v>4</v>
      </c>
    </row>
    <row r="6503" spans="1:3" x14ac:dyDescent="0.25">
      <c r="A6503">
        <v>144</v>
      </c>
      <c r="B6503">
        <v>284</v>
      </c>
      <c r="C6503">
        <v>2</v>
      </c>
    </row>
    <row r="6504" spans="1:3" x14ac:dyDescent="0.25">
      <c r="A6504">
        <v>159</v>
      </c>
      <c r="B6504">
        <v>284</v>
      </c>
      <c r="C6504">
        <v>2</v>
      </c>
    </row>
    <row r="6505" spans="1:3" x14ac:dyDescent="0.25">
      <c r="A6505">
        <v>168</v>
      </c>
      <c r="B6505">
        <v>284</v>
      </c>
      <c r="C6505">
        <v>3</v>
      </c>
    </row>
    <row r="6506" spans="1:3" x14ac:dyDescent="0.25">
      <c r="A6506">
        <v>187</v>
      </c>
      <c r="B6506">
        <v>284</v>
      </c>
      <c r="C6506">
        <v>2</v>
      </c>
    </row>
    <row r="6507" spans="1:3" x14ac:dyDescent="0.25">
      <c r="A6507">
        <v>197</v>
      </c>
      <c r="B6507">
        <v>284</v>
      </c>
      <c r="C6507">
        <v>3</v>
      </c>
    </row>
    <row r="6508" spans="1:3" x14ac:dyDescent="0.25">
      <c r="A6508">
        <v>204</v>
      </c>
      <c r="B6508">
        <v>284</v>
      </c>
      <c r="C6508">
        <v>4</v>
      </c>
    </row>
    <row r="6509" spans="1:3" x14ac:dyDescent="0.25">
      <c r="A6509">
        <v>234</v>
      </c>
      <c r="B6509">
        <v>284</v>
      </c>
      <c r="C6509">
        <v>4</v>
      </c>
    </row>
    <row r="6510" spans="1:3" x14ac:dyDescent="0.25">
      <c r="A6510">
        <v>245</v>
      </c>
      <c r="B6510">
        <v>284</v>
      </c>
      <c r="C6510">
        <v>5</v>
      </c>
    </row>
    <row r="6511" spans="1:3" x14ac:dyDescent="0.25">
      <c r="A6511">
        <v>252</v>
      </c>
      <c r="B6511">
        <v>284</v>
      </c>
      <c r="C6511">
        <v>5</v>
      </c>
    </row>
    <row r="6512" spans="1:3" x14ac:dyDescent="0.25">
      <c r="A6512">
        <v>291</v>
      </c>
      <c r="B6512">
        <v>284</v>
      </c>
      <c r="C6512">
        <v>3</v>
      </c>
    </row>
    <row r="6513" spans="1:3" x14ac:dyDescent="0.25">
      <c r="A6513">
        <v>38</v>
      </c>
      <c r="B6513">
        <v>285</v>
      </c>
      <c r="C6513">
        <v>2</v>
      </c>
    </row>
    <row r="6514" spans="1:3" x14ac:dyDescent="0.25">
      <c r="A6514">
        <v>53</v>
      </c>
      <c r="B6514">
        <v>285</v>
      </c>
      <c r="C6514">
        <v>4</v>
      </c>
    </row>
    <row r="6515" spans="1:3" x14ac:dyDescent="0.25">
      <c r="A6515">
        <v>58</v>
      </c>
      <c r="B6515">
        <v>285</v>
      </c>
      <c r="C6515">
        <v>1</v>
      </c>
    </row>
    <row r="6516" spans="1:3" x14ac:dyDescent="0.25">
      <c r="A6516">
        <v>68</v>
      </c>
      <c r="B6516">
        <v>285</v>
      </c>
      <c r="C6516">
        <v>5</v>
      </c>
    </row>
    <row r="6517" spans="1:3" x14ac:dyDescent="0.25">
      <c r="A6517">
        <v>70</v>
      </c>
      <c r="B6517">
        <v>285</v>
      </c>
      <c r="C6517">
        <v>3</v>
      </c>
    </row>
    <row r="6518" spans="1:3" x14ac:dyDescent="0.25">
      <c r="A6518">
        <v>78</v>
      </c>
      <c r="B6518">
        <v>285</v>
      </c>
      <c r="C6518">
        <v>2</v>
      </c>
    </row>
    <row r="6519" spans="1:3" x14ac:dyDescent="0.25">
      <c r="A6519">
        <v>92</v>
      </c>
      <c r="B6519">
        <v>285</v>
      </c>
      <c r="C6519">
        <v>4</v>
      </c>
    </row>
    <row r="6520" spans="1:3" x14ac:dyDescent="0.25">
      <c r="A6520">
        <v>100</v>
      </c>
      <c r="B6520">
        <v>285</v>
      </c>
      <c r="C6520">
        <v>2</v>
      </c>
    </row>
    <row r="6521" spans="1:3" x14ac:dyDescent="0.25">
      <c r="A6521">
        <v>108</v>
      </c>
      <c r="B6521">
        <v>285</v>
      </c>
      <c r="C6521">
        <v>3</v>
      </c>
    </row>
    <row r="6522" spans="1:3" x14ac:dyDescent="0.25">
      <c r="A6522">
        <v>120</v>
      </c>
      <c r="B6522">
        <v>285</v>
      </c>
      <c r="C6522">
        <v>4</v>
      </c>
    </row>
    <row r="6523" spans="1:3" x14ac:dyDescent="0.25">
      <c r="A6523">
        <v>120</v>
      </c>
      <c r="B6523">
        <v>285</v>
      </c>
      <c r="C6523">
        <v>5</v>
      </c>
    </row>
    <row r="6524" spans="1:3" x14ac:dyDescent="0.25">
      <c r="A6524">
        <v>146</v>
      </c>
      <c r="B6524">
        <v>285</v>
      </c>
      <c r="C6524">
        <v>1</v>
      </c>
    </row>
    <row r="6525" spans="1:3" x14ac:dyDescent="0.25">
      <c r="A6525">
        <v>149</v>
      </c>
      <c r="B6525">
        <v>285</v>
      </c>
      <c r="C6525">
        <v>1</v>
      </c>
    </row>
    <row r="6526" spans="1:3" x14ac:dyDescent="0.25">
      <c r="A6526">
        <v>161</v>
      </c>
      <c r="B6526">
        <v>285</v>
      </c>
      <c r="C6526">
        <v>1</v>
      </c>
    </row>
    <row r="6527" spans="1:3" x14ac:dyDescent="0.25">
      <c r="A6527">
        <v>185</v>
      </c>
      <c r="B6527">
        <v>285</v>
      </c>
      <c r="C6527">
        <v>3</v>
      </c>
    </row>
    <row r="6528" spans="1:3" x14ac:dyDescent="0.25">
      <c r="A6528">
        <v>206</v>
      </c>
      <c r="B6528">
        <v>285</v>
      </c>
      <c r="C6528">
        <v>4</v>
      </c>
    </row>
    <row r="6529" spans="1:3" x14ac:dyDescent="0.25">
      <c r="A6529">
        <v>210</v>
      </c>
      <c r="B6529">
        <v>285</v>
      </c>
      <c r="C6529">
        <v>2</v>
      </c>
    </row>
    <row r="6530" spans="1:3" x14ac:dyDescent="0.25">
      <c r="A6530">
        <v>212</v>
      </c>
      <c r="B6530">
        <v>285</v>
      </c>
      <c r="C6530">
        <v>5</v>
      </c>
    </row>
    <row r="6531" spans="1:3" x14ac:dyDescent="0.25">
      <c r="A6531">
        <v>214</v>
      </c>
      <c r="B6531">
        <v>285</v>
      </c>
      <c r="C6531">
        <v>2</v>
      </c>
    </row>
    <row r="6532" spans="1:3" x14ac:dyDescent="0.25">
      <c r="A6532">
        <v>214</v>
      </c>
      <c r="B6532">
        <v>285</v>
      </c>
      <c r="C6532">
        <v>5</v>
      </c>
    </row>
    <row r="6533" spans="1:3" x14ac:dyDescent="0.25">
      <c r="A6533">
        <v>232</v>
      </c>
      <c r="B6533">
        <v>285</v>
      </c>
      <c r="C6533">
        <v>1</v>
      </c>
    </row>
    <row r="6534" spans="1:3" x14ac:dyDescent="0.25">
      <c r="A6534">
        <v>284</v>
      </c>
      <c r="B6534">
        <v>285</v>
      </c>
      <c r="C6534">
        <v>3</v>
      </c>
    </row>
    <row r="6535" spans="1:3" x14ac:dyDescent="0.25">
      <c r="A6535">
        <v>289</v>
      </c>
      <c r="B6535">
        <v>285</v>
      </c>
      <c r="C6535">
        <v>1</v>
      </c>
    </row>
    <row r="6536" spans="1:3" x14ac:dyDescent="0.25">
      <c r="A6536">
        <v>291</v>
      </c>
      <c r="B6536">
        <v>285</v>
      </c>
      <c r="C6536">
        <v>1</v>
      </c>
    </row>
    <row r="6537" spans="1:3" x14ac:dyDescent="0.25">
      <c r="A6537">
        <v>300</v>
      </c>
      <c r="B6537">
        <v>285</v>
      </c>
      <c r="C6537">
        <v>5</v>
      </c>
    </row>
    <row r="6538" spans="1:3" x14ac:dyDescent="0.25">
      <c r="A6538">
        <v>25</v>
      </c>
      <c r="B6538">
        <v>286</v>
      </c>
      <c r="C6538">
        <v>4</v>
      </c>
    </row>
    <row r="6539" spans="1:3" x14ac:dyDescent="0.25">
      <c r="A6539">
        <v>28</v>
      </c>
      <c r="B6539">
        <v>286</v>
      </c>
      <c r="C6539">
        <v>5</v>
      </c>
    </row>
    <row r="6540" spans="1:3" x14ac:dyDescent="0.25">
      <c r="A6540">
        <v>53</v>
      </c>
      <c r="B6540">
        <v>286</v>
      </c>
      <c r="C6540">
        <v>2</v>
      </c>
    </row>
    <row r="6541" spans="1:3" x14ac:dyDescent="0.25">
      <c r="A6541">
        <v>59</v>
      </c>
      <c r="B6541">
        <v>286</v>
      </c>
      <c r="C6541">
        <v>2</v>
      </c>
    </row>
    <row r="6542" spans="1:3" x14ac:dyDescent="0.25">
      <c r="A6542">
        <v>67</v>
      </c>
      <c r="B6542">
        <v>286</v>
      </c>
      <c r="C6542">
        <v>1</v>
      </c>
    </row>
    <row r="6543" spans="1:3" x14ac:dyDescent="0.25">
      <c r="A6543">
        <v>81</v>
      </c>
      <c r="B6543">
        <v>286</v>
      </c>
      <c r="C6543">
        <v>3</v>
      </c>
    </row>
    <row r="6544" spans="1:3" x14ac:dyDescent="0.25">
      <c r="A6544">
        <v>82</v>
      </c>
      <c r="B6544">
        <v>286</v>
      </c>
      <c r="C6544">
        <v>2</v>
      </c>
    </row>
    <row r="6545" spans="1:3" x14ac:dyDescent="0.25">
      <c r="A6545">
        <v>84</v>
      </c>
      <c r="B6545">
        <v>286</v>
      </c>
      <c r="C6545">
        <v>4</v>
      </c>
    </row>
    <row r="6546" spans="1:3" x14ac:dyDescent="0.25">
      <c r="A6546">
        <v>91</v>
      </c>
      <c r="B6546">
        <v>286</v>
      </c>
      <c r="C6546">
        <v>3</v>
      </c>
    </row>
    <row r="6547" spans="1:3" x14ac:dyDescent="0.25">
      <c r="A6547">
        <v>125</v>
      </c>
      <c r="B6547">
        <v>286</v>
      </c>
      <c r="C6547">
        <v>1</v>
      </c>
    </row>
    <row r="6548" spans="1:3" x14ac:dyDescent="0.25">
      <c r="A6548">
        <v>128</v>
      </c>
      <c r="B6548">
        <v>286</v>
      </c>
      <c r="C6548">
        <v>1</v>
      </c>
    </row>
    <row r="6549" spans="1:3" x14ac:dyDescent="0.25">
      <c r="A6549">
        <v>145</v>
      </c>
      <c r="B6549">
        <v>286</v>
      </c>
      <c r="C6549">
        <v>4</v>
      </c>
    </row>
    <row r="6550" spans="1:3" x14ac:dyDescent="0.25">
      <c r="A6550">
        <v>254</v>
      </c>
      <c r="B6550">
        <v>286</v>
      </c>
      <c r="C6550">
        <v>1</v>
      </c>
    </row>
    <row r="6551" spans="1:3" x14ac:dyDescent="0.25">
      <c r="A6551">
        <v>258</v>
      </c>
      <c r="B6551">
        <v>286</v>
      </c>
      <c r="C6551">
        <v>1</v>
      </c>
    </row>
    <row r="6552" spans="1:3" x14ac:dyDescent="0.25">
      <c r="A6552">
        <v>268</v>
      </c>
      <c r="B6552">
        <v>286</v>
      </c>
      <c r="C6552">
        <v>5</v>
      </c>
    </row>
    <row r="6553" spans="1:3" x14ac:dyDescent="0.25">
      <c r="A6553">
        <v>274</v>
      </c>
      <c r="B6553">
        <v>286</v>
      </c>
      <c r="C6553">
        <v>3</v>
      </c>
    </row>
    <row r="6554" spans="1:3" x14ac:dyDescent="0.25">
      <c r="A6554">
        <v>282</v>
      </c>
      <c r="B6554">
        <v>286</v>
      </c>
      <c r="C6554">
        <v>2</v>
      </c>
    </row>
    <row r="6555" spans="1:3" x14ac:dyDescent="0.25">
      <c r="A6555">
        <v>37</v>
      </c>
      <c r="B6555">
        <v>287</v>
      </c>
      <c r="C6555">
        <v>5</v>
      </c>
    </row>
    <row r="6556" spans="1:3" x14ac:dyDescent="0.25">
      <c r="A6556">
        <v>70</v>
      </c>
      <c r="B6556">
        <v>287</v>
      </c>
      <c r="C6556">
        <v>3</v>
      </c>
    </row>
    <row r="6557" spans="1:3" x14ac:dyDescent="0.25">
      <c r="A6557">
        <v>88</v>
      </c>
      <c r="B6557">
        <v>287</v>
      </c>
      <c r="C6557">
        <v>1</v>
      </c>
    </row>
    <row r="6558" spans="1:3" x14ac:dyDescent="0.25">
      <c r="A6558">
        <v>108</v>
      </c>
      <c r="B6558">
        <v>287</v>
      </c>
      <c r="C6558">
        <v>2</v>
      </c>
    </row>
    <row r="6559" spans="1:3" x14ac:dyDescent="0.25">
      <c r="A6559">
        <v>113</v>
      </c>
      <c r="B6559">
        <v>287</v>
      </c>
      <c r="C6559">
        <v>5</v>
      </c>
    </row>
    <row r="6560" spans="1:3" x14ac:dyDescent="0.25">
      <c r="A6560">
        <v>136</v>
      </c>
      <c r="B6560">
        <v>287</v>
      </c>
      <c r="C6560">
        <v>4</v>
      </c>
    </row>
    <row r="6561" spans="1:3" x14ac:dyDescent="0.25">
      <c r="A6561">
        <v>143</v>
      </c>
      <c r="B6561">
        <v>287</v>
      </c>
      <c r="C6561">
        <v>3</v>
      </c>
    </row>
    <row r="6562" spans="1:3" x14ac:dyDescent="0.25">
      <c r="A6562">
        <v>149</v>
      </c>
      <c r="B6562">
        <v>287</v>
      </c>
      <c r="C6562">
        <v>4</v>
      </c>
    </row>
    <row r="6563" spans="1:3" x14ac:dyDescent="0.25">
      <c r="A6563">
        <v>234</v>
      </c>
      <c r="B6563">
        <v>287</v>
      </c>
      <c r="C6563">
        <v>3</v>
      </c>
    </row>
    <row r="6564" spans="1:3" x14ac:dyDescent="0.25">
      <c r="A6564">
        <v>258</v>
      </c>
      <c r="B6564">
        <v>287</v>
      </c>
      <c r="C6564">
        <v>4</v>
      </c>
    </row>
    <row r="6565" spans="1:3" x14ac:dyDescent="0.25">
      <c r="A6565">
        <v>262</v>
      </c>
      <c r="B6565">
        <v>287</v>
      </c>
      <c r="C6565">
        <v>5</v>
      </c>
    </row>
    <row r="6566" spans="1:3" x14ac:dyDescent="0.25">
      <c r="A6566">
        <v>275</v>
      </c>
      <c r="B6566">
        <v>287</v>
      </c>
      <c r="C6566">
        <v>5</v>
      </c>
    </row>
    <row r="6567" spans="1:3" x14ac:dyDescent="0.25">
      <c r="A6567">
        <v>287</v>
      </c>
      <c r="B6567">
        <v>287</v>
      </c>
      <c r="C6567">
        <v>1</v>
      </c>
    </row>
    <row r="6568" spans="1:3" x14ac:dyDescent="0.25">
      <c r="A6568">
        <v>297</v>
      </c>
      <c r="B6568">
        <v>287</v>
      </c>
      <c r="C6568">
        <v>4</v>
      </c>
    </row>
    <row r="6569" spans="1:3" x14ac:dyDescent="0.25">
      <c r="A6569">
        <v>17</v>
      </c>
      <c r="B6569">
        <v>288</v>
      </c>
      <c r="C6569">
        <v>4</v>
      </c>
    </row>
    <row r="6570" spans="1:3" x14ac:dyDescent="0.25">
      <c r="A6570">
        <v>28</v>
      </c>
      <c r="B6570">
        <v>288</v>
      </c>
      <c r="C6570">
        <v>2</v>
      </c>
    </row>
    <row r="6571" spans="1:3" x14ac:dyDescent="0.25">
      <c r="A6571">
        <v>53</v>
      </c>
      <c r="B6571">
        <v>288</v>
      </c>
      <c r="C6571">
        <v>2</v>
      </c>
    </row>
    <row r="6572" spans="1:3" x14ac:dyDescent="0.25">
      <c r="A6572">
        <v>58</v>
      </c>
      <c r="B6572">
        <v>288</v>
      </c>
      <c r="C6572">
        <v>3</v>
      </c>
    </row>
    <row r="6573" spans="1:3" x14ac:dyDescent="0.25">
      <c r="A6573">
        <v>99</v>
      </c>
      <c r="B6573">
        <v>288</v>
      </c>
      <c r="C6573">
        <v>4</v>
      </c>
    </row>
    <row r="6574" spans="1:3" x14ac:dyDescent="0.25">
      <c r="A6574">
        <v>112</v>
      </c>
      <c r="B6574">
        <v>288</v>
      </c>
      <c r="C6574">
        <v>4</v>
      </c>
    </row>
    <row r="6575" spans="1:3" x14ac:dyDescent="0.25">
      <c r="A6575">
        <v>116</v>
      </c>
      <c r="B6575">
        <v>288</v>
      </c>
      <c r="C6575">
        <v>2</v>
      </c>
    </row>
    <row r="6576" spans="1:3" x14ac:dyDescent="0.25">
      <c r="A6576">
        <v>122</v>
      </c>
      <c r="B6576">
        <v>288</v>
      </c>
      <c r="C6576">
        <v>3</v>
      </c>
    </row>
    <row r="6577" spans="1:3" x14ac:dyDescent="0.25">
      <c r="A6577">
        <v>137</v>
      </c>
      <c r="B6577">
        <v>288</v>
      </c>
      <c r="C6577">
        <v>4</v>
      </c>
    </row>
    <row r="6578" spans="1:3" x14ac:dyDescent="0.25">
      <c r="A6578">
        <v>137</v>
      </c>
      <c r="B6578">
        <v>288</v>
      </c>
      <c r="C6578">
        <v>3</v>
      </c>
    </row>
    <row r="6579" spans="1:3" x14ac:dyDescent="0.25">
      <c r="A6579">
        <v>138</v>
      </c>
      <c r="B6579">
        <v>288</v>
      </c>
      <c r="C6579">
        <v>5</v>
      </c>
    </row>
    <row r="6580" spans="1:3" x14ac:dyDescent="0.25">
      <c r="A6580">
        <v>143</v>
      </c>
      <c r="B6580">
        <v>288</v>
      </c>
      <c r="C6580">
        <v>2</v>
      </c>
    </row>
    <row r="6581" spans="1:3" x14ac:dyDescent="0.25">
      <c r="A6581">
        <v>182</v>
      </c>
      <c r="B6581">
        <v>288</v>
      </c>
      <c r="C6581">
        <v>2</v>
      </c>
    </row>
    <row r="6582" spans="1:3" x14ac:dyDescent="0.25">
      <c r="A6582">
        <v>192</v>
      </c>
      <c r="B6582">
        <v>288</v>
      </c>
      <c r="C6582">
        <v>1</v>
      </c>
    </row>
    <row r="6583" spans="1:3" x14ac:dyDescent="0.25">
      <c r="A6583">
        <v>236</v>
      </c>
      <c r="B6583">
        <v>288</v>
      </c>
      <c r="C6583">
        <v>1</v>
      </c>
    </row>
    <row r="6584" spans="1:3" x14ac:dyDescent="0.25">
      <c r="A6584">
        <v>269</v>
      </c>
      <c r="B6584">
        <v>288</v>
      </c>
      <c r="C6584">
        <v>3</v>
      </c>
    </row>
    <row r="6585" spans="1:3" x14ac:dyDescent="0.25">
      <c r="A6585">
        <v>273</v>
      </c>
      <c r="B6585">
        <v>288</v>
      </c>
      <c r="C6585">
        <v>4</v>
      </c>
    </row>
    <row r="6586" spans="1:3" x14ac:dyDescent="0.25">
      <c r="A6586">
        <v>279</v>
      </c>
      <c r="B6586">
        <v>288</v>
      </c>
      <c r="C6586">
        <v>2</v>
      </c>
    </row>
    <row r="6587" spans="1:3" x14ac:dyDescent="0.25">
      <c r="A6587">
        <v>17</v>
      </c>
      <c r="B6587">
        <v>289</v>
      </c>
      <c r="C6587">
        <v>4</v>
      </c>
    </row>
    <row r="6588" spans="1:3" x14ac:dyDescent="0.25">
      <c r="A6588">
        <v>45</v>
      </c>
      <c r="B6588">
        <v>289</v>
      </c>
      <c r="C6588">
        <v>3</v>
      </c>
    </row>
    <row r="6589" spans="1:3" x14ac:dyDescent="0.25">
      <c r="A6589">
        <v>50</v>
      </c>
      <c r="B6589">
        <v>289</v>
      </c>
      <c r="C6589">
        <v>3</v>
      </c>
    </row>
    <row r="6590" spans="1:3" x14ac:dyDescent="0.25">
      <c r="A6590">
        <v>51</v>
      </c>
      <c r="B6590">
        <v>289</v>
      </c>
      <c r="C6590">
        <v>2</v>
      </c>
    </row>
    <row r="6591" spans="1:3" x14ac:dyDescent="0.25">
      <c r="A6591">
        <v>100</v>
      </c>
      <c r="B6591">
        <v>289</v>
      </c>
      <c r="C6591">
        <v>1</v>
      </c>
    </row>
    <row r="6592" spans="1:3" x14ac:dyDescent="0.25">
      <c r="A6592">
        <v>123</v>
      </c>
      <c r="B6592">
        <v>289</v>
      </c>
      <c r="C6592">
        <v>1</v>
      </c>
    </row>
    <row r="6593" spans="1:3" x14ac:dyDescent="0.25">
      <c r="A6593">
        <v>137</v>
      </c>
      <c r="B6593">
        <v>289</v>
      </c>
      <c r="C6593">
        <v>4</v>
      </c>
    </row>
    <row r="6594" spans="1:3" x14ac:dyDescent="0.25">
      <c r="A6594">
        <v>157</v>
      </c>
      <c r="B6594">
        <v>289</v>
      </c>
      <c r="C6594">
        <v>5</v>
      </c>
    </row>
    <row r="6595" spans="1:3" x14ac:dyDescent="0.25">
      <c r="A6595">
        <v>180</v>
      </c>
      <c r="B6595">
        <v>289</v>
      </c>
      <c r="C6595">
        <v>1</v>
      </c>
    </row>
    <row r="6596" spans="1:3" x14ac:dyDescent="0.25">
      <c r="A6596">
        <v>201</v>
      </c>
      <c r="B6596">
        <v>289</v>
      </c>
      <c r="C6596">
        <v>5</v>
      </c>
    </row>
    <row r="6597" spans="1:3" x14ac:dyDescent="0.25">
      <c r="A6597">
        <v>202</v>
      </c>
      <c r="B6597">
        <v>289</v>
      </c>
      <c r="C6597">
        <v>2</v>
      </c>
    </row>
    <row r="6598" spans="1:3" x14ac:dyDescent="0.25">
      <c r="A6598">
        <v>208</v>
      </c>
      <c r="B6598">
        <v>289</v>
      </c>
      <c r="C6598">
        <v>1</v>
      </c>
    </row>
    <row r="6599" spans="1:3" x14ac:dyDescent="0.25">
      <c r="A6599">
        <v>223</v>
      </c>
      <c r="B6599">
        <v>289</v>
      </c>
      <c r="C6599">
        <v>5</v>
      </c>
    </row>
    <row r="6600" spans="1:3" x14ac:dyDescent="0.25">
      <c r="A6600">
        <v>227</v>
      </c>
      <c r="B6600">
        <v>289</v>
      </c>
      <c r="C6600">
        <v>3</v>
      </c>
    </row>
    <row r="6601" spans="1:3" x14ac:dyDescent="0.25">
      <c r="A6601">
        <v>233</v>
      </c>
      <c r="B6601">
        <v>289</v>
      </c>
      <c r="C6601">
        <v>3</v>
      </c>
    </row>
    <row r="6602" spans="1:3" x14ac:dyDescent="0.25">
      <c r="A6602">
        <v>238</v>
      </c>
      <c r="B6602">
        <v>289</v>
      </c>
      <c r="C6602">
        <v>3</v>
      </c>
    </row>
    <row r="6603" spans="1:3" x14ac:dyDescent="0.25">
      <c r="A6603">
        <v>261</v>
      </c>
      <c r="B6603">
        <v>289</v>
      </c>
      <c r="C6603">
        <v>3</v>
      </c>
    </row>
    <row r="6604" spans="1:3" x14ac:dyDescent="0.25">
      <c r="A6604">
        <v>4</v>
      </c>
      <c r="B6604">
        <v>290</v>
      </c>
      <c r="C6604">
        <v>3</v>
      </c>
    </row>
    <row r="6605" spans="1:3" x14ac:dyDescent="0.25">
      <c r="A6605">
        <v>7</v>
      </c>
      <c r="B6605">
        <v>290</v>
      </c>
      <c r="C6605">
        <v>4</v>
      </c>
    </row>
    <row r="6606" spans="1:3" x14ac:dyDescent="0.25">
      <c r="A6606">
        <v>8</v>
      </c>
      <c r="B6606">
        <v>290</v>
      </c>
      <c r="C6606">
        <v>2</v>
      </c>
    </row>
    <row r="6607" spans="1:3" x14ac:dyDescent="0.25">
      <c r="A6607">
        <v>13</v>
      </c>
      <c r="B6607">
        <v>290</v>
      </c>
      <c r="C6607">
        <v>2</v>
      </c>
    </row>
    <row r="6608" spans="1:3" x14ac:dyDescent="0.25">
      <c r="A6608">
        <v>38</v>
      </c>
      <c r="B6608">
        <v>290</v>
      </c>
      <c r="C6608">
        <v>2</v>
      </c>
    </row>
    <row r="6609" spans="1:3" x14ac:dyDescent="0.25">
      <c r="A6609">
        <v>65</v>
      </c>
      <c r="B6609">
        <v>290</v>
      </c>
      <c r="C6609">
        <v>3</v>
      </c>
    </row>
    <row r="6610" spans="1:3" x14ac:dyDescent="0.25">
      <c r="A6610">
        <v>84</v>
      </c>
      <c r="B6610">
        <v>290</v>
      </c>
      <c r="C6610">
        <v>1</v>
      </c>
    </row>
    <row r="6611" spans="1:3" x14ac:dyDescent="0.25">
      <c r="A6611">
        <v>86</v>
      </c>
      <c r="B6611">
        <v>290</v>
      </c>
      <c r="C6611">
        <v>3</v>
      </c>
    </row>
    <row r="6612" spans="1:3" x14ac:dyDescent="0.25">
      <c r="A6612">
        <v>110</v>
      </c>
      <c r="B6612">
        <v>290</v>
      </c>
      <c r="C6612">
        <v>2</v>
      </c>
    </row>
    <row r="6613" spans="1:3" x14ac:dyDescent="0.25">
      <c r="A6613">
        <v>134</v>
      </c>
      <c r="B6613">
        <v>290</v>
      </c>
      <c r="C6613">
        <v>2</v>
      </c>
    </row>
    <row r="6614" spans="1:3" x14ac:dyDescent="0.25">
      <c r="A6614">
        <v>143</v>
      </c>
      <c r="B6614">
        <v>290</v>
      </c>
      <c r="C6614">
        <v>3</v>
      </c>
    </row>
    <row r="6615" spans="1:3" x14ac:dyDescent="0.25">
      <c r="A6615">
        <v>168</v>
      </c>
      <c r="B6615">
        <v>290</v>
      </c>
      <c r="C6615">
        <v>1</v>
      </c>
    </row>
    <row r="6616" spans="1:3" x14ac:dyDescent="0.25">
      <c r="A6616">
        <v>187</v>
      </c>
      <c r="B6616">
        <v>290</v>
      </c>
      <c r="C6616">
        <v>5</v>
      </c>
    </row>
    <row r="6617" spans="1:3" x14ac:dyDescent="0.25">
      <c r="A6617">
        <v>195</v>
      </c>
      <c r="B6617">
        <v>290</v>
      </c>
      <c r="C6617">
        <v>3</v>
      </c>
    </row>
    <row r="6618" spans="1:3" x14ac:dyDescent="0.25">
      <c r="A6618">
        <v>212</v>
      </c>
      <c r="B6618">
        <v>290</v>
      </c>
      <c r="C6618">
        <v>3</v>
      </c>
    </row>
    <row r="6619" spans="1:3" x14ac:dyDescent="0.25">
      <c r="A6619">
        <v>223</v>
      </c>
      <c r="B6619">
        <v>290</v>
      </c>
      <c r="C6619">
        <v>3</v>
      </c>
    </row>
    <row r="6620" spans="1:3" x14ac:dyDescent="0.25">
      <c r="A6620">
        <v>228</v>
      </c>
      <c r="B6620">
        <v>290</v>
      </c>
      <c r="C6620">
        <v>3</v>
      </c>
    </row>
    <row r="6621" spans="1:3" x14ac:dyDescent="0.25">
      <c r="A6621">
        <v>229</v>
      </c>
      <c r="B6621">
        <v>290</v>
      </c>
      <c r="C6621">
        <v>3</v>
      </c>
    </row>
    <row r="6622" spans="1:3" x14ac:dyDescent="0.25">
      <c r="A6622">
        <v>239</v>
      </c>
      <c r="B6622">
        <v>290</v>
      </c>
      <c r="C6622">
        <v>4</v>
      </c>
    </row>
    <row r="6623" spans="1:3" x14ac:dyDescent="0.25">
      <c r="A6623">
        <v>243</v>
      </c>
      <c r="B6623">
        <v>290</v>
      </c>
      <c r="C6623">
        <v>3</v>
      </c>
    </row>
    <row r="6624" spans="1:3" x14ac:dyDescent="0.25">
      <c r="A6624">
        <v>273</v>
      </c>
      <c r="B6624">
        <v>290</v>
      </c>
      <c r="C6624">
        <v>5</v>
      </c>
    </row>
    <row r="6625" spans="1:3" x14ac:dyDescent="0.25">
      <c r="A6625">
        <v>299</v>
      </c>
      <c r="B6625">
        <v>290</v>
      </c>
      <c r="C6625">
        <v>3</v>
      </c>
    </row>
    <row r="6626" spans="1:3" x14ac:dyDescent="0.25">
      <c r="A6626">
        <v>299</v>
      </c>
      <c r="B6626">
        <v>290</v>
      </c>
      <c r="C6626">
        <v>5</v>
      </c>
    </row>
    <row r="6627" spans="1:3" x14ac:dyDescent="0.25">
      <c r="A6627">
        <v>29</v>
      </c>
      <c r="B6627">
        <v>291</v>
      </c>
      <c r="C6627">
        <v>2</v>
      </c>
    </row>
    <row r="6628" spans="1:3" x14ac:dyDescent="0.25">
      <c r="A6628">
        <v>31</v>
      </c>
      <c r="B6628">
        <v>291</v>
      </c>
      <c r="C6628">
        <v>2</v>
      </c>
    </row>
    <row r="6629" spans="1:3" x14ac:dyDescent="0.25">
      <c r="A6629">
        <v>49</v>
      </c>
      <c r="B6629">
        <v>291</v>
      </c>
      <c r="C6629">
        <v>4</v>
      </c>
    </row>
    <row r="6630" spans="1:3" x14ac:dyDescent="0.25">
      <c r="A6630">
        <v>54</v>
      </c>
      <c r="B6630">
        <v>291</v>
      </c>
      <c r="C6630">
        <v>4</v>
      </c>
    </row>
    <row r="6631" spans="1:3" x14ac:dyDescent="0.25">
      <c r="A6631">
        <v>56</v>
      </c>
      <c r="B6631">
        <v>291</v>
      </c>
      <c r="C6631">
        <v>4</v>
      </c>
    </row>
    <row r="6632" spans="1:3" x14ac:dyDescent="0.25">
      <c r="A6632">
        <v>64</v>
      </c>
      <c r="B6632">
        <v>291</v>
      </c>
      <c r="C6632">
        <v>3</v>
      </c>
    </row>
    <row r="6633" spans="1:3" x14ac:dyDescent="0.25">
      <c r="A6633">
        <v>76</v>
      </c>
      <c r="B6633">
        <v>291</v>
      </c>
      <c r="C6633">
        <v>4</v>
      </c>
    </row>
    <row r="6634" spans="1:3" x14ac:dyDescent="0.25">
      <c r="A6634">
        <v>78</v>
      </c>
      <c r="B6634">
        <v>291</v>
      </c>
      <c r="C6634">
        <v>5</v>
      </c>
    </row>
    <row r="6635" spans="1:3" x14ac:dyDescent="0.25">
      <c r="A6635">
        <v>80</v>
      </c>
      <c r="B6635">
        <v>291</v>
      </c>
      <c r="C6635">
        <v>1</v>
      </c>
    </row>
    <row r="6636" spans="1:3" x14ac:dyDescent="0.25">
      <c r="A6636">
        <v>85</v>
      </c>
      <c r="B6636">
        <v>291</v>
      </c>
      <c r="C6636">
        <v>2</v>
      </c>
    </row>
    <row r="6637" spans="1:3" x14ac:dyDescent="0.25">
      <c r="A6637">
        <v>104</v>
      </c>
      <c r="B6637">
        <v>291</v>
      </c>
      <c r="C6637">
        <v>5</v>
      </c>
    </row>
    <row r="6638" spans="1:3" x14ac:dyDescent="0.25">
      <c r="A6638">
        <v>108</v>
      </c>
      <c r="B6638">
        <v>291</v>
      </c>
      <c r="C6638">
        <v>3</v>
      </c>
    </row>
    <row r="6639" spans="1:3" x14ac:dyDescent="0.25">
      <c r="A6639">
        <v>122</v>
      </c>
      <c r="B6639">
        <v>291</v>
      </c>
      <c r="C6639">
        <v>2</v>
      </c>
    </row>
    <row r="6640" spans="1:3" x14ac:dyDescent="0.25">
      <c r="A6640">
        <v>123</v>
      </c>
      <c r="B6640">
        <v>291</v>
      </c>
      <c r="C6640">
        <v>3</v>
      </c>
    </row>
    <row r="6641" spans="1:3" x14ac:dyDescent="0.25">
      <c r="A6641">
        <v>146</v>
      </c>
      <c r="B6641">
        <v>291</v>
      </c>
      <c r="C6641">
        <v>2</v>
      </c>
    </row>
    <row r="6642" spans="1:3" x14ac:dyDescent="0.25">
      <c r="A6642">
        <v>146</v>
      </c>
      <c r="B6642">
        <v>291</v>
      </c>
      <c r="C6642">
        <v>2</v>
      </c>
    </row>
    <row r="6643" spans="1:3" x14ac:dyDescent="0.25">
      <c r="A6643">
        <v>152</v>
      </c>
      <c r="B6643">
        <v>291</v>
      </c>
      <c r="C6643">
        <v>1</v>
      </c>
    </row>
    <row r="6644" spans="1:3" x14ac:dyDescent="0.25">
      <c r="A6644">
        <v>164</v>
      </c>
      <c r="B6644">
        <v>291</v>
      </c>
      <c r="C6644">
        <v>4</v>
      </c>
    </row>
    <row r="6645" spans="1:3" x14ac:dyDescent="0.25">
      <c r="A6645">
        <v>185</v>
      </c>
      <c r="B6645">
        <v>291</v>
      </c>
      <c r="C6645">
        <v>3</v>
      </c>
    </row>
    <row r="6646" spans="1:3" x14ac:dyDescent="0.25">
      <c r="A6646">
        <v>215</v>
      </c>
      <c r="B6646">
        <v>291</v>
      </c>
      <c r="C6646">
        <v>4</v>
      </c>
    </row>
    <row r="6647" spans="1:3" x14ac:dyDescent="0.25">
      <c r="A6647">
        <v>246</v>
      </c>
      <c r="B6647">
        <v>291</v>
      </c>
      <c r="C6647">
        <v>3</v>
      </c>
    </row>
    <row r="6648" spans="1:3" x14ac:dyDescent="0.25">
      <c r="A6648">
        <v>267</v>
      </c>
      <c r="B6648">
        <v>291</v>
      </c>
      <c r="C6648">
        <v>4</v>
      </c>
    </row>
    <row r="6649" spans="1:3" x14ac:dyDescent="0.25">
      <c r="A6649">
        <v>273</v>
      </c>
      <c r="B6649">
        <v>291</v>
      </c>
      <c r="C6649">
        <v>2</v>
      </c>
    </row>
    <row r="6650" spans="1:3" x14ac:dyDescent="0.25">
      <c r="A6650">
        <v>292</v>
      </c>
      <c r="B6650">
        <v>291</v>
      </c>
      <c r="C6650">
        <v>5</v>
      </c>
    </row>
    <row r="6651" spans="1:3" x14ac:dyDescent="0.25">
      <c r="A6651">
        <v>1</v>
      </c>
      <c r="B6651">
        <v>292</v>
      </c>
      <c r="C6651">
        <v>3</v>
      </c>
    </row>
    <row r="6652" spans="1:3" x14ac:dyDescent="0.25">
      <c r="A6652">
        <v>16</v>
      </c>
      <c r="B6652">
        <v>292</v>
      </c>
      <c r="C6652">
        <v>2</v>
      </c>
    </row>
    <row r="6653" spans="1:3" x14ac:dyDescent="0.25">
      <c r="A6653">
        <v>59</v>
      </c>
      <c r="B6653">
        <v>292</v>
      </c>
      <c r="C6653">
        <v>5</v>
      </c>
    </row>
    <row r="6654" spans="1:3" x14ac:dyDescent="0.25">
      <c r="A6654">
        <v>69</v>
      </c>
      <c r="B6654">
        <v>292</v>
      </c>
      <c r="C6654">
        <v>1</v>
      </c>
    </row>
    <row r="6655" spans="1:3" x14ac:dyDescent="0.25">
      <c r="A6655">
        <v>70</v>
      </c>
      <c r="B6655">
        <v>292</v>
      </c>
      <c r="C6655">
        <v>5</v>
      </c>
    </row>
    <row r="6656" spans="1:3" x14ac:dyDescent="0.25">
      <c r="A6656">
        <v>73</v>
      </c>
      <c r="B6656">
        <v>292</v>
      </c>
      <c r="C6656">
        <v>3</v>
      </c>
    </row>
    <row r="6657" spans="1:3" x14ac:dyDescent="0.25">
      <c r="A6657">
        <v>74</v>
      </c>
      <c r="B6657">
        <v>292</v>
      </c>
      <c r="C6657">
        <v>4</v>
      </c>
    </row>
    <row r="6658" spans="1:3" x14ac:dyDescent="0.25">
      <c r="A6658">
        <v>122</v>
      </c>
      <c r="B6658">
        <v>292</v>
      </c>
      <c r="C6658">
        <v>2</v>
      </c>
    </row>
    <row r="6659" spans="1:3" x14ac:dyDescent="0.25">
      <c r="A6659">
        <v>135</v>
      </c>
      <c r="B6659">
        <v>292</v>
      </c>
      <c r="C6659">
        <v>5</v>
      </c>
    </row>
    <row r="6660" spans="1:3" x14ac:dyDescent="0.25">
      <c r="A6660">
        <v>141</v>
      </c>
      <c r="B6660">
        <v>292</v>
      </c>
      <c r="C6660">
        <v>5</v>
      </c>
    </row>
    <row r="6661" spans="1:3" x14ac:dyDescent="0.25">
      <c r="A6661">
        <v>150</v>
      </c>
      <c r="B6661">
        <v>292</v>
      </c>
      <c r="C6661">
        <v>4</v>
      </c>
    </row>
    <row r="6662" spans="1:3" x14ac:dyDescent="0.25">
      <c r="A6662">
        <v>160</v>
      </c>
      <c r="B6662">
        <v>292</v>
      </c>
      <c r="C6662">
        <v>2</v>
      </c>
    </row>
    <row r="6663" spans="1:3" x14ac:dyDescent="0.25">
      <c r="A6663">
        <v>160</v>
      </c>
      <c r="B6663">
        <v>292</v>
      </c>
      <c r="C6663">
        <v>3</v>
      </c>
    </row>
    <row r="6664" spans="1:3" x14ac:dyDescent="0.25">
      <c r="A6664">
        <v>199</v>
      </c>
      <c r="B6664">
        <v>292</v>
      </c>
      <c r="C6664">
        <v>4</v>
      </c>
    </row>
    <row r="6665" spans="1:3" x14ac:dyDescent="0.25">
      <c r="A6665">
        <v>223</v>
      </c>
      <c r="B6665">
        <v>292</v>
      </c>
      <c r="C6665">
        <v>1</v>
      </c>
    </row>
    <row r="6666" spans="1:3" x14ac:dyDescent="0.25">
      <c r="A6666">
        <v>228</v>
      </c>
      <c r="B6666">
        <v>292</v>
      </c>
      <c r="C6666">
        <v>5</v>
      </c>
    </row>
    <row r="6667" spans="1:3" x14ac:dyDescent="0.25">
      <c r="A6667">
        <v>244</v>
      </c>
      <c r="B6667">
        <v>292</v>
      </c>
      <c r="C6667">
        <v>3</v>
      </c>
    </row>
    <row r="6668" spans="1:3" x14ac:dyDescent="0.25">
      <c r="A6668">
        <v>249</v>
      </c>
      <c r="B6668">
        <v>292</v>
      </c>
      <c r="C6668">
        <v>1</v>
      </c>
    </row>
    <row r="6669" spans="1:3" x14ac:dyDescent="0.25">
      <c r="A6669">
        <v>272</v>
      </c>
      <c r="B6669">
        <v>292</v>
      </c>
      <c r="C6669">
        <v>2</v>
      </c>
    </row>
    <row r="6670" spans="1:3" x14ac:dyDescent="0.25">
      <c r="A6670">
        <v>292</v>
      </c>
      <c r="B6670">
        <v>292</v>
      </c>
      <c r="C6670">
        <v>2</v>
      </c>
    </row>
    <row r="6671" spans="1:3" x14ac:dyDescent="0.25">
      <c r="A6671">
        <v>12</v>
      </c>
      <c r="B6671">
        <v>293</v>
      </c>
      <c r="C6671">
        <v>5</v>
      </c>
    </row>
    <row r="6672" spans="1:3" x14ac:dyDescent="0.25">
      <c r="A6672">
        <v>45</v>
      </c>
      <c r="B6672">
        <v>293</v>
      </c>
      <c r="C6672">
        <v>4</v>
      </c>
    </row>
    <row r="6673" spans="1:3" x14ac:dyDescent="0.25">
      <c r="A6673">
        <v>45</v>
      </c>
      <c r="B6673">
        <v>293</v>
      </c>
      <c r="C6673">
        <v>5</v>
      </c>
    </row>
    <row r="6674" spans="1:3" x14ac:dyDescent="0.25">
      <c r="A6674">
        <v>75</v>
      </c>
      <c r="B6674">
        <v>293</v>
      </c>
      <c r="C6674">
        <v>2</v>
      </c>
    </row>
    <row r="6675" spans="1:3" x14ac:dyDescent="0.25">
      <c r="A6675">
        <v>78</v>
      </c>
      <c r="B6675">
        <v>293</v>
      </c>
      <c r="C6675">
        <v>5</v>
      </c>
    </row>
    <row r="6676" spans="1:3" x14ac:dyDescent="0.25">
      <c r="A6676">
        <v>131</v>
      </c>
      <c r="B6676">
        <v>293</v>
      </c>
      <c r="C6676">
        <v>2</v>
      </c>
    </row>
    <row r="6677" spans="1:3" x14ac:dyDescent="0.25">
      <c r="A6677">
        <v>146</v>
      </c>
      <c r="B6677">
        <v>293</v>
      </c>
      <c r="C6677">
        <v>4</v>
      </c>
    </row>
    <row r="6678" spans="1:3" x14ac:dyDescent="0.25">
      <c r="A6678">
        <v>169</v>
      </c>
      <c r="B6678">
        <v>293</v>
      </c>
      <c r="C6678">
        <v>3</v>
      </c>
    </row>
    <row r="6679" spans="1:3" x14ac:dyDescent="0.25">
      <c r="A6679">
        <v>212</v>
      </c>
      <c r="B6679">
        <v>293</v>
      </c>
      <c r="C6679">
        <v>1</v>
      </c>
    </row>
    <row r="6680" spans="1:3" x14ac:dyDescent="0.25">
      <c r="A6680">
        <v>225</v>
      </c>
      <c r="B6680">
        <v>293</v>
      </c>
      <c r="C6680">
        <v>5</v>
      </c>
    </row>
    <row r="6681" spans="1:3" x14ac:dyDescent="0.25">
      <c r="A6681">
        <v>243</v>
      </c>
      <c r="B6681">
        <v>293</v>
      </c>
      <c r="C6681">
        <v>1</v>
      </c>
    </row>
    <row r="6682" spans="1:3" x14ac:dyDescent="0.25">
      <c r="A6682">
        <v>258</v>
      </c>
      <c r="B6682">
        <v>293</v>
      </c>
      <c r="C6682">
        <v>1</v>
      </c>
    </row>
    <row r="6683" spans="1:3" x14ac:dyDescent="0.25">
      <c r="A6683">
        <v>264</v>
      </c>
      <c r="B6683">
        <v>293</v>
      </c>
      <c r="C6683">
        <v>5</v>
      </c>
    </row>
    <row r="6684" spans="1:3" x14ac:dyDescent="0.25">
      <c r="A6684">
        <v>265</v>
      </c>
      <c r="B6684">
        <v>293</v>
      </c>
      <c r="C6684">
        <v>3</v>
      </c>
    </row>
    <row r="6685" spans="1:3" x14ac:dyDescent="0.25">
      <c r="A6685">
        <v>272</v>
      </c>
      <c r="B6685">
        <v>293</v>
      </c>
      <c r="C6685">
        <v>3</v>
      </c>
    </row>
    <row r="6686" spans="1:3" x14ac:dyDescent="0.25">
      <c r="A6686">
        <v>282</v>
      </c>
      <c r="B6686">
        <v>293</v>
      </c>
      <c r="C6686">
        <v>4</v>
      </c>
    </row>
    <row r="6687" spans="1:3" x14ac:dyDescent="0.25">
      <c r="A6687">
        <v>4</v>
      </c>
      <c r="B6687">
        <v>294</v>
      </c>
      <c r="C6687">
        <v>5</v>
      </c>
    </row>
    <row r="6688" spans="1:3" x14ac:dyDescent="0.25">
      <c r="A6688">
        <v>8</v>
      </c>
      <c r="B6688">
        <v>294</v>
      </c>
      <c r="C6688">
        <v>4</v>
      </c>
    </row>
    <row r="6689" spans="1:3" x14ac:dyDescent="0.25">
      <c r="A6689">
        <v>14</v>
      </c>
      <c r="B6689">
        <v>294</v>
      </c>
      <c r="C6689">
        <v>2</v>
      </c>
    </row>
    <row r="6690" spans="1:3" x14ac:dyDescent="0.25">
      <c r="A6690">
        <v>30</v>
      </c>
      <c r="B6690">
        <v>294</v>
      </c>
      <c r="C6690">
        <v>2</v>
      </c>
    </row>
    <row r="6691" spans="1:3" x14ac:dyDescent="0.25">
      <c r="A6691">
        <v>45</v>
      </c>
      <c r="B6691">
        <v>294</v>
      </c>
      <c r="C6691">
        <v>5</v>
      </c>
    </row>
    <row r="6692" spans="1:3" x14ac:dyDescent="0.25">
      <c r="A6692">
        <v>67</v>
      </c>
      <c r="B6692">
        <v>294</v>
      </c>
      <c r="C6692">
        <v>3</v>
      </c>
    </row>
    <row r="6693" spans="1:3" x14ac:dyDescent="0.25">
      <c r="A6693">
        <v>74</v>
      </c>
      <c r="B6693">
        <v>294</v>
      </c>
      <c r="C6693">
        <v>4</v>
      </c>
    </row>
    <row r="6694" spans="1:3" x14ac:dyDescent="0.25">
      <c r="A6694">
        <v>104</v>
      </c>
      <c r="B6694">
        <v>294</v>
      </c>
      <c r="C6694">
        <v>2</v>
      </c>
    </row>
    <row r="6695" spans="1:3" x14ac:dyDescent="0.25">
      <c r="A6695">
        <v>105</v>
      </c>
      <c r="B6695">
        <v>294</v>
      </c>
      <c r="C6695">
        <v>5</v>
      </c>
    </row>
    <row r="6696" spans="1:3" x14ac:dyDescent="0.25">
      <c r="A6696">
        <v>107</v>
      </c>
      <c r="B6696">
        <v>294</v>
      </c>
      <c r="C6696">
        <v>4</v>
      </c>
    </row>
    <row r="6697" spans="1:3" x14ac:dyDescent="0.25">
      <c r="A6697">
        <v>109</v>
      </c>
      <c r="B6697">
        <v>294</v>
      </c>
      <c r="C6697">
        <v>3</v>
      </c>
    </row>
    <row r="6698" spans="1:3" x14ac:dyDescent="0.25">
      <c r="A6698">
        <v>123</v>
      </c>
      <c r="B6698">
        <v>294</v>
      </c>
      <c r="C6698">
        <v>3</v>
      </c>
    </row>
    <row r="6699" spans="1:3" x14ac:dyDescent="0.25">
      <c r="A6699">
        <v>128</v>
      </c>
      <c r="B6699">
        <v>294</v>
      </c>
      <c r="C6699">
        <v>2</v>
      </c>
    </row>
    <row r="6700" spans="1:3" x14ac:dyDescent="0.25">
      <c r="A6700">
        <v>142</v>
      </c>
      <c r="B6700">
        <v>294</v>
      </c>
      <c r="C6700">
        <v>1</v>
      </c>
    </row>
    <row r="6701" spans="1:3" x14ac:dyDescent="0.25">
      <c r="A6701">
        <v>144</v>
      </c>
      <c r="B6701">
        <v>294</v>
      </c>
      <c r="C6701">
        <v>3</v>
      </c>
    </row>
    <row r="6702" spans="1:3" x14ac:dyDescent="0.25">
      <c r="A6702">
        <v>149</v>
      </c>
      <c r="B6702">
        <v>294</v>
      </c>
      <c r="C6702">
        <v>5</v>
      </c>
    </row>
    <row r="6703" spans="1:3" x14ac:dyDescent="0.25">
      <c r="A6703">
        <v>154</v>
      </c>
      <c r="B6703">
        <v>294</v>
      </c>
      <c r="C6703">
        <v>3</v>
      </c>
    </row>
    <row r="6704" spans="1:3" x14ac:dyDescent="0.25">
      <c r="A6704">
        <v>159</v>
      </c>
      <c r="B6704">
        <v>294</v>
      </c>
      <c r="C6704">
        <v>1</v>
      </c>
    </row>
    <row r="6705" spans="1:3" x14ac:dyDescent="0.25">
      <c r="A6705">
        <v>177</v>
      </c>
      <c r="B6705">
        <v>294</v>
      </c>
      <c r="C6705">
        <v>4</v>
      </c>
    </row>
    <row r="6706" spans="1:3" x14ac:dyDescent="0.25">
      <c r="A6706">
        <v>188</v>
      </c>
      <c r="B6706">
        <v>294</v>
      </c>
      <c r="C6706">
        <v>5</v>
      </c>
    </row>
    <row r="6707" spans="1:3" x14ac:dyDescent="0.25">
      <c r="A6707">
        <v>188</v>
      </c>
      <c r="B6707">
        <v>294</v>
      </c>
      <c r="C6707">
        <v>3</v>
      </c>
    </row>
    <row r="6708" spans="1:3" x14ac:dyDescent="0.25">
      <c r="A6708">
        <v>195</v>
      </c>
      <c r="B6708">
        <v>294</v>
      </c>
      <c r="C6708">
        <v>4</v>
      </c>
    </row>
    <row r="6709" spans="1:3" x14ac:dyDescent="0.25">
      <c r="A6709">
        <v>198</v>
      </c>
      <c r="B6709">
        <v>294</v>
      </c>
      <c r="C6709">
        <v>2</v>
      </c>
    </row>
    <row r="6710" spans="1:3" x14ac:dyDescent="0.25">
      <c r="A6710">
        <v>198</v>
      </c>
      <c r="B6710">
        <v>294</v>
      </c>
      <c r="C6710">
        <v>3</v>
      </c>
    </row>
    <row r="6711" spans="1:3" x14ac:dyDescent="0.25">
      <c r="A6711">
        <v>200</v>
      </c>
      <c r="B6711">
        <v>294</v>
      </c>
      <c r="C6711">
        <v>1</v>
      </c>
    </row>
    <row r="6712" spans="1:3" x14ac:dyDescent="0.25">
      <c r="A6712">
        <v>229</v>
      </c>
      <c r="B6712">
        <v>294</v>
      </c>
      <c r="C6712">
        <v>5</v>
      </c>
    </row>
    <row r="6713" spans="1:3" x14ac:dyDescent="0.25">
      <c r="A6713">
        <v>230</v>
      </c>
      <c r="B6713">
        <v>294</v>
      </c>
      <c r="C6713">
        <v>1</v>
      </c>
    </row>
    <row r="6714" spans="1:3" x14ac:dyDescent="0.25">
      <c r="A6714">
        <v>239</v>
      </c>
      <c r="B6714">
        <v>294</v>
      </c>
      <c r="C6714">
        <v>1</v>
      </c>
    </row>
    <row r="6715" spans="1:3" x14ac:dyDescent="0.25">
      <c r="A6715">
        <v>247</v>
      </c>
      <c r="B6715">
        <v>294</v>
      </c>
      <c r="C6715">
        <v>4</v>
      </c>
    </row>
    <row r="6716" spans="1:3" x14ac:dyDescent="0.25">
      <c r="A6716">
        <v>260</v>
      </c>
      <c r="B6716">
        <v>294</v>
      </c>
      <c r="C6716">
        <v>2</v>
      </c>
    </row>
    <row r="6717" spans="1:3" x14ac:dyDescent="0.25">
      <c r="A6717">
        <v>268</v>
      </c>
      <c r="B6717">
        <v>294</v>
      </c>
      <c r="C6717">
        <v>4</v>
      </c>
    </row>
    <row r="6718" spans="1:3" x14ac:dyDescent="0.25">
      <c r="A6718">
        <v>271</v>
      </c>
      <c r="B6718">
        <v>294</v>
      </c>
      <c r="C6718">
        <v>3</v>
      </c>
    </row>
    <row r="6719" spans="1:3" x14ac:dyDescent="0.25">
      <c r="A6719">
        <v>290</v>
      </c>
      <c r="B6719">
        <v>294</v>
      </c>
      <c r="C6719">
        <v>3</v>
      </c>
    </row>
    <row r="6720" spans="1:3" x14ac:dyDescent="0.25">
      <c r="A6720">
        <v>19</v>
      </c>
      <c r="B6720">
        <v>295</v>
      </c>
      <c r="C6720">
        <v>3</v>
      </c>
    </row>
    <row r="6721" spans="1:3" x14ac:dyDescent="0.25">
      <c r="A6721">
        <v>27</v>
      </c>
      <c r="B6721">
        <v>295</v>
      </c>
      <c r="C6721">
        <v>3</v>
      </c>
    </row>
    <row r="6722" spans="1:3" x14ac:dyDescent="0.25">
      <c r="A6722">
        <v>53</v>
      </c>
      <c r="B6722">
        <v>295</v>
      </c>
      <c r="C6722">
        <v>2</v>
      </c>
    </row>
    <row r="6723" spans="1:3" x14ac:dyDescent="0.25">
      <c r="A6723">
        <v>53</v>
      </c>
      <c r="B6723">
        <v>295</v>
      </c>
      <c r="C6723">
        <v>1</v>
      </c>
    </row>
    <row r="6724" spans="1:3" x14ac:dyDescent="0.25">
      <c r="A6724">
        <v>55</v>
      </c>
      <c r="B6724">
        <v>295</v>
      </c>
      <c r="C6724">
        <v>4</v>
      </c>
    </row>
    <row r="6725" spans="1:3" x14ac:dyDescent="0.25">
      <c r="A6725">
        <v>71</v>
      </c>
      <c r="B6725">
        <v>295</v>
      </c>
      <c r="C6725">
        <v>3</v>
      </c>
    </row>
    <row r="6726" spans="1:3" x14ac:dyDescent="0.25">
      <c r="A6726">
        <v>86</v>
      </c>
      <c r="B6726">
        <v>295</v>
      </c>
      <c r="C6726">
        <v>3</v>
      </c>
    </row>
    <row r="6727" spans="1:3" x14ac:dyDescent="0.25">
      <c r="A6727">
        <v>96</v>
      </c>
      <c r="B6727">
        <v>295</v>
      </c>
      <c r="C6727">
        <v>3</v>
      </c>
    </row>
    <row r="6728" spans="1:3" x14ac:dyDescent="0.25">
      <c r="A6728">
        <v>106</v>
      </c>
      <c r="B6728">
        <v>295</v>
      </c>
      <c r="C6728">
        <v>5</v>
      </c>
    </row>
    <row r="6729" spans="1:3" x14ac:dyDescent="0.25">
      <c r="A6729">
        <v>119</v>
      </c>
      <c r="B6729">
        <v>295</v>
      </c>
      <c r="C6729">
        <v>5</v>
      </c>
    </row>
    <row r="6730" spans="1:3" x14ac:dyDescent="0.25">
      <c r="A6730">
        <v>123</v>
      </c>
      <c r="B6730">
        <v>295</v>
      </c>
      <c r="C6730">
        <v>3</v>
      </c>
    </row>
    <row r="6731" spans="1:3" x14ac:dyDescent="0.25">
      <c r="A6731">
        <v>129</v>
      </c>
      <c r="B6731">
        <v>295</v>
      </c>
      <c r="C6731">
        <v>5</v>
      </c>
    </row>
    <row r="6732" spans="1:3" x14ac:dyDescent="0.25">
      <c r="A6732">
        <v>133</v>
      </c>
      <c r="B6732">
        <v>295</v>
      </c>
      <c r="C6732">
        <v>1</v>
      </c>
    </row>
    <row r="6733" spans="1:3" x14ac:dyDescent="0.25">
      <c r="A6733">
        <v>137</v>
      </c>
      <c r="B6733">
        <v>295</v>
      </c>
      <c r="C6733">
        <v>5</v>
      </c>
    </row>
    <row r="6734" spans="1:3" x14ac:dyDescent="0.25">
      <c r="A6734">
        <v>161</v>
      </c>
      <c r="B6734">
        <v>295</v>
      </c>
      <c r="C6734">
        <v>2</v>
      </c>
    </row>
    <row r="6735" spans="1:3" x14ac:dyDescent="0.25">
      <c r="A6735">
        <v>164</v>
      </c>
      <c r="B6735">
        <v>295</v>
      </c>
      <c r="C6735">
        <v>3</v>
      </c>
    </row>
    <row r="6736" spans="1:3" x14ac:dyDescent="0.25">
      <c r="A6736">
        <v>169</v>
      </c>
      <c r="B6736">
        <v>295</v>
      </c>
      <c r="C6736">
        <v>3</v>
      </c>
    </row>
    <row r="6737" spans="1:3" x14ac:dyDescent="0.25">
      <c r="A6737">
        <v>179</v>
      </c>
      <c r="B6737">
        <v>295</v>
      </c>
      <c r="C6737">
        <v>3</v>
      </c>
    </row>
    <row r="6738" spans="1:3" x14ac:dyDescent="0.25">
      <c r="A6738">
        <v>181</v>
      </c>
      <c r="B6738">
        <v>295</v>
      </c>
      <c r="C6738">
        <v>4</v>
      </c>
    </row>
    <row r="6739" spans="1:3" x14ac:dyDescent="0.25">
      <c r="A6739">
        <v>197</v>
      </c>
      <c r="B6739">
        <v>295</v>
      </c>
      <c r="C6739">
        <v>2</v>
      </c>
    </row>
    <row r="6740" spans="1:3" x14ac:dyDescent="0.25">
      <c r="A6740">
        <v>227</v>
      </c>
      <c r="B6740">
        <v>295</v>
      </c>
      <c r="C6740">
        <v>5</v>
      </c>
    </row>
    <row r="6741" spans="1:3" x14ac:dyDescent="0.25">
      <c r="A6741">
        <v>243</v>
      </c>
      <c r="B6741">
        <v>295</v>
      </c>
      <c r="C6741">
        <v>4</v>
      </c>
    </row>
    <row r="6742" spans="1:3" x14ac:dyDescent="0.25">
      <c r="A6742">
        <v>252</v>
      </c>
      <c r="B6742">
        <v>295</v>
      </c>
      <c r="C6742">
        <v>4</v>
      </c>
    </row>
    <row r="6743" spans="1:3" x14ac:dyDescent="0.25">
      <c r="A6743">
        <v>255</v>
      </c>
      <c r="B6743">
        <v>295</v>
      </c>
      <c r="C6743">
        <v>4</v>
      </c>
    </row>
    <row r="6744" spans="1:3" x14ac:dyDescent="0.25">
      <c r="A6744">
        <v>261</v>
      </c>
      <c r="B6744">
        <v>295</v>
      </c>
      <c r="C6744">
        <v>3</v>
      </c>
    </row>
    <row r="6745" spans="1:3" x14ac:dyDescent="0.25">
      <c r="A6745">
        <v>272</v>
      </c>
      <c r="B6745">
        <v>295</v>
      </c>
      <c r="C6745">
        <v>5</v>
      </c>
    </row>
    <row r="6746" spans="1:3" x14ac:dyDescent="0.25">
      <c r="A6746">
        <v>273</v>
      </c>
      <c r="B6746">
        <v>295</v>
      </c>
      <c r="C6746">
        <v>5</v>
      </c>
    </row>
    <row r="6747" spans="1:3" x14ac:dyDescent="0.25">
      <c r="A6747">
        <v>280</v>
      </c>
      <c r="B6747">
        <v>295</v>
      </c>
      <c r="C6747">
        <v>4</v>
      </c>
    </row>
    <row r="6748" spans="1:3" x14ac:dyDescent="0.25">
      <c r="A6748">
        <v>294</v>
      </c>
      <c r="B6748">
        <v>295</v>
      </c>
      <c r="C6748">
        <v>1</v>
      </c>
    </row>
    <row r="6749" spans="1:3" x14ac:dyDescent="0.25">
      <c r="A6749">
        <v>299</v>
      </c>
      <c r="B6749">
        <v>295</v>
      </c>
      <c r="C6749">
        <v>2</v>
      </c>
    </row>
    <row r="6750" spans="1:3" x14ac:dyDescent="0.25">
      <c r="A6750">
        <v>7</v>
      </c>
      <c r="B6750">
        <v>296</v>
      </c>
      <c r="C6750">
        <v>3</v>
      </c>
    </row>
    <row r="6751" spans="1:3" x14ac:dyDescent="0.25">
      <c r="A6751">
        <v>13</v>
      </c>
      <c r="B6751">
        <v>296</v>
      </c>
      <c r="C6751">
        <v>2</v>
      </c>
    </row>
    <row r="6752" spans="1:3" x14ac:dyDescent="0.25">
      <c r="A6752">
        <v>21</v>
      </c>
      <c r="B6752">
        <v>296</v>
      </c>
      <c r="C6752">
        <v>2</v>
      </c>
    </row>
    <row r="6753" spans="1:3" x14ac:dyDescent="0.25">
      <c r="A6753">
        <v>33</v>
      </c>
      <c r="B6753">
        <v>296</v>
      </c>
      <c r="C6753">
        <v>2</v>
      </c>
    </row>
    <row r="6754" spans="1:3" x14ac:dyDescent="0.25">
      <c r="A6754">
        <v>45</v>
      </c>
      <c r="B6754">
        <v>296</v>
      </c>
      <c r="C6754">
        <v>3</v>
      </c>
    </row>
    <row r="6755" spans="1:3" x14ac:dyDescent="0.25">
      <c r="A6755">
        <v>54</v>
      </c>
      <c r="B6755">
        <v>296</v>
      </c>
      <c r="C6755">
        <v>4</v>
      </c>
    </row>
    <row r="6756" spans="1:3" x14ac:dyDescent="0.25">
      <c r="A6756">
        <v>59</v>
      </c>
      <c r="B6756">
        <v>296</v>
      </c>
      <c r="C6756">
        <v>5</v>
      </c>
    </row>
    <row r="6757" spans="1:3" x14ac:dyDescent="0.25">
      <c r="A6757">
        <v>60</v>
      </c>
      <c r="B6757">
        <v>296</v>
      </c>
      <c r="C6757">
        <v>2</v>
      </c>
    </row>
    <row r="6758" spans="1:3" x14ac:dyDescent="0.25">
      <c r="A6758">
        <v>66</v>
      </c>
      <c r="B6758">
        <v>296</v>
      </c>
      <c r="C6758">
        <v>1</v>
      </c>
    </row>
    <row r="6759" spans="1:3" x14ac:dyDescent="0.25">
      <c r="A6759">
        <v>84</v>
      </c>
      <c r="B6759">
        <v>296</v>
      </c>
      <c r="C6759">
        <v>1</v>
      </c>
    </row>
    <row r="6760" spans="1:3" x14ac:dyDescent="0.25">
      <c r="A6760">
        <v>105</v>
      </c>
      <c r="B6760">
        <v>296</v>
      </c>
      <c r="C6760">
        <v>4</v>
      </c>
    </row>
    <row r="6761" spans="1:3" x14ac:dyDescent="0.25">
      <c r="A6761">
        <v>124</v>
      </c>
      <c r="B6761">
        <v>296</v>
      </c>
      <c r="C6761">
        <v>4</v>
      </c>
    </row>
    <row r="6762" spans="1:3" x14ac:dyDescent="0.25">
      <c r="A6762">
        <v>170</v>
      </c>
      <c r="B6762">
        <v>296</v>
      </c>
      <c r="C6762">
        <v>4</v>
      </c>
    </row>
    <row r="6763" spans="1:3" x14ac:dyDescent="0.25">
      <c r="A6763">
        <v>174</v>
      </c>
      <c r="B6763">
        <v>296</v>
      </c>
      <c r="C6763">
        <v>3</v>
      </c>
    </row>
    <row r="6764" spans="1:3" x14ac:dyDescent="0.25">
      <c r="A6764">
        <v>177</v>
      </c>
      <c r="B6764">
        <v>296</v>
      </c>
      <c r="C6764">
        <v>1</v>
      </c>
    </row>
    <row r="6765" spans="1:3" x14ac:dyDescent="0.25">
      <c r="A6765">
        <v>181</v>
      </c>
      <c r="B6765">
        <v>296</v>
      </c>
      <c r="C6765">
        <v>5</v>
      </c>
    </row>
    <row r="6766" spans="1:3" x14ac:dyDescent="0.25">
      <c r="A6766">
        <v>200</v>
      </c>
      <c r="B6766">
        <v>296</v>
      </c>
      <c r="C6766">
        <v>1</v>
      </c>
    </row>
    <row r="6767" spans="1:3" x14ac:dyDescent="0.25">
      <c r="A6767">
        <v>223</v>
      </c>
      <c r="B6767">
        <v>296</v>
      </c>
      <c r="C6767">
        <v>2</v>
      </c>
    </row>
    <row r="6768" spans="1:3" x14ac:dyDescent="0.25">
      <c r="A6768">
        <v>230</v>
      </c>
      <c r="B6768">
        <v>296</v>
      </c>
      <c r="C6768">
        <v>4</v>
      </c>
    </row>
    <row r="6769" spans="1:3" x14ac:dyDescent="0.25">
      <c r="A6769">
        <v>244</v>
      </c>
      <c r="B6769">
        <v>296</v>
      </c>
      <c r="C6769">
        <v>2</v>
      </c>
    </row>
    <row r="6770" spans="1:3" x14ac:dyDescent="0.25">
      <c r="A6770">
        <v>260</v>
      </c>
      <c r="B6770">
        <v>296</v>
      </c>
      <c r="C6770">
        <v>2</v>
      </c>
    </row>
    <row r="6771" spans="1:3" x14ac:dyDescent="0.25">
      <c r="A6771">
        <v>286</v>
      </c>
      <c r="B6771">
        <v>296</v>
      </c>
      <c r="C6771">
        <v>1</v>
      </c>
    </row>
    <row r="6772" spans="1:3" x14ac:dyDescent="0.25">
      <c r="A6772">
        <v>288</v>
      </c>
      <c r="B6772">
        <v>296</v>
      </c>
      <c r="C6772">
        <v>4</v>
      </c>
    </row>
    <row r="6773" spans="1:3" x14ac:dyDescent="0.25">
      <c r="A6773">
        <v>291</v>
      </c>
      <c r="B6773">
        <v>296</v>
      </c>
      <c r="C6773">
        <v>1</v>
      </c>
    </row>
    <row r="6774" spans="1:3" x14ac:dyDescent="0.25">
      <c r="A6774">
        <v>295</v>
      </c>
      <c r="B6774">
        <v>296</v>
      </c>
      <c r="C6774">
        <v>4</v>
      </c>
    </row>
    <row r="6775" spans="1:3" x14ac:dyDescent="0.25">
      <c r="A6775">
        <v>296</v>
      </c>
      <c r="B6775">
        <v>296</v>
      </c>
      <c r="C6775">
        <v>4</v>
      </c>
    </row>
    <row r="6776" spans="1:3" x14ac:dyDescent="0.25">
      <c r="A6776">
        <v>15</v>
      </c>
      <c r="B6776">
        <v>297</v>
      </c>
      <c r="C6776">
        <v>4</v>
      </c>
    </row>
    <row r="6777" spans="1:3" x14ac:dyDescent="0.25">
      <c r="A6777">
        <v>26</v>
      </c>
      <c r="B6777">
        <v>297</v>
      </c>
      <c r="C6777">
        <v>3</v>
      </c>
    </row>
    <row r="6778" spans="1:3" x14ac:dyDescent="0.25">
      <c r="A6778">
        <v>28</v>
      </c>
      <c r="B6778">
        <v>297</v>
      </c>
      <c r="C6778">
        <v>5</v>
      </c>
    </row>
    <row r="6779" spans="1:3" x14ac:dyDescent="0.25">
      <c r="A6779">
        <v>32</v>
      </c>
      <c r="B6779">
        <v>297</v>
      </c>
      <c r="C6779">
        <v>3</v>
      </c>
    </row>
    <row r="6780" spans="1:3" x14ac:dyDescent="0.25">
      <c r="A6780">
        <v>79</v>
      </c>
      <c r="B6780">
        <v>297</v>
      </c>
      <c r="C6780">
        <v>5</v>
      </c>
    </row>
    <row r="6781" spans="1:3" x14ac:dyDescent="0.25">
      <c r="A6781">
        <v>82</v>
      </c>
      <c r="B6781">
        <v>297</v>
      </c>
      <c r="C6781">
        <v>1</v>
      </c>
    </row>
    <row r="6782" spans="1:3" x14ac:dyDescent="0.25">
      <c r="A6782">
        <v>111</v>
      </c>
      <c r="B6782">
        <v>297</v>
      </c>
      <c r="C6782">
        <v>1</v>
      </c>
    </row>
    <row r="6783" spans="1:3" x14ac:dyDescent="0.25">
      <c r="A6783">
        <v>114</v>
      </c>
      <c r="B6783">
        <v>297</v>
      </c>
      <c r="C6783">
        <v>4</v>
      </c>
    </row>
    <row r="6784" spans="1:3" x14ac:dyDescent="0.25">
      <c r="A6784">
        <v>120</v>
      </c>
      <c r="B6784">
        <v>297</v>
      </c>
      <c r="C6784">
        <v>2</v>
      </c>
    </row>
    <row r="6785" spans="1:3" x14ac:dyDescent="0.25">
      <c r="A6785">
        <v>131</v>
      </c>
      <c r="B6785">
        <v>297</v>
      </c>
      <c r="C6785">
        <v>4</v>
      </c>
    </row>
    <row r="6786" spans="1:3" x14ac:dyDescent="0.25">
      <c r="A6786">
        <v>147</v>
      </c>
      <c r="B6786">
        <v>297</v>
      </c>
      <c r="C6786">
        <v>2</v>
      </c>
    </row>
    <row r="6787" spans="1:3" x14ac:dyDescent="0.25">
      <c r="A6787">
        <v>178</v>
      </c>
      <c r="B6787">
        <v>297</v>
      </c>
      <c r="C6787">
        <v>3</v>
      </c>
    </row>
    <row r="6788" spans="1:3" x14ac:dyDescent="0.25">
      <c r="A6788">
        <v>180</v>
      </c>
      <c r="B6788">
        <v>297</v>
      </c>
      <c r="C6788">
        <v>1</v>
      </c>
    </row>
    <row r="6789" spans="1:3" x14ac:dyDescent="0.25">
      <c r="A6789">
        <v>187</v>
      </c>
      <c r="B6789">
        <v>297</v>
      </c>
      <c r="C6789">
        <v>5</v>
      </c>
    </row>
    <row r="6790" spans="1:3" x14ac:dyDescent="0.25">
      <c r="A6790">
        <v>194</v>
      </c>
      <c r="B6790">
        <v>297</v>
      </c>
      <c r="C6790">
        <v>1</v>
      </c>
    </row>
    <row r="6791" spans="1:3" x14ac:dyDescent="0.25">
      <c r="A6791">
        <v>198</v>
      </c>
      <c r="B6791">
        <v>297</v>
      </c>
      <c r="C6791">
        <v>3</v>
      </c>
    </row>
    <row r="6792" spans="1:3" x14ac:dyDescent="0.25">
      <c r="A6792">
        <v>198</v>
      </c>
      <c r="B6792">
        <v>297</v>
      </c>
      <c r="C6792">
        <v>2</v>
      </c>
    </row>
    <row r="6793" spans="1:3" x14ac:dyDescent="0.25">
      <c r="A6793">
        <v>206</v>
      </c>
      <c r="B6793">
        <v>297</v>
      </c>
      <c r="C6793">
        <v>4</v>
      </c>
    </row>
    <row r="6794" spans="1:3" x14ac:dyDescent="0.25">
      <c r="A6794">
        <v>216</v>
      </c>
      <c r="B6794">
        <v>297</v>
      </c>
      <c r="C6794">
        <v>1</v>
      </c>
    </row>
    <row r="6795" spans="1:3" x14ac:dyDescent="0.25">
      <c r="A6795">
        <v>239</v>
      </c>
      <c r="B6795">
        <v>297</v>
      </c>
      <c r="C6795">
        <v>5</v>
      </c>
    </row>
    <row r="6796" spans="1:3" x14ac:dyDescent="0.25">
      <c r="A6796">
        <v>247</v>
      </c>
      <c r="B6796">
        <v>297</v>
      </c>
      <c r="C6796">
        <v>3</v>
      </c>
    </row>
    <row r="6797" spans="1:3" x14ac:dyDescent="0.25">
      <c r="A6797">
        <v>251</v>
      </c>
      <c r="B6797">
        <v>297</v>
      </c>
      <c r="C6797">
        <v>5</v>
      </c>
    </row>
    <row r="6798" spans="1:3" x14ac:dyDescent="0.25">
      <c r="A6798">
        <v>253</v>
      </c>
      <c r="B6798">
        <v>297</v>
      </c>
      <c r="C6798">
        <v>2</v>
      </c>
    </row>
    <row r="6799" spans="1:3" x14ac:dyDescent="0.25">
      <c r="A6799">
        <v>278</v>
      </c>
      <c r="B6799">
        <v>297</v>
      </c>
      <c r="C6799">
        <v>4</v>
      </c>
    </row>
    <row r="6800" spans="1:3" x14ac:dyDescent="0.25">
      <c r="A6800">
        <v>292</v>
      </c>
      <c r="B6800">
        <v>297</v>
      </c>
      <c r="C6800">
        <v>5</v>
      </c>
    </row>
    <row r="6801" spans="1:3" x14ac:dyDescent="0.25">
      <c r="A6801">
        <v>296</v>
      </c>
      <c r="B6801">
        <v>297</v>
      </c>
      <c r="C6801">
        <v>3</v>
      </c>
    </row>
    <row r="6802" spans="1:3" x14ac:dyDescent="0.25">
      <c r="A6802">
        <v>297</v>
      </c>
      <c r="B6802">
        <v>297</v>
      </c>
      <c r="C6802">
        <v>5</v>
      </c>
    </row>
    <row r="6803" spans="1:3" x14ac:dyDescent="0.25">
      <c r="A6803">
        <v>6</v>
      </c>
      <c r="B6803">
        <v>298</v>
      </c>
      <c r="C6803">
        <v>3</v>
      </c>
    </row>
    <row r="6804" spans="1:3" x14ac:dyDescent="0.25">
      <c r="A6804">
        <v>7</v>
      </c>
      <c r="B6804">
        <v>298</v>
      </c>
      <c r="C6804">
        <v>4</v>
      </c>
    </row>
    <row r="6805" spans="1:3" x14ac:dyDescent="0.25">
      <c r="A6805">
        <v>15</v>
      </c>
      <c r="B6805">
        <v>298</v>
      </c>
      <c r="C6805">
        <v>3</v>
      </c>
    </row>
    <row r="6806" spans="1:3" x14ac:dyDescent="0.25">
      <c r="A6806">
        <v>29</v>
      </c>
      <c r="B6806">
        <v>298</v>
      </c>
      <c r="C6806">
        <v>2</v>
      </c>
    </row>
    <row r="6807" spans="1:3" x14ac:dyDescent="0.25">
      <c r="A6807">
        <v>32</v>
      </c>
      <c r="B6807">
        <v>298</v>
      </c>
      <c r="C6807">
        <v>5</v>
      </c>
    </row>
    <row r="6808" spans="1:3" x14ac:dyDescent="0.25">
      <c r="A6808">
        <v>38</v>
      </c>
      <c r="B6808">
        <v>298</v>
      </c>
      <c r="C6808">
        <v>3</v>
      </c>
    </row>
    <row r="6809" spans="1:3" x14ac:dyDescent="0.25">
      <c r="A6809">
        <v>40</v>
      </c>
      <c r="B6809">
        <v>298</v>
      </c>
      <c r="C6809">
        <v>5</v>
      </c>
    </row>
    <row r="6810" spans="1:3" x14ac:dyDescent="0.25">
      <c r="A6810">
        <v>42</v>
      </c>
      <c r="B6810">
        <v>298</v>
      </c>
      <c r="C6810">
        <v>2</v>
      </c>
    </row>
    <row r="6811" spans="1:3" x14ac:dyDescent="0.25">
      <c r="A6811">
        <v>59</v>
      </c>
      <c r="B6811">
        <v>298</v>
      </c>
      <c r="C6811">
        <v>5</v>
      </c>
    </row>
    <row r="6812" spans="1:3" x14ac:dyDescent="0.25">
      <c r="A6812">
        <v>73</v>
      </c>
      <c r="B6812">
        <v>298</v>
      </c>
      <c r="C6812">
        <v>1</v>
      </c>
    </row>
    <row r="6813" spans="1:3" x14ac:dyDescent="0.25">
      <c r="A6813">
        <v>82</v>
      </c>
      <c r="B6813">
        <v>298</v>
      </c>
      <c r="C6813">
        <v>1</v>
      </c>
    </row>
    <row r="6814" spans="1:3" x14ac:dyDescent="0.25">
      <c r="A6814">
        <v>91</v>
      </c>
      <c r="B6814">
        <v>298</v>
      </c>
      <c r="C6814">
        <v>5</v>
      </c>
    </row>
    <row r="6815" spans="1:3" x14ac:dyDescent="0.25">
      <c r="A6815">
        <v>97</v>
      </c>
      <c r="B6815">
        <v>298</v>
      </c>
      <c r="C6815">
        <v>3</v>
      </c>
    </row>
    <row r="6816" spans="1:3" x14ac:dyDescent="0.25">
      <c r="A6816">
        <v>100</v>
      </c>
      <c r="B6816">
        <v>298</v>
      </c>
      <c r="C6816">
        <v>2</v>
      </c>
    </row>
    <row r="6817" spans="1:3" x14ac:dyDescent="0.25">
      <c r="A6817">
        <v>116</v>
      </c>
      <c r="B6817">
        <v>298</v>
      </c>
      <c r="C6817">
        <v>2</v>
      </c>
    </row>
    <row r="6818" spans="1:3" x14ac:dyDescent="0.25">
      <c r="A6818">
        <v>117</v>
      </c>
      <c r="B6818">
        <v>298</v>
      </c>
      <c r="C6818">
        <v>2</v>
      </c>
    </row>
    <row r="6819" spans="1:3" x14ac:dyDescent="0.25">
      <c r="A6819">
        <v>134</v>
      </c>
      <c r="B6819">
        <v>298</v>
      </c>
      <c r="C6819">
        <v>1</v>
      </c>
    </row>
    <row r="6820" spans="1:3" x14ac:dyDescent="0.25">
      <c r="A6820">
        <v>139</v>
      </c>
      <c r="B6820">
        <v>298</v>
      </c>
      <c r="C6820">
        <v>5</v>
      </c>
    </row>
    <row r="6821" spans="1:3" x14ac:dyDescent="0.25">
      <c r="A6821">
        <v>147</v>
      </c>
      <c r="B6821">
        <v>298</v>
      </c>
      <c r="C6821">
        <v>2</v>
      </c>
    </row>
    <row r="6822" spans="1:3" x14ac:dyDescent="0.25">
      <c r="A6822">
        <v>154</v>
      </c>
      <c r="B6822">
        <v>298</v>
      </c>
      <c r="C6822">
        <v>5</v>
      </c>
    </row>
    <row r="6823" spans="1:3" x14ac:dyDescent="0.25">
      <c r="A6823">
        <v>164</v>
      </c>
      <c r="B6823">
        <v>298</v>
      </c>
      <c r="C6823">
        <v>1</v>
      </c>
    </row>
    <row r="6824" spans="1:3" x14ac:dyDescent="0.25">
      <c r="A6824">
        <v>168</v>
      </c>
      <c r="B6824">
        <v>298</v>
      </c>
      <c r="C6824">
        <v>5</v>
      </c>
    </row>
    <row r="6825" spans="1:3" x14ac:dyDescent="0.25">
      <c r="A6825">
        <v>170</v>
      </c>
      <c r="B6825">
        <v>298</v>
      </c>
      <c r="C6825">
        <v>1</v>
      </c>
    </row>
    <row r="6826" spans="1:3" x14ac:dyDescent="0.25">
      <c r="A6826">
        <v>171</v>
      </c>
      <c r="B6826">
        <v>298</v>
      </c>
      <c r="C6826">
        <v>3</v>
      </c>
    </row>
    <row r="6827" spans="1:3" x14ac:dyDescent="0.25">
      <c r="A6827">
        <v>174</v>
      </c>
      <c r="B6827">
        <v>298</v>
      </c>
      <c r="C6827">
        <v>5</v>
      </c>
    </row>
    <row r="6828" spans="1:3" x14ac:dyDescent="0.25">
      <c r="A6828">
        <v>188</v>
      </c>
      <c r="B6828">
        <v>298</v>
      </c>
      <c r="C6828">
        <v>2</v>
      </c>
    </row>
    <row r="6829" spans="1:3" x14ac:dyDescent="0.25">
      <c r="A6829">
        <v>199</v>
      </c>
      <c r="B6829">
        <v>298</v>
      </c>
      <c r="C6829">
        <v>3</v>
      </c>
    </row>
    <row r="6830" spans="1:3" x14ac:dyDescent="0.25">
      <c r="A6830">
        <v>205</v>
      </c>
      <c r="B6830">
        <v>298</v>
      </c>
      <c r="C6830">
        <v>2</v>
      </c>
    </row>
    <row r="6831" spans="1:3" x14ac:dyDescent="0.25">
      <c r="A6831">
        <v>208</v>
      </c>
      <c r="B6831">
        <v>298</v>
      </c>
      <c r="C6831">
        <v>1</v>
      </c>
    </row>
    <row r="6832" spans="1:3" x14ac:dyDescent="0.25">
      <c r="A6832">
        <v>213</v>
      </c>
      <c r="B6832">
        <v>298</v>
      </c>
      <c r="C6832">
        <v>1</v>
      </c>
    </row>
    <row r="6833" spans="1:3" x14ac:dyDescent="0.25">
      <c r="A6833">
        <v>218</v>
      </c>
      <c r="B6833">
        <v>298</v>
      </c>
      <c r="C6833">
        <v>4</v>
      </c>
    </row>
    <row r="6834" spans="1:3" x14ac:dyDescent="0.25">
      <c r="A6834">
        <v>222</v>
      </c>
      <c r="B6834">
        <v>298</v>
      </c>
      <c r="C6834">
        <v>4</v>
      </c>
    </row>
    <row r="6835" spans="1:3" x14ac:dyDescent="0.25">
      <c r="A6835">
        <v>224</v>
      </c>
      <c r="B6835">
        <v>298</v>
      </c>
      <c r="C6835">
        <v>1</v>
      </c>
    </row>
    <row r="6836" spans="1:3" x14ac:dyDescent="0.25">
      <c r="A6836">
        <v>225</v>
      </c>
      <c r="B6836">
        <v>298</v>
      </c>
      <c r="C6836">
        <v>1</v>
      </c>
    </row>
    <row r="6837" spans="1:3" x14ac:dyDescent="0.25">
      <c r="A6837">
        <v>226</v>
      </c>
      <c r="B6837">
        <v>298</v>
      </c>
      <c r="C6837">
        <v>1</v>
      </c>
    </row>
    <row r="6838" spans="1:3" x14ac:dyDescent="0.25">
      <c r="A6838">
        <v>246</v>
      </c>
      <c r="B6838">
        <v>298</v>
      </c>
      <c r="C6838">
        <v>5</v>
      </c>
    </row>
    <row r="6839" spans="1:3" x14ac:dyDescent="0.25">
      <c r="A6839">
        <v>264</v>
      </c>
      <c r="B6839">
        <v>298</v>
      </c>
      <c r="C6839">
        <v>1</v>
      </c>
    </row>
    <row r="6840" spans="1:3" x14ac:dyDescent="0.25">
      <c r="A6840">
        <v>290</v>
      </c>
      <c r="B6840">
        <v>298</v>
      </c>
      <c r="C6840">
        <v>4</v>
      </c>
    </row>
    <row r="6841" spans="1:3" x14ac:dyDescent="0.25">
      <c r="A6841">
        <v>293</v>
      </c>
      <c r="B6841">
        <v>298</v>
      </c>
      <c r="C6841">
        <v>2</v>
      </c>
    </row>
    <row r="6842" spans="1:3" x14ac:dyDescent="0.25">
      <c r="A6842">
        <v>25</v>
      </c>
      <c r="B6842">
        <v>299</v>
      </c>
      <c r="C6842">
        <v>3</v>
      </c>
    </row>
    <row r="6843" spans="1:3" x14ac:dyDescent="0.25">
      <c r="A6843">
        <v>76</v>
      </c>
      <c r="B6843">
        <v>299</v>
      </c>
      <c r="C6843">
        <v>1</v>
      </c>
    </row>
    <row r="6844" spans="1:3" x14ac:dyDescent="0.25">
      <c r="A6844">
        <v>83</v>
      </c>
      <c r="B6844">
        <v>299</v>
      </c>
      <c r="C6844">
        <v>3</v>
      </c>
    </row>
    <row r="6845" spans="1:3" x14ac:dyDescent="0.25">
      <c r="A6845">
        <v>89</v>
      </c>
      <c r="B6845">
        <v>299</v>
      </c>
      <c r="C6845">
        <v>1</v>
      </c>
    </row>
    <row r="6846" spans="1:3" x14ac:dyDescent="0.25">
      <c r="A6846">
        <v>123</v>
      </c>
      <c r="B6846">
        <v>299</v>
      </c>
      <c r="C6846">
        <v>1</v>
      </c>
    </row>
    <row r="6847" spans="1:3" x14ac:dyDescent="0.25">
      <c r="A6847">
        <v>130</v>
      </c>
      <c r="B6847">
        <v>299</v>
      </c>
      <c r="C6847">
        <v>3</v>
      </c>
    </row>
    <row r="6848" spans="1:3" x14ac:dyDescent="0.25">
      <c r="A6848">
        <v>187</v>
      </c>
      <c r="B6848">
        <v>299</v>
      </c>
      <c r="C6848">
        <v>3</v>
      </c>
    </row>
    <row r="6849" spans="1:3" x14ac:dyDescent="0.25">
      <c r="A6849">
        <v>197</v>
      </c>
      <c r="B6849">
        <v>299</v>
      </c>
      <c r="C6849">
        <v>5</v>
      </c>
    </row>
    <row r="6850" spans="1:3" x14ac:dyDescent="0.25">
      <c r="A6850">
        <v>200</v>
      </c>
      <c r="B6850">
        <v>299</v>
      </c>
      <c r="C6850">
        <v>5</v>
      </c>
    </row>
    <row r="6851" spans="1:3" x14ac:dyDescent="0.25">
      <c r="A6851">
        <v>206</v>
      </c>
      <c r="B6851">
        <v>299</v>
      </c>
      <c r="C6851">
        <v>2</v>
      </c>
    </row>
    <row r="6852" spans="1:3" x14ac:dyDescent="0.25">
      <c r="A6852">
        <v>216</v>
      </c>
      <c r="B6852">
        <v>299</v>
      </c>
      <c r="C6852">
        <v>1</v>
      </c>
    </row>
    <row r="6853" spans="1:3" x14ac:dyDescent="0.25">
      <c r="A6853">
        <v>223</v>
      </c>
      <c r="B6853">
        <v>299</v>
      </c>
      <c r="C6853">
        <v>3</v>
      </c>
    </row>
    <row r="6854" spans="1:3" x14ac:dyDescent="0.25">
      <c r="A6854">
        <v>223</v>
      </c>
      <c r="B6854">
        <v>299</v>
      </c>
      <c r="C6854">
        <v>5</v>
      </c>
    </row>
    <row r="6855" spans="1:3" x14ac:dyDescent="0.25">
      <c r="A6855">
        <v>224</v>
      </c>
      <c r="B6855">
        <v>299</v>
      </c>
      <c r="C6855">
        <v>4</v>
      </c>
    </row>
    <row r="6856" spans="1:3" x14ac:dyDescent="0.25">
      <c r="A6856">
        <v>244</v>
      </c>
      <c r="B6856">
        <v>299</v>
      </c>
      <c r="C6856">
        <v>3</v>
      </c>
    </row>
    <row r="6857" spans="1:3" x14ac:dyDescent="0.25">
      <c r="A6857">
        <v>255</v>
      </c>
      <c r="B6857">
        <v>299</v>
      </c>
      <c r="C6857">
        <v>3</v>
      </c>
    </row>
    <row r="6858" spans="1:3" x14ac:dyDescent="0.25">
      <c r="A6858">
        <v>297</v>
      </c>
      <c r="B6858">
        <v>299</v>
      </c>
      <c r="C6858">
        <v>1</v>
      </c>
    </row>
    <row r="6859" spans="1:3" x14ac:dyDescent="0.25">
      <c r="A6859">
        <v>5</v>
      </c>
      <c r="B6859">
        <v>300</v>
      </c>
      <c r="C6859">
        <v>4</v>
      </c>
    </row>
    <row r="6860" spans="1:3" x14ac:dyDescent="0.25">
      <c r="A6860">
        <v>26</v>
      </c>
      <c r="B6860">
        <v>300</v>
      </c>
      <c r="C6860">
        <v>4</v>
      </c>
    </row>
    <row r="6861" spans="1:3" x14ac:dyDescent="0.25">
      <c r="A6861">
        <v>29</v>
      </c>
      <c r="B6861">
        <v>300</v>
      </c>
      <c r="C6861">
        <v>4</v>
      </c>
    </row>
    <row r="6862" spans="1:3" x14ac:dyDescent="0.25">
      <c r="A6862">
        <v>31</v>
      </c>
      <c r="B6862">
        <v>300</v>
      </c>
      <c r="C6862">
        <v>5</v>
      </c>
    </row>
    <row r="6863" spans="1:3" x14ac:dyDescent="0.25">
      <c r="A6863">
        <v>37</v>
      </c>
      <c r="B6863">
        <v>300</v>
      </c>
      <c r="C6863">
        <v>5</v>
      </c>
    </row>
    <row r="6864" spans="1:3" x14ac:dyDescent="0.25">
      <c r="A6864">
        <v>42</v>
      </c>
      <c r="B6864">
        <v>300</v>
      </c>
      <c r="C6864">
        <v>2</v>
      </c>
    </row>
    <row r="6865" spans="1:3" x14ac:dyDescent="0.25">
      <c r="A6865">
        <v>54</v>
      </c>
      <c r="B6865">
        <v>300</v>
      </c>
      <c r="C6865">
        <v>4</v>
      </c>
    </row>
    <row r="6866" spans="1:3" x14ac:dyDescent="0.25">
      <c r="A6866">
        <v>58</v>
      </c>
      <c r="B6866">
        <v>300</v>
      </c>
      <c r="C6866">
        <v>4</v>
      </c>
    </row>
    <row r="6867" spans="1:3" x14ac:dyDescent="0.25">
      <c r="A6867">
        <v>67</v>
      </c>
      <c r="B6867">
        <v>300</v>
      </c>
      <c r="C6867">
        <v>5</v>
      </c>
    </row>
    <row r="6868" spans="1:3" x14ac:dyDescent="0.25">
      <c r="A6868">
        <v>78</v>
      </c>
      <c r="B6868">
        <v>300</v>
      </c>
      <c r="C6868">
        <v>4</v>
      </c>
    </row>
    <row r="6869" spans="1:3" x14ac:dyDescent="0.25">
      <c r="A6869">
        <v>79</v>
      </c>
      <c r="B6869">
        <v>300</v>
      </c>
      <c r="C6869">
        <v>4</v>
      </c>
    </row>
    <row r="6870" spans="1:3" x14ac:dyDescent="0.25">
      <c r="A6870">
        <v>87</v>
      </c>
      <c r="B6870">
        <v>300</v>
      </c>
      <c r="C6870">
        <v>5</v>
      </c>
    </row>
    <row r="6871" spans="1:3" x14ac:dyDescent="0.25">
      <c r="A6871">
        <v>94</v>
      </c>
      <c r="B6871">
        <v>300</v>
      </c>
      <c r="C6871">
        <v>3</v>
      </c>
    </row>
    <row r="6872" spans="1:3" x14ac:dyDescent="0.25">
      <c r="A6872">
        <v>111</v>
      </c>
      <c r="B6872">
        <v>300</v>
      </c>
      <c r="C6872">
        <v>5</v>
      </c>
    </row>
    <row r="6873" spans="1:3" x14ac:dyDescent="0.25">
      <c r="A6873">
        <v>127</v>
      </c>
      <c r="B6873">
        <v>300</v>
      </c>
      <c r="C6873">
        <v>4</v>
      </c>
    </row>
    <row r="6874" spans="1:3" x14ac:dyDescent="0.25">
      <c r="A6874">
        <v>128</v>
      </c>
      <c r="B6874">
        <v>300</v>
      </c>
      <c r="C6874">
        <v>4</v>
      </c>
    </row>
    <row r="6875" spans="1:3" x14ac:dyDescent="0.25">
      <c r="A6875">
        <v>143</v>
      </c>
      <c r="B6875">
        <v>300</v>
      </c>
      <c r="C6875">
        <v>1</v>
      </c>
    </row>
    <row r="6876" spans="1:3" x14ac:dyDescent="0.25">
      <c r="A6876">
        <v>168</v>
      </c>
      <c r="B6876">
        <v>300</v>
      </c>
      <c r="C6876">
        <v>3</v>
      </c>
    </row>
    <row r="6877" spans="1:3" x14ac:dyDescent="0.25">
      <c r="A6877">
        <v>183</v>
      </c>
      <c r="B6877">
        <v>300</v>
      </c>
      <c r="C6877">
        <v>4</v>
      </c>
    </row>
    <row r="6878" spans="1:3" x14ac:dyDescent="0.25">
      <c r="A6878">
        <v>197</v>
      </c>
      <c r="B6878">
        <v>300</v>
      </c>
      <c r="C6878">
        <v>5</v>
      </c>
    </row>
    <row r="6879" spans="1:3" x14ac:dyDescent="0.25">
      <c r="A6879">
        <v>207</v>
      </c>
      <c r="B6879">
        <v>300</v>
      </c>
      <c r="C6879">
        <v>2</v>
      </c>
    </row>
    <row r="6880" spans="1:3" x14ac:dyDescent="0.25">
      <c r="A6880">
        <v>213</v>
      </c>
      <c r="B6880">
        <v>300</v>
      </c>
      <c r="C6880">
        <v>2</v>
      </c>
    </row>
    <row r="6881" spans="1:3" x14ac:dyDescent="0.25">
      <c r="A6881">
        <v>220</v>
      </c>
      <c r="B6881">
        <v>300</v>
      </c>
      <c r="C6881">
        <v>3</v>
      </c>
    </row>
    <row r="6882" spans="1:3" x14ac:dyDescent="0.25">
      <c r="A6882">
        <v>232</v>
      </c>
      <c r="B6882">
        <v>300</v>
      </c>
      <c r="C6882">
        <v>2</v>
      </c>
    </row>
    <row r="6883" spans="1:3" x14ac:dyDescent="0.25">
      <c r="A6883">
        <v>242</v>
      </c>
      <c r="B6883">
        <v>300</v>
      </c>
      <c r="C6883">
        <v>5</v>
      </c>
    </row>
    <row r="6884" spans="1:3" x14ac:dyDescent="0.25">
      <c r="A6884">
        <v>258</v>
      </c>
      <c r="B6884">
        <v>300</v>
      </c>
      <c r="C6884">
        <v>4</v>
      </c>
    </row>
    <row r="6885" spans="1:3" x14ac:dyDescent="0.25">
      <c r="A6885">
        <v>263</v>
      </c>
      <c r="B6885">
        <v>300</v>
      </c>
      <c r="C6885">
        <v>1</v>
      </c>
    </row>
    <row r="6886" spans="1:3" x14ac:dyDescent="0.25">
      <c r="A6886">
        <v>268</v>
      </c>
      <c r="B6886">
        <v>300</v>
      </c>
      <c r="C6886">
        <v>4</v>
      </c>
    </row>
    <row r="6887" spans="1:3" x14ac:dyDescent="0.25">
      <c r="A6887">
        <v>281</v>
      </c>
      <c r="B6887">
        <v>300</v>
      </c>
      <c r="C6887">
        <v>4</v>
      </c>
    </row>
    <row r="6888" spans="1:3" x14ac:dyDescent="0.25">
      <c r="A6888">
        <v>5</v>
      </c>
      <c r="B6888">
        <v>301</v>
      </c>
      <c r="C6888">
        <v>2</v>
      </c>
    </row>
    <row r="6889" spans="1:3" x14ac:dyDescent="0.25">
      <c r="A6889">
        <v>5</v>
      </c>
      <c r="B6889">
        <v>301</v>
      </c>
      <c r="C6889">
        <v>2</v>
      </c>
    </row>
    <row r="6890" spans="1:3" x14ac:dyDescent="0.25">
      <c r="A6890">
        <v>8</v>
      </c>
      <c r="B6890">
        <v>301</v>
      </c>
      <c r="C6890">
        <v>3</v>
      </c>
    </row>
    <row r="6891" spans="1:3" x14ac:dyDescent="0.25">
      <c r="A6891">
        <v>12</v>
      </c>
      <c r="B6891">
        <v>301</v>
      </c>
      <c r="C6891">
        <v>5</v>
      </c>
    </row>
    <row r="6892" spans="1:3" x14ac:dyDescent="0.25">
      <c r="A6892">
        <v>35</v>
      </c>
      <c r="B6892">
        <v>301</v>
      </c>
      <c r="C6892">
        <v>4</v>
      </c>
    </row>
    <row r="6893" spans="1:3" x14ac:dyDescent="0.25">
      <c r="A6893">
        <v>61</v>
      </c>
      <c r="B6893">
        <v>301</v>
      </c>
      <c r="C6893">
        <v>3</v>
      </c>
    </row>
    <row r="6894" spans="1:3" x14ac:dyDescent="0.25">
      <c r="A6894">
        <v>92</v>
      </c>
      <c r="B6894">
        <v>301</v>
      </c>
      <c r="C6894">
        <v>1</v>
      </c>
    </row>
    <row r="6895" spans="1:3" x14ac:dyDescent="0.25">
      <c r="A6895">
        <v>131</v>
      </c>
      <c r="B6895">
        <v>301</v>
      </c>
      <c r="C6895">
        <v>2</v>
      </c>
    </row>
    <row r="6896" spans="1:3" x14ac:dyDescent="0.25">
      <c r="A6896">
        <v>144</v>
      </c>
      <c r="B6896">
        <v>301</v>
      </c>
      <c r="C6896">
        <v>2</v>
      </c>
    </row>
    <row r="6897" spans="1:3" x14ac:dyDescent="0.25">
      <c r="A6897">
        <v>145</v>
      </c>
      <c r="B6897">
        <v>301</v>
      </c>
      <c r="C6897">
        <v>4</v>
      </c>
    </row>
    <row r="6898" spans="1:3" x14ac:dyDescent="0.25">
      <c r="A6898">
        <v>206</v>
      </c>
      <c r="B6898">
        <v>301</v>
      </c>
      <c r="C6898">
        <v>4</v>
      </c>
    </row>
    <row r="6899" spans="1:3" x14ac:dyDescent="0.25">
      <c r="A6899">
        <v>231</v>
      </c>
      <c r="B6899">
        <v>301</v>
      </c>
      <c r="C6899">
        <v>3</v>
      </c>
    </row>
    <row r="6900" spans="1:3" x14ac:dyDescent="0.25">
      <c r="A6900">
        <v>267</v>
      </c>
      <c r="B6900">
        <v>301</v>
      </c>
      <c r="C6900">
        <v>2</v>
      </c>
    </row>
    <row r="6901" spans="1:3" x14ac:dyDescent="0.25">
      <c r="A6901">
        <v>282</v>
      </c>
      <c r="B6901">
        <v>301</v>
      </c>
      <c r="C6901">
        <v>3</v>
      </c>
    </row>
    <row r="6902" spans="1:3" x14ac:dyDescent="0.25">
      <c r="A6902">
        <v>1</v>
      </c>
      <c r="B6902">
        <v>302</v>
      </c>
      <c r="C6902">
        <v>2</v>
      </c>
    </row>
    <row r="6903" spans="1:3" x14ac:dyDescent="0.25">
      <c r="A6903">
        <v>12</v>
      </c>
      <c r="B6903">
        <v>302</v>
      </c>
      <c r="C6903">
        <v>3</v>
      </c>
    </row>
    <row r="6904" spans="1:3" x14ac:dyDescent="0.25">
      <c r="A6904">
        <v>20</v>
      </c>
      <c r="B6904">
        <v>302</v>
      </c>
      <c r="C6904">
        <v>5</v>
      </c>
    </row>
    <row r="6905" spans="1:3" x14ac:dyDescent="0.25">
      <c r="A6905">
        <v>27</v>
      </c>
      <c r="B6905">
        <v>302</v>
      </c>
      <c r="C6905">
        <v>3</v>
      </c>
    </row>
    <row r="6906" spans="1:3" x14ac:dyDescent="0.25">
      <c r="A6906">
        <v>54</v>
      </c>
      <c r="B6906">
        <v>302</v>
      </c>
      <c r="C6906">
        <v>1</v>
      </c>
    </row>
    <row r="6907" spans="1:3" x14ac:dyDescent="0.25">
      <c r="A6907">
        <v>54</v>
      </c>
      <c r="B6907">
        <v>302</v>
      </c>
      <c r="C6907">
        <v>2</v>
      </c>
    </row>
    <row r="6908" spans="1:3" x14ac:dyDescent="0.25">
      <c r="A6908">
        <v>81</v>
      </c>
      <c r="B6908">
        <v>302</v>
      </c>
      <c r="C6908">
        <v>4</v>
      </c>
    </row>
    <row r="6909" spans="1:3" x14ac:dyDescent="0.25">
      <c r="A6909">
        <v>104</v>
      </c>
      <c r="B6909">
        <v>302</v>
      </c>
      <c r="C6909">
        <v>1</v>
      </c>
    </row>
    <row r="6910" spans="1:3" x14ac:dyDescent="0.25">
      <c r="A6910">
        <v>105</v>
      </c>
      <c r="B6910">
        <v>302</v>
      </c>
      <c r="C6910">
        <v>3</v>
      </c>
    </row>
    <row r="6911" spans="1:3" x14ac:dyDescent="0.25">
      <c r="A6911">
        <v>110</v>
      </c>
      <c r="B6911">
        <v>302</v>
      </c>
      <c r="C6911">
        <v>3</v>
      </c>
    </row>
    <row r="6912" spans="1:3" x14ac:dyDescent="0.25">
      <c r="A6912">
        <v>122</v>
      </c>
      <c r="B6912">
        <v>302</v>
      </c>
      <c r="C6912">
        <v>2</v>
      </c>
    </row>
    <row r="6913" spans="1:3" x14ac:dyDescent="0.25">
      <c r="A6913">
        <v>124</v>
      </c>
      <c r="B6913">
        <v>302</v>
      </c>
      <c r="C6913">
        <v>1</v>
      </c>
    </row>
    <row r="6914" spans="1:3" x14ac:dyDescent="0.25">
      <c r="A6914">
        <v>128</v>
      </c>
      <c r="B6914">
        <v>302</v>
      </c>
      <c r="C6914">
        <v>3</v>
      </c>
    </row>
    <row r="6915" spans="1:3" x14ac:dyDescent="0.25">
      <c r="A6915">
        <v>131</v>
      </c>
      <c r="B6915">
        <v>302</v>
      </c>
      <c r="C6915">
        <v>2</v>
      </c>
    </row>
    <row r="6916" spans="1:3" x14ac:dyDescent="0.25">
      <c r="A6916">
        <v>143</v>
      </c>
      <c r="B6916">
        <v>302</v>
      </c>
      <c r="C6916">
        <v>2</v>
      </c>
    </row>
    <row r="6917" spans="1:3" x14ac:dyDescent="0.25">
      <c r="A6917">
        <v>163</v>
      </c>
      <c r="B6917">
        <v>302</v>
      </c>
      <c r="C6917">
        <v>1</v>
      </c>
    </row>
    <row r="6918" spans="1:3" x14ac:dyDescent="0.25">
      <c r="A6918">
        <v>166</v>
      </c>
      <c r="B6918">
        <v>302</v>
      </c>
      <c r="C6918">
        <v>1</v>
      </c>
    </row>
    <row r="6919" spans="1:3" x14ac:dyDescent="0.25">
      <c r="A6919">
        <v>189</v>
      </c>
      <c r="B6919">
        <v>302</v>
      </c>
      <c r="C6919">
        <v>4</v>
      </c>
    </row>
    <row r="6920" spans="1:3" x14ac:dyDescent="0.25">
      <c r="A6920">
        <v>198</v>
      </c>
      <c r="B6920">
        <v>302</v>
      </c>
      <c r="C6920">
        <v>3</v>
      </c>
    </row>
    <row r="6921" spans="1:3" x14ac:dyDescent="0.25">
      <c r="A6921">
        <v>212</v>
      </c>
      <c r="B6921">
        <v>302</v>
      </c>
      <c r="C6921">
        <v>4</v>
      </c>
    </row>
    <row r="6922" spans="1:3" x14ac:dyDescent="0.25">
      <c r="A6922">
        <v>248</v>
      </c>
      <c r="B6922">
        <v>302</v>
      </c>
      <c r="C6922">
        <v>5</v>
      </c>
    </row>
    <row r="6923" spans="1:3" x14ac:dyDescent="0.25">
      <c r="A6923">
        <v>255</v>
      </c>
      <c r="B6923">
        <v>302</v>
      </c>
      <c r="C6923">
        <v>4</v>
      </c>
    </row>
    <row r="6924" spans="1:3" x14ac:dyDescent="0.25">
      <c r="A6924">
        <v>281</v>
      </c>
      <c r="B6924">
        <v>302</v>
      </c>
      <c r="C6924">
        <v>2</v>
      </c>
    </row>
    <row r="6925" spans="1:3" x14ac:dyDescent="0.25">
      <c r="A6925">
        <v>288</v>
      </c>
      <c r="B6925">
        <v>302</v>
      </c>
      <c r="C6925">
        <v>4</v>
      </c>
    </row>
    <row r="6926" spans="1:3" x14ac:dyDescent="0.25">
      <c r="A6926">
        <v>294</v>
      </c>
      <c r="B6926">
        <v>302</v>
      </c>
      <c r="C6926">
        <v>4</v>
      </c>
    </row>
    <row r="6927" spans="1:3" x14ac:dyDescent="0.25">
      <c r="A6927">
        <v>7</v>
      </c>
      <c r="B6927">
        <v>303</v>
      </c>
      <c r="C6927">
        <v>4</v>
      </c>
    </row>
    <row r="6928" spans="1:3" x14ac:dyDescent="0.25">
      <c r="A6928">
        <v>33</v>
      </c>
      <c r="B6928">
        <v>303</v>
      </c>
      <c r="C6928">
        <v>3</v>
      </c>
    </row>
    <row r="6929" spans="1:3" x14ac:dyDescent="0.25">
      <c r="A6929">
        <v>34</v>
      </c>
      <c r="B6929">
        <v>303</v>
      </c>
      <c r="C6929">
        <v>3</v>
      </c>
    </row>
    <row r="6930" spans="1:3" x14ac:dyDescent="0.25">
      <c r="A6930">
        <v>59</v>
      </c>
      <c r="B6930">
        <v>303</v>
      </c>
      <c r="C6930">
        <v>2</v>
      </c>
    </row>
    <row r="6931" spans="1:3" x14ac:dyDescent="0.25">
      <c r="A6931">
        <v>65</v>
      </c>
      <c r="B6931">
        <v>303</v>
      </c>
      <c r="C6931">
        <v>5</v>
      </c>
    </row>
    <row r="6932" spans="1:3" x14ac:dyDescent="0.25">
      <c r="A6932">
        <v>98</v>
      </c>
      <c r="B6932">
        <v>303</v>
      </c>
      <c r="C6932">
        <v>2</v>
      </c>
    </row>
    <row r="6933" spans="1:3" x14ac:dyDescent="0.25">
      <c r="A6933">
        <v>100</v>
      </c>
      <c r="B6933">
        <v>303</v>
      </c>
      <c r="C6933">
        <v>2</v>
      </c>
    </row>
    <row r="6934" spans="1:3" x14ac:dyDescent="0.25">
      <c r="A6934">
        <v>102</v>
      </c>
      <c r="B6934">
        <v>303</v>
      </c>
      <c r="C6934">
        <v>1</v>
      </c>
    </row>
    <row r="6935" spans="1:3" x14ac:dyDescent="0.25">
      <c r="A6935">
        <v>109</v>
      </c>
      <c r="B6935">
        <v>303</v>
      </c>
      <c r="C6935">
        <v>5</v>
      </c>
    </row>
    <row r="6936" spans="1:3" x14ac:dyDescent="0.25">
      <c r="A6936">
        <v>130</v>
      </c>
      <c r="B6936">
        <v>303</v>
      </c>
      <c r="C6936">
        <v>2</v>
      </c>
    </row>
    <row r="6937" spans="1:3" x14ac:dyDescent="0.25">
      <c r="A6937">
        <v>131</v>
      </c>
      <c r="B6937">
        <v>303</v>
      </c>
      <c r="C6937">
        <v>5</v>
      </c>
    </row>
    <row r="6938" spans="1:3" x14ac:dyDescent="0.25">
      <c r="A6938">
        <v>154</v>
      </c>
      <c r="B6938">
        <v>303</v>
      </c>
      <c r="C6938">
        <v>4</v>
      </c>
    </row>
    <row r="6939" spans="1:3" x14ac:dyDescent="0.25">
      <c r="A6939">
        <v>167</v>
      </c>
      <c r="B6939">
        <v>303</v>
      </c>
      <c r="C6939">
        <v>1</v>
      </c>
    </row>
    <row r="6940" spans="1:3" x14ac:dyDescent="0.25">
      <c r="A6940">
        <v>202</v>
      </c>
      <c r="B6940">
        <v>303</v>
      </c>
      <c r="C6940">
        <v>5</v>
      </c>
    </row>
    <row r="6941" spans="1:3" x14ac:dyDescent="0.25">
      <c r="A6941">
        <v>210</v>
      </c>
      <c r="B6941">
        <v>303</v>
      </c>
      <c r="C6941">
        <v>5</v>
      </c>
    </row>
    <row r="6942" spans="1:3" x14ac:dyDescent="0.25">
      <c r="A6942">
        <v>213</v>
      </c>
      <c r="B6942">
        <v>303</v>
      </c>
      <c r="C6942">
        <v>2</v>
      </c>
    </row>
    <row r="6943" spans="1:3" x14ac:dyDescent="0.25">
      <c r="A6943">
        <v>226</v>
      </c>
      <c r="B6943">
        <v>303</v>
      </c>
      <c r="C6943">
        <v>4</v>
      </c>
    </row>
    <row r="6944" spans="1:3" x14ac:dyDescent="0.25">
      <c r="A6944">
        <v>230</v>
      </c>
      <c r="B6944">
        <v>303</v>
      </c>
      <c r="C6944">
        <v>1</v>
      </c>
    </row>
    <row r="6945" spans="1:3" x14ac:dyDescent="0.25">
      <c r="A6945">
        <v>270</v>
      </c>
      <c r="B6945">
        <v>303</v>
      </c>
      <c r="C6945">
        <v>2</v>
      </c>
    </row>
    <row r="6946" spans="1:3" x14ac:dyDescent="0.25">
      <c r="A6946">
        <v>271</v>
      </c>
      <c r="B6946">
        <v>303</v>
      </c>
      <c r="C6946">
        <v>2</v>
      </c>
    </row>
    <row r="6947" spans="1:3" x14ac:dyDescent="0.25">
      <c r="A6947">
        <v>296</v>
      </c>
      <c r="B6947">
        <v>303</v>
      </c>
      <c r="C6947">
        <v>2</v>
      </c>
    </row>
    <row r="6948" spans="1:3" x14ac:dyDescent="0.25">
      <c r="A6948">
        <v>9</v>
      </c>
      <c r="B6948">
        <v>304</v>
      </c>
      <c r="C6948">
        <v>4</v>
      </c>
    </row>
    <row r="6949" spans="1:3" x14ac:dyDescent="0.25">
      <c r="A6949">
        <v>14</v>
      </c>
      <c r="B6949">
        <v>304</v>
      </c>
      <c r="C6949">
        <v>3</v>
      </c>
    </row>
    <row r="6950" spans="1:3" x14ac:dyDescent="0.25">
      <c r="A6950">
        <v>33</v>
      </c>
      <c r="B6950">
        <v>304</v>
      </c>
      <c r="C6950">
        <v>3</v>
      </c>
    </row>
    <row r="6951" spans="1:3" x14ac:dyDescent="0.25">
      <c r="A6951">
        <v>35</v>
      </c>
      <c r="B6951">
        <v>304</v>
      </c>
      <c r="C6951">
        <v>2</v>
      </c>
    </row>
    <row r="6952" spans="1:3" x14ac:dyDescent="0.25">
      <c r="A6952">
        <v>45</v>
      </c>
      <c r="B6952">
        <v>304</v>
      </c>
      <c r="C6952">
        <v>3</v>
      </c>
    </row>
    <row r="6953" spans="1:3" x14ac:dyDescent="0.25">
      <c r="A6953">
        <v>59</v>
      </c>
      <c r="B6953">
        <v>304</v>
      </c>
      <c r="C6953">
        <v>1</v>
      </c>
    </row>
    <row r="6954" spans="1:3" x14ac:dyDescent="0.25">
      <c r="A6954">
        <v>84</v>
      </c>
      <c r="B6954">
        <v>304</v>
      </c>
      <c r="C6954">
        <v>3</v>
      </c>
    </row>
    <row r="6955" spans="1:3" x14ac:dyDescent="0.25">
      <c r="A6955">
        <v>93</v>
      </c>
      <c r="B6955">
        <v>304</v>
      </c>
      <c r="C6955">
        <v>2</v>
      </c>
    </row>
    <row r="6956" spans="1:3" x14ac:dyDescent="0.25">
      <c r="A6956">
        <v>132</v>
      </c>
      <c r="B6956">
        <v>304</v>
      </c>
      <c r="C6956">
        <v>3</v>
      </c>
    </row>
    <row r="6957" spans="1:3" x14ac:dyDescent="0.25">
      <c r="A6957">
        <v>140</v>
      </c>
      <c r="B6957">
        <v>304</v>
      </c>
      <c r="C6957">
        <v>3</v>
      </c>
    </row>
    <row r="6958" spans="1:3" x14ac:dyDescent="0.25">
      <c r="A6958">
        <v>141</v>
      </c>
      <c r="B6958">
        <v>304</v>
      </c>
      <c r="C6958">
        <v>3</v>
      </c>
    </row>
    <row r="6959" spans="1:3" x14ac:dyDescent="0.25">
      <c r="A6959">
        <v>168</v>
      </c>
      <c r="B6959">
        <v>304</v>
      </c>
      <c r="C6959">
        <v>5</v>
      </c>
    </row>
    <row r="6960" spans="1:3" x14ac:dyDescent="0.25">
      <c r="A6960">
        <v>182</v>
      </c>
      <c r="B6960">
        <v>304</v>
      </c>
      <c r="C6960">
        <v>4</v>
      </c>
    </row>
    <row r="6961" spans="1:3" x14ac:dyDescent="0.25">
      <c r="A6961">
        <v>196</v>
      </c>
      <c r="B6961">
        <v>304</v>
      </c>
      <c r="C6961">
        <v>1</v>
      </c>
    </row>
    <row r="6962" spans="1:3" x14ac:dyDescent="0.25">
      <c r="A6962">
        <v>210</v>
      </c>
      <c r="B6962">
        <v>304</v>
      </c>
      <c r="C6962">
        <v>3</v>
      </c>
    </row>
    <row r="6963" spans="1:3" x14ac:dyDescent="0.25">
      <c r="A6963">
        <v>211</v>
      </c>
      <c r="B6963">
        <v>304</v>
      </c>
      <c r="C6963">
        <v>2</v>
      </c>
    </row>
    <row r="6964" spans="1:3" x14ac:dyDescent="0.25">
      <c r="A6964">
        <v>243</v>
      </c>
      <c r="B6964">
        <v>304</v>
      </c>
      <c r="C6964">
        <v>5</v>
      </c>
    </row>
    <row r="6965" spans="1:3" x14ac:dyDescent="0.25">
      <c r="A6965">
        <v>244</v>
      </c>
      <c r="B6965">
        <v>304</v>
      </c>
      <c r="C6965">
        <v>3</v>
      </c>
    </row>
    <row r="6966" spans="1:3" x14ac:dyDescent="0.25">
      <c r="A6966">
        <v>266</v>
      </c>
      <c r="B6966">
        <v>304</v>
      </c>
      <c r="C6966">
        <v>4</v>
      </c>
    </row>
    <row r="6967" spans="1:3" x14ac:dyDescent="0.25">
      <c r="A6967">
        <v>299</v>
      </c>
      <c r="B6967">
        <v>304</v>
      </c>
      <c r="C6967">
        <v>2</v>
      </c>
    </row>
    <row r="6968" spans="1:3" x14ac:dyDescent="0.25">
      <c r="A6968">
        <v>39</v>
      </c>
      <c r="B6968">
        <v>305</v>
      </c>
      <c r="C6968">
        <v>5</v>
      </c>
    </row>
    <row r="6969" spans="1:3" x14ac:dyDescent="0.25">
      <c r="A6969">
        <v>49</v>
      </c>
      <c r="B6969">
        <v>305</v>
      </c>
      <c r="C6969">
        <v>5</v>
      </c>
    </row>
    <row r="6970" spans="1:3" x14ac:dyDescent="0.25">
      <c r="A6970">
        <v>64</v>
      </c>
      <c r="B6970">
        <v>305</v>
      </c>
      <c r="C6970">
        <v>2</v>
      </c>
    </row>
    <row r="6971" spans="1:3" x14ac:dyDescent="0.25">
      <c r="A6971">
        <v>119</v>
      </c>
      <c r="B6971">
        <v>305</v>
      </c>
      <c r="C6971">
        <v>4</v>
      </c>
    </row>
    <row r="6972" spans="1:3" x14ac:dyDescent="0.25">
      <c r="A6972">
        <v>128</v>
      </c>
      <c r="B6972">
        <v>305</v>
      </c>
      <c r="C6972">
        <v>4</v>
      </c>
    </row>
    <row r="6973" spans="1:3" x14ac:dyDescent="0.25">
      <c r="A6973">
        <v>147</v>
      </c>
      <c r="B6973">
        <v>305</v>
      </c>
      <c r="C6973">
        <v>5</v>
      </c>
    </row>
    <row r="6974" spans="1:3" x14ac:dyDescent="0.25">
      <c r="A6974">
        <v>168</v>
      </c>
      <c r="B6974">
        <v>305</v>
      </c>
      <c r="C6974">
        <v>1</v>
      </c>
    </row>
    <row r="6975" spans="1:3" x14ac:dyDescent="0.25">
      <c r="A6975">
        <v>189</v>
      </c>
      <c r="B6975">
        <v>305</v>
      </c>
      <c r="C6975">
        <v>3</v>
      </c>
    </row>
    <row r="6976" spans="1:3" x14ac:dyDescent="0.25">
      <c r="A6976">
        <v>209</v>
      </c>
      <c r="B6976">
        <v>305</v>
      </c>
      <c r="C6976">
        <v>1</v>
      </c>
    </row>
    <row r="6977" spans="1:3" x14ac:dyDescent="0.25">
      <c r="A6977">
        <v>212</v>
      </c>
      <c r="B6977">
        <v>305</v>
      </c>
      <c r="C6977">
        <v>1</v>
      </c>
    </row>
    <row r="6978" spans="1:3" x14ac:dyDescent="0.25">
      <c r="A6978">
        <v>230</v>
      </c>
      <c r="B6978">
        <v>305</v>
      </c>
      <c r="C6978">
        <v>5</v>
      </c>
    </row>
    <row r="6979" spans="1:3" x14ac:dyDescent="0.25">
      <c r="A6979">
        <v>241</v>
      </c>
      <c r="B6979">
        <v>305</v>
      </c>
      <c r="C6979">
        <v>1</v>
      </c>
    </row>
    <row r="6980" spans="1:3" x14ac:dyDescent="0.25">
      <c r="A6980">
        <v>248</v>
      </c>
      <c r="B6980">
        <v>305</v>
      </c>
      <c r="C6980">
        <v>3</v>
      </c>
    </row>
    <row r="6981" spans="1:3" x14ac:dyDescent="0.25">
      <c r="A6981">
        <v>262</v>
      </c>
      <c r="B6981">
        <v>305</v>
      </c>
      <c r="C6981">
        <v>1</v>
      </c>
    </row>
    <row r="6982" spans="1:3" x14ac:dyDescent="0.25">
      <c r="A6982">
        <v>276</v>
      </c>
      <c r="B6982">
        <v>305</v>
      </c>
      <c r="C6982">
        <v>3</v>
      </c>
    </row>
    <row r="6983" spans="1:3" x14ac:dyDescent="0.25">
      <c r="A6983">
        <v>287</v>
      </c>
      <c r="B6983">
        <v>305</v>
      </c>
      <c r="C6983">
        <v>2</v>
      </c>
    </row>
    <row r="6984" spans="1:3" x14ac:dyDescent="0.25">
      <c r="A6984">
        <v>8</v>
      </c>
      <c r="B6984">
        <v>306</v>
      </c>
      <c r="C6984">
        <v>4</v>
      </c>
    </row>
    <row r="6985" spans="1:3" x14ac:dyDescent="0.25">
      <c r="A6985">
        <v>8</v>
      </c>
      <c r="B6985">
        <v>306</v>
      </c>
      <c r="C6985">
        <v>2</v>
      </c>
    </row>
    <row r="6986" spans="1:3" x14ac:dyDescent="0.25">
      <c r="A6986">
        <v>42</v>
      </c>
      <c r="B6986">
        <v>306</v>
      </c>
      <c r="C6986">
        <v>5</v>
      </c>
    </row>
    <row r="6987" spans="1:3" x14ac:dyDescent="0.25">
      <c r="A6987">
        <v>77</v>
      </c>
      <c r="B6987">
        <v>306</v>
      </c>
      <c r="C6987">
        <v>5</v>
      </c>
    </row>
    <row r="6988" spans="1:3" x14ac:dyDescent="0.25">
      <c r="A6988">
        <v>93</v>
      </c>
      <c r="B6988">
        <v>306</v>
      </c>
      <c r="C6988">
        <v>4</v>
      </c>
    </row>
    <row r="6989" spans="1:3" x14ac:dyDescent="0.25">
      <c r="A6989">
        <v>97</v>
      </c>
      <c r="B6989">
        <v>306</v>
      </c>
      <c r="C6989">
        <v>4</v>
      </c>
    </row>
    <row r="6990" spans="1:3" x14ac:dyDescent="0.25">
      <c r="A6990">
        <v>101</v>
      </c>
      <c r="B6990">
        <v>306</v>
      </c>
      <c r="C6990">
        <v>2</v>
      </c>
    </row>
    <row r="6991" spans="1:3" x14ac:dyDescent="0.25">
      <c r="A6991">
        <v>137</v>
      </c>
      <c r="B6991">
        <v>306</v>
      </c>
      <c r="C6991">
        <v>1</v>
      </c>
    </row>
    <row r="6992" spans="1:3" x14ac:dyDescent="0.25">
      <c r="A6992">
        <v>154</v>
      </c>
      <c r="B6992">
        <v>306</v>
      </c>
      <c r="C6992">
        <v>4</v>
      </c>
    </row>
    <row r="6993" spans="1:3" x14ac:dyDescent="0.25">
      <c r="A6993">
        <v>155</v>
      </c>
      <c r="B6993">
        <v>306</v>
      </c>
      <c r="C6993">
        <v>3</v>
      </c>
    </row>
    <row r="6994" spans="1:3" x14ac:dyDescent="0.25">
      <c r="A6994">
        <v>183</v>
      </c>
      <c r="B6994">
        <v>306</v>
      </c>
      <c r="C6994">
        <v>4</v>
      </c>
    </row>
    <row r="6995" spans="1:3" x14ac:dyDescent="0.25">
      <c r="A6995">
        <v>187</v>
      </c>
      <c r="B6995">
        <v>306</v>
      </c>
      <c r="C6995">
        <v>2</v>
      </c>
    </row>
    <row r="6996" spans="1:3" x14ac:dyDescent="0.25">
      <c r="A6996">
        <v>192</v>
      </c>
      <c r="B6996">
        <v>306</v>
      </c>
      <c r="C6996">
        <v>1</v>
      </c>
    </row>
    <row r="6997" spans="1:3" x14ac:dyDescent="0.25">
      <c r="A6997">
        <v>203</v>
      </c>
      <c r="B6997">
        <v>306</v>
      </c>
      <c r="C6997">
        <v>5</v>
      </c>
    </row>
    <row r="6998" spans="1:3" x14ac:dyDescent="0.25">
      <c r="A6998">
        <v>210</v>
      </c>
      <c r="B6998">
        <v>306</v>
      </c>
      <c r="C6998">
        <v>1</v>
      </c>
    </row>
    <row r="6999" spans="1:3" x14ac:dyDescent="0.25">
      <c r="A6999">
        <v>246</v>
      </c>
      <c r="B6999">
        <v>306</v>
      </c>
      <c r="C6999">
        <v>3</v>
      </c>
    </row>
    <row r="7000" spans="1:3" x14ac:dyDescent="0.25">
      <c r="A7000">
        <v>254</v>
      </c>
      <c r="B7000">
        <v>306</v>
      </c>
      <c r="C7000">
        <v>2</v>
      </c>
    </row>
    <row r="7001" spans="1:3" x14ac:dyDescent="0.25">
      <c r="A7001">
        <v>261</v>
      </c>
      <c r="B7001">
        <v>306</v>
      </c>
      <c r="C7001">
        <v>3</v>
      </c>
    </row>
    <row r="7002" spans="1:3" x14ac:dyDescent="0.25">
      <c r="A7002">
        <v>263</v>
      </c>
      <c r="B7002">
        <v>306</v>
      </c>
      <c r="C7002">
        <v>5</v>
      </c>
    </row>
    <row r="7003" spans="1:3" x14ac:dyDescent="0.25">
      <c r="A7003">
        <v>272</v>
      </c>
      <c r="B7003">
        <v>306</v>
      </c>
      <c r="C7003">
        <v>2</v>
      </c>
    </row>
    <row r="7004" spans="1:3" x14ac:dyDescent="0.25">
      <c r="A7004">
        <v>292</v>
      </c>
      <c r="B7004">
        <v>306</v>
      </c>
      <c r="C7004">
        <v>2</v>
      </c>
    </row>
    <row r="7005" spans="1:3" x14ac:dyDescent="0.25">
      <c r="A7005">
        <v>1</v>
      </c>
      <c r="B7005">
        <v>307</v>
      </c>
      <c r="C7005">
        <v>4</v>
      </c>
    </row>
    <row r="7006" spans="1:3" x14ac:dyDescent="0.25">
      <c r="A7006">
        <v>17</v>
      </c>
      <c r="B7006">
        <v>307</v>
      </c>
      <c r="C7006">
        <v>3</v>
      </c>
    </row>
    <row r="7007" spans="1:3" x14ac:dyDescent="0.25">
      <c r="A7007">
        <v>23</v>
      </c>
      <c r="B7007">
        <v>307</v>
      </c>
      <c r="C7007">
        <v>4</v>
      </c>
    </row>
    <row r="7008" spans="1:3" x14ac:dyDescent="0.25">
      <c r="A7008">
        <v>49</v>
      </c>
      <c r="B7008">
        <v>307</v>
      </c>
      <c r="C7008">
        <v>1</v>
      </c>
    </row>
    <row r="7009" spans="1:3" x14ac:dyDescent="0.25">
      <c r="A7009">
        <v>59</v>
      </c>
      <c r="B7009">
        <v>307</v>
      </c>
      <c r="C7009">
        <v>2</v>
      </c>
    </row>
    <row r="7010" spans="1:3" x14ac:dyDescent="0.25">
      <c r="A7010">
        <v>67</v>
      </c>
      <c r="B7010">
        <v>307</v>
      </c>
      <c r="C7010">
        <v>5</v>
      </c>
    </row>
    <row r="7011" spans="1:3" x14ac:dyDescent="0.25">
      <c r="A7011">
        <v>78</v>
      </c>
      <c r="B7011">
        <v>307</v>
      </c>
      <c r="C7011">
        <v>5</v>
      </c>
    </row>
    <row r="7012" spans="1:3" x14ac:dyDescent="0.25">
      <c r="A7012">
        <v>87</v>
      </c>
      <c r="B7012">
        <v>307</v>
      </c>
      <c r="C7012">
        <v>2</v>
      </c>
    </row>
    <row r="7013" spans="1:3" x14ac:dyDescent="0.25">
      <c r="A7013">
        <v>91</v>
      </c>
      <c r="B7013">
        <v>307</v>
      </c>
      <c r="C7013">
        <v>1</v>
      </c>
    </row>
    <row r="7014" spans="1:3" x14ac:dyDescent="0.25">
      <c r="A7014">
        <v>94</v>
      </c>
      <c r="B7014">
        <v>307</v>
      </c>
      <c r="C7014">
        <v>4</v>
      </c>
    </row>
    <row r="7015" spans="1:3" x14ac:dyDescent="0.25">
      <c r="A7015">
        <v>96</v>
      </c>
      <c r="B7015">
        <v>307</v>
      </c>
      <c r="C7015">
        <v>1</v>
      </c>
    </row>
    <row r="7016" spans="1:3" x14ac:dyDescent="0.25">
      <c r="A7016">
        <v>109</v>
      </c>
      <c r="B7016">
        <v>307</v>
      </c>
      <c r="C7016">
        <v>2</v>
      </c>
    </row>
    <row r="7017" spans="1:3" x14ac:dyDescent="0.25">
      <c r="A7017">
        <v>117</v>
      </c>
      <c r="B7017">
        <v>307</v>
      </c>
      <c r="C7017">
        <v>4</v>
      </c>
    </row>
    <row r="7018" spans="1:3" x14ac:dyDescent="0.25">
      <c r="A7018">
        <v>126</v>
      </c>
      <c r="B7018">
        <v>307</v>
      </c>
      <c r="C7018">
        <v>4</v>
      </c>
    </row>
    <row r="7019" spans="1:3" x14ac:dyDescent="0.25">
      <c r="A7019">
        <v>133</v>
      </c>
      <c r="B7019">
        <v>307</v>
      </c>
      <c r="C7019">
        <v>4</v>
      </c>
    </row>
    <row r="7020" spans="1:3" x14ac:dyDescent="0.25">
      <c r="A7020">
        <v>133</v>
      </c>
      <c r="B7020">
        <v>307</v>
      </c>
      <c r="C7020">
        <v>4</v>
      </c>
    </row>
    <row r="7021" spans="1:3" x14ac:dyDescent="0.25">
      <c r="A7021">
        <v>135</v>
      </c>
      <c r="B7021">
        <v>307</v>
      </c>
      <c r="C7021">
        <v>2</v>
      </c>
    </row>
    <row r="7022" spans="1:3" x14ac:dyDescent="0.25">
      <c r="A7022">
        <v>139</v>
      </c>
      <c r="B7022">
        <v>307</v>
      </c>
      <c r="C7022">
        <v>1</v>
      </c>
    </row>
    <row r="7023" spans="1:3" x14ac:dyDescent="0.25">
      <c r="A7023">
        <v>155</v>
      </c>
      <c r="B7023">
        <v>307</v>
      </c>
      <c r="C7023">
        <v>4</v>
      </c>
    </row>
    <row r="7024" spans="1:3" x14ac:dyDescent="0.25">
      <c r="A7024">
        <v>157</v>
      </c>
      <c r="B7024">
        <v>307</v>
      </c>
      <c r="C7024">
        <v>3</v>
      </c>
    </row>
    <row r="7025" spans="1:3" x14ac:dyDescent="0.25">
      <c r="A7025">
        <v>193</v>
      </c>
      <c r="B7025">
        <v>307</v>
      </c>
      <c r="C7025">
        <v>1</v>
      </c>
    </row>
    <row r="7026" spans="1:3" x14ac:dyDescent="0.25">
      <c r="A7026">
        <v>194</v>
      </c>
      <c r="B7026">
        <v>307</v>
      </c>
      <c r="C7026">
        <v>1</v>
      </c>
    </row>
    <row r="7027" spans="1:3" x14ac:dyDescent="0.25">
      <c r="A7027">
        <v>206</v>
      </c>
      <c r="B7027">
        <v>307</v>
      </c>
      <c r="C7027">
        <v>1</v>
      </c>
    </row>
    <row r="7028" spans="1:3" x14ac:dyDescent="0.25">
      <c r="A7028">
        <v>219</v>
      </c>
      <c r="B7028">
        <v>307</v>
      </c>
      <c r="C7028">
        <v>3</v>
      </c>
    </row>
    <row r="7029" spans="1:3" x14ac:dyDescent="0.25">
      <c r="A7029">
        <v>233</v>
      </c>
      <c r="B7029">
        <v>307</v>
      </c>
      <c r="C7029">
        <v>4</v>
      </c>
    </row>
    <row r="7030" spans="1:3" x14ac:dyDescent="0.25">
      <c r="A7030">
        <v>256</v>
      </c>
      <c r="B7030">
        <v>307</v>
      </c>
      <c r="C7030">
        <v>5</v>
      </c>
    </row>
    <row r="7031" spans="1:3" x14ac:dyDescent="0.25">
      <c r="A7031">
        <v>298</v>
      </c>
      <c r="B7031">
        <v>307</v>
      </c>
      <c r="C7031">
        <v>2</v>
      </c>
    </row>
    <row r="7032" spans="1:3" x14ac:dyDescent="0.25">
      <c r="A7032">
        <v>17</v>
      </c>
      <c r="B7032">
        <v>308</v>
      </c>
      <c r="C7032">
        <v>2</v>
      </c>
    </row>
    <row r="7033" spans="1:3" x14ac:dyDescent="0.25">
      <c r="A7033">
        <v>27</v>
      </c>
      <c r="B7033">
        <v>308</v>
      </c>
      <c r="C7033">
        <v>4</v>
      </c>
    </row>
    <row r="7034" spans="1:3" x14ac:dyDescent="0.25">
      <c r="A7034">
        <v>35</v>
      </c>
      <c r="B7034">
        <v>308</v>
      </c>
      <c r="C7034">
        <v>4</v>
      </c>
    </row>
    <row r="7035" spans="1:3" x14ac:dyDescent="0.25">
      <c r="A7035">
        <v>41</v>
      </c>
      <c r="B7035">
        <v>308</v>
      </c>
      <c r="C7035">
        <v>4</v>
      </c>
    </row>
    <row r="7036" spans="1:3" x14ac:dyDescent="0.25">
      <c r="A7036">
        <v>44</v>
      </c>
      <c r="B7036">
        <v>308</v>
      </c>
      <c r="C7036">
        <v>5</v>
      </c>
    </row>
    <row r="7037" spans="1:3" x14ac:dyDescent="0.25">
      <c r="A7037">
        <v>66</v>
      </c>
      <c r="B7037">
        <v>308</v>
      </c>
      <c r="C7037">
        <v>5</v>
      </c>
    </row>
    <row r="7038" spans="1:3" x14ac:dyDescent="0.25">
      <c r="A7038">
        <v>90</v>
      </c>
      <c r="B7038">
        <v>308</v>
      </c>
      <c r="C7038">
        <v>3</v>
      </c>
    </row>
    <row r="7039" spans="1:3" x14ac:dyDescent="0.25">
      <c r="A7039">
        <v>104</v>
      </c>
      <c r="B7039">
        <v>308</v>
      </c>
      <c r="C7039">
        <v>5</v>
      </c>
    </row>
    <row r="7040" spans="1:3" x14ac:dyDescent="0.25">
      <c r="A7040">
        <v>107</v>
      </c>
      <c r="B7040">
        <v>308</v>
      </c>
      <c r="C7040">
        <v>4</v>
      </c>
    </row>
    <row r="7041" spans="1:3" x14ac:dyDescent="0.25">
      <c r="A7041">
        <v>116</v>
      </c>
      <c r="B7041">
        <v>308</v>
      </c>
      <c r="C7041">
        <v>3</v>
      </c>
    </row>
    <row r="7042" spans="1:3" x14ac:dyDescent="0.25">
      <c r="A7042">
        <v>119</v>
      </c>
      <c r="B7042">
        <v>308</v>
      </c>
      <c r="C7042">
        <v>4</v>
      </c>
    </row>
    <row r="7043" spans="1:3" x14ac:dyDescent="0.25">
      <c r="A7043">
        <v>171</v>
      </c>
      <c r="B7043">
        <v>308</v>
      </c>
      <c r="C7043">
        <v>4</v>
      </c>
    </row>
    <row r="7044" spans="1:3" x14ac:dyDescent="0.25">
      <c r="A7044">
        <v>177</v>
      </c>
      <c r="B7044">
        <v>308</v>
      </c>
      <c r="C7044">
        <v>3</v>
      </c>
    </row>
    <row r="7045" spans="1:3" x14ac:dyDescent="0.25">
      <c r="A7045">
        <v>178</v>
      </c>
      <c r="B7045">
        <v>308</v>
      </c>
      <c r="C7045">
        <v>1</v>
      </c>
    </row>
    <row r="7046" spans="1:3" x14ac:dyDescent="0.25">
      <c r="A7046">
        <v>208</v>
      </c>
      <c r="B7046">
        <v>308</v>
      </c>
      <c r="C7046">
        <v>4</v>
      </c>
    </row>
    <row r="7047" spans="1:3" x14ac:dyDescent="0.25">
      <c r="A7047">
        <v>213</v>
      </c>
      <c r="B7047">
        <v>308</v>
      </c>
      <c r="C7047">
        <v>3</v>
      </c>
    </row>
    <row r="7048" spans="1:3" x14ac:dyDescent="0.25">
      <c r="A7048">
        <v>236</v>
      </c>
      <c r="B7048">
        <v>308</v>
      </c>
      <c r="C7048">
        <v>2</v>
      </c>
    </row>
    <row r="7049" spans="1:3" x14ac:dyDescent="0.25">
      <c r="A7049">
        <v>237</v>
      </c>
      <c r="B7049">
        <v>308</v>
      </c>
      <c r="C7049">
        <v>1</v>
      </c>
    </row>
    <row r="7050" spans="1:3" x14ac:dyDescent="0.25">
      <c r="A7050">
        <v>264</v>
      </c>
      <c r="B7050">
        <v>308</v>
      </c>
      <c r="C7050">
        <v>4</v>
      </c>
    </row>
    <row r="7051" spans="1:3" x14ac:dyDescent="0.25">
      <c r="A7051">
        <v>265</v>
      </c>
      <c r="B7051">
        <v>308</v>
      </c>
      <c r="C7051">
        <v>3</v>
      </c>
    </row>
    <row r="7052" spans="1:3" x14ac:dyDescent="0.25">
      <c r="A7052">
        <v>4</v>
      </c>
      <c r="B7052">
        <v>309</v>
      </c>
      <c r="C7052">
        <v>5</v>
      </c>
    </row>
    <row r="7053" spans="1:3" x14ac:dyDescent="0.25">
      <c r="A7053">
        <v>44</v>
      </c>
      <c r="B7053">
        <v>309</v>
      </c>
      <c r="C7053">
        <v>3</v>
      </c>
    </row>
    <row r="7054" spans="1:3" x14ac:dyDescent="0.25">
      <c r="A7054">
        <v>46</v>
      </c>
      <c r="B7054">
        <v>309</v>
      </c>
      <c r="C7054">
        <v>3</v>
      </c>
    </row>
    <row r="7055" spans="1:3" x14ac:dyDescent="0.25">
      <c r="A7055">
        <v>49</v>
      </c>
      <c r="B7055">
        <v>309</v>
      </c>
      <c r="C7055">
        <v>4</v>
      </c>
    </row>
    <row r="7056" spans="1:3" x14ac:dyDescent="0.25">
      <c r="A7056">
        <v>75</v>
      </c>
      <c r="B7056">
        <v>309</v>
      </c>
      <c r="C7056">
        <v>5</v>
      </c>
    </row>
    <row r="7057" spans="1:3" x14ac:dyDescent="0.25">
      <c r="A7057">
        <v>84</v>
      </c>
      <c r="B7057">
        <v>309</v>
      </c>
      <c r="C7057">
        <v>5</v>
      </c>
    </row>
    <row r="7058" spans="1:3" x14ac:dyDescent="0.25">
      <c r="A7058">
        <v>92</v>
      </c>
      <c r="B7058">
        <v>309</v>
      </c>
      <c r="C7058">
        <v>5</v>
      </c>
    </row>
    <row r="7059" spans="1:3" x14ac:dyDescent="0.25">
      <c r="A7059">
        <v>93</v>
      </c>
      <c r="B7059">
        <v>309</v>
      </c>
      <c r="C7059">
        <v>2</v>
      </c>
    </row>
    <row r="7060" spans="1:3" x14ac:dyDescent="0.25">
      <c r="A7060">
        <v>125</v>
      </c>
      <c r="B7060">
        <v>309</v>
      </c>
      <c r="C7060">
        <v>5</v>
      </c>
    </row>
    <row r="7061" spans="1:3" x14ac:dyDescent="0.25">
      <c r="A7061">
        <v>128</v>
      </c>
      <c r="B7061">
        <v>309</v>
      </c>
      <c r="C7061">
        <v>3</v>
      </c>
    </row>
    <row r="7062" spans="1:3" x14ac:dyDescent="0.25">
      <c r="A7062">
        <v>167</v>
      </c>
      <c r="B7062">
        <v>309</v>
      </c>
      <c r="C7062">
        <v>1</v>
      </c>
    </row>
    <row r="7063" spans="1:3" x14ac:dyDescent="0.25">
      <c r="A7063">
        <v>170</v>
      </c>
      <c r="B7063">
        <v>309</v>
      </c>
      <c r="C7063">
        <v>5</v>
      </c>
    </row>
    <row r="7064" spans="1:3" x14ac:dyDescent="0.25">
      <c r="A7064">
        <v>174</v>
      </c>
      <c r="B7064">
        <v>309</v>
      </c>
      <c r="C7064">
        <v>2</v>
      </c>
    </row>
    <row r="7065" spans="1:3" x14ac:dyDescent="0.25">
      <c r="A7065">
        <v>190</v>
      </c>
      <c r="B7065">
        <v>309</v>
      </c>
      <c r="C7065">
        <v>2</v>
      </c>
    </row>
    <row r="7066" spans="1:3" x14ac:dyDescent="0.25">
      <c r="A7066">
        <v>200</v>
      </c>
      <c r="B7066">
        <v>309</v>
      </c>
      <c r="C7066">
        <v>1</v>
      </c>
    </row>
    <row r="7067" spans="1:3" x14ac:dyDescent="0.25">
      <c r="A7067">
        <v>203</v>
      </c>
      <c r="B7067">
        <v>309</v>
      </c>
      <c r="C7067">
        <v>1</v>
      </c>
    </row>
    <row r="7068" spans="1:3" x14ac:dyDescent="0.25">
      <c r="A7068">
        <v>217</v>
      </c>
      <c r="B7068">
        <v>309</v>
      </c>
      <c r="C7068">
        <v>2</v>
      </c>
    </row>
    <row r="7069" spans="1:3" x14ac:dyDescent="0.25">
      <c r="A7069">
        <v>228</v>
      </c>
      <c r="B7069">
        <v>309</v>
      </c>
      <c r="C7069">
        <v>5</v>
      </c>
    </row>
    <row r="7070" spans="1:3" x14ac:dyDescent="0.25">
      <c r="A7070">
        <v>255</v>
      </c>
      <c r="B7070">
        <v>309</v>
      </c>
      <c r="C7070">
        <v>4</v>
      </c>
    </row>
    <row r="7071" spans="1:3" x14ac:dyDescent="0.25">
      <c r="A7071">
        <v>261</v>
      </c>
      <c r="B7071">
        <v>309</v>
      </c>
      <c r="C7071">
        <v>5</v>
      </c>
    </row>
    <row r="7072" spans="1:3" x14ac:dyDescent="0.25">
      <c r="A7072">
        <v>270</v>
      </c>
      <c r="B7072">
        <v>309</v>
      </c>
      <c r="C7072">
        <v>3</v>
      </c>
    </row>
    <row r="7073" spans="1:3" x14ac:dyDescent="0.25">
      <c r="A7073">
        <v>276</v>
      </c>
      <c r="B7073">
        <v>309</v>
      </c>
      <c r="C7073">
        <v>1</v>
      </c>
    </row>
    <row r="7074" spans="1:3" x14ac:dyDescent="0.25">
      <c r="A7074">
        <v>282</v>
      </c>
      <c r="B7074">
        <v>309</v>
      </c>
      <c r="C7074">
        <v>4</v>
      </c>
    </row>
    <row r="7075" spans="1:3" x14ac:dyDescent="0.25">
      <c r="A7075">
        <v>3</v>
      </c>
      <c r="B7075">
        <v>310</v>
      </c>
      <c r="C7075">
        <v>3</v>
      </c>
    </row>
    <row r="7076" spans="1:3" x14ac:dyDescent="0.25">
      <c r="A7076">
        <v>9</v>
      </c>
      <c r="B7076">
        <v>310</v>
      </c>
      <c r="C7076">
        <v>4</v>
      </c>
    </row>
    <row r="7077" spans="1:3" x14ac:dyDescent="0.25">
      <c r="A7077">
        <v>11</v>
      </c>
      <c r="B7077">
        <v>310</v>
      </c>
      <c r="C7077">
        <v>3</v>
      </c>
    </row>
    <row r="7078" spans="1:3" x14ac:dyDescent="0.25">
      <c r="A7078">
        <v>42</v>
      </c>
      <c r="B7078">
        <v>310</v>
      </c>
      <c r="C7078">
        <v>2</v>
      </c>
    </row>
    <row r="7079" spans="1:3" x14ac:dyDescent="0.25">
      <c r="A7079">
        <v>42</v>
      </c>
      <c r="B7079">
        <v>310</v>
      </c>
      <c r="C7079">
        <v>3</v>
      </c>
    </row>
    <row r="7080" spans="1:3" x14ac:dyDescent="0.25">
      <c r="A7080">
        <v>55</v>
      </c>
      <c r="B7080">
        <v>310</v>
      </c>
      <c r="C7080">
        <v>2</v>
      </c>
    </row>
    <row r="7081" spans="1:3" x14ac:dyDescent="0.25">
      <c r="A7081">
        <v>68</v>
      </c>
      <c r="B7081">
        <v>310</v>
      </c>
      <c r="C7081">
        <v>2</v>
      </c>
    </row>
    <row r="7082" spans="1:3" x14ac:dyDescent="0.25">
      <c r="A7082">
        <v>86</v>
      </c>
      <c r="B7082">
        <v>310</v>
      </c>
      <c r="C7082">
        <v>1</v>
      </c>
    </row>
    <row r="7083" spans="1:3" x14ac:dyDescent="0.25">
      <c r="A7083">
        <v>86</v>
      </c>
      <c r="B7083">
        <v>310</v>
      </c>
      <c r="C7083">
        <v>5</v>
      </c>
    </row>
    <row r="7084" spans="1:3" x14ac:dyDescent="0.25">
      <c r="A7084">
        <v>95</v>
      </c>
      <c r="B7084">
        <v>310</v>
      </c>
      <c r="C7084">
        <v>3</v>
      </c>
    </row>
    <row r="7085" spans="1:3" x14ac:dyDescent="0.25">
      <c r="A7085">
        <v>138</v>
      </c>
      <c r="B7085">
        <v>310</v>
      </c>
      <c r="C7085">
        <v>3</v>
      </c>
    </row>
    <row r="7086" spans="1:3" x14ac:dyDescent="0.25">
      <c r="A7086">
        <v>191</v>
      </c>
      <c r="B7086">
        <v>310</v>
      </c>
      <c r="C7086">
        <v>5</v>
      </c>
    </row>
    <row r="7087" spans="1:3" x14ac:dyDescent="0.25">
      <c r="A7087">
        <v>226</v>
      </c>
      <c r="B7087">
        <v>310</v>
      </c>
      <c r="C7087">
        <v>3</v>
      </c>
    </row>
    <row r="7088" spans="1:3" x14ac:dyDescent="0.25">
      <c r="A7088">
        <v>228</v>
      </c>
      <c r="B7088">
        <v>310</v>
      </c>
      <c r="C7088">
        <v>4</v>
      </c>
    </row>
    <row r="7089" spans="1:3" x14ac:dyDescent="0.25">
      <c r="A7089">
        <v>230</v>
      </c>
      <c r="B7089">
        <v>310</v>
      </c>
      <c r="C7089">
        <v>2</v>
      </c>
    </row>
    <row r="7090" spans="1:3" x14ac:dyDescent="0.25">
      <c r="A7090">
        <v>249</v>
      </c>
      <c r="B7090">
        <v>310</v>
      </c>
      <c r="C7090">
        <v>5</v>
      </c>
    </row>
    <row r="7091" spans="1:3" x14ac:dyDescent="0.25">
      <c r="A7091">
        <v>270</v>
      </c>
      <c r="B7091">
        <v>310</v>
      </c>
      <c r="C7091">
        <v>1</v>
      </c>
    </row>
    <row r="7092" spans="1:3" x14ac:dyDescent="0.25">
      <c r="A7092">
        <v>273</v>
      </c>
      <c r="B7092">
        <v>310</v>
      </c>
      <c r="C7092">
        <v>2</v>
      </c>
    </row>
    <row r="7093" spans="1:3" x14ac:dyDescent="0.25">
      <c r="A7093">
        <v>276</v>
      </c>
      <c r="B7093">
        <v>310</v>
      </c>
      <c r="C7093">
        <v>2</v>
      </c>
    </row>
    <row r="7094" spans="1:3" x14ac:dyDescent="0.25">
      <c r="A7094">
        <v>279</v>
      </c>
      <c r="B7094">
        <v>310</v>
      </c>
      <c r="C7094">
        <v>2</v>
      </c>
    </row>
    <row r="7095" spans="1:3" x14ac:dyDescent="0.25">
      <c r="A7095">
        <v>280</v>
      </c>
      <c r="B7095">
        <v>310</v>
      </c>
      <c r="C7095">
        <v>4</v>
      </c>
    </row>
    <row r="7096" spans="1:3" x14ac:dyDescent="0.25">
      <c r="A7096">
        <v>24</v>
      </c>
      <c r="B7096">
        <v>311</v>
      </c>
      <c r="C7096">
        <v>5</v>
      </c>
    </row>
    <row r="7097" spans="1:3" x14ac:dyDescent="0.25">
      <c r="A7097">
        <v>27</v>
      </c>
      <c r="B7097">
        <v>311</v>
      </c>
      <c r="C7097">
        <v>3</v>
      </c>
    </row>
    <row r="7098" spans="1:3" x14ac:dyDescent="0.25">
      <c r="A7098">
        <v>37</v>
      </c>
      <c r="B7098">
        <v>311</v>
      </c>
      <c r="C7098">
        <v>2</v>
      </c>
    </row>
    <row r="7099" spans="1:3" x14ac:dyDescent="0.25">
      <c r="A7099">
        <v>95</v>
      </c>
      <c r="B7099">
        <v>311</v>
      </c>
      <c r="C7099">
        <v>5</v>
      </c>
    </row>
    <row r="7100" spans="1:3" x14ac:dyDescent="0.25">
      <c r="A7100">
        <v>99</v>
      </c>
      <c r="B7100">
        <v>311</v>
      </c>
      <c r="C7100">
        <v>1</v>
      </c>
    </row>
    <row r="7101" spans="1:3" x14ac:dyDescent="0.25">
      <c r="A7101">
        <v>109</v>
      </c>
      <c r="B7101">
        <v>311</v>
      </c>
      <c r="C7101">
        <v>4</v>
      </c>
    </row>
    <row r="7102" spans="1:3" x14ac:dyDescent="0.25">
      <c r="A7102">
        <v>120</v>
      </c>
      <c r="B7102">
        <v>311</v>
      </c>
      <c r="C7102">
        <v>3</v>
      </c>
    </row>
    <row r="7103" spans="1:3" x14ac:dyDescent="0.25">
      <c r="A7103">
        <v>147</v>
      </c>
      <c r="B7103">
        <v>311</v>
      </c>
      <c r="C7103">
        <v>2</v>
      </c>
    </row>
    <row r="7104" spans="1:3" x14ac:dyDescent="0.25">
      <c r="A7104">
        <v>150</v>
      </c>
      <c r="B7104">
        <v>311</v>
      </c>
      <c r="C7104">
        <v>4</v>
      </c>
    </row>
    <row r="7105" spans="1:5" x14ac:dyDescent="0.25">
      <c r="A7105">
        <v>155</v>
      </c>
      <c r="B7105">
        <v>311</v>
      </c>
      <c r="C7105">
        <v>2</v>
      </c>
    </row>
    <row r="7106" spans="1:5" x14ac:dyDescent="0.25">
      <c r="A7106">
        <v>158</v>
      </c>
      <c r="B7106">
        <v>311</v>
      </c>
      <c r="C7106">
        <v>5</v>
      </c>
    </row>
    <row r="7107" spans="1:5" x14ac:dyDescent="0.25">
      <c r="A7107">
        <v>179</v>
      </c>
      <c r="B7107">
        <v>311</v>
      </c>
      <c r="C7107">
        <v>1</v>
      </c>
    </row>
    <row r="7108" spans="1:5" x14ac:dyDescent="0.25">
      <c r="A7108">
        <v>181</v>
      </c>
      <c r="B7108">
        <v>311</v>
      </c>
      <c r="C7108">
        <v>5</v>
      </c>
    </row>
    <row r="7109" spans="1:5" x14ac:dyDescent="0.25">
      <c r="A7109">
        <v>218</v>
      </c>
      <c r="B7109">
        <v>311</v>
      </c>
      <c r="C7109">
        <v>1</v>
      </c>
    </row>
    <row r="7110" spans="1:5" x14ac:dyDescent="0.25">
      <c r="A7110">
        <v>240</v>
      </c>
      <c r="B7110">
        <v>311</v>
      </c>
      <c r="C7110">
        <v>3</v>
      </c>
    </row>
    <row r="7111" spans="1:5" x14ac:dyDescent="0.25">
      <c r="A7111">
        <v>246</v>
      </c>
      <c r="B7111">
        <v>311</v>
      </c>
      <c r="C7111">
        <v>1</v>
      </c>
    </row>
    <row r="7112" spans="1:5" x14ac:dyDescent="0.25">
      <c r="A7112">
        <v>272</v>
      </c>
      <c r="B7112">
        <v>311</v>
      </c>
      <c r="C7112">
        <v>5</v>
      </c>
    </row>
    <row r="7113" spans="1:5" x14ac:dyDescent="0.25">
      <c r="A7113">
        <v>283</v>
      </c>
      <c r="B7113">
        <v>311</v>
      </c>
      <c r="C7113">
        <v>2</v>
      </c>
    </row>
    <row r="7114" spans="1:5" x14ac:dyDescent="0.25">
      <c r="A7114">
        <v>287</v>
      </c>
      <c r="B7114">
        <v>311</v>
      </c>
      <c r="C7114">
        <v>1</v>
      </c>
    </row>
    <row r="7115" spans="1:5" x14ac:dyDescent="0.25">
      <c r="A7115">
        <v>294</v>
      </c>
      <c r="B7115">
        <v>311</v>
      </c>
      <c r="C7115">
        <v>3</v>
      </c>
    </row>
    <row r="7116" spans="1:5" x14ac:dyDescent="0.25">
      <c r="A7116">
        <v>300</v>
      </c>
      <c r="B7116">
        <v>311</v>
      </c>
      <c r="C7116">
        <v>3</v>
      </c>
    </row>
    <row r="7117" spans="1:5" x14ac:dyDescent="0.25">
      <c r="A7117">
        <v>30</v>
      </c>
      <c r="B7117">
        <f>E7117-1</f>
        <v>312</v>
      </c>
      <c r="C7117">
        <v>5</v>
      </c>
      <c r="E7117">
        <v>313</v>
      </c>
    </row>
    <row r="7118" spans="1:5" x14ac:dyDescent="0.25">
      <c r="A7118">
        <v>44</v>
      </c>
      <c r="B7118">
        <f t="shared" ref="B7118:B7181" si="0">E7118-1</f>
        <v>312</v>
      </c>
      <c r="C7118">
        <v>3</v>
      </c>
      <c r="E7118" s="1">
        <v>313</v>
      </c>
    </row>
    <row r="7119" spans="1:5" x14ac:dyDescent="0.25">
      <c r="A7119">
        <v>51</v>
      </c>
      <c r="B7119">
        <f t="shared" si="0"/>
        <v>312</v>
      </c>
      <c r="C7119">
        <v>2</v>
      </c>
      <c r="E7119">
        <v>313</v>
      </c>
    </row>
    <row r="7120" spans="1:5" x14ac:dyDescent="0.25">
      <c r="A7120">
        <v>53</v>
      </c>
      <c r="B7120">
        <f t="shared" si="0"/>
        <v>312</v>
      </c>
      <c r="C7120">
        <v>2</v>
      </c>
      <c r="E7120" s="1">
        <v>313</v>
      </c>
    </row>
    <row r="7121" spans="1:5" x14ac:dyDescent="0.25">
      <c r="A7121">
        <v>63</v>
      </c>
      <c r="B7121">
        <f t="shared" si="0"/>
        <v>312</v>
      </c>
      <c r="C7121">
        <v>4</v>
      </c>
      <c r="E7121">
        <v>313</v>
      </c>
    </row>
    <row r="7122" spans="1:5" x14ac:dyDescent="0.25">
      <c r="A7122">
        <v>74</v>
      </c>
      <c r="B7122">
        <f t="shared" si="0"/>
        <v>312</v>
      </c>
      <c r="C7122">
        <v>1</v>
      </c>
      <c r="E7122" s="1">
        <v>313</v>
      </c>
    </row>
    <row r="7123" spans="1:5" x14ac:dyDescent="0.25">
      <c r="A7123">
        <v>89</v>
      </c>
      <c r="B7123">
        <f t="shared" si="0"/>
        <v>312</v>
      </c>
      <c r="C7123">
        <v>2</v>
      </c>
      <c r="E7123">
        <v>313</v>
      </c>
    </row>
    <row r="7124" spans="1:5" x14ac:dyDescent="0.25">
      <c r="A7124">
        <v>104</v>
      </c>
      <c r="B7124">
        <f t="shared" si="0"/>
        <v>312</v>
      </c>
      <c r="C7124">
        <v>4</v>
      </c>
      <c r="E7124" s="1">
        <v>313</v>
      </c>
    </row>
    <row r="7125" spans="1:5" x14ac:dyDescent="0.25">
      <c r="A7125">
        <v>104</v>
      </c>
      <c r="B7125">
        <f t="shared" si="0"/>
        <v>312</v>
      </c>
      <c r="C7125">
        <v>2</v>
      </c>
      <c r="E7125">
        <v>313</v>
      </c>
    </row>
    <row r="7126" spans="1:5" x14ac:dyDescent="0.25">
      <c r="A7126">
        <v>131</v>
      </c>
      <c r="B7126">
        <f t="shared" si="0"/>
        <v>312</v>
      </c>
      <c r="C7126">
        <v>1</v>
      </c>
      <c r="E7126" s="1">
        <v>313</v>
      </c>
    </row>
    <row r="7127" spans="1:5" x14ac:dyDescent="0.25">
      <c r="A7127">
        <v>146</v>
      </c>
      <c r="B7127">
        <f t="shared" si="0"/>
        <v>312</v>
      </c>
      <c r="C7127">
        <v>1</v>
      </c>
      <c r="E7127">
        <v>313</v>
      </c>
    </row>
    <row r="7128" spans="1:5" x14ac:dyDescent="0.25">
      <c r="A7128">
        <v>152</v>
      </c>
      <c r="B7128">
        <f t="shared" si="0"/>
        <v>312</v>
      </c>
      <c r="C7128">
        <v>5</v>
      </c>
      <c r="E7128" s="1">
        <v>313</v>
      </c>
    </row>
    <row r="7129" spans="1:5" x14ac:dyDescent="0.25">
      <c r="A7129">
        <v>174</v>
      </c>
      <c r="B7129">
        <f t="shared" si="0"/>
        <v>312</v>
      </c>
      <c r="C7129">
        <v>5</v>
      </c>
      <c r="E7129">
        <v>313</v>
      </c>
    </row>
    <row r="7130" spans="1:5" x14ac:dyDescent="0.25">
      <c r="A7130">
        <v>183</v>
      </c>
      <c r="B7130">
        <f t="shared" si="0"/>
        <v>312</v>
      </c>
      <c r="C7130">
        <v>3</v>
      </c>
      <c r="E7130" s="1">
        <v>313</v>
      </c>
    </row>
    <row r="7131" spans="1:5" x14ac:dyDescent="0.25">
      <c r="A7131">
        <v>203</v>
      </c>
      <c r="B7131">
        <f t="shared" si="0"/>
        <v>312</v>
      </c>
      <c r="C7131">
        <v>1</v>
      </c>
      <c r="E7131">
        <v>313</v>
      </c>
    </row>
    <row r="7132" spans="1:5" x14ac:dyDescent="0.25">
      <c r="A7132">
        <v>208</v>
      </c>
      <c r="B7132">
        <f t="shared" si="0"/>
        <v>312</v>
      </c>
      <c r="C7132">
        <v>4</v>
      </c>
      <c r="E7132" s="1">
        <v>313</v>
      </c>
    </row>
    <row r="7133" spans="1:5" x14ac:dyDescent="0.25">
      <c r="A7133">
        <v>225</v>
      </c>
      <c r="B7133">
        <f t="shared" si="0"/>
        <v>312</v>
      </c>
      <c r="C7133">
        <v>4</v>
      </c>
      <c r="E7133">
        <v>313</v>
      </c>
    </row>
    <row r="7134" spans="1:5" x14ac:dyDescent="0.25">
      <c r="A7134">
        <v>232</v>
      </c>
      <c r="B7134">
        <f t="shared" si="0"/>
        <v>312</v>
      </c>
      <c r="C7134">
        <v>3</v>
      </c>
      <c r="E7134" s="1">
        <v>313</v>
      </c>
    </row>
    <row r="7135" spans="1:5" x14ac:dyDescent="0.25">
      <c r="A7135">
        <v>240</v>
      </c>
      <c r="B7135">
        <f t="shared" si="0"/>
        <v>312</v>
      </c>
      <c r="C7135">
        <v>1</v>
      </c>
      <c r="E7135">
        <v>313</v>
      </c>
    </row>
    <row r="7136" spans="1:5" x14ac:dyDescent="0.25">
      <c r="A7136">
        <v>246</v>
      </c>
      <c r="B7136">
        <f t="shared" si="0"/>
        <v>312</v>
      </c>
      <c r="C7136">
        <v>2</v>
      </c>
      <c r="E7136" s="1">
        <v>313</v>
      </c>
    </row>
    <row r="7137" spans="1:5" x14ac:dyDescent="0.25">
      <c r="A7137">
        <v>261</v>
      </c>
      <c r="B7137">
        <f t="shared" si="0"/>
        <v>312</v>
      </c>
      <c r="C7137">
        <v>3</v>
      </c>
      <c r="E7137">
        <v>313</v>
      </c>
    </row>
    <row r="7138" spans="1:5" x14ac:dyDescent="0.25">
      <c r="A7138">
        <v>47</v>
      </c>
      <c r="B7138">
        <f t="shared" si="0"/>
        <v>313</v>
      </c>
      <c r="C7138">
        <v>3</v>
      </c>
      <c r="E7138" s="1">
        <v>314</v>
      </c>
    </row>
    <row r="7139" spans="1:5" x14ac:dyDescent="0.25">
      <c r="A7139">
        <v>48</v>
      </c>
      <c r="B7139">
        <f t="shared" si="0"/>
        <v>313</v>
      </c>
      <c r="C7139">
        <v>5</v>
      </c>
      <c r="E7139">
        <v>314</v>
      </c>
    </row>
    <row r="7140" spans="1:5" x14ac:dyDescent="0.25">
      <c r="A7140">
        <v>57</v>
      </c>
      <c r="B7140">
        <f t="shared" si="0"/>
        <v>313</v>
      </c>
      <c r="C7140">
        <v>1</v>
      </c>
      <c r="E7140" s="1">
        <v>314</v>
      </c>
    </row>
    <row r="7141" spans="1:5" x14ac:dyDescent="0.25">
      <c r="A7141">
        <v>65</v>
      </c>
      <c r="B7141">
        <f t="shared" si="0"/>
        <v>313</v>
      </c>
      <c r="C7141">
        <v>4</v>
      </c>
      <c r="E7141">
        <v>314</v>
      </c>
    </row>
    <row r="7142" spans="1:5" x14ac:dyDescent="0.25">
      <c r="A7142">
        <v>67</v>
      </c>
      <c r="B7142">
        <f t="shared" si="0"/>
        <v>313</v>
      </c>
      <c r="C7142">
        <v>4</v>
      </c>
      <c r="E7142" s="1">
        <v>314</v>
      </c>
    </row>
    <row r="7143" spans="1:5" x14ac:dyDescent="0.25">
      <c r="A7143">
        <v>68</v>
      </c>
      <c r="B7143">
        <f t="shared" si="0"/>
        <v>313</v>
      </c>
      <c r="C7143">
        <v>5</v>
      </c>
      <c r="E7143">
        <v>314</v>
      </c>
    </row>
    <row r="7144" spans="1:5" x14ac:dyDescent="0.25">
      <c r="A7144">
        <v>77</v>
      </c>
      <c r="B7144">
        <f t="shared" si="0"/>
        <v>313</v>
      </c>
      <c r="C7144">
        <v>4</v>
      </c>
      <c r="E7144" s="1">
        <v>314</v>
      </c>
    </row>
    <row r="7145" spans="1:5" x14ac:dyDescent="0.25">
      <c r="A7145">
        <v>79</v>
      </c>
      <c r="B7145">
        <f t="shared" si="0"/>
        <v>313</v>
      </c>
      <c r="C7145">
        <v>3</v>
      </c>
      <c r="E7145">
        <v>314</v>
      </c>
    </row>
    <row r="7146" spans="1:5" x14ac:dyDescent="0.25">
      <c r="A7146">
        <v>99</v>
      </c>
      <c r="B7146">
        <f t="shared" si="0"/>
        <v>313</v>
      </c>
      <c r="C7146">
        <v>4</v>
      </c>
      <c r="E7146" s="1">
        <v>314</v>
      </c>
    </row>
    <row r="7147" spans="1:5" x14ac:dyDescent="0.25">
      <c r="A7147">
        <v>105</v>
      </c>
      <c r="B7147">
        <f t="shared" si="0"/>
        <v>313</v>
      </c>
      <c r="C7147">
        <v>1</v>
      </c>
      <c r="E7147">
        <v>314</v>
      </c>
    </row>
    <row r="7148" spans="1:5" x14ac:dyDescent="0.25">
      <c r="A7148">
        <v>135</v>
      </c>
      <c r="B7148">
        <f t="shared" si="0"/>
        <v>313</v>
      </c>
      <c r="C7148">
        <v>3</v>
      </c>
      <c r="E7148" s="1">
        <v>314</v>
      </c>
    </row>
    <row r="7149" spans="1:5" x14ac:dyDescent="0.25">
      <c r="A7149">
        <v>143</v>
      </c>
      <c r="B7149">
        <f t="shared" si="0"/>
        <v>313</v>
      </c>
      <c r="C7149">
        <v>5</v>
      </c>
      <c r="E7149">
        <v>314</v>
      </c>
    </row>
    <row r="7150" spans="1:5" x14ac:dyDescent="0.25">
      <c r="A7150">
        <v>147</v>
      </c>
      <c r="B7150">
        <f t="shared" si="0"/>
        <v>313</v>
      </c>
      <c r="C7150">
        <v>4</v>
      </c>
      <c r="E7150" s="1">
        <v>314</v>
      </c>
    </row>
    <row r="7151" spans="1:5" x14ac:dyDescent="0.25">
      <c r="A7151">
        <v>158</v>
      </c>
      <c r="B7151">
        <f t="shared" si="0"/>
        <v>313</v>
      </c>
      <c r="C7151">
        <v>3</v>
      </c>
      <c r="E7151">
        <v>314</v>
      </c>
    </row>
    <row r="7152" spans="1:5" x14ac:dyDescent="0.25">
      <c r="A7152">
        <v>181</v>
      </c>
      <c r="B7152">
        <f t="shared" si="0"/>
        <v>313</v>
      </c>
      <c r="C7152">
        <v>4</v>
      </c>
      <c r="E7152" s="1">
        <v>314</v>
      </c>
    </row>
    <row r="7153" spans="1:5" x14ac:dyDescent="0.25">
      <c r="A7153">
        <v>199</v>
      </c>
      <c r="B7153">
        <f t="shared" si="0"/>
        <v>313</v>
      </c>
      <c r="C7153">
        <v>3</v>
      </c>
      <c r="E7153">
        <v>314</v>
      </c>
    </row>
    <row r="7154" spans="1:5" x14ac:dyDescent="0.25">
      <c r="A7154">
        <v>201</v>
      </c>
      <c r="B7154">
        <f t="shared" si="0"/>
        <v>313</v>
      </c>
      <c r="C7154">
        <v>3</v>
      </c>
      <c r="E7154" s="1">
        <v>314</v>
      </c>
    </row>
    <row r="7155" spans="1:5" x14ac:dyDescent="0.25">
      <c r="A7155">
        <v>234</v>
      </c>
      <c r="B7155">
        <f t="shared" si="0"/>
        <v>313</v>
      </c>
      <c r="C7155">
        <v>5</v>
      </c>
      <c r="E7155">
        <v>314</v>
      </c>
    </row>
    <row r="7156" spans="1:5" x14ac:dyDescent="0.25">
      <c r="A7156">
        <v>235</v>
      </c>
      <c r="B7156">
        <f t="shared" si="0"/>
        <v>313</v>
      </c>
      <c r="C7156">
        <v>5</v>
      </c>
      <c r="E7156" s="1">
        <v>314</v>
      </c>
    </row>
    <row r="7157" spans="1:5" x14ac:dyDescent="0.25">
      <c r="A7157">
        <v>261</v>
      </c>
      <c r="B7157">
        <f t="shared" si="0"/>
        <v>313</v>
      </c>
      <c r="C7157">
        <v>3</v>
      </c>
      <c r="E7157">
        <v>314</v>
      </c>
    </row>
    <row r="7158" spans="1:5" x14ac:dyDescent="0.25">
      <c r="A7158">
        <v>262</v>
      </c>
      <c r="B7158">
        <f t="shared" si="0"/>
        <v>313</v>
      </c>
      <c r="C7158">
        <v>5</v>
      </c>
      <c r="E7158" s="1">
        <v>314</v>
      </c>
    </row>
    <row r="7159" spans="1:5" x14ac:dyDescent="0.25">
      <c r="A7159">
        <v>276</v>
      </c>
      <c r="B7159">
        <f t="shared" si="0"/>
        <v>313</v>
      </c>
      <c r="C7159">
        <v>4</v>
      </c>
      <c r="E7159">
        <v>314</v>
      </c>
    </row>
    <row r="7160" spans="1:5" x14ac:dyDescent="0.25">
      <c r="A7160">
        <v>282</v>
      </c>
      <c r="B7160">
        <f t="shared" si="0"/>
        <v>313</v>
      </c>
      <c r="C7160">
        <v>2</v>
      </c>
      <c r="E7160" s="1">
        <v>314</v>
      </c>
    </row>
    <row r="7161" spans="1:5" x14ac:dyDescent="0.25">
      <c r="A7161">
        <v>296</v>
      </c>
      <c r="B7161">
        <f t="shared" si="0"/>
        <v>313</v>
      </c>
      <c r="C7161">
        <v>2</v>
      </c>
      <c r="E7161">
        <v>314</v>
      </c>
    </row>
    <row r="7162" spans="1:5" x14ac:dyDescent="0.25">
      <c r="A7162">
        <v>22</v>
      </c>
      <c r="B7162">
        <f t="shared" si="0"/>
        <v>314</v>
      </c>
      <c r="C7162">
        <v>3</v>
      </c>
      <c r="E7162" s="1">
        <v>315</v>
      </c>
    </row>
    <row r="7163" spans="1:5" x14ac:dyDescent="0.25">
      <c r="A7163">
        <v>36</v>
      </c>
      <c r="B7163">
        <f t="shared" si="0"/>
        <v>314</v>
      </c>
      <c r="C7163">
        <v>3</v>
      </c>
      <c r="E7163">
        <v>315</v>
      </c>
    </row>
    <row r="7164" spans="1:5" x14ac:dyDescent="0.25">
      <c r="A7164">
        <v>44</v>
      </c>
      <c r="B7164">
        <f t="shared" si="0"/>
        <v>314</v>
      </c>
      <c r="C7164">
        <v>4</v>
      </c>
      <c r="E7164" s="1">
        <v>315</v>
      </c>
    </row>
    <row r="7165" spans="1:5" x14ac:dyDescent="0.25">
      <c r="A7165">
        <v>46</v>
      </c>
      <c r="B7165">
        <f t="shared" si="0"/>
        <v>314</v>
      </c>
      <c r="C7165">
        <v>3</v>
      </c>
      <c r="E7165">
        <v>315</v>
      </c>
    </row>
    <row r="7166" spans="1:5" x14ac:dyDescent="0.25">
      <c r="A7166">
        <v>50</v>
      </c>
      <c r="B7166">
        <f t="shared" si="0"/>
        <v>314</v>
      </c>
      <c r="C7166">
        <v>2</v>
      </c>
      <c r="E7166" s="1">
        <v>315</v>
      </c>
    </row>
    <row r="7167" spans="1:5" x14ac:dyDescent="0.25">
      <c r="A7167">
        <v>51</v>
      </c>
      <c r="B7167">
        <f t="shared" si="0"/>
        <v>314</v>
      </c>
      <c r="C7167">
        <v>3</v>
      </c>
      <c r="E7167">
        <v>315</v>
      </c>
    </row>
    <row r="7168" spans="1:5" x14ac:dyDescent="0.25">
      <c r="A7168">
        <v>95</v>
      </c>
      <c r="B7168">
        <f t="shared" si="0"/>
        <v>314</v>
      </c>
      <c r="C7168">
        <v>4</v>
      </c>
      <c r="E7168" s="1">
        <v>315</v>
      </c>
    </row>
    <row r="7169" spans="1:5" x14ac:dyDescent="0.25">
      <c r="A7169">
        <v>102</v>
      </c>
      <c r="B7169">
        <f t="shared" si="0"/>
        <v>314</v>
      </c>
      <c r="C7169">
        <v>5</v>
      </c>
      <c r="E7169">
        <v>315</v>
      </c>
    </row>
    <row r="7170" spans="1:5" x14ac:dyDescent="0.25">
      <c r="A7170">
        <v>104</v>
      </c>
      <c r="B7170">
        <f t="shared" si="0"/>
        <v>314</v>
      </c>
      <c r="C7170">
        <v>2</v>
      </c>
      <c r="E7170" s="1">
        <v>315</v>
      </c>
    </row>
    <row r="7171" spans="1:5" x14ac:dyDescent="0.25">
      <c r="A7171">
        <v>133</v>
      </c>
      <c r="B7171">
        <f t="shared" si="0"/>
        <v>314</v>
      </c>
      <c r="C7171">
        <v>5</v>
      </c>
      <c r="E7171">
        <v>315</v>
      </c>
    </row>
    <row r="7172" spans="1:5" x14ac:dyDescent="0.25">
      <c r="A7172">
        <v>138</v>
      </c>
      <c r="B7172">
        <f t="shared" si="0"/>
        <v>314</v>
      </c>
      <c r="C7172">
        <v>5</v>
      </c>
      <c r="E7172" s="1">
        <v>315</v>
      </c>
    </row>
    <row r="7173" spans="1:5" x14ac:dyDescent="0.25">
      <c r="A7173">
        <v>140</v>
      </c>
      <c r="B7173">
        <f t="shared" si="0"/>
        <v>314</v>
      </c>
      <c r="C7173">
        <v>3</v>
      </c>
      <c r="E7173">
        <v>315</v>
      </c>
    </row>
    <row r="7174" spans="1:5" x14ac:dyDescent="0.25">
      <c r="A7174">
        <v>143</v>
      </c>
      <c r="B7174">
        <f t="shared" si="0"/>
        <v>314</v>
      </c>
      <c r="C7174">
        <v>5</v>
      </c>
      <c r="E7174" s="1">
        <v>315</v>
      </c>
    </row>
    <row r="7175" spans="1:5" x14ac:dyDescent="0.25">
      <c r="A7175">
        <v>194</v>
      </c>
      <c r="B7175">
        <f t="shared" si="0"/>
        <v>314</v>
      </c>
      <c r="C7175">
        <v>1</v>
      </c>
      <c r="E7175">
        <v>315</v>
      </c>
    </row>
    <row r="7176" spans="1:5" x14ac:dyDescent="0.25">
      <c r="A7176">
        <v>201</v>
      </c>
      <c r="B7176">
        <f t="shared" si="0"/>
        <v>314</v>
      </c>
      <c r="C7176">
        <v>3</v>
      </c>
      <c r="E7176" s="1">
        <v>315</v>
      </c>
    </row>
    <row r="7177" spans="1:5" x14ac:dyDescent="0.25">
      <c r="A7177">
        <v>205</v>
      </c>
      <c r="B7177">
        <f t="shared" si="0"/>
        <v>314</v>
      </c>
      <c r="C7177">
        <v>4</v>
      </c>
      <c r="E7177">
        <v>315</v>
      </c>
    </row>
    <row r="7178" spans="1:5" x14ac:dyDescent="0.25">
      <c r="A7178">
        <v>208</v>
      </c>
      <c r="B7178">
        <f t="shared" si="0"/>
        <v>314</v>
      </c>
      <c r="C7178">
        <v>1</v>
      </c>
      <c r="E7178" s="1">
        <v>315</v>
      </c>
    </row>
    <row r="7179" spans="1:5" x14ac:dyDescent="0.25">
      <c r="A7179">
        <v>228</v>
      </c>
      <c r="B7179">
        <f t="shared" si="0"/>
        <v>314</v>
      </c>
      <c r="C7179">
        <v>5</v>
      </c>
      <c r="E7179">
        <v>315</v>
      </c>
    </row>
    <row r="7180" spans="1:5" x14ac:dyDescent="0.25">
      <c r="A7180">
        <v>230</v>
      </c>
      <c r="B7180">
        <f t="shared" si="0"/>
        <v>314</v>
      </c>
      <c r="C7180">
        <v>1</v>
      </c>
      <c r="E7180" s="1">
        <v>315</v>
      </c>
    </row>
    <row r="7181" spans="1:5" x14ac:dyDescent="0.25">
      <c r="A7181">
        <v>230</v>
      </c>
      <c r="B7181">
        <f t="shared" si="0"/>
        <v>314</v>
      </c>
      <c r="C7181">
        <v>2</v>
      </c>
      <c r="E7181">
        <v>315</v>
      </c>
    </row>
    <row r="7182" spans="1:5" x14ac:dyDescent="0.25">
      <c r="A7182">
        <v>243</v>
      </c>
      <c r="B7182">
        <f t="shared" ref="B7182:B7245" si="1">E7182-1</f>
        <v>314</v>
      </c>
      <c r="C7182">
        <v>1</v>
      </c>
      <c r="E7182" s="1">
        <v>315</v>
      </c>
    </row>
    <row r="7183" spans="1:5" x14ac:dyDescent="0.25">
      <c r="A7183">
        <v>247</v>
      </c>
      <c r="B7183">
        <f t="shared" si="1"/>
        <v>314</v>
      </c>
      <c r="C7183">
        <v>3</v>
      </c>
      <c r="E7183">
        <v>315</v>
      </c>
    </row>
    <row r="7184" spans="1:5" x14ac:dyDescent="0.25">
      <c r="A7184">
        <v>257</v>
      </c>
      <c r="B7184">
        <f t="shared" si="1"/>
        <v>314</v>
      </c>
      <c r="C7184">
        <v>4</v>
      </c>
      <c r="E7184" s="1">
        <v>315</v>
      </c>
    </row>
    <row r="7185" spans="1:5" x14ac:dyDescent="0.25">
      <c r="A7185">
        <v>276</v>
      </c>
      <c r="B7185">
        <f t="shared" si="1"/>
        <v>314</v>
      </c>
      <c r="C7185">
        <v>3</v>
      </c>
      <c r="E7185">
        <v>315</v>
      </c>
    </row>
    <row r="7186" spans="1:5" x14ac:dyDescent="0.25">
      <c r="A7186">
        <v>277</v>
      </c>
      <c r="B7186">
        <f t="shared" si="1"/>
        <v>314</v>
      </c>
      <c r="C7186">
        <v>2</v>
      </c>
      <c r="E7186" s="1">
        <v>315</v>
      </c>
    </row>
    <row r="7187" spans="1:5" x14ac:dyDescent="0.25">
      <c r="A7187">
        <v>294</v>
      </c>
      <c r="B7187">
        <f t="shared" si="1"/>
        <v>314</v>
      </c>
      <c r="C7187">
        <v>1</v>
      </c>
      <c r="E7187">
        <v>315</v>
      </c>
    </row>
    <row r="7188" spans="1:5" x14ac:dyDescent="0.25">
      <c r="A7188">
        <v>27</v>
      </c>
      <c r="B7188">
        <f t="shared" si="1"/>
        <v>315</v>
      </c>
      <c r="C7188">
        <v>4</v>
      </c>
      <c r="E7188" s="1">
        <v>316</v>
      </c>
    </row>
    <row r="7189" spans="1:5" x14ac:dyDescent="0.25">
      <c r="A7189">
        <v>35</v>
      </c>
      <c r="B7189">
        <f t="shared" si="1"/>
        <v>315</v>
      </c>
      <c r="C7189">
        <v>2</v>
      </c>
      <c r="E7189">
        <v>316</v>
      </c>
    </row>
    <row r="7190" spans="1:5" x14ac:dyDescent="0.25">
      <c r="A7190">
        <v>37</v>
      </c>
      <c r="B7190">
        <f t="shared" si="1"/>
        <v>315</v>
      </c>
      <c r="C7190">
        <v>2</v>
      </c>
      <c r="E7190" s="1">
        <v>316</v>
      </c>
    </row>
    <row r="7191" spans="1:5" x14ac:dyDescent="0.25">
      <c r="A7191">
        <v>43</v>
      </c>
      <c r="B7191">
        <f t="shared" si="1"/>
        <v>315</v>
      </c>
      <c r="C7191">
        <v>2</v>
      </c>
      <c r="E7191">
        <v>316</v>
      </c>
    </row>
    <row r="7192" spans="1:5" x14ac:dyDescent="0.25">
      <c r="A7192">
        <v>54</v>
      </c>
      <c r="B7192">
        <f t="shared" si="1"/>
        <v>315</v>
      </c>
      <c r="C7192">
        <v>5</v>
      </c>
      <c r="E7192" s="1">
        <v>316</v>
      </c>
    </row>
    <row r="7193" spans="1:5" x14ac:dyDescent="0.25">
      <c r="A7193">
        <v>64</v>
      </c>
      <c r="B7193">
        <f t="shared" si="1"/>
        <v>315</v>
      </c>
      <c r="C7193">
        <v>4</v>
      </c>
      <c r="E7193">
        <v>316</v>
      </c>
    </row>
    <row r="7194" spans="1:5" x14ac:dyDescent="0.25">
      <c r="A7194">
        <v>76</v>
      </c>
      <c r="B7194">
        <f t="shared" si="1"/>
        <v>315</v>
      </c>
      <c r="C7194">
        <v>2</v>
      </c>
      <c r="E7194" s="1">
        <v>316</v>
      </c>
    </row>
    <row r="7195" spans="1:5" x14ac:dyDescent="0.25">
      <c r="A7195">
        <v>104</v>
      </c>
      <c r="B7195">
        <f t="shared" si="1"/>
        <v>315</v>
      </c>
      <c r="C7195">
        <v>1</v>
      </c>
      <c r="E7195">
        <v>316</v>
      </c>
    </row>
    <row r="7196" spans="1:5" x14ac:dyDescent="0.25">
      <c r="A7196">
        <v>114</v>
      </c>
      <c r="B7196">
        <f t="shared" si="1"/>
        <v>315</v>
      </c>
      <c r="C7196">
        <v>4</v>
      </c>
      <c r="E7196" s="1">
        <v>316</v>
      </c>
    </row>
    <row r="7197" spans="1:5" x14ac:dyDescent="0.25">
      <c r="A7197">
        <v>125</v>
      </c>
      <c r="B7197">
        <f t="shared" si="1"/>
        <v>315</v>
      </c>
      <c r="C7197">
        <v>1</v>
      </c>
      <c r="E7197">
        <v>316</v>
      </c>
    </row>
    <row r="7198" spans="1:5" x14ac:dyDescent="0.25">
      <c r="A7198">
        <v>132</v>
      </c>
      <c r="B7198">
        <f t="shared" si="1"/>
        <v>315</v>
      </c>
      <c r="C7198">
        <v>4</v>
      </c>
      <c r="E7198" s="1">
        <v>316</v>
      </c>
    </row>
    <row r="7199" spans="1:5" x14ac:dyDescent="0.25">
      <c r="A7199">
        <v>159</v>
      </c>
      <c r="B7199">
        <f t="shared" si="1"/>
        <v>315</v>
      </c>
      <c r="C7199">
        <v>4</v>
      </c>
      <c r="E7199">
        <v>316</v>
      </c>
    </row>
    <row r="7200" spans="1:5" x14ac:dyDescent="0.25">
      <c r="A7200">
        <v>159</v>
      </c>
      <c r="B7200">
        <f t="shared" si="1"/>
        <v>315</v>
      </c>
      <c r="C7200">
        <v>2</v>
      </c>
      <c r="E7200" s="1">
        <v>316</v>
      </c>
    </row>
    <row r="7201" spans="1:5" x14ac:dyDescent="0.25">
      <c r="A7201">
        <v>167</v>
      </c>
      <c r="B7201">
        <f t="shared" si="1"/>
        <v>315</v>
      </c>
      <c r="C7201">
        <v>4</v>
      </c>
      <c r="E7201">
        <v>316</v>
      </c>
    </row>
    <row r="7202" spans="1:5" x14ac:dyDescent="0.25">
      <c r="A7202">
        <v>195</v>
      </c>
      <c r="B7202">
        <f t="shared" si="1"/>
        <v>315</v>
      </c>
      <c r="C7202">
        <v>2</v>
      </c>
      <c r="E7202" s="1">
        <v>316</v>
      </c>
    </row>
    <row r="7203" spans="1:5" x14ac:dyDescent="0.25">
      <c r="A7203">
        <v>196</v>
      </c>
      <c r="B7203">
        <f t="shared" si="1"/>
        <v>315</v>
      </c>
      <c r="C7203">
        <v>3</v>
      </c>
      <c r="E7203">
        <v>316</v>
      </c>
    </row>
    <row r="7204" spans="1:5" x14ac:dyDescent="0.25">
      <c r="A7204">
        <v>216</v>
      </c>
      <c r="B7204">
        <f t="shared" si="1"/>
        <v>315</v>
      </c>
      <c r="C7204">
        <v>1</v>
      </c>
      <c r="E7204" s="1">
        <v>316</v>
      </c>
    </row>
    <row r="7205" spans="1:5" x14ac:dyDescent="0.25">
      <c r="A7205">
        <v>238</v>
      </c>
      <c r="B7205">
        <f t="shared" si="1"/>
        <v>315</v>
      </c>
      <c r="C7205">
        <v>5</v>
      </c>
      <c r="E7205">
        <v>316</v>
      </c>
    </row>
    <row r="7206" spans="1:5" x14ac:dyDescent="0.25">
      <c r="A7206">
        <v>244</v>
      </c>
      <c r="B7206">
        <f t="shared" si="1"/>
        <v>315</v>
      </c>
      <c r="C7206">
        <v>2</v>
      </c>
      <c r="E7206" s="1">
        <v>316</v>
      </c>
    </row>
    <row r="7207" spans="1:5" x14ac:dyDescent="0.25">
      <c r="A7207">
        <v>246</v>
      </c>
      <c r="B7207">
        <f t="shared" si="1"/>
        <v>315</v>
      </c>
      <c r="C7207">
        <v>4</v>
      </c>
      <c r="E7207">
        <v>316</v>
      </c>
    </row>
    <row r="7208" spans="1:5" x14ac:dyDescent="0.25">
      <c r="A7208">
        <v>271</v>
      </c>
      <c r="B7208">
        <f t="shared" si="1"/>
        <v>315</v>
      </c>
      <c r="C7208">
        <v>5</v>
      </c>
      <c r="E7208" s="1">
        <v>316</v>
      </c>
    </row>
    <row r="7209" spans="1:5" x14ac:dyDescent="0.25">
      <c r="A7209">
        <v>19</v>
      </c>
      <c r="B7209">
        <f t="shared" si="1"/>
        <v>316</v>
      </c>
      <c r="C7209">
        <v>3</v>
      </c>
      <c r="E7209">
        <v>317</v>
      </c>
    </row>
    <row r="7210" spans="1:5" x14ac:dyDescent="0.25">
      <c r="A7210">
        <v>30</v>
      </c>
      <c r="B7210">
        <f t="shared" si="1"/>
        <v>316</v>
      </c>
      <c r="C7210">
        <v>3</v>
      </c>
      <c r="E7210" s="1">
        <v>317</v>
      </c>
    </row>
    <row r="7211" spans="1:5" x14ac:dyDescent="0.25">
      <c r="A7211">
        <v>44</v>
      </c>
      <c r="B7211">
        <f t="shared" si="1"/>
        <v>316</v>
      </c>
      <c r="C7211">
        <v>4</v>
      </c>
      <c r="E7211">
        <v>317</v>
      </c>
    </row>
    <row r="7212" spans="1:5" x14ac:dyDescent="0.25">
      <c r="A7212">
        <v>89</v>
      </c>
      <c r="B7212">
        <f t="shared" si="1"/>
        <v>316</v>
      </c>
      <c r="C7212">
        <v>4</v>
      </c>
      <c r="E7212" s="1">
        <v>317</v>
      </c>
    </row>
    <row r="7213" spans="1:5" x14ac:dyDescent="0.25">
      <c r="A7213">
        <v>99</v>
      </c>
      <c r="B7213">
        <f t="shared" si="1"/>
        <v>316</v>
      </c>
      <c r="C7213">
        <v>1</v>
      </c>
      <c r="E7213">
        <v>317</v>
      </c>
    </row>
    <row r="7214" spans="1:5" x14ac:dyDescent="0.25">
      <c r="A7214">
        <v>110</v>
      </c>
      <c r="B7214">
        <f t="shared" si="1"/>
        <v>316</v>
      </c>
      <c r="C7214">
        <v>2</v>
      </c>
      <c r="E7214" s="1">
        <v>317</v>
      </c>
    </row>
    <row r="7215" spans="1:5" x14ac:dyDescent="0.25">
      <c r="A7215">
        <v>112</v>
      </c>
      <c r="B7215">
        <f t="shared" si="1"/>
        <v>316</v>
      </c>
      <c r="C7215">
        <v>4</v>
      </c>
      <c r="E7215">
        <v>317</v>
      </c>
    </row>
    <row r="7216" spans="1:5" x14ac:dyDescent="0.25">
      <c r="A7216">
        <v>145</v>
      </c>
      <c r="B7216">
        <f t="shared" si="1"/>
        <v>316</v>
      </c>
      <c r="C7216">
        <v>2</v>
      </c>
      <c r="E7216" s="1">
        <v>317</v>
      </c>
    </row>
    <row r="7217" spans="1:5" x14ac:dyDescent="0.25">
      <c r="A7217">
        <v>149</v>
      </c>
      <c r="B7217">
        <f t="shared" si="1"/>
        <v>316</v>
      </c>
      <c r="C7217">
        <v>5</v>
      </c>
      <c r="E7217">
        <v>317</v>
      </c>
    </row>
    <row r="7218" spans="1:5" x14ac:dyDescent="0.25">
      <c r="A7218">
        <v>155</v>
      </c>
      <c r="B7218">
        <f t="shared" si="1"/>
        <v>316</v>
      </c>
      <c r="C7218">
        <v>4</v>
      </c>
      <c r="E7218" s="1">
        <v>317</v>
      </c>
    </row>
    <row r="7219" spans="1:5" x14ac:dyDescent="0.25">
      <c r="A7219">
        <v>157</v>
      </c>
      <c r="B7219">
        <f t="shared" si="1"/>
        <v>316</v>
      </c>
      <c r="C7219">
        <v>3</v>
      </c>
      <c r="E7219">
        <v>317</v>
      </c>
    </row>
    <row r="7220" spans="1:5" x14ac:dyDescent="0.25">
      <c r="A7220">
        <v>157</v>
      </c>
      <c r="B7220">
        <f t="shared" si="1"/>
        <v>316</v>
      </c>
      <c r="C7220">
        <v>4</v>
      </c>
      <c r="E7220" s="1">
        <v>317</v>
      </c>
    </row>
    <row r="7221" spans="1:5" x14ac:dyDescent="0.25">
      <c r="A7221">
        <v>180</v>
      </c>
      <c r="B7221">
        <f t="shared" si="1"/>
        <v>316</v>
      </c>
      <c r="C7221">
        <v>1</v>
      </c>
      <c r="E7221">
        <v>317</v>
      </c>
    </row>
    <row r="7222" spans="1:5" x14ac:dyDescent="0.25">
      <c r="A7222">
        <v>192</v>
      </c>
      <c r="B7222">
        <f t="shared" si="1"/>
        <v>316</v>
      </c>
      <c r="C7222">
        <v>2</v>
      </c>
      <c r="E7222" s="1">
        <v>317</v>
      </c>
    </row>
    <row r="7223" spans="1:5" x14ac:dyDescent="0.25">
      <c r="A7223">
        <v>204</v>
      </c>
      <c r="B7223">
        <f t="shared" si="1"/>
        <v>316</v>
      </c>
      <c r="C7223">
        <v>2</v>
      </c>
      <c r="E7223">
        <v>317</v>
      </c>
    </row>
    <row r="7224" spans="1:5" x14ac:dyDescent="0.25">
      <c r="A7224">
        <v>225</v>
      </c>
      <c r="B7224">
        <f t="shared" si="1"/>
        <v>316</v>
      </c>
      <c r="C7224">
        <v>5</v>
      </c>
      <c r="E7224" s="1">
        <v>317</v>
      </c>
    </row>
    <row r="7225" spans="1:5" x14ac:dyDescent="0.25">
      <c r="A7225">
        <v>229</v>
      </c>
      <c r="B7225">
        <f t="shared" si="1"/>
        <v>316</v>
      </c>
      <c r="C7225">
        <v>1</v>
      </c>
      <c r="E7225">
        <v>317</v>
      </c>
    </row>
    <row r="7226" spans="1:5" x14ac:dyDescent="0.25">
      <c r="A7226">
        <v>243</v>
      </c>
      <c r="B7226">
        <f t="shared" si="1"/>
        <v>316</v>
      </c>
      <c r="C7226">
        <v>5</v>
      </c>
      <c r="E7226" s="1">
        <v>317</v>
      </c>
    </row>
    <row r="7227" spans="1:5" x14ac:dyDescent="0.25">
      <c r="A7227">
        <v>265</v>
      </c>
      <c r="B7227">
        <f t="shared" si="1"/>
        <v>316</v>
      </c>
      <c r="C7227">
        <v>2</v>
      </c>
      <c r="E7227">
        <v>317</v>
      </c>
    </row>
    <row r="7228" spans="1:5" x14ac:dyDescent="0.25">
      <c r="A7228">
        <v>269</v>
      </c>
      <c r="B7228">
        <f t="shared" si="1"/>
        <v>316</v>
      </c>
      <c r="C7228">
        <v>5</v>
      </c>
      <c r="E7228" s="1">
        <v>317</v>
      </c>
    </row>
    <row r="7229" spans="1:5" x14ac:dyDescent="0.25">
      <c r="A7229">
        <v>274</v>
      </c>
      <c r="B7229">
        <f t="shared" si="1"/>
        <v>316</v>
      </c>
      <c r="C7229">
        <v>3</v>
      </c>
      <c r="E7229">
        <v>317</v>
      </c>
    </row>
    <row r="7230" spans="1:5" x14ac:dyDescent="0.25">
      <c r="A7230">
        <v>17</v>
      </c>
      <c r="B7230">
        <f t="shared" si="1"/>
        <v>317</v>
      </c>
      <c r="C7230">
        <v>5</v>
      </c>
      <c r="E7230" s="1">
        <v>318</v>
      </c>
    </row>
    <row r="7231" spans="1:5" x14ac:dyDescent="0.25">
      <c r="A7231">
        <v>35</v>
      </c>
      <c r="B7231">
        <f t="shared" si="1"/>
        <v>317</v>
      </c>
      <c r="C7231">
        <v>2</v>
      </c>
      <c r="E7231">
        <v>318</v>
      </c>
    </row>
    <row r="7232" spans="1:5" x14ac:dyDescent="0.25">
      <c r="A7232">
        <v>36</v>
      </c>
      <c r="B7232">
        <f t="shared" si="1"/>
        <v>317</v>
      </c>
      <c r="C7232">
        <v>3</v>
      </c>
      <c r="E7232" s="1">
        <v>318</v>
      </c>
    </row>
    <row r="7233" spans="1:5" x14ac:dyDescent="0.25">
      <c r="A7233">
        <v>49</v>
      </c>
      <c r="B7233">
        <f t="shared" si="1"/>
        <v>317</v>
      </c>
      <c r="C7233">
        <v>1</v>
      </c>
      <c r="E7233">
        <v>318</v>
      </c>
    </row>
    <row r="7234" spans="1:5" x14ac:dyDescent="0.25">
      <c r="A7234">
        <v>77</v>
      </c>
      <c r="B7234">
        <f t="shared" si="1"/>
        <v>317</v>
      </c>
      <c r="C7234">
        <v>4</v>
      </c>
      <c r="E7234" s="1">
        <v>318</v>
      </c>
    </row>
    <row r="7235" spans="1:5" x14ac:dyDescent="0.25">
      <c r="A7235">
        <v>91</v>
      </c>
      <c r="B7235">
        <f t="shared" si="1"/>
        <v>317</v>
      </c>
      <c r="C7235">
        <v>2</v>
      </c>
      <c r="E7235">
        <v>318</v>
      </c>
    </row>
    <row r="7236" spans="1:5" x14ac:dyDescent="0.25">
      <c r="A7236">
        <v>94</v>
      </c>
      <c r="B7236">
        <f t="shared" si="1"/>
        <v>317</v>
      </c>
      <c r="C7236">
        <v>1</v>
      </c>
      <c r="E7236" s="1">
        <v>318</v>
      </c>
    </row>
    <row r="7237" spans="1:5" x14ac:dyDescent="0.25">
      <c r="A7237">
        <v>105</v>
      </c>
      <c r="B7237">
        <f t="shared" si="1"/>
        <v>317</v>
      </c>
      <c r="C7237">
        <v>5</v>
      </c>
      <c r="E7237">
        <v>318</v>
      </c>
    </row>
    <row r="7238" spans="1:5" x14ac:dyDescent="0.25">
      <c r="A7238">
        <v>109</v>
      </c>
      <c r="B7238">
        <f t="shared" si="1"/>
        <v>317</v>
      </c>
      <c r="C7238">
        <v>5</v>
      </c>
      <c r="E7238" s="1">
        <v>318</v>
      </c>
    </row>
    <row r="7239" spans="1:5" x14ac:dyDescent="0.25">
      <c r="A7239">
        <v>138</v>
      </c>
      <c r="B7239">
        <f t="shared" si="1"/>
        <v>317</v>
      </c>
      <c r="C7239">
        <v>4</v>
      </c>
      <c r="E7239">
        <v>318</v>
      </c>
    </row>
    <row r="7240" spans="1:5" x14ac:dyDescent="0.25">
      <c r="A7240">
        <v>159</v>
      </c>
      <c r="B7240">
        <f t="shared" si="1"/>
        <v>317</v>
      </c>
      <c r="C7240">
        <v>2</v>
      </c>
      <c r="E7240" s="1">
        <v>318</v>
      </c>
    </row>
    <row r="7241" spans="1:5" x14ac:dyDescent="0.25">
      <c r="A7241">
        <v>173</v>
      </c>
      <c r="B7241">
        <f t="shared" si="1"/>
        <v>317</v>
      </c>
      <c r="C7241">
        <v>4</v>
      </c>
      <c r="E7241">
        <v>318</v>
      </c>
    </row>
    <row r="7242" spans="1:5" x14ac:dyDescent="0.25">
      <c r="A7242">
        <v>181</v>
      </c>
      <c r="B7242">
        <f t="shared" si="1"/>
        <v>317</v>
      </c>
      <c r="C7242">
        <v>1</v>
      </c>
      <c r="E7242" s="1">
        <v>318</v>
      </c>
    </row>
    <row r="7243" spans="1:5" x14ac:dyDescent="0.25">
      <c r="A7243">
        <v>185</v>
      </c>
      <c r="B7243">
        <f t="shared" si="1"/>
        <v>317</v>
      </c>
      <c r="C7243">
        <v>2</v>
      </c>
      <c r="E7243">
        <v>318</v>
      </c>
    </row>
    <row r="7244" spans="1:5" x14ac:dyDescent="0.25">
      <c r="A7244">
        <v>185</v>
      </c>
      <c r="B7244">
        <f t="shared" si="1"/>
        <v>317</v>
      </c>
      <c r="C7244">
        <v>2</v>
      </c>
      <c r="E7244" s="1">
        <v>318</v>
      </c>
    </row>
    <row r="7245" spans="1:5" x14ac:dyDescent="0.25">
      <c r="A7245">
        <v>192</v>
      </c>
      <c r="B7245">
        <f t="shared" si="1"/>
        <v>317</v>
      </c>
      <c r="C7245">
        <v>3</v>
      </c>
      <c r="E7245">
        <v>318</v>
      </c>
    </row>
    <row r="7246" spans="1:5" x14ac:dyDescent="0.25">
      <c r="A7246">
        <v>196</v>
      </c>
      <c r="B7246">
        <f t="shared" ref="B7246:B7309" si="2">E7246-1</f>
        <v>317</v>
      </c>
      <c r="C7246">
        <v>3</v>
      </c>
      <c r="E7246" s="1">
        <v>318</v>
      </c>
    </row>
    <row r="7247" spans="1:5" x14ac:dyDescent="0.25">
      <c r="A7247">
        <v>214</v>
      </c>
      <c r="B7247">
        <f t="shared" si="2"/>
        <v>317</v>
      </c>
      <c r="C7247">
        <v>5</v>
      </c>
      <c r="E7247">
        <v>318</v>
      </c>
    </row>
    <row r="7248" spans="1:5" x14ac:dyDescent="0.25">
      <c r="A7248">
        <v>227</v>
      </c>
      <c r="B7248">
        <f t="shared" si="2"/>
        <v>317</v>
      </c>
      <c r="C7248">
        <v>4</v>
      </c>
      <c r="E7248" s="1">
        <v>318</v>
      </c>
    </row>
    <row r="7249" spans="1:5" x14ac:dyDescent="0.25">
      <c r="A7249">
        <v>3</v>
      </c>
      <c r="B7249">
        <f t="shared" si="2"/>
        <v>318</v>
      </c>
      <c r="C7249">
        <v>5</v>
      </c>
      <c r="E7249">
        <v>319</v>
      </c>
    </row>
    <row r="7250" spans="1:5" x14ac:dyDescent="0.25">
      <c r="A7250">
        <v>24</v>
      </c>
      <c r="B7250">
        <f t="shared" si="2"/>
        <v>318</v>
      </c>
      <c r="C7250">
        <v>5</v>
      </c>
      <c r="E7250" s="1">
        <v>319</v>
      </c>
    </row>
    <row r="7251" spans="1:5" x14ac:dyDescent="0.25">
      <c r="A7251">
        <v>26</v>
      </c>
      <c r="B7251">
        <f t="shared" si="2"/>
        <v>318</v>
      </c>
      <c r="C7251">
        <v>5</v>
      </c>
      <c r="E7251">
        <v>319</v>
      </c>
    </row>
    <row r="7252" spans="1:5" x14ac:dyDescent="0.25">
      <c r="A7252">
        <v>35</v>
      </c>
      <c r="B7252">
        <f t="shared" si="2"/>
        <v>318</v>
      </c>
      <c r="C7252">
        <v>4</v>
      </c>
      <c r="E7252" s="1">
        <v>319</v>
      </c>
    </row>
    <row r="7253" spans="1:5" x14ac:dyDescent="0.25">
      <c r="A7253">
        <v>39</v>
      </c>
      <c r="B7253">
        <f t="shared" si="2"/>
        <v>318</v>
      </c>
      <c r="C7253">
        <v>2</v>
      </c>
      <c r="E7253">
        <v>319</v>
      </c>
    </row>
    <row r="7254" spans="1:5" x14ac:dyDescent="0.25">
      <c r="A7254">
        <v>44</v>
      </c>
      <c r="B7254">
        <f t="shared" si="2"/>
        <v>318</v>
      </c>
      <c r="C7254">
        <v>2</v>
      </c>
      <c r="E7254" s="1">
        <v>319</v>
      </c>
    </row>
    <row r="7255" spans="1:5" x14ac:dyDescent="0.25">
      <c r="A7255">
        <v>46</v>
      </c>
      <c r="B7255">
        <f t="shared" si="2"/>
        <v>318</v>
      </c>
      <c r="C7255">
        <v>5</v>
      </c>
      <c r="E7255">
        <v>319</v>
      </c>
    </row>
    <row r="7256" spans="1:5" x14ac:dyDescent="0.25">
      <c r="A7256">
        <v>59</v>
      </c>
      <c r="B7256">
        <f t="shared" si="2"/>
        <v>318</v>
      </c>
      <c r="C7256">
        <v>4</v>
      </c>
      <c r="E7256" s="1">
        <v>319</v>
      </c>
    </row>
    <row r="7257" spans="1:5" x14ac:dyDescent="0.25">
      <c r="A7257">
        <v>68</v>
      </c>
      <c r="B7257">
        <f t="shared" si="2"/>
        <v>318</v>
      </c>
      <c r="C7257">
        <v>2</v>
      </c>
      <c r="E7257">
        <v>319</v>
      </c>
    </row>
    <row r="7258" spans="1:5" x14ac:dyDescent="0.25">
      <c r="A7258">
        <v>70</v>
      </c>
      <c r="B7258">
        <f t="shared" si="2"/>
        <v>318</v>
      </c>
      <c r="C7258">
        <v>3</v>
      </c>
      <c r="E7258" s="1">
        <v>319</v>
      </c>
    </row>
    <row r="7259" spans="1:5" x14ac:dyDescent="0.25">
      <c r="A7259">
        <v>71</v>
      </c>
      <c r="B7259">
        <f t="shared" si="2"/>
        <v>318</v>
      </c>
      <c r="C7259">
        <v>2</v>
      </c>
      <c r="E7259">
        <v>319</v>
      </c>
    </row>
    <row r="7260" spans="1:5" x14ac:dyDescent="0.25">
      <c r="A7260">
        <v>79</v>
      </c>
      <c r="B7260">
        <f t="shared" si="2"/>
        <v>318</v>
      </c>
      <c r="C7260">
        <v>3</v>
      </c>
      <c r="E7260" s="1">
        <v>319</v>
      </c>
    </row>
    <row r="7261" spans="1:5" x14ac:dyDescent="0.25">
      <c r="A7261">
        <v>106</v>
      </c>
      <c r="B7261">
        <f t="shared" si="2"/>
        <v>318</v>
      </c>
      <c r="C7261">
        <v>1</v>
      </c>
      <c r="E7261">
        <v>319</v>
      </c>
    </row>
    <row r="7262" spans="1:5" x14ac:dyDescent="0.25">
      <c r="A7262">
        <v>107</v>
      </c>
      <c r="B7262">
        <f t="shared" si="2"/>
        <v>318</v>
      </c>
      <c r="C7262">
        <v>2</v>
      </c>
      <c r="E7262" s="1">
        <v>319</v>
      </c>
    </row>
    <row r="7263" spans="1:5" x14ac:dyDescent="0.25">
      <c r="A7263">
        <v>114</v>
      </c>
      <c r="B7263">
        <f t="shared" si="2"/>
        <v>318</v>
      </c>
      <c r="C7263">
        <v>5</v>
      </c>
      <c r="E7263">
        <v>319</v>
      </c>
    </row>
    <row r="7264" spans="1:5" x14ac:dyDescent="0.25">
      <c r="A7264">
        <v>116</v>
      </c>
      <c r="B7264">
        <f t="shared" si="2"/>
        <v>318</v>
      </c>
      <c r="C7264">
        <v>4</v>
      </c>
      <c r="E7264" s="1">
        <v>319</v>
      </c>
    </row>
    <row r="7265" spans="1:5" x14ac:dyDescent="0.25">
      <c r="A7265">
        <v>124</v>
      </c>
      <c r="B7265">
        <f t="shared" si="2"/>
        <v>318</v>
      </c>
      <c r="C7265">
        <v>3</v>
      </c>
      <c r="E7265">
        <v>319</v>
      </c>
    </row>
    <row r="7266" spans="1:5" x14ac:dyDescent="0.25">
      <c r="A7266">
        <v>129</v>
      </c>
      <c r="B7266">
        <f t="shared" si="2"/>
        <v>318</v>
      </c>
      <c r="C7266">
        <v>3</v>
      </c>
      <c r="E7266" s="1">
        <v>319</v>
      </c>
    </row>
    <row r="7267" spans="1:5" x14ac:dyDescent="0.25">
      <c r="A7267">
        <v>147</v>
      </c>
      <c r="B7267">
        <f t="shared" si="2"/>
        <v>318</v>
      </c>
      <c r="C7267">
        <v>2</v>
      </c>
      <c r="E7267">
        <v>319</v>
      </c>
    </row>
    <row r="7268" spans="1:5" x14ac:dyDescent="0.25">
      <c r="A7268">
        <v>165</v>
      </c>
      <c r="B7268">
        <f t="shared" si="2"/>
        <v>318</v>
      </c>
      <c r="C7268">
        <v>2</v>
      </c>
      <c r="E7268" s="1">
        <v>319</v>
      </c>
    </row>
    <row r="7269" spans="1:5" x14ac:dyDescent="0.25">
      <c r="A7269">
        <v>188</v>
      </c>
      <c r="B7269">
        <f t="shared" si="2"/>
        <v>318</v>
      </c>
      <c r="C7269">
        <v>2</v>
      </c>
      <c r="E7269">
        <v>319</v>
      </c>
    </row>
    <row r="7270" spans="1:5" x14ac:dyDescent="0.25">
      <c r="A7270">
        <v>190</v>
      </c>
      <c r="B7270">
        <f t="shared" si="2"/>
        <v>318</v>
      </c>
      <c r="C7270">
        <v>5</v>
      </c>
      <c r="E7270" s="1">
        <v>319</v>
      </c>
    </row>
    <row r="7271" spans="1:5" x14ac:dyDescent="0.25">
      <c r="A7271">
        <v>196</v>
      </c>
      <c r="B7271">
        <f t="shared" si="2"/>
        <v>318</v>
      </c>
      <c r="C7271">
        <v>3</v>
      </c>
      <c r="E7271">
        <v>319</v>
      </c>
    </row>
    <row r="7272" spans="1:5" x14ac:dyDescent="0.25">
      <c r="A7272">
        <v>226</v>
      </c>
      <c r="B7272">
        <f t="shared" si="2"/>
        <v>318</v>
      </c>
      <c r="C7272">
        <v>3</v>
      </c>
      <c r="E7272" s="1">
        <v>319</v>
      </c>
    </row>
    <row r="7273" spans="1:5" x14ac:dyDescent="0.25">
      <c r="A7273">
        <v>227</v>
      </c>
      <c r="B7273">
        <f t="shared" si="2"/>
        <v>318</v>
      </c>
      <c r="C7273">
        <v>4</v>
      </c>
      <c r="E7273">
        <v>319</v>
      </c>
    </row>
    <row r="7274" spans="1:5" x14ac:dyDescent="0.25">
      <c r="A7274">
        <v>233</v>
      </c>
      <c r="B7274">
        <f t="shared" si="2"/>
        <v>318</v>
      </c>
      <c r="C7274">
        <v>1</v>
      </c>
      <c r="E7274" s="1">
        <v>319</v>
      </c>
    </row>
    <row r="7275" spans="1:5" x14ac:dyDescent="0.25">
      <c r="A7275">
        <v>243</v>
      </c>
      <c r="B7275">
        <f t="shared" si="2"/>
        <v>318</v>
      </c>
      <c r="C7275">
        <v>5</v>
      </c>
      <c r="E7275">
        <v>319</v>
      </c>
    </row>
    <row r="7276" spans="1:5" x14ac:dyDescent="0.25">
      <c r="A7276">
        <v>244</v>
      </c>
      <c r="B7276">
        <f t="shared" si="2"/>
        <v>318</v>
      </c>
      <c r="C7276">
        <v>4</v>
      </c>
      <c r="E7276" s="1">
        <v>319</v>
      </c>
    </row>
    <row r="7277" spans="1:5" x14ac:dyDescent="0.25">
      <c r="A7277">
        <v>246</v>
      </c>
      <c r="B7277">
        <f t="shared" si="2"/>
        <v>318</v>
      </c>
      <c r="C7277">
        <v>4</v>
      </c>
      <c r="E7277">
        <v>319</v>
      </c>
    </row>
    <row r="7278" spans="1:5" x14ac:dyDescent="0.25">
      <c r="A7278">
        <v>282</v>
      </c>
      <c r="B7278">
        <f t="shared" si="2"/>
        <v>318</v>
      </c>
      <c r="C7278">
        <v>3</v>
      </c>
      <c r="E7278" s="1">
        <v>319</v>
      </c>
    </row>
    <row r="7279" spans="1:5" x14ac:dyDescent="0.25">
      <c r="A7279">
        <v>288</v>
      </c>
      <c r="B7279">
        <f t="shared" si="2"/>
        <v>318</v>
      </c>
      <c r="C7279">
        <v>1</v>
      </c>
      <c r="E7279">
        <v>319</v>
      </c>
    </row>
    <row r="7280" spans="1:5" x14ac:dyDescent="0.25">
      <c r="A7280">
        <v>48</v>
      </c>
      <c r="B7280">
        <f t="shared" si="2"/>
        <v>319</v>
      </c>
      <c r="C7280">
        <v>4</v>
      </c>
      <c r="E7280" s="1">
        <v>320</v>
      </c>
    </row>
    <row r="7281" spans="1:5" x14ac:dyDescent="0.25">
      <c r="A7281">
        <v>66</v>
      </c>
      <c r="B7281">
        <f t="shared" si="2"/>
        <v>319</v>
      </c>
      <c r="C7281">
        <v>4</v>
      </c>
      <c r="E7281">
        <v>320</v>
      </c>
    </row>
    <row r="7282" spans="1:5" x14ac:dyDescent="0.25">
      <c r="A7282">
        <v>71</v>
      </c>
      <c r="B7282">
        <f t="shared" si="2"/>
        <v>319</v>
      </c>
      <c r="C7282">
        <v>1</v>
      </c>
      <c r="E7282" s="1">
        <v>320</v>
      </c>
    </row>
    <row r="7283" spans="1:5" x14ac:dyDescent="0.25">
      <c r="A7283">
        <v>83</v>
      </c>
      <c r="B7283">
        <f t="shared" si="2"/>
        <v>319</v>
      </c>
      <c r="C7283">
        <v>4</v>
      </c>
      <c r="E7283">
        <v>320</v>
      </c>
    </row>
    <row r="7284" spans="1:5" x14ac:dyDescent="0.25">
      <c r="A7284">
        <v>101</v>
      </c>
      <c r="B7284">
        <f t="shared" si="2"/>
        <v>319</v>
      </c>
      <c r="C7284">
        <v>3</v>
      </c>
      <c r="E7284" s="1">
        <v>320</v>
      </c>
    </row>
    <row r="7285" spans="1:5" x14ac:dyDescent="0.25">
      <c r="A7285">
        <v>114</v>
      </c>
      <c r="B7285">
        <f t="shared" si="2"/>
        <v>319</v>
      </c>
      <c r="C7285">
        <v>4</v>
      </c>
      <c r="E7285">
        <v>320</v>
      </c>
    </row>
    <row r="7286" spans="1:5" x14ac:dyDescent="0.25">
      <c r="A7286">
        <v>116</v>
      </c>
      <c r="B7286">
        <f t="shared" si="2"/>
        <v>319</v>
      </c>
      <c r="C7286">
        <v>3</v>
      </c>
      <c r="E7286" s="1">
        <v>320</v>
      </c>
    </row>
    <row r="7287" spans="1:5" x14ac:dyDescent="0.25">
      <c r="A7287">
        <v>141</v>
      </c>
      <c r="B7287">
        <f t="shared" si="2"/>
        <v>319</v>
      </c>
      <c r="C7287">
        <v>1</v>
      </c>
      <c r="E7287">
        <v>320</v>
      </c>
    </row>
    <row r="7288" spans="1:5" x14ac:dyDescent="0.25">
      <c r="A7288">
        <v>142</v>
      </c>
      <c r="B7288">
        <f t="shared" si="2"/>
        <v>319</v>
      </c>
      <c r="C7288">
        <v>3</v>
      </c>
      <c r="E7288" s="1">
        <v>320</v>
      </c>
    </row>
    <row r="7289" spans="1:5" x14ac:dyDescent="0.25">
      <c r="A7289">
        <v>150</v>
      </c>
      <c r="B7289">
        <f t="shared" si="2"/>
        <v>319</v>
      </c>
      <c r="C7289">
        <v>4</v>
      </c>
      <c r="E7289">
        <v>320</v>
      </c>
    </row>
    <row r="7290" spans="1:5" x14ac:dyDescent="0.25">
      <c r="A7290">
        <v>173</v>
      </c>
      <c r="B7290">
        <f t="shared" si="2"/>
        <v>319</v>
      </c>
      <c r="C7290">
        <v>1</v>
      </c>
      <c r="E7290" s="1">
        <v>320</v>
      </c>
    </row>
    <row r="7291" spans="1:5" x14ac:dyDescent="0.25">
      <c r="A7291">
        <v>189</v>
      </c>
      <c r="B7291">
        <f t="shared" si="2"/>
        <v>319</v>
      </c>
      <c r="C7291">
        <v>3</v>
      </c>
      <c r="E7291">
        <v>320</v>
      </c>
    </row>
    <row r="7292" spans="1:5" x14ac:dyDescent="0.25">
      <c r="A7292">
        <v>226</v>
      </c>
      <c r="B7292">
        <f t="shared" si="2"/>
        <v>319</v>
      </c>
      <c r="C7292">
        <v>2</v>
      </c>
      <c r="E7292" s="1">
        <v>320</v>
      </c>
    </row>
    <row r="7293" spans="1:5" x14ac:dyDescent="0.25">
      <c r="A7293">
        <v>252</v>
      </c>
      <c r="B7293">
        <f t="shared" si="2"/>
        <v>319</v>
      </c>
      <c r="C7293">
        <v>4</v>
      </c>
      <c r="E7293">
        <v>320</v>
      </c>
    </row>
    <row r="7294" spans="1:5" x14ac:dyDescent="0.25">
      <c r="A7294">
        <v>255</v>
      </c>
      <c r="B7294">
        <f t="shared" si="2"/>
        <v>319</v>
      </c>
      <c r="C7294">
        <v>2</v>
      </c>
      <c r="E7294" s="1">
        <v>320</v>
      </c>
    </row>
    <row r="7295" spans="1:5" x14ac:dyDescent="0.25">
      <c r="A7295">
        <v>256</v>
      </c>
      <c r="B7295">
        <f t="shared" si="2"/>
        <v>319</v>
      </c>
      <c r="C7295">
        <v>4</v>
      </c>
      <c r="E7295">
        <v>320</v>
      </c>
    </row>
    <row r="7296" spans="1:5" x14ac:dyDescent="0.25">
      <c r="A7296">
        <v>282</v>
      </c>
      <c r="B7296">
        <f t="shared" si="2"/>
        <v>319</v>
      </c>
      <c r="C7296">
        <v>5</v>
      </c>
      <c r="E7296" s="1">
        <v>320</v>
      </c>
    </row>
    <row r="7297" spans="1:5" x14ac:dyDescent="0.25">
      <c r="A7297">
        <v>292</v>
      </c>
      <c r="B7297">
        <f t="shared" si="2"/>
        <v>319</v>
      </c>
      <c r="C7297">
        <v>5</v>
      </c>
      <c r="E7297">
        <v>320</v>
      </c>
    </row>
    <row r="7298" spans="1:5" x14ac:dyDescent="0.25">
      <c r="A7298">
        <v>2</v>
      </c>
      <c r="B7298">
        <f t="shared" si="2"/>
        <v>320</v>
      </c>
      <c r="C7298">
        <v>3</v>
      </c>
      <c r="E7298" s="1">
        <v>321</v>
      </c>
    </row>
    <row r="7299" spans="1:5" x14ac:dyDescent="0.25">
      <c r="A7299">
        <v>5</v>
      </c>
      <c r="B7299">
        <f t="shared" si="2"/>
        <v>320</v>
      </c>
      <c r="C7299">
        <v>3</v>
      </c>
      <c r="E7299">
        <v>321</v>
      </c>
    </row>
    <row r="7300" spans="1:5" x14ac:dyDescent="0.25">
      <c r="A7300">
        <v>5</v>
      </c>
      <c r="B7300">
        <f t="shared" si="2"/>
        <v>320</v>
      </c>
      <c r="C7300">
        <v>3</v>
      </c>
      <c r="E7300" s="1">
        <v>321</v>
      </c>
    </row>
    <row r="7301" spans="1:5" x14ac:dyDescent="0.25">
      <c r="A7301">
        <v>15</v>
      </c>
      <c r="B7301">
        <f t="shared" si="2"/>
        <v>320</v>
      </c>
      <c r="C7301">
        <v>2</v>
      </c>
      <c r="E7301">
        <v>321</v>
      </c>
    </row>
    <row r="7302" spans="1:5" x14ac:dyDescent="0.25">
      <c r="A7302">
        <v>17</v>
      </c>
      <c r="B7302">
        <f t="shared" si="2"/>
        <v>320</v>
      </c>
      <c r="C7302">
        <v>3</v>
      </c>
      <c r="E7302" s="1">
        <v>321</v>
      </c>
    </row>
    <row r="7303" spans="1:5" x14ac:dyDescent="0.25">
      <c r="A7303">
        <v>46</v>
      </c>
      <c r="B7303">
        <f t="shared" si="2"/>
        <v>320</v>
      </c>
      <c r="C7303">
        <v>5</v>
      </c>
      <c r="E7303">
        <v>321</v>
      </c>
    </row>
    <row r="7304" spans="1:5" x14ac:dyDescent="0.25">
      <c r="A7304">
        <v>52</v>
      </c>
      <c r="B7304">
        <f t="shared" si="2"/>
        <v>320</v>
      </c>
      <c r="C7304">
        <v>4</v>
      </c>
      <c r="E7304" s="1">
        <v>321</v>
      </c>
    </row>
    <row r="7305" spans="1:5" x14ac:dyDescent="0.25">
      <c r="A7305">
        <v>78</v>
      </c>
      <c r="B7305">
        <f t="shared" si="2"/>
        <v>320</v>
      </c>
      <c r="C7305">
        <v>4</v>
      </c>
      <c r="E7305">
        <v>321</v>
      </c>
    </row>
    <row r="7306" spans="1:5" x14ac:dyDescent="0.25">
      <c r="A7306">
        <v>82</v>
      </c>
      <c r="B7306">
        <f t="shared" si="2"/>
        <v>320</v>
      </c>
      <c r="C7306">
        <v>5</v>
      </c>
      <c r="E7306" s="1">
        <v>321</v>
      </c>
    </row>
    <row r="7307" spans="1:5" x14ac:dyDescent="0.25">
      <c r="A7307">
        <v>103</v>
      </c>
      <c r="B7307">
        <f t="shared" si="2"/>
        <v>320</v>
      </c>
      <c r="C7307">
        <v>3</v>
      </c>
      <c r="E7307">
        <v>321</v>
      </c>
    </row>
    <row r="7308" spans="1:5" x14ac:dyDescent="0.25">
      <c r="A7308">
        <v>105</v>
      </c>
      <c r="B7308">
        <f t="shared" si="2"/>
        <v>320</v>
      </c>
      <c r="C7308">
        <v>4</v>
      </c>
      <c r="E7308" s="1">
        <v>321</v>
      </c>
    </row>
    <row r="7309" spans="1:5" x14ac:dyDescent="0.25">
      <c r="A7309">
        <v>137</v>
      </c>
      <c r="B7309">
        <f t="shared" si="2"/>
        <v>320</v>
      </c>
      <c r="C7309">
        <v>5</v>
      </c>
      <c r="E7309">
        <v>321</v>
      </c>
    </row>
    <row r="7310" spans="1:5" x14ac:dyDescent="0.25">
      <c r="A7310">
        <v>155</v>
      </c>
      <c r="B7310">
        <f t="shared" ref="B7310:B7373" si="3">E7310-1</f>
        <v>320</v>
      </c>
      <c r="C7310">
        <v>5</v>
      </c>
      <c r="E7310" s="1">
        <v>321</v>
      </c>
    </row>
    <row r="7311" spans="1:5" x14ac:dyDescent="0.25">
      <c r="A7311">
        <v>191</v>
      </c>
      <c r="B7311">
        <f t="shared" si="3"/>
        <v>320</v>
      </c>
      <c r="C7311">
        <v>5</v>
      </c>
      <c r="E7311">
        <v>321</v>
      </c>
    </row>
    <row r="7312" spans="1:5" x14ac:dyDescent="0.25">
      <c r="A7312">
        <v>195</v>
      </c>
      <c r="B7312">
        <f t="shared" si="3"/>
        <v>320</v>
      </c>
      <c r="C7312">
        <v>3</v>
      </c>
      <c r="E7312" s="1">
        <v>321</v>
      </c>
    </row>
    <row r="7313" spans="1:5" x14ac:dyDescent="0.25">
      <c r="A7313">
        <v>201</v>
      </c>
      <c r="B7313">
        <f t="shared" si="3"/>
        <v>320</v>
      </c>
      <c r="C7313">
        <v>5</v>
      </c>
      <c r="E7313">
        <v>321</v>
      </c>
    </row>
    <row r="7314" spans="1:5" x14ac:dyDescent="0.25">
      <c r="A7314">
        <v>212</v>
      </c>
      <c r="B7314">
        <f t="shared" si="3"/>
        <v>320</v>
      </c>
      <c r="C7314">
        <v>5</v>
      </c>
      <c r="E7314" s="1">
        <v>321</v>
      </c>
    </row>
    <row r="7315" spans="1:5" x14ac:dyDescent="0.25">
      <c r="A7315">
        <v>229</v>
      </c>
      <c r="B7315">
        <f t="shared" si="3"/>
        <v>320</v>
      </c>
      <c r="C7315">
        <v>2</v>
      </c>
      <c r="E7315">
        <v>321</v>
      </c>
    </row>
    <row r="7316" spans="1:5" x14ac:dyDescent="0.25">
      <c r="A7316">
        <v>270</v>
      </c>
      <c r="B7316">
        <f t="shared" si="3"/>
        <v>320</v>
      </c>
      <c r="C7316">
        <v>3</v>
      </c>
      <c r="E7316" s="1">
        <v>321</v>
      </c>
    </row>
    <row r="7317" spans="1:5" x14ac:dyDescent="0.25">
      <c r="A7317">
        <v>274</v>
      </c>
      <c r="B7317">
        <f t="shared" si="3"/>
        <v>320</v>
      </c>
      <c r="C7317">
        <v>3</v>
      </c>
      <c r="E7317">
        <v>321</v>
      </c>
    </row>
    <row r="7318" spans="1:5" x14ac:dyDescent="0.25">
      <c r="A7318">
        <v>291</v>
      </c>
      <c r="B7318">
        <f t="shared" si="3"/>
        <v>320</v>
      </c>
      <c r="C7318">
        <v>3</v>
      </c>
      <c r="E7318" s="1">
        <v>321</v>
      </c>
    </row>
    <row r="7319" spans="1:5" x14ac:dyDescent="0.25">
      <c r="A7319">
        <v>2</v>
      </c>
      <c r="B7319">
        <f t="shared" si="3"/>
        <v>321</v>
      </c>
      <c r="C7319">
        <v>4</v>
      </c>
      <c r="E7319">
        <v>322</v>
      </c>
    </row>
    <row r="7320" spans="1:5" x14ac:dyDescent="0.25">
      <c r="A7320">
        <v>8</v>
      </c>
      <c r="B7320">
        <f t="shared" si="3"/>
        <v>321</v>
      </c>
      <c r="C7320">
        <v>5</v>
      </c>
      <c r="E7320" s="1">
        <v>322</v>
      </c>
    </row>
    <row r="7321" spans="1:5" x14ac:dyDescent="0.25">
      <c r="A7321">
        <v>11</v>
      </c>
      <c r="B7321">
        <f t="shared" si="3"/>
        <v>321</v>
      </c>
      <c r="C7321">
        <v>5</v>
      </c>
      <c r="E7321">
        <v>322</v>
      </c>
    </row>
    <row r="7322" spans="1:5" x14ac:dyDescent="0.25">
      <c r="A7322">
        <v>16</v>
      </c>
      <c r="B7322">
        <f t="shared" si="3"/>
        <v>321</v>
      </c>
      <c r="C7322">
        <v>5</v>
      </c>
      <c r="E7322" s="1">
        <v>322</v>
      </c>
    </row>
    <row r="7323" spans="1:5" x14ac:dyDescent="0.25">
      <c r="A7323">
        <v>22</v>
      </c>
      <c r="B7323">
        <f t="shared" si="3"/>
        <v>321</v>
      </c>
      <c r="C7323">
        <v>4</v>
      </c>
      <c r="E7323">
        <v>322</v>
      </c>
    </row>
    <row r="7324" spans="1:5" x14ac:dyDescent="0.25">
      <c r="A7324">
        <v>29</v>
      </c>
      <c r="B7324">
        <f t="shared" si="3"/>
        <v>321</v>
      </c>
      <c r="C7324">
        <v>5</v>
      </c>
      <c r="E7324" s="1">
        <v>322</v>
      </c>
    </row>
    <row r="7325" spans="1:5" x14ac:dyDescent="0.25">
      <c r="A7325">
        <v>31</v>
      </c>
      <c r="B7325">
        <f t="shared" si="3"/>
        <v>321</v>
      </c>
      <c r="C7325">
        <v>2</v>
      </c>
      <c r="E7325">
        <v>322</v>
      </c>
    </row>
    <row r="7326" spans="1:5" x14ac:dyDescent="0.25">
      <c r="A7326">
        <v>32</v>
      </c>
      <c r="B7326">
        <f t="shared" si="3"/>
        <v>321</v>
      </c>
      <c r="C7326">
        <v>3</v>
      </c>
      <c r="E7326" s="1">
        <v>322</v>
      </c>
    </row>
    <row r="7327" spans="1:5" x14ac:dyDescent="0.25">
      <c r="A7327">
        <v>39</v>
      </c>
      <c r="B7327">
        <f t="shared" si="3"/>
        <v>321</v>
      </c>
      <c r="C7327">
        <v>4</v>
      </c>
      <c r="E7327">
        <v>322</v>
      </c>
    </row>
    <row r="7328" spans="1:5" x14ac:dyDescent="0.25">
      <c r="A7328">
        <v>43</v>
      </c>
      <c r="B7328">
        <f t="shared" si="3"/>
        <v>321</v>
      </c>
      <c r="C7328">
        <v>2</v>
      </c>
      <c r="E7328" s="1">
        <v>322</v>
      </c>
    </row>
    <row r="7329" spans="1:5" x14ac:dyDescent="0.25">
      <c r="A7329">
        <v>44</v>
      </c>
      <c r="B7329">
        <f t="shared" si="3"/>
        <v>321</v>
      </c>
      <c r="C7329">
        <v>2</v>
      </c>
      <c r="E7329">
        <v>322</v>
      </c>
    </row>
    <row r="7330" spans="1:5" x14ac:dyDescent="0.25">
      <c r="A7330">
        <v>88</v>
      </c>
      <c r="B7330">
        <f t="shared" si="3"/>
        <v>321</v>
      </c>
      <c r="C7330">
        <v>2</v>
      </c>
      <c r="E7330" s="1">
        <v>322</v>
      </c>
    </row>
    <row r="7331" spans="1:5" x14ac:dyDescent="0.25">
      <c r="A7331">
        <v>91</v>
      </c>
      <c r="B7331">
        <f t="shared" si="3"/>
        <v>321</v>
      </c>
      <c r="C7331">
        <v>4</v>
      </c>
      <c r="E7331">
        <v>322</v>
      </c>
    </row>
    <row r="7332" spans="1:5" x14ac:dyDescent="0.25">
      <c r="A7332">
        <v>126</v>
      </c>
      <c r="B7332">
        <f t="shared" si="3"/>
        <v>321</v>
      </c>
      <c r="C7332">
        <v>4</v>
      </c>
      <c r="E7332" s="1">
        <v>322</v>
      </c>
    </row>
    <row r="7333" spans="1:5" x14ac:dyDescent="0.25">
      <c r="A7333">
        <v>126</v>
      </c>
      <c r="B7333">
        <f t="shared" si="3"/>
        <v>321</v>
      </c>
      <c r="C7333">
        <v>5</v>
      </c>
      <c r="E7333">
        <v>322</v>
      </c>
    </row>
    <row r="7334" spans="1:5" x14ac:dyDescent="0.25">
      <c r="A7334">
        <v>152</v>
      </c>
      <c r="B7334">
        <f t="shared" si="3"/>
        <v>321</v>
      </c>
      <c r="C7334">
        <v>3</v>
      </c>
      <c r="E7334" s="1">
        <v>322</v>
      </c>
    </row>
    <row r="7335" spans="1:5" x14ac:dyDescent="0.25">
      <c r="A7335">
        <v>152</v>
      </c>
      <c r="B7335">
        <f t="shared" si="3"/>
        <v>321</v>
      </c>
      <c r="C7335">
        <v>3</v>
      </c>
      <c r="E7335">
        <v>322</v>
      </c>
    </row>
    <row r="7336" spans="1:5" x14ac:dyDescent="0.25">
      <c r="A7336">
        <v>163</v>
      </c>
      <c r="B7336">
        <f t="shared" si="3"/>
        <v>321</v>
      </c>
      <c r="C7336">
        <v>5</v>
      </c>
      <c r="E7336" s="1">
        <v>322</v>
      </c>
    </row>
    <row r="7337" spans="1:5" x14ac:dyDescent="0.25">
      <c r="A7337">
        <v>176</v>
      </c>
      <c r="B7337">
        <f t="shared" si="3"/>
        <v>321</v>
      </c>
      <c r="C7337">
        <v>5</v>
      </c>
      <c r="E7337">
        <v>322</v>
      </c>
    </row>
    <row r="7338" spans="1:5" x14ac:dyDescent="0.25">
      <c r="A7338">
        <v>177</v>
      </c>
      <c r="B7338">
        <f t="shared" si="3"/>
        <v>321</v>
      </c>
      <c r="C7338">
        <v>3</v>
      </c>
      <c r="E7338" s="1">
        <v>322</v>
      </c>
    </row>
    <row r="7339" spans="1:5" x14ac:dyDescent="0.25">
      <c r="A7339">
        <v>184</v>
      </c>
      <c r="B7339">
        <f t="shared" si="3"/>
        <v>321</v>
      </c>
      <c r="C7339">
        <v>4</v>
      </c>
      <c r="E7339">
        <v>322</v>
      </c>
    </row>
    <row r="7340" spans="1:5" x14ac:dyDescent="0.25">
      <c r="A7340">
        <v>193</v>
      </c>
      <c r="B7340">
        <f t="shared" si="3"/>
        <v>321</v>
      </c>
      <c r="C7340">
        <v>2</v>
      </c>
      <c r="E7340" s="1">
        <v>322</v>
      </c>
    </row>
    <row r="7341" spans="1:5" x14ac:dyDescent="0.25">
      <c r="A7341">
        <v>204</v>
      </c>
      <c r="B7341">
        <f t="shared" si="3"/>
        <v>321</v>
      </c>
      <c r="C7341">
        <v>5</v>
      </c>
      <c r="E7341">
        <v>322</v>
      </c>
    </row>
    <row r="7342" spans="1:5" x14ac:dyDescent="0.25">
      <c r="A7342">
        <v>206</v>
      </c>
      <c r="B7342">
        <f t="shared" si="3"/>
        <v>321</v>
      </c>
      <c r="C7342">
        <v>5</v>
      </c>
      <c r="E7342" s="1">
        <v>322</v>
      </c>
    </row>
    <row r="7343" spans="1:5" x14ac:dyDescent="0.25">
      <c r="A7343">
        <v>215</v>
      </c>
      <c r="B7343">
        <f t="shared" si="3"/>
        <v>321</v>
      </c>
      <c r="C7343">
        <v>3</v>
      </c>
      <c r="E7343">
        <v>322</v>
      </c>
    </row>
    <row r="7344" spans="1:5" x14ac:dyDescent="0.25">
      <c r="A7344">
        <v>229</v>
      </c>
      <c r="B7344">
        <f t="shared" si="3"/>
        <v>321</v>
      </c>
      <c r="C7344">
        <v>4</v>
      </c>
      <c r="E7344" s="1">
        <v>322</v>
      </c>
    </row>
    <row r="7345" spans="1:5" x14ac:dyDescent="0.25">
      <c r="A7345">
        <v>242</v>
      </c>
      <c r="B7345">
        <f t="shared" si="3"/>
        <v>321</v>
      </c>
      <c r="C7345">
        <v>5</v>
      </c>
      <c r="E7345">
        <v>322</v>
      </c>
    </row>
    <row r="7346" spans="1:5" x14ac:dyDescent="0.25">
      <c r="A7346">
        <v>279</v>
      </c>
      <c r="B7346">
        <f t="shared" si="3"/>
        <v>321</v>
      </c>
      <c r="C7346">
        <v>5</v>
      </c>
      <c r="E7346" s="1">
        <v>322</v>
      </c>
    </row>
    <row r="7347" spans="1:5" x14ac:dyDescent="0.25">
      <c r="A7347">
        <v>280</v>
      </c>
      <c r="B7347">
        <f t="shared" si="3"/>
        <v>321</v>
      </c>
      <c r="C7347">
        <v>3</v>
      </c>
      <c r="E7347">
        <v>322</v>
      </c>
    </row>
    <row r="7348" spans="1:5" x14ac:dyDescent="0.25">
      <c r="A7348">
        <v>285</v>
      </c>
      <c r="B7348">
        <f t="shared" si="3"/>
        <v>321</v>
      </c>
      <c r="C7348">
        <v>2</v>
      </c>
      <c r="E7348" s="1">
        <v>322</v>
      </c>
    </row>
    <row r="7349" spans="1:5" x14ac:dyDescent="0.25">
      <c r="A7349">
        <v>21</v>
      </c>
      <c r="B7349">
        <f t="shared" si="3"/>
        <v>322</v>
      </c>
      <c r="C7349">
        <v>2</v>
      </c>
      <c r="E7349">
        <v>323</v>
      </c>
    </row>
    <row r="7350" spans="1:5" x14ac:dyDescent="0.25">
      <c r="A7350">
        <v>26</v>
      </c>
      <c r="B7350">
        <f t="shared" si="3"/>
        <v>322</v>
      </c>
      <c r="C7350">
        <v>5</v>
      </c>
      <c r="E7350" s="1">
        <v>323</v>
      </c>
    </row>
    <row r="7351" spans="1:5" x14ac:dyDescent="0.25">
      <c r="A7351">
        <v>30</v>
      </c>
      <c r="B7351">
        <f t="shared" si="3"/>
        <v>322</v>
      </c>
      <c r="C7351">
        <v>3</v>
      </c>
      <c r="E7351">
        <v>323</v>
      </c>
    </row>
    <row r="7352" spans="1:5" x14ac:dyDescent="0.25">
      <c r="A7352">
        <v>30</v>
      </c>
      <c r="B7352">
        <f t="shared" si="3"/>
        <v>322</v>
      </c>
      <c r="C7352">
        <v>4</v>
      </c>
      <c r="E7352" s="1">
        <v>323</v>
      </c>
    </row>
    <row r="7353" spans="1:5" x14ac:dyDescent="0.25">
      <c r="A7353">
        <v>32</v>
      </c>
      <c r="B7353">
        <f t="shared" si="3"/>
        <v>322</v>
      </c>
      <c r="C7353">
        <v>4</v>
      </c>
      <c r="E7353">
        <v>323</v>
      </c>
    </row>
    <row r="7354" spans="1:5" x14ac:dyDescent="0.25">
      <c r="A7354">
        <v>51</v>
      </c>
      <c r="B7354">
        <f t="shared" si="3"/>
        <v>322</v>
      </c>
      <c r="C7354">
        <v>2</v>
      </c>
      <c r="E7354" s="1">
        <v>323</v>
      </c>
    </row>
    <row r="7355" spans="1:5" x14ac:dyDescent="0.25">
      <c r="A7355">
        <v>56</v>
      </c>
      <c r="B7355">
        <f t="shared" si="3"/>
        <v>322</v>
      </c>
      <c r="C7355">
        <v>4</v>
      </c>
      <c r="E7355">
        <v>323</v>
      </c>
    </row>
    <row r="7356" spans="1:5" x14ac:dyDescent="0.25">
      <c r="A7356">
        <v>70</v>
      </c>
      <c r="B7356">
        <f t="shared" si="3"/>
        <v>322</v>
      </c>
      <c r="C7356">
        <v>4</v>
      </c>
      <c r="E7356" s="1">
        <v>323</v>
      </c>
    </row>
    <row r="7357" spans="1:5" x14ac:dyDescent="0.25">
      <c r="A7357">
        <v>72</v>
      </c>
      <c r="B7357">
        <f t="shared" si="3"/>
        <v>322</v>
      </c>
      <c r="C7357">
        <v>4</v>
      </c>
      <c r="E7357">
        <v>323</v>
      </c>
    </row>
    <row r="7358" spans="1:5" x14ac:dyDescent="0.25">
      <c r="A7358">
        <v>73</v>
      </c>
      <c r="B7358">
        <f t="shared" si="3"/>
        <v>322</v>
      </c>
      <c r="C7358">
        <v>5</v>
      </c>
      <c r="E7358" s="1">
        <v>323</v>
      </c>
    </row>
    <row r="7359" spans="1:5" x14ac:dyDescent="0.25">
      <c r="A7359">
        <v>80</v>
      </c>
      <c r="B7359">
        <f t="shared" si="3"/>
        <v>322</v>
      </c>
      <c r="C7359">
        <v>2</v>
      </c>
      <c r="E7359">
        <v>323</v>
      </c>
    </row>
    <row r="7360" spans="1:5" x14ac:dyDescent="0.25">
      <c r="A7360">
        <v>84</v>
      </c>
      <c r="B7360">
        <f t="shared" si="3"/>
        <v>322</v>
      </c>
      <c r="C7360">
        <v>4</v>
      </c>
      <c r="E7360" s="1">
        <v>323</v>
      </c>
    </row>
    <row r="7361" spans="1:5" x14ac:dyDescent="0.25">
      <c r="A7361">
        <v>90</v>
      </c>
      <c r="B7361">
        <f t="shared" si="3"/>
        <v>322</v>
      </c>
      <c r="C7361">
        <v>5</v>
      </c>
      <c r="E7361">
        <v>323</v>
      </c>
    </row>
    <row r="7362" spans="1:5" x14ac:dyDescent="0.25">
      <c r="A7362">
        <v>91</v>
      </c>
      <c r="B7362">
        <f t="shared" si="3"/>
        <v>322</v>
      </c>
      <c r="C7362">
        <v>2</v>
      </c>
      <c r="E7362" s="1">
        <v>323</v>
      </c>
    </row>
    <row r="7363" spans="1:5" x14ac:dyDescent="0.25">
      <c r="A7363">
        <v>99</v>
      </c>
      <c r="B7363">
        <f t="shared" si="3"/>
        <v>322</v>
      </c>
      <c r="C7363">
        <v>4</v>
      </c>
      <c r="E7363">
        <v>323</v>
      </c>
    </row>
    <row r="7364" spans="1:5" x14ac:dyDescent="0.25">
      <c r="A7364">
        <v>114</v>
      </c>
      <c r="B7364">
        <f t="shared" si="3"/>
        <v>322</v>
      </c>
      <c r="C7364">
        <v>2</v>
      </c>
      <c r="E7364" s="1">
        <v>323</v>
      </c>
    </row>
    <row r="7365" spans="1:5" x14ac:dyDescent="0.25">
      <c r="A7365">
        <v>118</v>
      </c>
      <c r="B7365">
        <f t="shared" si="3"/>
        <v>322</v>
      </c>
      <c r="C7365">
        <v>4</v>
      </c>
      <c r="E7365">
        <v>323</v>
      </c>
    </row>
    <row r="7366" spans="1:5" x14ac:dyDescent="0.25">
      <c r="A7366">
        <v>122</v>
      </c>
      <c r="B7366">
        <f t="shared" si="3"/>
        <v>322</v>
      </c>
      <c r="C7366">
        <v>3</v>
      </c>
      <c r="E7366" s="1">
        <v>323</v>
      </c>
    </row>
    <row r="7367" spans="1:5" x14ac:dyDescent="0.25">
      <c r="A7367">
        <v>145</v>
      </c>
      <c r="B7367">
        <f t="shared" si="3"/>
        <v>322</v>
      </c>
      <c r="C7367">
        <v>3</v>
      </c>
      <c r="E7367">
        <v>323</v>
      </c>
    </row>
    <row r="7368" spans="1:5" x14ac:dyDescent="0.25">
      <c r="A7368">
        <v>178</v>
      </c>
      <c r="B7368">
        <f t="shared" si="3"/>
        <v>322</v>
      </c>
      <c r="C7368">
        <v>1</v>
      </c>
      <c r="E7368" s="1">
        <v>323</v>
      </c>
    </row>
    <row r="7369" spans="1:5" x14ac:dyDescent="0.25">
      <c r="A7369">
        <v>200</v>
      </c>
      <c r="B7369">
        <f t="shared" si="3"/>
        <v>322</v>
      </c>
      <c r="C7369">
        <v>4</v>
      </c>
      <c r="E7369">
        <v>323</v>
      </c>
    </row>
    <row r="7370" spans="1:5" x14ac:dyDescent="0.25">
      <c r="A7370">
        <v>205</v>
      </c>
      <c r="B7370">
        <f t="shared" si="3"/>
        <v>322</v>
      </c>
      <c r="C7370">
        <v>3</v>
      </c>
      <c r="E7370" s="1">
        <v>323</v>
      </c>
    </row>
    <row r="7371" spans="1:5" x14ac:dyDescent="0.25">
      <c r="A7371">
        <v>205</v>
      </c>
      <c r="B7371">
        <f t="shared" si="3"/>
        <v>322</v>
      </c>
      <c r="C7371">
        <v>3</v>
      </c>
      <c r="E7371">
        <v>323</v>
      </c>
    </row>
    <row r="7372" spans="1:5" x14ac:dyDescent="0.25">
      <c r="A7372">
        <v>214</v>
      </c>
      <c r="B7372">
        <f t="shared" si="3"/>
        <v>322</v>
      </c>
      <c r="C7372">
        <v>4</v>
      </c>
      <c r="E7372" s="1">
        <v>323</v>
      </c>
    </row>
    <row r="7373" spans="1:5" x14ac:dyDescent="0.25">
      <c r="A7373">
        <v>219</v>
      </c>
      <c r="B7373">
        <f t="shared" si="3"/>
        <v>322</v>
      </c>
      <c r="C7373">
        <v>1</v>
      </c>
      <c r="E7373">
        <v>323</v>
      </c>
    </row>
    <row r="7374" spans="1:5" x14ac:dyDescent="0.25">
      <c r="A7374">
        <v>254</v>
      </c>
      <c r="B7374">
        <f t="shared" ref="B7374:B7437" si="4">E7374-1</f>
        <v>322</v>
      </c>
      <c r="C7374">
        <v>5</v>
      </c>
      <c r="E7374" s="1">
        <v>323</v>
      </c>
    </row>
    <row r="7375" spans="1:5" x14ac:dyDescent="0.25">
      <c r="A7375">
        <v>275</v>
      </c>
      <c r="B7375">
        <f t="shared" si="4"/>
        <v>322</v>
      </c>
      <c r="C7375">
        <v>4</v>
      </c>
      <c r="E7375">
        <v>323</v>
      </c>
    </row>
    <row r="7376" spans="1:5" x14ac:dyDescent="0.25">
      <c r="A7376">
        <v>283</v>
      </c>
      <c r="B7376">
        <f t="shared" si="4"/>
        <v>322</v>
      </c>
      <c r="C7376">
        <v>1</v>
      </c>
      <c r="E7376" s="1">
        <v>323</v>
      </c>
    </row>
    <row r="7377" spans="1:5" x14ac:dyDescent="0.25">
      <c r="A7377">
        <v>285</v>
      </c>
      <c r="B7377">
        <f t="shared" si="4"/>
        <v>322</v>
      </c>
      <c r="C7377">
        <v>1</v>
      </c>
      <c r="E7377">
        <v>323</v>
      </c>
    </row>
    <row r="7378" spans="1:5" x14ac:dyDescent="0.25">
      <c r="A7378">
        <v>289</v>
      </c>
      <c r="B7378">
        <f t="shared" si="4"/>
        <v>322</v>
      </c>
      <c r="C7378">
        <v>1</v>
      </c>
      <c r="E7378" s="1">
        <v>323</v>
      </c>
    </row>
    <row r="7379" spans="1:5" x14ac:dyDescent="0.25">
      <c r="A7379">
        <v>300</v>
      </c>
      <c r="B7379">
        <f t="shared" si="4"/>
        <v>322</v>
      </c>
      <c r="C7379">
        <v>1</v>
      </c>
      <c r="E7379">
        <v>323</v>
      </c>
    </row>
    <row r="7380" spans="1:5" x14ac:dyDescent="0.25">
      <c r="A7380">
        <v>31</v>
      </c>
      <c r="B7380">
        <f t="shared" si="4"/>
        <v>323</v>
      </c>
      <c r="C7380">
        <v>2</v>
      </c>
      <c r="E7380" s="1">
        <v>324</v>
      </c>
    </row>
    <row r="7381" spans="1:5" x14ac:dyDescent="0.25">
      <c r="A7381">
        <v>33</v>
      </c>
      <c r="B7381">
        <f t="shared" si="4"/>
        <v>323</v>
      </c>
      <c r="C7381">
        <v>3</v>
      </c>
      <c r="E7381">
        <v>324</v>
      </c>
    </row>
    <row r="7382" spans="1:5" x14ac:dyDescent="0.25">
      <c r="A7382">
        <v>37</v>
      </c>
      <c r="B7382">
        <f t="shared" si="4"/>
        <v>323</v>
      </c>
      <c r="C7382">
        <v>4</v>
      </c>
      <c r="E7382" s="1">
        <v>324</v>
      </c>
    </row>
    <row r="7383" spans="1:5" x14ac:dyDescent="0.25">
      <c r="A7383">
        <v>41</v>
      </c>
      <c r="B7383">
        <f t="shared" si="4"/>
        <v>323</v>
      </c>
      <c r="C7383">
        <v>2</v>
      </c>
      <c r="E7383">
        <v>324</v>
      </c>
    </row>
    <row r="7384" spans="1:5" x14ac:dyDescent="0.25">
      <c r="A7384">
        <v>42</v>
      </c>
      <c r="B7384">
        <f t="shared" si="4"/>
        <v>323</v>
      </c>
      <c r="C7384">
        <v>2</v>
      </c>
      <c r="E7384" s="1">
        <v>324</v>
      </c>
    </row>
    <row r="7385" spans="1:5" x14ac:dyDescent="0.25">
      <c r="A7385">
        <v>50</v>
      </c>
      <c r="B7385">
        <f t="shared" si="4"/>
        <v>323</v>
      </c>
      <c r="C7385">
        <v>2</v>
      </c>
      <c r="E7385">
        <v>324</v>
      </c>
    </row>
    <row r="7386" spans="1:5" x14ac:dyDescent="0.25">
      <c r="A7386">
        <v>58</v>
      </c>
      <c r="B7386">
        <f t="shared" si="4"/>
        <v>323</v>
      </c>
      <c r="C7386">
        <v>4</v>
      </c>
      <c r="E7386" s="1">
        <v>324</v>
      </c>
    </row>
    <row r="7387" spans="1:5" x14ac:dyDescent="0.25">
      <c r="A7387">
        <v>59</v>
      </c>
      <c r="B7387">
        <f t="shared" si="4"/>
        <v>323</v>
      </c>
      <c r="C7387">
        <v>1</v>
      </c>
      <c r="E7387">
        <v>324</v>
      </c>
    </row>
    <row r="7388" spans="1:5" x14ac:dyDescent="0.25">
      <c r="A7388">
        <v>77</v>
      </c>
      <c r="B7388">
        <f t="shared" si="4"/>
        <v>323</v>
      </c>
      <c r="C7388">
        <v>3</v>
      </c>
      <c r="E7388" s="1">
        <v>324</v>
      </c>
    </row>
    <row r="7389" spans="1:5" x14ac:dyDescent="0.25">
      <c r="A7389">
        <v>104</v>
      </c>
      <c r="B7389">
        <f t="shared" si="4"/>
        <v>323</v>
      </c>
      <c r="C7389">
        <v>3</v>
      </c>
      <c r="E7389">
        <v>324</v>
      </c>
    </row>
    <row r="7390" spans="1:5" x14ac:dyDescent="0.25">
      <c r="A7390">
        <v>114</v>
      </c>
      <c r="B7390">
        <f t="shared" si="4"/>
        <v>323</v>
      </c>
      <c r="C7390">
        <v>5</v>
      </c>
      <c r="E7390" s="1">
        <v>324</v>
      </c>
    </row>
    <row r="7391" spans="1:5" x14ac:dyDescent="0.25">
      <c r="A7391">
        <v>135</v>
      </c>
      <c r="B7391">
        <f t="shared" si="4"/>
        <v>323</v>
      </c>
      <c r="C7391">
        <v>3</v>
      </c>
      <c r="E7391">
        <v>324</v>
      </c>
    </row>
    <row r="7392" spans="1:5" x14ac:dyDescent="0.25">
      <c r="A7392">
        <v>154</v>
      </c>
      <c r="B7392">
        <f t="shared" si="4"/>
        <v>323</v>
      </c>
      <c r="C7392">
        <v>3</v>
      </c>
      <c r="E7392" s="1">
        <v>324</v>
      </c>
    </row>
    <row r="7393" spans="1:5" x14ac:dyDescent="0.25">
      <c r="A7393">
        <v>156</v>
      </c>
      <c r="B7393">
        <f t="shared" si="4"/>
        <v>323</v>
      </c>
      <c r="C7393">
        <v>5</v>
      </c>
      <c r="E7393">
        <v>324</v>
      </c>
    </row>
    <row r="7394" spans="1:5" x14ac:dyDescent="0.25">
      <c r="A7394">
        <v>159</v>
      </c>
      <c r="B7394">
        <f t="shared" si="4"/>
        <v>323</v>
      </c>
      <c r="C7394">
        <v>1</v>
      </c>
      <c r="E7394" s="1">
        <v>324</v>
      </c>
    </row>
    <row r="7395" spans="1:5" x14ac:dyDescent="0.25">
      <c r="A7395">
        <v>161</v>
      </c>
      <c r="B7395">
        <f t="shared" si="4"/>
        <v>323</v>
      </c>
      <c r="C7395">
        <v>5</v>
      </c>
      <c r="E7395">
        <v>324</v>
      </c>
    </row>
    <row r="7396" spans="1:5" x14ac:dyDescent="0.25">
      <c r="A7396">
        <v>216</v>
      </c>
      <c r="B7396">
        <f t="shared" si="4"/>
        <v>323</v>
      </c>
      <c r="C7396">
        <v>1</v>
      </c>
      <c r="E7396" s="1">
        <v>324</v>
      </c>
    </row>
    <row r="7397" spans="1:5" x14ac:dyDescent="0.25">
      <c r="A7397">
        <v>256</v>
      </c>
      <c r="B7397">
        <f t="shared" si="4"/>
        <v>323</v>
      </c>
      <c r="C7397">
        <v>2</v>
      </c>
      <c r="E7397">
        <v>324</v>
      </c>
    </row>
    <row r="7398" spans="1:5" x14ac:dyDescent="0.25">
      <c r="A7398">
        <v>266</v>
      </c>
      <c r="B7398">
        <f t="shared" si="4"/>
        <v>323</v>
      </c>
      <c r="C7398">
        <v>4</v>
      </c>
      <c r="E7398" s="1">
        <v>324</v>
      </c>
    </row>
    <row r="7399" spans="1:5" x14ac:dyDescent="0.25">
      <c r="A7399">
        <v>280</v>
      </c>
      <c r="B7399">
        <f t="shared" si="4"/>
        <v>323</v>
      </c>
      <c r="C7399">
        <v>4</v>
      </c>
      <c r="E7399">
        <v>324</v>
      </c>
    </row>
    <row r="7400" spans="1:5" x14ac:dyDescent="0.25">
      <c r="A7400">
        <v>285</v>
      </c>
      <c r="B7400">
        <f t="shared" si="4"/>
        <v>323</v>
      </c>
      <c r="C7400">
        <v>3</v>
      </c>
      <c r="E7400" s="1">
        <v>324</v>
      </c>
    </row>
    <row r="7401" spans="1:5" x14ac:dyDescent="0.25">
      <c r="A7401">
        <v>300</v>
      </c>
      <c r="B7401">
        <f t="shared" si="4"/>
        <v>323</v>
      </c>
      <c r="C7401">
        <v>3</v>
      </c>
      <c r="E7401">
        <v>324</v>
      </c>
    </row>
    <row r="7402" spans="1:5" x14ac:dyDescent="0.25">
      <c r="A7402">
        <v>14</v>
      </c>
      <c r="B7402">
        <f t="shared" si="4"/>
        <v>324</v>
      </c>
      <c r="C7402">
        <v>3</v>
      </c>
      <c r="E7402" s="1">
        <v>325</v>
      </c>
    </row>
    <row r="7403" spans="1:5" x14ac:dyDescent="0.25">
      <c r="A7403">
        <v>48</v>
      </c>
      <c r="B7403">
        <f t="shared" si="4"/>
        <v>324</v>
      </c>
      <c r="C7403">
        <v>1</v>
      </c>
      <c r="E7403">
        <v>325</v>
      </c>
    </row>
    <row r="7404" spans="1:5" x14ac:dyDescent="0.25">
      <c r="A7404">
        <v>52</v>
      </c>
      <c r="B7404">
        <f t="shared" si="4"/>
        <v>324</v>
      </c>
      <c r="C7404">
        <v>1</v>
      </c>
      <c r="E7404" s="1">
        <v>325</v>
      </c>
    </row>
    <row r="7405" spans="1:5" x14ac:dyDescent="0.25">
      <c r="A7405">
        <v>74</v>
      </c>
      <c r="B7405">
        <f t="shared" si="4"/>
        <v>324</v>
      </c>
      <c r="C7405">
        <v>3</v>
      </c>
      <c r="E7405">
        <v>325</v>
      </c>
    </row>
    <row r="7406" spans="1:5" x14ac:dyDescent="0.25">
      <c r="A7406">
        <v>98</v>
      </c>
      <c r="B7406">
        <f t="shared" si="4"/>
        <v>324</v>
      </c>
      <c r="C7406">
        <v>2</v>
      </c>
      <c r="E7406" s="1">
        <v>325</v>
      </c>
    </row>
    <row r="7407" spans="1:5" x14ac:dyDescent="0.25">
      <c r="A7407">
        <v>106</v>
      </c>
      <c r="B7407">
        <f t="shared" si="4"/>
        <v>324</v>
      </c>
      <c r="C7407">
        <v>2</v>
      </c>
      <c r="E7407">
        <v>325</v>
      </c>
    </row>
    <row r="7408" spans="1:5" x14ac:dyDescent="0.25">
      <c r="A7408">
        <v>114</v>
      </c>
      <c r="B7408">
        <f t="shared" si="4"/>
        <v>324</v>
      </c>
      <c r="C7408">
        <v>3</v>
      </c>
      <c r="E7408" s="1">
        <v>325</v>
      </c>
    </row>
    <row r="7409" spans="1:5" x14ac:dyDescent="0.25">
      <c r="A7409">
        <v>116</v>
      </c>
      <c r="B7409">
        <f t="shared" si="4"/>
        <v>324</v>
      </c>
      <c r="C7409">
        <v>1</v>
      </c>
      <c r="E7409">
        <v>325</v>
      </c>
    </row>
    <row r="7410" spans="1:5" x14ac:dyDescent="0.25">
      <c r="A7410">
        <v>120</v>
      </c>
      <c r="B7410">
        <f t="shared" si="4"/>
        <v>324</v>
      </c>
      <c r="C7410">
        <v>2</v>
      </c>
      <c r="E7410" s="1">
        <v>325</v>
      </c>
    </row>
    <row r="7411" spans="1:5" x14ac:dyDescent="0.25">
      <c r="A7411">
        <v>126</v>
      </c>
      <c r="B7411">
        <f t="shared" si="4"/>
        <v>324</v>
      </c>
      <c r="C7411">
        <v>5</v>
      </c>
      <c r="E7411">
        <v>325</v>
      </c>
    </row>
    <row r="7412" spans="1:5" x14ac:dyDescent="0.25">
      <c r="A7412">
        <v>131</v>
      </c>
      <c r="B7412">
        <f t="shared" si="4"/>
        <v>324</v>
      </c>
      <c r="C7412">
        <v>4</v>
      </c>
      <c r="E7412" s="1">
        <v>325</v>
      </c>
    </row>
    <row r="7413" spans="1:5" x14ac:dyDescent="0.25">
      <c r="A7413">
        <v>146</v>
      </c>
      <c r="B7413">
        <f t="shared" si="4"/>
        <v>324</v>
      </c>
      <c r="C7413">
        <v>5</v>
      </c>
      <c r="E7413">
        <v>325</v>
      </c>
    </row>
    <row r="7414" spans="1:5" x14ac:dyDescent="0.25">
      <c r="A7414">
        <v>158</v>
      </c>
      <c r="B7414">
        <f t="shared" si="4"/>
        <v>324</v>
      </c>
      <c r="C7414">
        <v>5</v>
      </c>
      <c r="E7414" s="1">
        <v>325</v>
      </c>
    </row>
    <row r="7415" spans="1:5" x14ac:dyDescent="0.25">
      <c r="A7415">
        <v>163</v>
      </c>
      <c r="B7415">
        <f t="shared" si="4"/>
        <v>324</v>
      </c>
      <c r="C7415">
        <v>5</v>
      </c>
      <c r="E7415">
        <v>325</v>
      </c>
    </row>
    <row r="7416" spans="1:5" x14ac:dyDescent="0.25">
      <c r="A7416">
        <v>170</v>
      </c>
      <c r="B7416">
        <f t="shared" si="4"/>
        <v>324</v>
      </c>
      <c r="C7416">
        <v>1</v>
      </c>
      <c r="E7416" s="1">
        <v>325</v>
      </c>
    </row>
    <row r="7417" spans="1:5" x14ac:dyDescent="0.25">
      <c r="A7417">
        <v>172</v>
      </c>
      <c r="B7417">
        <f t="shared" si="4"/>
        <v>324</v>
      </c>
      <c r="C7417">
        <v>5</v>
      </c>
      <c r="E7417">
        <v>325</v>
      </c>
    </row>
    <row r="7418" spans="1:5" x14ac:dyDescent="0.25">
      <c r="A7418">
        <v>205</v>
      </c>
      <c r="B7418">
        <f t="shared" si="4"/>
        <v>324</v>
      </c>
      <c r="C7418">
        <v>2</v>
      </c>
      <c r="E7418" s="1">
        <v>325</v>
      </c>
    </row>
    <row r="7419" spans="1:5" x14ac:dyDescent="0.25">
      <c r="A7419">
        <v>224</v>
      </c>
      <c r="B7419">
        <f t="shared" si="4"/>
        <v>324</v>
      </c>
      <c r="C7419">
        <v>5</v>
      </c>
      <c r="E7419">
        <v>325</v>
      </c>
    </row>
    <row r="7420" spans="1:5" x14ac:dyDescent="0.25">
      <c r="A7420">
        <v>242</v>
      </c>
      <c r="B7420">
        <f t="shared" si="4"/>
        <v>324</v>
      </c>
      <c r="C7420">
        <v>3</v>
      </c>
      <c r="E7420" s="1">
        <v>325</v>
      </c>
    </row>
    <row r="7421" spans="1:5" x14ac:dyDescent="0.25">
      <c r="A7421">
        <v>246</v>
      </c>
      <c r="B7421">
        <f t="shared" si="4"/>
        <v>324</v>
      </c>
      <c r="C7421">
        <v>3</v>
      </c>
      <c r="E7421">
        <v>325</v>
      </c>
    </row>
    <row r="7422" spans="1:5" x14ac:dyDescent="0.25">
      <c r="A7422">
        <v>247</v>
      </c>
      <c r="B7422">
        <f t="shared" si="4"/>
        <v>324</v>
      </c>
      <c r="C7422">
        <v>5</v>
      </c>
      <c r="E7422" s="1">
        <v>325</v>
      </c>
    </row>
    <row r="7423" spans="1:5" x14ac:dyDescent="0.25">
      <c r="A7423">
        <v>251</v>
      </c>
      <c r="B7423">
        <f t="shared" si="4"/>
        <v>324</v>
      </c>
      <c r="C7423">
        <v>1</v>
      </c>
      <c r="E7423">
        <v>325</v>
      </c>
    </row>
    <row r="7424" spans="1:5" x14ac:dyDescent="0.25">
      <c r="A7424">
        <v>253</v>
      </c>
      <c r="B7424">
        <f t="shared" si="4"/>
        <v>324</v>
      </c>
      <c r="C7424">
        <v>4</v>
      </c>
      <c r="E7424" s="1">
        <v>325</v>
      </c>
    </row>
    <row r="7425" spans="1:5" x14ac:dyDescent="0.25">
      <c r="A7425">
        <v>260</v>
      </c>
      <c r="B7425">
        <f t="shared" si="4"/>
        <v>324</v>
      </c>
      <c r="C7425">
        <v>5</v>
      </c>
      <c r="E7425">
        <v>325</v>
      </c>
    </row>
    <row r="7426" spans="1:5" x14ac:dyDescent="0.25">
      <c r="A7426">
        <v>267</v>
      </c>
      <c r="B7426">
        <f t="shared" si="4"/>
        <v>324</v>
      </c>
      <c r="C7426">
        <v>1</v>
      </c>
      <c r="E7426" s="1">
        <v>325</v>
      </c>
    </row>
    <row r="7427" spans="1:5" x14ac:dyDescent="0.25">
      <c r="A7427">
        <v>289</v>
      </c>
      <c r="B7427">
        <f t="shared" si="4"/>
        <v>324</v>
      </c>
      <c r="C7427">
        <v>1</v>
      </c>
      <c r="E7427">
        <v>325</v>
      </c>
    </row>
    <row r="7428" spans="1:5" x14ac:dyDescent="0.25">
      <c r="A7428">
        <v>294</v>
      </c>
      <c r="B7428">
        <f t="shared" si="4"/>
        <v>324</v>
      </c>
      <c r="C7428">
        <v>1</v>
      </c>
      <c r="E7428" s="1">
        <v>325</v>
      </c>
    </row>
    <row r="7429" spans="1:5" x14ac:dyDescent="0.25">
      <c r="A7429">
        <v>25</v>
      </c>
      <c r="B7429">
        <f t="shared" si="4"/>
        <v>325</v>
      </c>
      <c r="C7429">
        <v>3</v>
      </c>
      <c r="E7429">
        <v>326</v>
      </c>
    </row>
    <row r="7430" spans="1:5" x14ac:dyDescent="0.25">
      <c r="A7430">
        <v>37</v>
      </c>
      <c r="B7430">
        <f t="shared" si="4"/>
        <v>325</v>
      </c>
      <c r="C7430">
        <v>3</v>
      </c>
      <c r="E7430" s="1">
        <v>326</v>
      </c>
    </row>
    <row r="7431" spans="1:5" x14ac:dyDescent="0.25">
      <c r="A7431">
        <v>38</v>
      </c>
      <c r="B7431">
        <f t="shared" si="4"/>
        <v>325</v>
      </c>
      <c r="C7431">
        <v>5</v>
      </c>
      <c r="E7431">
        <v>326</v>
      </c>
    </row>
    <row r="7432" spans="1:5" x14ac:dyDescent="0.25">
      <c r="A7432">
        <v>78</v>
      </c>
      <c r="B7432">
        <f t="shared" si="4"/>
        <v>325</v>
      </c>
      <c r="C7432">
        <v>4</v>
      </c>
      <c r="E7432" s="1">
        <v>326</v>
      </c>
    </row>
    <row r="7433" spans="1:5" x14ac:dyDescent="0.25">
      <c r="A7433">
        <v>90</v>
      </c>
      <c r="B7433">
        <f t="shared" si="4"/>
        <v>325</v>
      </c>
      <c r="C7433">
        <v>2</v>
      </c>
      <c r="E7433">
        <v>326</v>
      </c>
    </row>
    <row r="7434" spans="1:5" x14ac:dyDescent="0.25">
      <c r="A7434">
        <v>100</v>
      </c>
      <c r="B7434">
        <f t="shared" si="4"/>
        <v>325</v>
      </c>
      <c r="C7434">
        <v>1</v>
      </c>
      <c r="E7434" s="1">
        <v>326</v>
      </c>
    </row>
    <row r="7435" spans="1:5" x14ac:dyDescent="0.25">
      <c r="A7435">
        <v>125</v>
      </c>
      <c r="B7435">
        <f t="shared" si="4"/>
        <v>325</v>
      </c>
      <c r="C7435">
        <v>1</v>
      </c>
      <c r="E7435">
        <v>326</v>
      </c>
    </row>
    <row r="7436" spans="1:5" x14ac:dyDescent="0.25">
      <c r="A7436">
        <v>159</v>
      </c>
      <c r="B7436">
        <f t="shared" si="4"/>
        <v>325</v>
      </c>
      <c r="C7436">
        <v>1</v>
      </c>
      <c r="E7436" s="1">
        <v>326</v>
      </c>
    </row>
    <row r="7437" spans="1:5" x14ac:dyDescent="0.25">
      <c r="A7437">
        <v>161</v>
      </c>
      <c r="B7437">
        <f t="shared" si="4"/>
        <v>325</v>
      </c>
      <c r="C7437">
        <v>3</v>
      </c>
      <c r="E7437">
        <v>326</v>
      </c>
    </row>
    <row r="7438" spans="1:5" x14ac:dyDescent="0.25">
      <c r="A7438">
        <v>168</v>
      </c>
      <c r="B7438">
        <f t="shared" ref="B7438:B7501" si="5">E7438-1</f>
        <v>325</v>
      </c>
      <c r="C7438">
        <v>4</v>
      </c>
      <c r="E7438" s="1">
        <v>326</v>
      </c>
    </row>
    <row r="7439" spans="1:5" x14ac:dyDescent="0.25">
      <c r="A7439">
        <v>168</v>
      </c>
      <c r="B7439">
        <f t="shared" si="5"/>
        <v>325</v>
      </c>
      <c r="C7439">
        <v>3</v>
      </c>
      <c r="E7439">
        <v>326</v>
      </c>
    </row>
    <row r="7440" spans="1:5" x14ac:dyDescent="0.25">
      <c r="A7440">
        <v>187</v>
      </c>
      <c r="B7440">
        <f t="shared" si="5"/>
        <v>325</v>
      </c>
      <c r="C7440">
        <v>2</v>
      </c>
      <c r="E7440" s="1">
        <v>326</v>
      </c>
    </row>
    <row r="7441" spans="1:5" x14ac:dyDescent="0.25">
      <c r="A7441">
        <v>202</v>
      </c>
      <c r="B7441">
        <f t="shared" si="5"/>
        <v>325</v>
      </c>
      <c r="C7441">
        <v>4</v>
      </c>
      <c r="E7441">
        <v>326</v>
      </c>
    </row>
    <row r="7442" spans="1:5" x14ac:dyDescent="0.25">
      <c r="A7442">
        <v>208</v>
      </c>
      <c r="B7442">
        <f t="shared" si="5"/>
        <v>325</v>
      </c>
      <c r="C7442">
        <v>3</v>
      </c>
      <c r="E7442" s="1">
        <v>326</v>
      </c>
    </row>
    <row r="7443" spans="1:5" x14ac:dyDescent="0.25">
      <c r="A7443">
        <v>210</v>
      </c>
      <c r="B7443">
        <f t="shared" si="5"/>
        <v>325</v>
      </c>
      <c r="C7443">
        <v>2</v>
      </c>
      <c r="E7443">
        <v>326</v>
      </c>
    </row>
    <row r="7444" spans="1:5" x14ac:dyDescent="0.25">
      <c r="A7444">
        <v>244</v>
      </c>
      <c r="B7444">
        <f t="shared" si="5"/>
        <v>325</v>
      </c>
      <c r="C7444">
        <v>5</v>
      </c>
      <c r="E7444" s="1">
        <v>326</v>
      </c>
    </row>
    <row r="7445" spans="1:5" x14ac:dyDescent="0.25">
      <c r="A7445">
        <v>267</v>
      </c>
      <c r="B7445">
        <f t="shared" si="5"/>
        <v>325</v>
      </c>
      <c r="C7445">
        <v>2</v>
      </c>
      <c r="E7445">
        <v>326</v>
      </c>
    </row>
    <row r="7446" spans="1:5" x14ac:dyDescent="0.25">
      <c r="A7446">
        <v>268</v>
      </c>
      <c r="B7446">
        <f t="shared" si="5"/>
        <v>325</v>
      </c>
      <c r="C7446">
        <v>2</v>
      </c>
      <c r="E7446" s="1">
        <v>326</v>
      </c>
    </row>
    <row r="7447" spans="1:5" x14ac:dyDescent="0.25">
      <c r="A7447">
        <v>278</v>
      </c>
      <c r="B7447">
        <f t="shared" si="5"/>
        <v>325</v>
      </c>
      <c r="C7447">
        <v>1</v>
      </c>
      <c r="E7447">
        <v>326</v>
      </c>
    </row>
    <row r="7448" spans="1:5" x14ac:dyDescent="0.25">
      <c r="A7448">
        <v>294</v>
      </c>
      <c r="B7448">
        <f t="shared" si="5"/>
        <v>325</v>
      </c>
      <c r="C7448">
        <v>2</v>
      </c>
      <c r="E7448" s="1">
        <v>326</v>
      </c>
    </row>
    <row r="7449" spans="1:5" x14ac:dyDescent="0.25">
      <c r="A7449">
        <v>19</v>
      </c>
      <c r="B7449">
        <f t="shared" si="5"/>
        <v>326</v>
      </c>
      <c r="C7449">
        <v>4</v>
      </c>
      <c r="E7449">
        <v>327</v>
      </c>
    </row>
    <row r="7450" spans="1:5" x14ac:dyDescent="0.25">
      <c r="A7450">
        <v>20</v>
      </c>
      <c r="B7450">
        <f t="shared" si="5"/>
        <v>326</v>
      </c>
      <c r="C7450">
        <v>5</v>
      </c>
      <c r="E7450" s="1">
        <v>327</v>
      </c>
    </row>
    <row r="7451" spans="1:5" x14ac:dyDescent="0.25">
      <c r="A7451">
        <v>24</v>
      </c>
      <c r="B7451">
        <f t="shared" si="5"/>
        <v>326</v>
      </c>
      <c r="C7451">
        <v>2</v>
      </c>
      <c r="E7451">
        <v>327</v>
      </c>
    </row>
    <row r="7452" spans="1:5" x14ac:dyDescent="0.25">
      <c r="A7452">
        <v>31</v>
      </c>
      <c r="B7452">
        <f t="shared" si="5"/>
        <v>326</v>
      </c>
      <c r="C7452">
        <v>2</v>
      </c>
      <c r="E7452" s="1">
        <v>327</v>
      </c>
    </row>
    <row r="7453" spans="1:5" x14ac:dyDescent="0.25">
      <c r="A7453">
        <v>58</v>
      </c>
      <c r="B7453">
        <f t="shared" si="5"/>
        <v>326</v>
      </c>
      <c r="C7453">
        <v>3</v>
      </c>
      <c r="E7453">
        <v>327</v>
      </c>
    </row>
    <row r="7454" spans="1:5" x14ac:dyDescent="0.25">
      <c r="A7454">
        <v>69</v>
      </c>
      <c r="B7454">
        <f t="shared" si="5"/>
        <v>326</v>
      </c>
      <c r="C7454">
        <v>3</v>
      </c>
      <c r="E7454" s="1">
        <v>327</v>
      </c>
    </row>
    <row r="7455" spans="1:5" x14ac:dyDescent="0.25">
      <c r="A7455">
        <v>75</v>
      </c>
      <c r="B7455">
        <f t="shared" si="5"/>
        <v>326</v>
      </c>
      <c r="C7455">
        <v>4</v>
      </c>
      <c r="E7455">
        <v>327</v>
      </c>
    </row>
    <row r="7456" spans="1:5" x14ac:dyDescent="0.25">
      <c r="A7456">
        <v>101</v>
      </c>
      <c r="B7456">
        <f t="shared" si="5"/>
        <v>326</v>
      </c>
      <c r="C7456">
        <v>3</v>
      </c>
      <c r="E7456" s="1">
        <v>327</v>
      </c>
    </row>
    <row r="7457" spans="1:5" x14ac:dyDescent="0.25">
      <c r="A7457">
        <v>102</v>
      </c>
      <c r="B7457">
        <f t="shared" si="5"/>
        <v>326</v>
      </c>
      <c r="C7457">
        <v>2</v>
      </c>
      <c r="E7457">
        <v>327</v>
      </c>
    </row>
    <row r="7458" spans="1:5" x14ac:dyDescent="0.25">
      <c r="A7458">
        <v>154</v>
      </c>
      <c r="B7458">
        <f t="shared" si="5"/>
        <v>326</v>
      </c>
      <c r="C7458">
        <v>5</v>
      </c>
      <c r="E7458" s="1">
        <v>327</v>
      </c>
    </row>
    <row r="7459" spans="1:5" x14ac:dyDescent="0.25">
      <c r="A7459">
        <v>171</v>
      </c>
      <c r="B7459">
        <f t="shared" si="5"/>
        <v>326</v>
      </c>
      <c r="C7459">
        <v>1</v>
      </c>
      <c r="E7459">
        <v>327</v>
      </c>
    </row>
    <row r="7460" spans="1:5" x14ac:dyDescent="0.25">
      <c r="A7460">
        <v>179</v>
      </c>
      <c r="B7460">
        <f t="shared" si="5"/>
        <v>326</v>
      </c>
      <c r="C7460">
        <v>1</v>
      </c>
      <c r="E7460" s="1">
        <v>327</v>
      </c>
    </row>
    <row r="7461" spans="1:5" x14ac:dyDescent="0.25">
      <c r="A7461">
        <v>180</v>
      </c>
      <c r="B7461">
        <f t="shared" si="5"/>
        <v>326</v>
      </c>
      <c r="C7461">
        <v>2</v>
      </c>
      <c r="E7461">
        <v>327</v>
      </c>
    </row>
    <row r="7462" spans="1:5" x14ac:dyDescent="0.25">
      <c r="A7462">
        <v>223</v>
      </c>
      <c r="B7462">
        <f t="shared" si="5"/>
        <v>326</v>
      </c>
      <c r="C7462">
        <v>3</v>
      </c>
      <c r="E7462" s="1">
        <v>327</v>
      </c>
    </row>
    <row r="7463" spans="1:5" x14ac:dyDescent="0.25">
      <c r="A7463">
        <v>226</v>
      </c>
      <c r="B7463">
        <f t="shared" si="5"/>
        <v>326</v>
      </c>
      <c r="C7463">
        <v>4</v>
      </c>
      <c r="E7463">
        <v>327</v>
      </c>
    </row>
    <row r="7464" spans="1:5" x14ac:dyDescent="0.25">
      <c r="A7464">
        <v>256</v>
      </c>
      <c r="B7464">
        <f t="shared" si="5"/>
        <v>326</v>
      </c>
      <c r="C7464">
        <v>5</v>
      </c>
      <c r="E7464" s="1">
        <v>327</v>
      </c>
    </row>
    <row r="7465" spans="1:5" x14ac:dyDescent="0.25">
      <c r="A7465">
        <v>274</v>
      </c>
      <c r="B7465">
        <f t="shared" si="5"/>
        <v>326</v>
      </c>
      <c r="C7465">
        <v>5</v>
      </c>
      <c r="E7465">
        <v>327</v>
      </c>
    </row>
    <row r="7466" spans="1:5" x14ac:dyDescent="0.25">
      <c r="A7466">
        <v>285</v>
      </c>
      <c r="B7466">
        <f t="shared" si="5"/>
        <v>326</v>
      </c>
      <c r="C7466">
        <v>4</v>
      </c>
      <c r="E7466" s="1">
        <v>327</v>
      </c>
    </row>
    <row r="7467" spans="1:5" x14ac:dyDescent="0.25">
      <c r="A7467">
        <v>289</v>
      </c>
      <c r="B7467">
        <f t="shared" si="5"/>
        <v>326</v>
      </c>
      <c r="C7467">
        <v>2</v>
      </c>
      <c r="E7467">
        <v>327</v>
      </c>
    </row>
    <row r="7468" spans="1:5" x14ac:dyDescent="0.25">
      <c r="A7468">
        <v>1</v>
      </c>
      <c r="B7468">
        <f t="shared" si="5"/>
        <v>327</v>
      </c>
      <c r="C7468">
        <v>2</v>
      </c>
      <c r="E7468" s="1">
        <v>328</v>
      </c>
    </row>
    <row r="7469" spans="1:5" x14ac:dyDescent="0.25">
      <c r="A7469">
        <v>1</v>
      </c>
      <c r="B7469">
        <f t="shared" si="5"/>
        <v>327</v>
      </c>
      <c r="C7469">
        <v>2</v>
      </c>
      <c r="E7469">
        <v>328</v>
      </c>
    </row>
    <row r="7470" spans="1:5" x14ac:dyDescent="0.25">
      <c r="A7470">
        <v>14</v>
      </c>
      <c r="B7470">
        <f t="shared" si="5"/>
        <v>327</v>
      </c>
      <c r="C7470">
        <v>5</v>
      </c>
      <c r="E7470" s="1">
        <v>328</v>
      </c>
    </row>
    <row r="7471" spans="1:5" x14ac:dyDescent="0.25">
      <c r="A7471">
        <v>25</v>
      </c>
      <c r="B7471">
        <f t="shared" si="5"/>
        <v>327</v>
      </c>
      <c r="C7471">
        <v>4</v>
      </c>
      <c r="E7471">
        <v>328</v>
      </c>
    </row>
    <row r="7472" spans="1:5" x14ac:dyDescent="0.25">
      <c r="A7472">
        <v>29</v>
      </c>
      <c r="B7472">
        <f t="shared" si="5"/>
        <v>327</v>
      </c>
      <c r="C7472">
        <v>5</v>
      </c>
      <c r="E7472" s="1">
        <v>328</v>
      </c>
    </row>
    <row r="7473" spans="1:5" x14ac:dyDescent="0.25">
      <c r="A7473">
        <v>31</v>
      </c>
      <c r="B7473">
        <f t="shared" si="5"/>
        <v>327</v>
      </c>
      <c r="C7473">
        <v>3</v>
      </c>
      <c r="E7473">
        <v>328</v>
      </c>
    </row>
    <row r="7474" spans="1:5" x14ac:dyDescent="0.25">
      <c r="A7474">
        <v>32</v>
      </c>
      <c r="B7474">
        <f t="shared" si="5"/>
        <v>327</v>
      </c>
      <c r="C7474">
        <v>3</v>
      </c>
      <c r="E7474" s="1">
        <v>328</v>
      </c>
    </row>
    <row r="7475" spans="1:5" x14ac:dyDescent="0.25">
      <c r="A7475">
        <v>35</v>
      </c>
      <c r="B7475">
        <f t="shared" si="5"/>
        <v>327</v>
      </c>
      <c r="C7475">
        <v>4</v>
      </c>
      <c r="E7475">
        <v>328</v>
      </c>
    </row>
    <row r="7476" spans="1:5" x14ac:dyDescent="0.25">
      <c r="A7476">
        <v>61</v>
      </c>
      <c r="B7476">
        <f t="shared" si="5"/>
        <v>327</v>
      </c>
      <c r="C7476">
        <v>1</v>
      </c>
      <c r="E7476" s="1">
        <v>328</v>
      </c>
    </row>
    <row r="7477" spans="1:5" x14ac:dyDescent="0.25">
      <c r="A7477">
        <v>69</v>
      </c>
      <c r="B7477">
        <f t="shared" si="5"/>
        <v>327</v>
      </c>
      <c r="C7477">
        <v>5</v>
      </c>
      <c r="E7477">
        <v>328</v>
      </c>
    </row>
    <row r="7478" spans="1:5" x14ac:dyDescent="0.25">
      <c r="A7478">
        <v>90</v>
      </c>
      <c r="B7478">
        <f t="shared" si="5"/>
        <v>327</v>
      </c>
      <c r="C7478">
        <v>3</v>
      </c>
      <c r="E7478" s="1">
        <v>328</v>
      </c>
    </row>
    <row r="7479" spans="1:5" x14ac:dyDescent="0.25">
      <c r="A7479">
        <v>105</v>
      </c>
      <c r="B7479">
        <f t="shared" si="5"/>
        <v>327</v>
      </c>
      <c r="C7479">
        <v>5</v>
      </c>
      <c r="E7479">
        <v>328</v>
      </c>
    </row>
    <row r="7480" spans="1:5" x14ac:dyDescent="0.25">
      <c r="A7480">
        <v>111</v>
      </c>
      <c r="B7480">
        <f t="shared" si="5"/>
        <v>327</v>
      </c>
      <c r="C7480">
        <v>3</v>
      </c>
      <c r="E7480" s="1">
        <v>328</v>
      </c>
    </row>
    <row r="7481" spans="1:5" x14ac:dyDescent="0.25">
      <c r="A7481">
        <v>166</v>
      </c>
      <c r="B7481">
        <f t="shared" si="5"/>
        <v>327</v>
      </c>
      <c r="C7481">
        <v>5</v>
      </c>
      <c r="E7481">
        <v>328</v>
      </c>
    </row>
    <row r="7482" spans="1:5" x14ac:dyDescent="0.25">
      <c r="A7482">
        <v>175</v>
      </c>
      <c r="B7482">
        <f t="shared" si="5"/>
        <v>327</v>
      </c>
      <c r="C7482">
        <v>1</v>
      </c>
      <c r="E7482" s="1">
        <v>328</v>
      </c>
    </row>
    <row r="7483" spans="1:5" x14ac:dyDescent="0.25">
      <c r="A7483">
        <v>189</v>
      </c>
      <c r="B7483">
        <f t="shared" si="5"/>
        <v>327</v>
      </c>
      <c r="C7483">
        <v>5</v>
      </c>
      <c r="E7483">
        <v>328</v>
      </c>
    </row>
    <row r="7484" spans="1:5" x14ac:dyDescent="0.25">
      <c r="A7484">
        <v>200</v>
      </c>
      <c r="B7484">
        <f t="shared" si="5"/>
        <v>327</v>
      </c>
      <c r="C7484">
        <v>3</v>
      </c>
      <c r="E7484" s="1">
        <v>328</v>
      </c>
    </row>
    <row r="7485" spans="1:5" x14ac:dyDescent="0.25">
      <c r="A7485">
        <v>215</v>
      </c>
      <c r="B7485">
        <f t="shared" si="5"/>
        <v>327</v>
      </c>
      <c r="C7485">
        <v>2</v>
      </c>
      <c r="E7485">
        <v>328</v>
      </c>
    </row>
    <row r="7486" spans="1:5" x14ac:dyDescent="0.25">
      <c r="A7486">
        <v>227</v>
      </c>
      <c r="B7486">
        <f t="shared" si="5"/>
        <v>327</v>
      </c>
      <c r="C7486">
        <v>2</v>
      </c>
      <c r="E7486" s="1">
        <v>328</v>
      </c>
    </row>
    <row r="7487" spans="1:5" x14ac:dyDescent="0.25">
      <c r="A7487">
        <v>245</v>
      </c>
      <c r="B7487">
        <f t="shared" si="5"/>
        <v>327</v>
      </c>
      <c r="C7487">
        <v>3</v>
      </c>
      <c r="E7487">
        <v>328</v>
      </c>
    </row>
    <row r="7488" spans="1:5" x14ac:dyDescent="0.25">
      <c r="A7488">
        <v>252</v>
      </c>
      <c r="B7488">
        <f t="shared" si="5"/>
        <v>327</v>
      </c>
      <c r="C7488">
        <v>1</v>
      </c>
      <c r="E7488" s="1">
        <v>328</v>
      </c>
    </row>
    <row r="7489" spans="1:5" x14ac:dyDescent="0.25">
      <c r="A7489">
        <v>273</v>
      </c>
      <c r="B7489">
        <f t="shared" si="5"/>
        <v>327</v>
      </c>
      <c r="C7489">
        <v>4</v>
      </c>
      <c r="E7489">
        <v>328</v>
      </c>
    </row>
    <row r="7490" spans="1:5" x14ac:dyDescent="0.25">
      <c r="A7490">
        <v>273</v>
      </c>
      <c r="B7490">
        <f t="shared" si="5"/>
        <v>327</v>
      </c>
      <c r="C7490">
        <v>4</v>
      </c>
      <c r="E7490" s="1">
        <v>328</v>
      </c>
    </row>
    <row r="7491" spans="1:5" x14ac:dyDescent="0.25">
      <c r="A7491">
        <v>281</v>
      </c>
      <c r="B7491">
        <f t="shared" si="5"/>
        <v>327</v>
      </c>
      <c r="C7491">
        <v>2</v>
      </c>
      <c r="E7491">
        <v>328</v>
      </c>
    </row>
    <row r="7492" spans="1:5" x14ac:dyDescent="0.25">
      <c r="A7492">
        <v>294</v>
      </c>
      <c r="B7492">
        <f t="shared" si="5"/>
        <v>327</v>
      </c>
      <c r="C7492">
        <v>2</v>
      </c>
      <c r="E7492" s="1">
        <v>328</v>
      </c>
    </row>
    <row r="7493" spans="1:5" x14ac:dyDescent="0.25">
      <c r="A7493">
        <v>299</v>
      </c>
      <c r="B7493">
        <f t="shared" si="5"/>
        <v>327</v>
      </c>
      <c r="C7493">
        <v>2</v>
      </c>
      <c r="E7493">
        <v>328</v>
      </c>
    </row>
    <row r="7494" spans="1:5" x14ac:dyDescent="0.25">
      <c r="A7494">
        <v>31</v>
      </c>
      <c r="B7494">
        <f t="shared" si="5"/>
        <v>328</v>
      </c>
      <c r="C7494">
        <v>3</v>
      </c>
      <c r="E7494" s="1">
        <v>329</v>
      </c>
    </row>
    <row r="7495" spans="1:5" x14ac:dyDescent="0.25">
      <c r="A7495">
        <v>52</v>
      </c>
      <c r="B7495">
        <f t="shared" si="5"/>
        <v>328</v>
      </c>
      <c r="C7495">
        <v>2</v>
      </c>
      <c r="E7495">
        <v>329</v>
      </c>
    </row>
    <row r="7496" spans="1:5" x14ac:dyDescent="0.25">
      <c r="A7496">
        <v>61</v>
      </c>
      <c r="B7496">
        <f t="shared" si="5"/>
        <v>328</v>
      </c>
      <c r="C7496">
        <v>1</v>
      </c>
      <c r="E7496" s="1">
        <v>329</v>
      </c>
    </row>
    <row r="7497" spans="1:5" x14ac:dyDescent="0.25">
      <c r="A7497">
        <v>65</v>
      </c>
      <c r="B7497">
        <f t="shared" si="5"/>
        <v>328</v>
      </c>
      <c r="C7497">
        <v>3</v>
      </c>
      <c r="E7497">
        <v>329</v>
      </c>
    </row>
    <row r="7498" spans="1:5" x14ac:dyDescent="0.25">
      <c r="A7498">
        <v>66</v>
      </c>
      <c r="B7498">
        <f t="shared" si="5"/>
        <v>328</v>
      </c>
      <c r="C7498">
        <v>1</v>
      </c>
      <c r="E7498" s="1">
        <v>329</v>
      </c>
    </row>
    <row r="7499" spans="1:5" x14ac:dyDescent="0.25">
      <c r="A7499">
        <v>73</v>
      </c>
      <c r="B7499">
        <f t="shared" si="5"/>
        <v>328</v>
      </c>
      <c r="C7499">
        <v>5</v>
      </c>
      <c r="E7499">
        <v>329</v>
      </c>
    </row>
    <row r="7500" spans="1:5" x14ac:dyDescent="0.25">
      <c r="A7500">
        <v>79</v>
      </c>
      <c r="B7500">
        <f t="shared" si="5"/>
        <v>328</v>
      </c>
      <c r="C7500">
        <v>4</v>
      </c>
      <c r="E7500" s="1">
        <v>329</v>
      </c>
    </row>
    <row r="7501" spans="1:5" x14ac:dyDescent="0.25">
      <c r="A7501">
        <v>93</v>
      </c>
      <c r="B7501">
        <f t="shared" si="5"/>
        <v>328</v>
      </c>
      <c r="C7501">
        <v>4</v>
      </c>
      <c r="E7501">
        <v>329</v>
      </c>
    </row>
    <row r="7502" spans="1:5" x14ac:dyDescent="0.25">
      <c r="A7502">
        <v>103</v>
      </c>
      <c r="B7502">
        <f t="shared" ref="B7502:B7565" si="6">E7502-1</f>
        <v>328</v>
      </c>
      <c r="C7502">
        <v>3</v>
      </c>
      <c r="E7502" s="1">
        <v>329</v>
      </c>
    </row>
    <row r="7503" spans="1:5" x14ac:dyDescent="0.25">
      <c r="A7503">
        <v>105</v>
      </c>
      <c r="B7503">
        <f t="shared" si="6"/>
        <v>328</v>
      </c>
      <c r="C7503">
        <v>2</v>
      </c>
      <c r="E7503">
        <v>329</v>
      </c>
    </row>
    <row r="7504" spans="1:5" x14ac:dyDescent="0.25">
      <c r="A7504">
        <v>107</v>
      </c>
      <c r="B7504">
        <f t="shared" si="6"/>
        <v>328</v>
      </c>
      <c r="C7504">
        <v>2</v>
      </c>
      <c r="E7504" s="1">
        <v>329</v>
      </c>
    </row>
    <row r="7505" spans="1:5" x14ac:dyDescent="0.25">
      <c r="A7505">
        <v>124</v>
      </c>
      <c r="B7505">
        <f t="shared" si="6"/>
        <v>328</v>
      </c>
      <c r="C7505">
        <v>4</v>
      </c>
      <c r="E7505">
        <v>329</v>
      </c>
    </row>
    <row r="7506" spans="1:5" x14ac:dyDescent="0.25">
      <c r="A7506">
        <v>131</v>
      </c>
      <c r="B7506">
        <f t="shared" si="6"/>
        <v>328</v>
      </c>
      <c r="C7506">
        <v>3</v>
      </c>
      <c r="E7506" s="1">
        <v>329</v>
      </c>
    </row>
    <row r="7507" spans="1:5" x14ac:dyDescent="0.25">
      <c r="A7507">
        <v>142</v>
      </c>
      <c r="B7507">
        <f t="shared" si="6"/>
        <v>328</v>
      </c>
      <c r="C7507">
        <v>2</v>
      </c>
      <c r="E7507">
        <v>329</v>
      </c>
    </row>
    <row r="7508" spans="1:5" x14ac:dyDescent="0.25">
      <c r="A7508">
        <v>145</v>
      </c>
      <c r="B7508">
        <f t="shared" si="6"/>
        <v>328</v>
      </c>
      <c r="C7508">
        <v>1</v>
      </c>
      <c r="E7508" s="1">
        <v>329</v>
      </c>
    </row>
    <row r="7509" spans="1:5" x14ac:dyDescent="0.25">
      <c r="A7509">
        <v>148</v>
      </c>
      <c r="B7509">
        <f t="shared" si="6"/>
        <v>328</v>
      </c>
      <c r="C7509">
        <v>5</v>
      </c>
      <c r="E7509">
        <v>329</v>
      </c>
    </row>
    <row r="7510" spans="1:5" x14ac:dyDescent="0.25">
      <c r="A7510">
        <v>154</v>
      </c>
      <c r="B7510">
        <f t="shared" si="6"/>
        <v>328</v>
      </c>
      <c r="C7510">
        <v>1</v>
      </c>
      <c r="E7510" s="1">
        <v>329</v>
      </c>
    </row>
    <row r="7511" spans="1:5" x14ac:dyDescent="0.25">
      <c r="A7511">
        <v>187</v>
      </c>
      <c r="B7511">
        <f t="shared" si="6"/>
        <v>328</v>
      </c>
      <c r="C7511">
        <v>2</v>
      </c>
      <c r="E7511">
        <v>329</v>
      </c>
    </row>
    <row r="7512" spans="1:5" x14ac:dyDescent="0.25">
      <c r="A7512">
        <v>200</v>
      </c>
      <c r="B7512">
        <f t="shared" si="6"/>
        <v>328</v>
      </c>
      <c r="C7512">
        <v>1</v>
      </c>
      <c r="E7512" s="1">
        <v>329</v>
      </c>
    </row>
    <row r="7513" spans="1:5" x14ac:dyDescent="0.25">
      <c r="A7513">
        <v>237</v>
      </c>
      <c r="B7513">
        <f t="shared" si="6"/>
        <v>328</v>
      </c>
      <c r="C7513">
        <v>3</v>
      </c>
      <c r="E7513">
        <v>329</v>
      </c>
    </row>
    <row r="7514" spans="1:5" x14ac:dyDescent="0.25">
      <c r="A7514">
        <v>241</v>
      </c>
      <c r="B7514">
        <f t="shared" si="6"/>
        <v>328</v>
      </c>
      <c r="C7514">
        <v>5</v>
      </c>
      <c r="E7514" s="1">
        <v>329</v>
      </c>
    </row>
    <row r="7515" spans="1:5" x14ac:dyDescent="0.25">
      <c r="A7515">
        <v>260</v>
      </c>
      <c r="B7515">
        <f t="shared" si="6"/>
        <v>328</v>
      </c>
      <c r="C7515">
        <v>1</v>
      </c>
      <c r="E7515">
        <v>329</v>
      </c>
    </row>
    <row r="7516" spans="1:5" x14ac:dyDescent="0.25">
      <c r="A7516">
        <v>262</v>
      </c>
      <c r="B7516">
        <f t="shared" si="6"/>
        <v>328</v>
      </c>
      <c r="C7516">
        <v>1</v>
      </c>
      <c r="E7516" s="1">
        <v>329</v>
      </c>
    </row>
    <row r="7517" spans="1:5" x14ac:dyDescent="0.25">
      <c r="A7517">
        <v>274</v>
      </c>
      <c r="B7517">
        <f t="shared" si="6"/>
        <v>328</v>
      </c>
      <c r="C7517">
        <v>5</v>
      </c>
      <c r="E7517">
        <v>329</v>
      </c>
    </row>
    <row r="7518" spans="1:5" x14ac:dyDescent="0.25">
      <c r="A7518">
        <v>17</v>
      </c>
      <c r="B7518">
        <f t="shared" si="6"/>
        <v>329</v>
      </c>
      <c r="C7518">
        <v>3</v>
      </c>
      <c r="E7518" s="1">
        <v>330</v>
      </c>
    </row>
    <row r="7519" spans="1:5" x14ac:dyDescent="0.25">
      <c r="A7519">
        <v>35</v>
      </c>
      <c r="B7519">
        <f t="shared" si="6"/>
        <v>329</v>
      </c>
      <c r="C7519">
        <v>3</v>
      </c>
      <c r="E7519">
        <v>330</v>
      </c>
    </row>
    <row r="7520" spans="1:5" x14ac:dyDescent="0.25">
      <c r="A7520">
        <v>35</v>
      </c>
      <c r="B7520">
        <f t="shared" si="6"/>
        <v>329</v>
      </c>
      <c r="C7520">
        <v>4</v>
      </c>
      <c r="E7520" s="1">
        <v>330</v>
      </c>
    </row>
    <row r="7521" spans="1:5" x14ac:dyDescent="0.25">
      <c r="A7521">
        <v>37</v>
      </c>
      <c r="B7521">
        <f t="shared" si="6"/>
        <v>329</v>
      </c>
      <c r="C7521">
        <v>3</v>
      </c>
      <c r="E7521">
        <v>330</v>
      </c>
    </row>
    <row r="7522" spans="1:5" x14ac:dyDescent="0.25">
      <c r="A7522">
        <v>43</v>
      </c>
      <c r="B7522">
        <f t="shared" si="6"/>
        <v>329</v>
      </c>
      <c r="C7522">
        <v>2</v>
      </c>
      <c r="E7522" s="1">
        <v>330</v>
      </c>
    </row>
    <row r="7523" spans="1:5" x14ac:dyDescent="0.25">
      <c r="A7523">
        <v>51</v>
      </c>
      <c r="B7523">
        <f t="shared" si="6"/>
        <v>329</v>
      </c>
      <c r="C7523">
        <v>1</v>
      </c>
      <c r="E7523">
        <v>330</v>
      </c>
    </row>
    <row r="7524" spans="1:5" x14ac:dyDescent="0.25">
      <c r="A7524">
        <v>52</v>
      </c>
      <c r="B7524">
        <f t="shared" si="6"/>
        <v>329</v>
      </c>
      <c r="C7524">
        <v>4</v>
      </c>
      <c r="E7524" s="1">
        <v>330</v>
      </c>
    </row>
    <row r="7525" spans="1:5" x14ac:dyDescent="0.25">
      <c r="A7525">
        <v>67</v>
      </c>
      <c r="B7525">
        <f t="shared" si="6"/>
        <v>329</v>
      </c>
      <c r="C7525">
        <v>2</v>
      </c>
      <c r="E7525">
        <v>330</v>
      </c>
    </row>
    <row r="7526" spans="1:5" x14ac:dyDescent="0.25">
      <c r="A7526">
        <v>70</v>
      </c>
      <c r="B7526">
        <f t="shared" si="6"/>
        <v>329</v>
      </c>
      <c r="C7526">
        <v>4</v>
      </c>
      <c r="E7526" s="1">
        <v>330</v>
      </c>
    </row>
    <row r="7527" spans="1:5" x14ac:dyDescent="0.25">
      <c r="A7527">
        <v>96</v>
      </c>
      <c r="B7527">
        <f t="shared" si="6"/>
        <v>329</v>
      </c>
      <c r="C7527">
        <v>1</v>
      </c>
      <c r="E7527">
        <v>330</v>
      </c>
    </row>
    <row r="7528" spans="1:5" x14ac:dyDescent="0.25">
      <c r="A7528">
        <v>124</v>
      </c>
      <c r="B7528">
        <f t="shared" si="6"/>
        <v>329</v>
      </c>
      <c r="C7528">
        <v>2</v>
      </c>
      <c r="E7528" s="1">
        <v>330</v>
      </c>
    </row>
    <row r="7529" spans="1:5" x14ac:dyDescent="0.25">
      <c r="A7529">
        <v>140</v>
      </c>
      <c r="B7529">
        <f t="shared" si="6"/>
        <v>329</v>
      </c>
      <c r="C7529">
        <v>5</v>
      </c>
      <c r="E7529">
        <v>330</v>
      </c>
    </row>
    <row r="7530" spans="1:5" x14ac:dyDescent="0.25">
      <c r="A7530">
        <v>144</v>
      </c>
      <c r="B7530">
        <f t="shared" si="6"/>
        <v>329</v>
      </c>
      <c r="C7530">
        <v>5</v>
      </c>
      <c r="E7530" s="1">
        <v>330</v>
      </c>
    </row>
    <row r="7531" spans="1:5" x14ac:dyDescent="0.25">
      <c r="A7531">
        <v>145</v>
      </c>
      <c r="B7531">
        <f t="shared" si="6"/>
        <v>329</v>
      </c>
      <c r="C7531">
        <v>5</v>
      </c>
      <c r="E7531">
        <v>330</v>
      </c>
    </row>
    <row r="7532" spans="1:5" x14ac:dyDescent="0.25">
      <c r="A7532">
        <v>157</v>
      </c>
      <c r="B7532">
        <f t="shared" si="6"/>
        <v>329</v>
      </c>
      <c r="C7532">
        <v>2</v>
      </c>
      <c r="E7532" s="1">
        <v>330</v>
      </c>
    </row>
    <row r="7533" spans="1:5" x14ac:dyDescent="0.25">
      <c r="A7533">
        <v>161</v>
      </c>
      <c r="B7533">
        <f t="shared" si="6"/>
        <v>329</v>
      </c>
      <c r="C7533">
        <v>5</v>
      </c>
      <c r="E7533">
        <v>330</v>
      </c>
    </row>
    <row r="7534" spans="1:5" x14ac:dyDescent="0.25">
      <c r="A7534">
        <v>161</v>
      </c>
      <c r="B7534">
        <f t="shared" si="6"/>
        <v>329</v>
      </c>
      <c r="C7534">
        <v>1</v>
      </c>
      <c r="E7534" s="1">
        <v>330</v>
      </c>
    </row>
    <row r="7535" spans="1:5" x14ac:dyDescent="0.25">
      <c r="A7535">
        <v>163</v>
      </c>
      <c r="B7535">
        <f t="shared" si="6"/>
        <v>329</v>
      </c>
      <c r="C7535">
        <v>1</v>
      </c>
      <c r="E7535">
        <v>330</v>
      </c>
    </row>
    <row r="7536" spans="1:5" x14ac:dyDescent="0.25">
      <c r="A7536">
        <v>170</v>
      </c>
      <c r="B7536">
        <f t="shared" si="6"/>
        <v>329</v>
      </c>
      <c r="C7536">
        <v>3</v>
      </c>
      <c r="E7536" s="1">
        <v>330</v>
      </c>
    </row>
    <row r="7537" spans="1:5" x14ac:dyDescent="0.25">
      <c r="A7537">
        <v>220</v>
      </c>
      <c r="B7537">
        <f t="shared" si="6"/>
        <v>329</v>
      </c>
      <c r="C7537">
        <v>1</v>
      </c>
      <c r="E7537">
        <v>330</v>
      </c>
    </row>
    <row r="7538" spans="1:5" x14ac:dyDescent="0.25">
      <c r="A7538">
        <v>9</v>
      </c>
      <c r="B7538">
        <f t="shared" si="6"/>
        <v>330</v>
      </c>
      <c r="C7538">
        <v>4</v>
      </c>
      <c r="E7538" s="1">
        <v>331</v>
      </c>
    </row>
    <row r="7539" spans="1:5" x14ac:dyDescent="0.25">
      <c r="A7539">
        <v>19</v>
      </c>
      <c r="B7539">
        <f t="shared" si="6"/>
        <v>330</v>
      </c>
      <c r="C7539">
        <v>3</v>
      </c>
      <c r="E7539">
        <v>331</v>
      </c>
    </row>
    <row r="7540" spans="1:5" x14ac:dyDescent="0.25">
      <c r="A7540">
        <v>44</v>
      </c>
      <c r="B7540">
        <f t="shared" si="6"/>
        <v>330</v>
      </c>
      <c r="C7540">
        <v>3</v>
      </c>
      <c r="E7540" s="1">
        <v>331</v>
      </c>
    </row>
    <row r="7541" spans="1:5" x14ac:dyDescent="0.25">
      <c r="A7541">
        <v>45</v>
      </c>
      <c r="B7541">
        <f t="shared" si="6"/>
        <v>330</v>
      </c>
      <c r="C7541">
        <v>5</v>
      </c>
      <c r="E7541">
        <v>331</v>
      </c>
    </row>
    <row r="7542" spans="1:5" x14ac:dyDescent="0.25">
      <c r="A7542">
        <v>46</v>
      </c>
      <c r="B7542">
        <f t="shared" si="6"/>
        <v>330</v>
      </c>
      <c r="C7542">
        <v>4</v>
      </c>
      <c r="E7542" s="1">
        <v>331</v>
      </c>
    </row>
    <row r="7543" spans="1:5" x14ac:dyDescent="0.25">
      <c r="A7543">
        <v>52</v>
      </c>
      <c r="B7543">
        <f t="shared" si="6"/>
        <v>330</v>
      </c>
      <c r="C7543">
        <v>4</v>
      </c>
      <c r="E7543">
        <v>331</v>
      </c>
    </row>
    <row r="7544" spans="1:5" x14ac:dyDescent="0.25">
      <c r="A7544">
        <v>53</v>
      </c>
      <c r="B7544">
        <f t="shared" si="6"/>
        <v>330</v>
      </c>
      <c r="C7544">
        <v>5</v>
      </c>
      <c r="E7544" s="1">
        <v>331</v>
      </c>
    </row>
    <row r="7545" spans="1:5" x14ac:dyDescent="0.25">
      <c r="A7545">
        <v>67</v>
      </c>
      <c r="B7545">
        <f t="shared" si="6"/>
        <v>330</v>
      </c>
      <c r="C7545">
        <v>3</v>
      </c>
      <c r="E7545">
        <v>331</v>
      </c>
    </row>
    <row r="7546" spans="1:5" x14ac:dyDescent="0.25">
      <c r="A7546">
        <v>73</v>
      </c>
      <c r="B7546">
        <f t="shared" si="6"/>
        <v>330</v>
      </c>
      <c r="C7546">
        <v>1</v>
      </c>
      <c r="E7546" s="1">
        <v>331</v>
      </c>
    </row>
    <row r="7547" spans="1:5" x14ac:dyDescent="0.25">
      <c r="A7547">
        <v>74</v>
      </c>
      <c r="B7547">
        <f t="shared" si="6"/>
        <v>330</v>
      </c>
      <c r="C7547">
        <v>4</v>
      </c>
      <c r="E7547">
        <v>331</v>
      </c>
    </row>
    <row r="7548" spans="1:5" x14ac:dyDescent="0.25">
      <c r="A7548">
        <v>103</v>
      </c>
      <c r="B7548">
        <f t="shared" si="6"/>
        <v>330</v>
      </c>
      <c r="C7548">
        <v>1</v>
      </c>
      <c r="E7548" s="1">
        <v>331</v>
      </c>
    </row>
    <row r="7549" spans="1:5" x14ac:dyDescent="0.25">
      <c r="A7549">
        <v>106</v>
      </c>
      <c r="B7549">
        <f t="shared" si="6"/>
        <v>330</v>
      </c>
      <c r="C7549">
        <v>2</v>
      </c>
      <c r="E7549">
        <v>331</v>
      </c>
    </row>
    <row r="7550" spans="1:5" x14ac:dyDescent="0.25">
      <c r="A7550">
        <v>108</v>
      </c>
      <c r="B7550">
        <f t="shared" si="6"/>
        <v>330</v>
      </c>
      <c r="C7550">
        <v>5</v>
      </c>
      <c r="E7550" s="1">
        <v>331</v>
      </c>
    </row>
    <row r="7551" spans="1:5" x14ac:dyDescent="0.25">
      <c r="A7551">
        <v>124</v>
      </c>
      <c r="B7551">
        <f t="shared" si="6"/>
        <v>330</v>
      </c>
      <c r="C7551">
        <v>4</v>
      </c>
      <c r="E7551">
        <v>331</v>
      </c>
    </row>
    <row r="7552" spans="1:5" x14ac:dyDescent="0.25">
      <c r="A7552">
        <v>139</v>
      </c>
      <c r="B7552">
        <f t="shared" si="6"/>
        <v>330</v>
      </c>
      <c r="C7552">
        <v>1</v>
      </c>
      <c r="E7552" s="1">
        <v>331</v>
      </c>
    </row>
    <row r="7553" spans="1:5" x14ac:dyDescent="0.25">
      <c r="A7553">
        <v>140</v>
      </c>
      <c r="B7553">
        <f t="shared" si="6"/>
        <v>330</v>
      </c>
      <c r="C7553">
        <v>1</v>
      </c>
      <c r="E7553">
        <v>331</v>
      </c>
    </row>
    <row r="7554" spans="1:5" x14ac:dyDescent="0.25">
      <c r="A7554">
        <v>142</v>
      </c>
      <c r="B7554">
        <f t="shared" si="6"/>
        <v>330</v>
      </c>
      <c r="C7554">
        <v>1</v>
      </c>
      <c r="E7554" s="1">
        <v>331</v>
      </c>
    </row>
    <row r="7555" spans="1:5" x14ac:dyDescent="0.25">
      <c r="A7555">
        <v>181</v>
      </c>
      <c r="B7555">
        <f t="shared" si="6"/>
        <v>330</v>
      </c>
      <c r="C7555">
        <v>4</v>
      </c>
      <c r="E7555">
        <v>331</v>
      </c>
    </row>
    <row r="7556" spans="1:5" x14ac:dyDescent="0.25">
      <c r="A7556">
        <v>189</v>
      </c>
      <c r="B7556">
        <f t="shared" si="6"/>
        <v>330</v>
      </c>
      <c r="C7556">
        <v>5</v>
      </c>
      <c r="E7556" s="1">
        <v>331</v>
      </c>
    </row>
    <row r="7557" spans="1:5" x14ac:dyDescent="0.25">
      <c r="A7557">
        <v>195</v>
      </c>
      <c r="B7557">
        <f t="shared" si="6"/>
        <v>330</v>
      </c>
      <c r="C7557">
        <v>1</v>
      </c>
      <c r="E7557">
        <v>331</v>
      </c>
    </row>
    <row r="7558" spans="1:5" x14ac:dyDescent="0.25">
      <c r="A7558">
        <v>197</v>
      </c>
      <c r="B7558">
        <f t="shared" si="6"/>
        <v>330</v>
      </c>
      <c r="C7558">
        <v>1</v>
      </c>
      <c r="E7558" s="1">
        <v>331</v>
      </c>
    </row>
    <row r="7559" spans="1:5" x14ac:dyDescent="0.25">
      <c r="A7559">
        <v>212</v>
      </c>
      <c r="B7559">
        <f t="shared" si="6"/>
        <v>330</v>
      </c>
      <c r="C7559">
        <v>3</v>
      </c>
      <c r="E7559">
        <v>331</v>
      </c>
    </row>
    <row r="7560" spans="1:5" x14ac:dyDescent="0.25">
      <c r="A7560">
        <v>215</v>
      </c>
      <c r="B7560">
        <f t="shared" si="6"/>
        <v>330</v>
      </c>
      <c r="C7560">
        <v>4</v>
      </c>
      <c r="E7560" s="1">
        <v>331</v>
      </c>
    </row>
    <row r="7561" spans="1:5" x14ac:dyDescent="0.25">
      <c r="A7561">
        <v>216</v>
      </c>
      <c r="B7561">
        <f t="shared" si="6"/>
        <v>330</v>
      </c>
      <c r="C7561">
        <v>3</v>
      </c>
      <c r="E7561">
        <v>331</v>
      </c>
    </row>
    <row r="7562" spans="1:5" x14ac:dyDescent="0.25">
      <c r="A7562">
        <v>226</v>
      </c>
      <c r="B7562">
        <f t="shared" si="6"/>
        <v>330</v>
      </c>
      <c r="C7562">
        <v>1</v>
      </c>
      <c r="E7562" s="1">
        <v>331</v>
      </c>
    </row>
    <row r="7563" spans="1:5" x14ac:dyDescent="0.25">
      <c r="A7563">
        <v>232</v>
      </c>
      <c r="B7563">
        <f t="shared" si="6"/>
        <v>330</v>
      </c>
      <c r="C7563">
        <v>2</v>
      </c>
      <c r="E7563">
        <v>331</v>
      </c>
    </row>
    <row r="7564" spans="1:5" x14ac:dyDescent="0.25">
      <c r="A7564">
        <v>244</v>
      </c>
      <c r="B7564">
        <f t="shared" si="6"/>
        <v>330</v>
      </c>
      <c r="C7564">
        <v>4</v>
      </c>
      <c r="E7564" s="1">
        <v>331</v>
      </c>
    </row>
    <row r="7565" spans="1:5" x14ac:dyDescent="0.25">
      <c r="A7565">
        <v>244</v>
      </c>
      <c r="B7565">
        <f t="shared" si="6"/>
        <v>330</v>
      </c>
      <c r="C7565">
        <v>1</v>
      </c>
      <c r="E7565">
        <v>331</v>
      </c>
    </row>
    <row r="7566" spans="1:5" x14ac:dyDescent="0.25">
      <c r="A7566">
        <v>248</v>
      </c>
      <c r="B7566">
        <f t="shared" ref="B7566:B7629" si="7">E7566-1</f>
        <v>330</v>
      </c>
      <c r="C7566">
        <v>4</v>
      </c>
      <c r="E7566" s="1">
        <v>331</v>
      </c>
    </row>
    <row r="7567" spans="1:5" x14ac:dyDescent="0.25">
      <c r="A7567">
        <v>251</v>
      </c>
      <c r="B7567">
        <f t="shared" si="7"/>
        <v>330</v>
      </c>
      <c r="C7567">
        <v>2</v>
      </c>
      <c r="E7567">
        <v>331</v>
      </c>
    </row>
    <row r="7568" spans="1:5" x14ac:dyDescent="0.25">
      <c r="A7568">
        <v>282</v>
      </c>
      <c r="B7568">
        <f t="shared" si="7"/>
        <v>330</v>
      </c>
      <c r="C7568">
        <v>2</v>
      </c>
      <c r="E7568" s="1">
        <v>331</v>
      </c>
    </row>
    <row r="7569" spans="1:5" x14ac:dyDescent="0.25">
      <c r="A7569">
        <v>288</v>
      </c>
      <c r="B7569">
        <f t="shared" si="7"/>
        <v>330</v>
      </c>
      <c r="C7569">
        <v>3</v>
      </c>
      <c r="E7569">
        <v>331</v>
      </c>
    </row>
    <row r="7570" spans="1:5" x14ac:dyDescent="0.25">
      <c r="A7570">
        <v>18</v>
      </c>
      <c r="B7570">
        <f t="shared" si="7"/>
        <v>331</v>
      </c>
      <c r="C7570">
        <v>2</v>
      </c>
      <c r="E7570" s="1">
        <v>332</v>
      </c>
    </row>
    <row r="7571" spans="1:5" x14ac:dyDescent="0.25">
      <c r="A7571">
        <v>40</v>
      </c>
      <c r="B7571">
        <f t="shared" si="7"/>
        <v>331</v>
      </c>
      <c r="C7571">
        <v>5</v>
      </c>
      <c r="E7571">
        <v>332</v>
      </c>
    </row>
    <row r="7572" spans="1:5" x14ac:dyDescent="0.25">
      <c r="A7572">
        <v>87</v>
      </c>
      <c r="B7572">
        <f t="shared" si="7"/>
        <v>331</v>
      </c>
      <c r="C7572">
        <v>4</v>
      </c>
      <c r="E7572" s="1">
        <v>332</v>
      </c>
    </row>
    <row r="7573" spans="1:5" x14ac:dyDescent="0.25">
      <c r="A7573">
        <v>110</v>
      </c>
      <c r="B7573">
        <f t="shared" si="7"/>
        <v>331</v>
      </c>
      <c r="C7573">
        <v>3</v>
      </c>
      <c r="E7573">
        <v>332</v>
      </c>
    </row>
    <row r="7574" spans="1:5" x14ac:dyDescent="0.25">
      <c r="A7574">
        <v>117</v>
      </c>
      <c r="B7574">
        <f t="shared" si="7"/>
        <v>331</v>
      </c>
      <c r="C7574">
        <v>5</v>
      </c>
      <c r="E7574" s="1">
        <v>332</v>
      </c>
    </row>
    <row r="7575" spans="1:5" x14ac:dyDescent="0.25">
      <c r="A7575">
        <v>150</v>
      </c>
      <c r="B7575">
        <f t="shared" si="7"/>
        <v>331</v>
      </c>
      <c r="C7575">
        <v>5</v>
      </c>
      <c r="E7575">
        <v>332</v>
      </c>
    </row>
    <row r="7576" spans="1:5" x14ac:dyDescent="0.25">
      <c r="A7576">
        <v>151</v>
      </c>
      <c r="B7576">
        <f t="shared" si="7"/>
        <v>331</v>
      </c>
      <c r="C7576">
        <v>3</v>
      </c>
      <c r="E7576" s="1">
        <v>332</v>
      </c>
    </row>
    <row r="7577" spans="1:5" x14ac:dyDescent="0.25">
      <c r="A7577">
        <v>152</v>
      </c>
      <c r="B7577">
        <f t="shared" si="7"/>
        <v>331</v>
      </c>
      <c r="C7577">
        <v>2</v>
      </c>
      <c r="E7577">
        <v>332</v>
      </c>
    </row>
    <row r="7578" spans="1:5" x14ac:dyDescent="0.25">
      <c r="A7578">
        <v>155</v>
      </c>
      <c r="B7578">
        <f t="shared" si="7"/>
        <v>331</v>
      </c>
      <c r="C7578">
        <v>5</v>
      </c>
      <c r="E7578" s="1">
        <v>332</v>
      </c>
    </row>
    <row r="7579" spans="1:5" x14ac:dyDescent="0.25">
      <c r="A7579">
        <v>166</v>
      </c>
      <c r="B7579">
        <f t="shared" si="7"/>
        <v>331</v>
      </c>
      <c r="C7579">
        <v>1</v>
      </c>
      <c r="E7579">
        <v>332</v>
      </c>
    </row>
    <row r="7580" spans="1:5" x14ac:dyDescent="0.25">
      <c r="A7580">
        <v>169</v>
      </c>
      <c r="B7580">
        <f t="shared" si="7"/>
        <v>331</v>
      </c>
      <c r="C7580">
        <v>5</v>
      </c>
      <c r="E7580" s="1">
        <v>332</v>
      </c>
    </row>
    <row r="7581" spans="1:5" x14ac:dyDescent="0.25">
      <c r="A7581">
        <v>171</v>
      </c>
      <c r="B7581">
        <f t="shared" si="7"/>
        <v>331</v>
      </c>
      <c r="C7581">
        <v>1</v>
      </c>
      <c r="E7581">
        <v>332</v>
      </c>
    </row>
    <row r="7582" spans="1:5" x14ac:dyDescent="0.25">
      <c r="A7582">
        <v>175</v>
      </c>
      <c r="B7582">
        <f t="shared" si="7"/>
        <v>331</v>
      </c>
      <c r="C7582">
        <v>5</v>
      </c>
      <c r="E7582" s="1">
        <v>332</v>
      </c>
    </row>
    <row r="7583" spans="1:5" x14ac:dyDescent="0.25">
      <c r="A7583">
        <v>184</v>
      </c>
      <c r="B7583">
        <f t="shared" si="7"/>
        <v>331</v>
      </c>
      <c r="C7583">
        <v>2</v>
      </c>
      <c r="E7583">
        <v>332</v>
      </c>
    </row>
    <row r="7584" spans="1:5" x14ac:dyDescent="0.25">
      <c r="A7584">
        <v>200</v>
      </c>
      <c r="B7584">
        <f t="shared" si="7"/>
        <v>331</v>
      </c>
      <c r="C7584">
        <v>2</v>
      </c>
      <c r="E7584" s="1">
        <v>332</v>
      </c>
    </row>
    <row r="7585" spans="1:5" x14ac:dyDescent="0.25">
      <c r="A7585">
        <v>215</v>
      </c>
      <c r="B7585">
        <f t="shared" si="7"/>
        <v>331</v>
      </c>
      <c r="C7585">
        <v>5</v>
      </c>
      <c r="E7585">
        <v>332</v>
      </c>
    </row>
    <row r="7586" spans="1:5" x14ac:dyDescent="0.25">
      <c r="A7586">
        <v>231</v>
      </c>
      <c r="B7586">
        <f t="shared" si="7"/>
        <v>331</v>
      </c>
      <c r="C7586">
        <v>4</v>
      </c>
      <c r="E7586" s="1">
        <v>332</v>
      </c>
    </row>
    <row r="7587" spans="1:5" x14ac:dyDescent="0.25">
      <c r="A7587">
        <v>236</v>
      </c>
      <c r="B7587">
        <f t="shared" si="7"/>
        <v>331</v>
      </c>
      <c r="C7587">
        <v>4</v>
      </c>
      <c r="E7587">
        <v>332</v>
      </c>
    </row>
    <row r="7588" spans="1:5" x14ac:dyDescent="0.25">
      <c r="A7588">
        <v>243</v>
      </c>
      <c r="B7588">
        <f t="shared" si="7"/>
        <v>331</v>
      </c>
      <c r="C7588">
        <v>4</v>
      </c>
      <c r="E7588" s="1">
        <v>332</v>
      </c>
    </row>
    <row r="7589" spans="1:5" x14ac:dyDescent="0.25">
      <c r="A7589">
        <v>255</v>
      </c>
      <c r="B7589">
        <f t="shared" si="7"/>
        <v>331</v>
      </c>
      <c r="C7589">
        <v>5</v>
      </c>
      <c r="E7589">
        <v>332</v>
      </c>
    </row>
    <row r="7590" spans="1:5" x14ac:dyDescent="0.25">
      <c r="A7590">
        <v>268</v>
      </c>
      <c r="B7590">
        <f t="shared" si="7"/>
        <v>331</v>
      </c>
      <c r="C7590">
        <v>5</v>
      </c>
      <c r="E7590" s="1">
        <v>332</v>
      </c>
    </row>
    <row r="7591" spans="1:5" x14ac:dyDescent="0.25">
      <c r="A7591">
        <v>289</v>
      </c>
      <c r="B7591">
        <f t="shared" si="7"/>
        <v>331</v>
      </c>
      <c r="C7591">
        <v>4</v>
      </c>
      <c r="E7591">
        <v>332</v>
      </c>
    </row>
    <row r="7592" spans="1:5" x14ac:dyDescent="0.25">
      <c r="A7592">
        <v>297</v>
      </c>
      <c r="B7592">
        <f t="shared" si="7"/>
        <v>331</v>
      </c>
      <c r="C7592">
        <v>1</v>
      </c>
      <c r="E7592" s="1">
        <v>332</v>
      </c>
    </row>
    <row r="7593" spans="1:5" x14ac:dyDescent="0.25">
      <c r="A7593">
        <v>19</v>
      </c>
      <c r="B7593">
        <f t="shared" si="7"/>
        <v>332</v>
      </c>
      <c r="C7593">
        <v>4</v>
      </c>
      <c r="E7593">
        <v>333</v>
      </c>
    </row>
    <row r="7594" spans="1:5" x14ac:dyDescent="0.25">
      <c r="A7594">
        <v>27</v>
      </c>
      <c r="B7594">
        <f t="shared" si="7"/>
        <v>332</v>
      </c>
      <c r="C7594">
        <v>2</v>
      </c>
      <c r="E7594" s="1">
        <v>333</v>
      </c>
    </row>
    <row r="7595" spans="1:5" x14ac:dyDescent="0.25">
      <c r="A7595">
        <v>40</v>
      </c>
      <c r="B7595">
        <f t="shared" si="7"/>
        <v>332</v>
      </c>
      <c r="C7595">
        <v>2</v>
      </c>
      <c r="E7595">
        <v>333</v>
      </c>
    </row>
    <row r="7596" spans="1:5" x14ac:dyDescent="0.25">
      <c r="A7596">
        <v>45</v>
      </c>
      <c r="B7596">
        <f t="shared" si="7"/>
        <v>332</v>
      </c>
      <c r="C7596">
        <v>5</v>
      </c>
      <c r="E7596" s="1">
        <v>333</v>
      </c>
    </row>
    <row r="7597" spans="1:5" x14ac:dyDescent="0.25">
      <c r="A7597">
        <v>79</v>
      </c>
      <c r="B7597">
        <f t="shared" si="7"/>
        <v>332</v>
      </c>
      <c r="C7597">
        <v>2</v>
      </c>
      <c r="E7597">
        <v>333</v>
      </c>
    </row>
    <row r="7598" spans="1:5" x14ac:dyDescent="0.25">
      <c r="A7598">
        <v>82</v>
      </c>
      <c r="B7598">
        <f t="shared" si="7"/>
        <v>332</v>
      </c>
      <c r="C7598">
        <v>2</v>
      </c>
      <c r="E7598" s="1">
        <v>333</v>
      </c>
    </row>
    <row r="7599" spans="1:5" x14ac:dyDescent="0.25">
      <c r="A7599">
        <v>102</v>
      </c>
      <c r="B7599">
        <f t="shared" si="7"/>
        <v>332</v>
      </c>
      <c r="C7599">
        <v>5</v>
      </c>
      <c r="E7599">
        <v>333</v>
      </c>
    </row>
    <row r="7600" spans="1:5" x14ac:dyDescent="0.25">
      <c r="A7600">
        <v>103</v>
      </c>
      <c r="B7600">
        <f t="shared" si="7"/>
        <v>332</v>
      </c>
      <c r="C7600">
        <v>4</v>
      </c>
      <c r="E7600" s="1">
        <v>333</v>
      </c>
    </row>
    <row r="7601" spans="1:5" x14ac:dyDescent="0.25">
      <c r="A7601">
        <v>114</v>
      </c>
      <c r="B7601">
        <f t="shared" si="7"/>
        <v>332</v>
      </c>
      <c r="C7601">
        <v>2</v>
      </c>
      <c r="E7601">
        <v>333</v>
      </c>
    </row>
    <row r="7602" spans="1:5" x14ac:dyDescent="0.25">
      <c r="A7602">
        <v>129</v>
      </c>
      <c r="B7602">
        <f t="shared" si="7"/>
        <v>332</v>
      </c>
      <c r="C7602">
        <v>2</v>
      </c>
      <c r="E7602" s="1">
        <v>333</v>
      </c>
    </row>
    <row r="7603" spans="1:5" x14ac:dyDescent="0.25">
      <c r="A7603">
        <v>147</v>
      </c>
      <c r="B7603">
        <f t="shared" si="7"/>
        <v>332</v>
      </c>
      <c r="C7603">
        <v>4</v>
      </c>
      <c r="E7603">
        <v>333</v>
      </c>
    </row>
    <row r="7604" spans="1:5" x14ac:dyDescent="0.25">
      <c r="A7604">
        <v>150</v>
      </c>
      <c r="B7604">
        <f t="shared" si="7"/>
        <v>332</v>
      </c>
      <c r="C7604">
        <v>4</v>
      </c>
      <c r="E7604" s="1">
        <v>333</v>
      </c>
    </row>
    <row r="7605" spans="1:5" x14ac:dyDescent="0.25">
      <c r="A7605">
        <v>158</v>
      </c>
      <c r="B7605">
        <f t="shared" si="7"/>
        <v>332</v>
      </c>
      <c r="C7605">
        <v>5</v>
      </c>
      <c r="E7605">
        <v>333</v>
      </c>
    </row>
    <row r="7606" spans="1:5" x14ac:dyDescent="0.25">
      <c r="A7606">
        <v>164</v>
      </c>
      <c r="B7606">
        <f t="shared" si="7"/>
        <v>332</v>
      </c>
      <c r="C7606">
        <v>3</v>
      </c>
      <c r="E7606" s="1">
        <v>333</v>
      </c>
    </row>
    <row r="7607" spans="1:5" x14ac:dyDescent="0.25">
      <c r="A7607">
        <v>165</v>
      </c>
      <c r="B7607">
        <f t="shared" si="7"/>
        <v>332</v>
      </c>
      <c r="C7607">
        <v>4</v>
      </c>
      <c r="E7607">
        <v>333</v>
      </c>
    </row>
    <row r="7608" spans="1:5" x14ac:dyDescent="0.25">
      <c r="A7608">
        <v>166</v>
      </c>
      <c r="B7608">
        <f t="shared" si="7"/>
        <v>332</v>
      </c>
      <c r="C7608">
        <v>4</v>
      </c>
      <c r="E7608" s="1">
        <v>333</v>
      </c>
    </row>
    <row r="7609" spans="1:5" x14ac:dyDescent="0.25">
      <c r="A7609">
        <v>167</v>
      </c>
      <c r="B7609">
        <f t="shared" si="7"/>
        <v>332</v>
      </c>
      <c r="C7609">
        <v>5</v>
      </c>
      <c r="E7609">
        <v>333</v>
      </c>
    </row>
    <row r="7610" spans="1:5" x14ac:dyDescent="0.25">
      <c r="A7610">
        <v>173</v>
      </c>
      <c r="B7610">
        <f t="shared" si="7"/>
        <v>332</v>
      </c>
      <c r="C7610">
        <v>5</v>
      </c>
      <c r="E7610" s="1">
        <v>333</v>
      </c>
    </row>
    <row r="7611" spans="1:5" x14ac:dyDescent="0.25">
      <c r="A7611">
        <v>192</v>
      </c>
      <c r="B7611">
        <f t="shared" si="7"/>
        <v>332</v>
      </c>
      <c r="C7611">
        <v>4</v>
      </c>
      <c r="E7611">
        <v>333</v>
      </c>
    </row>
    <row r="7612" spans="1:5" x14ac:dyDescent="0.25">
      <c r="A7612">
        <v>201</v>
      </c>
      <c r="B7612">
        <f t="shared" si="7"/>
        <v>332</v>
      </c>
      <c r="C7612">
        <v>4</v>
      </c>
      <c r="E7612" s="1">
        <v>333</v>
      </c>
    </row>
    <row r="7613" spans="1:5" x14ac:dyDescent="0.25">
      <c r="A7613">
        <v>206</v>
      </c>
      <c r="B7613">
        <f t="shared" si="7"/>
        <v>332</v>
      </c>
      <c r="C7613">
        <v>3</v>
      </c>
      <c r="E7613">
        <v>333</v>
      </c>
    </row>
    <row r="7614" spans="1:5" x14ac:dyDescent="0.25">
      <c r="A7614">
        <v>221</v>
      </c>
      <c r="B7614">
        <f t="shared" si="7"/>
        <v>332</v>
      </c>
      <c r="C7614">
        <v>3</v>
      </c>
      <c r="E7614" s="1">
        <v>333</v>
      </c>
    </row>
    <row r="7615" spans="1:5" x14ac:dyDescent="0.25">
      <c r="A7615">
        <v>260</v>
      </c>
      <c r="B7615">
        <f t="shared" si="7"/>
        <v>332</v>
      </c>
      <c r="C7615">
        <v>4</v>
      </c>
      <c r="E7615">
        <v>333</v>
      </c>
    </row>
    <row r="7616" spans="1:5" x14ac:dyDescent="0.25">
      <c r="A7616">
        <v>276</v>
      </c>
      <c r="B7616">
        <f t="shared" si="7"/>
        <v>332</v>
      </c>
      <c r="C7616">
        <v>2</v>
      </c>
      <c r="E7616" s="1">
        <v>333</v>
      </c>
    </row>
    <row r="7617" spans="1:5" x14ac:dyDescent="0.25">
      <c r="A7617">
        <v>6</v>
      </c>
      <c r="B7617">
        <f t="shared" si="7"/>
        <v>333</v>
      </c>
      <c r="C7617">
        <v>2</v>
      </c>
      <c r="E7617">
        <v>334</v>
      </c>
    </row>
    <row r="7618" spans="1:5" x14ac:dyDescent="0.25">
      <c r="A7618">
        <v>84</v>
      </c>
      <c r="B7618">
        <f t="shared" si="7"/>
        <v>333</v>
      </c>
      <c r="C7618">
        <v>4</v>
      </c>
      <c r="E7618" s="1">
        <v>334</v>
      </c>
    </row>
    <row r="7619" spans="1:5" x14ac:dyDescent="0.25">
      <c r="A7619">
        <v>105</v>
      </c>
      <c r="B7619">
        <f t="shared" si="7"/>
        <v>333</v>
      </c>
      <c r="C7619">
        <v>4</v>
      </c>
      <c r="E7619">
        <v>334</v>
      </c>
    </row>
    <row r="7620" spans="1:5" x14ac:dyDescent="0.25">
      <c r="A7620">
        <v>120</v>
      </c>
      <c r="B7620">
        <f t="shared" si="7"/>
        <v>333</v>
      </c>
      <c r="C7620">
        <v>5</v>
      </c>
      <c r="E7620" s="1">
        <v>334</v>
      </c>
    </row>
    <row r="7621" spans="1:5" x14ac:dyDescent="0.25">
      <c r="A7621">
        <v>127</v>
      </c>
      <c r="B7621">
        <f t="shared" si="7"/>
        <v>333</v>
      </c>
      <c r="C7621">
        <v>2</v>
      </c>
      <c r="E7621">
        <v>334</v>
      </c>
    </row>
    <row r="7622" spans="1:5" x14ac:dyDescent="0.25">
      <c r="A7622">
        <v>128</v>
      </c>
      <c r="B7622">
        <f t="shared" si="7"/>
        <v>333</v>
      </c>
      <c r="C7622">
        <v>2</v>
      </c>
      <c r="E7622" s="1">
        <v>334</v>
      </c>
    </row>
    <row r="7623" spans="1:5" x14ac:dyDescent="0.25">
      <c r="A7623">
        <v>158</v>
      </c>
      <c r="B7623">
        <f t="shared" si="7"/>
        <v>333</v>
      </c>
      <c r="C7623">
        <v>3</v>
      </c>
      <c r="E7623">
        <v>334</v>
      </c>
    </row>
    <row r="7624" spans="1:5" x14ac:dyDescent="0.25">
      <c r="A7624">
        <v>171</v>
      </c>
      <c r="B7624">
        <f t="shared" si="7"/>
        <v>333</v>
      </c>
      <c r="C7624">
        <v>3</v>
      </c>
      <c r="E7624" s="1">
        <v>334</v>
      </c>
    </row>
    <row r="7625" spans="1:5" x14ac:dyDescent="0.25">
      <c r="A7625">
        <v>177</v>
      </c>
      <c r="B7625">
        <f t="shared" si="7"/>
        <v>333</v>
      </c>
      <c r="C7625">
        <v>3</v>
      </c>
      <c r="E7625">
        <v>334</v>
      </c>
    </row>
    <row r="7626" spans="1:5" x14ac:dyDescent="0.25">
      <c r="A7626">
        <v>185</v>
      </c>
      <c r="B7626">
        <f t="shared" si="7"/>
        <v>333</v>
      </c>
      <c r="C7626">
        <v>4</v>
      </c>
      <c r="E7626" s="1">
        <v>334</v>
      </c>
    </row>
    <row r="7627" spans="1:5" x14ac:dyDescent="0.25">
      <c r="A7627">
        <v>186</v>
      </c>
      <c r="B7627">
        <f t="shared" si="7"/>
        <v>333</v>
      </c>
      <c r="C7627">
        <v>4</v>
      </c>
      <c r="E7627">
        <v>334</v>
      </c>
    </row>
    <row r="7628" spans="1:5" x14ac:dyDescent="0.25">
      <c r="A7628">
        <v>212</v>
      </c>
      <c r="B7628">
        <f t="shared" si="7"/>
        <v>333</v>
      </c>
      <c r="C7628">
        <v>5</v>
      </c>
      <c r="E7628" s="1">
        <v>334</v>
      </c>
    </row>
    <row r="7629" spans="1:5" x14ac:dyDescent="0.25">
      <c r="A7629">
        <v>222</v>
      </c>
      <c r="B7629">
        <f t="shared" si="7"/>
        <v>333</v>
      </c>
      <c r="C7629">
        <v>5</v>
      </c>
      <c r="E7629">
        <v>334</v>
      </c>
    </row>
    <row r="7630" spans="1:5" x14ac:dyDescent="0.25">
      <c r="A7630">
        <v>224</v>
      </c>
      <c r="B7630">
        <f t="shared" ref="B7630:B7693" si="8">E7630-1</f>
        <v>333</v>
      </c>
      <c r="C7630">
        <v>5</v>
      </c>
      <c r="E7630" s="1">
        <v>334</v>
      </c>
    </row>
    <row r="7631" spans="1:5" x14ac:dyDescent="0.25">
      <c r="A7631">
        <v>252</v>
      </c>
      <c r="B7631">
        <f t="shared" si="8"/>
        <v>333</v>
      </c>
      <c r="C7631">
        <v>2</v>
      </c>
      <c r="E7631">
        <v>334</v>
      </c>
    </row>
    <row r="7632" spans="1:5" x14ac:dyDescent="0.25">
      <c r="A7632">
        <v>269</v>
      </c>
      <c r="B7632">
        <f t="shared" si="8"/>
        <v>333</v>
      </c>
      <c r="C7632">
        <v>1</v>
      </c>
      <c r="E7632" s="1">
        <v>334</v>
      </c>
    </row>
    <row r="7633" spans="1:5" x14ac:dyDescent="0.25">
      <c r="A7633">
        <v>270</v>
      </c>
      <c r="B7633">
        <f t="shared" si="8"/>
        <v>333</v>
      </c>
      <c r="C7633">
        <v>1</v>
      </c>
      <c r="E7633">
        <v>334</v>
      </c>
    </row>
    <row r="7634" spans="1:5" x14ac:dyDescent="0.25">
      <c r="A7634">
        <v>293</v>
      </c>
      <c r="B7634">
        <f t="shared" si="8"/>
        <v>333</v>
      </c>
      <c r="C7634">
        <v>2</v>
      </c>
      <c r="E7634" s="1">
        <v>334</v>
      </c>
    </row>
    <row r="7635" spans="1:5" x14ac:dyDescent="0.25">
      <c r="A7635">
        <v>5</v>
      </c>
      <c r="B7635">
        <f t="shared" si="8"/>
        <v>334</v>
      </c>
      <c r="C7635">
        <v>3</v>
      </c>
      <c r="E7635">
        <v>335</v>
      </c>
    </row>
    <row r="7636" spans="1:5" x14ac:dyDescent="0.25">
      <c r="A7636">
        <v>20</v>
      </c>
      <c r="B7636">
        <f t="shared" si="8"/>
        <v>334</v>
      </c>
      <c r="C7636">
        <v>4</v>
      </c>
      <c r="E7636" s="1">
        <v>335</v>
      </c>
    </row>
    <row r="7637" spans="1:5" x14ac:dyDescent="0.25">
      <c r="A7637">
        <v>41</v>
      </c>
      <c r="B7637">
        <f t="shared" si="8"/>
        <v>334</v>
      </c>
      <c r="C7637">
        <v>5</v>
      </c>
      <c r="E7637">
        <v>335</v>
      </c>
    </row>
    <row r="7638" spans="1:5" x14ac:dyDescent="0.25">
      <c r="A7638">
        <v>55</v>
      </c>
      <c r="B7638">
        <f t="shared" si="8"/>
        <v>334</v>
      </c>
      <c r="C7638">
        <v>2</v>
      </c>
      <c r="E7638" s="1">
        <v>335</v>
      </c>
    </row>
    <row r="7639" spans="1:5" x14ac:dyDescent="0.25">
      <c r="A7639">
        <v>70</v>
      </c>
      <c r="B7639">
        <f t="shared" si="8"/>
        <v>334</v>
      </c>
      <c r="C7639">
        <v>3</v>
      </c>
      <c r="E7639">
        <v>335</v>
      </c>
    </row>
    <row r="7640" spans="1:5" x14ac:dyDescent="0.25">
      <c r="A7640">
        <v>105</v>
      </c>
      <c r="B7640">
        <f t="shared" si="8"/>
        <v>334</v>
      </c>
      <c r="C7640">
        <v>4</v>
      </c>
      <c r="E7640" s="1">
        <v>335</v>
      </c>
    </row>
    <row r="7641" spans="1:5" x14ac:dyDescent="0.25">
      <c r="A7641">
        <v>105</v>
      </c>
      <c r="B7641">
        <f t="shared" si="8"/>
        <v>334</v>
      </c>
      <c r="C7641">
        <v>5</v>
      </c>
      <c r="E7641">
        <v>335</v>
      </c>
    </row>
    <row r="7642" spans="1:5" x14ac:dyDescent="0.25">
      <c r="A7642">
        <v>131</v>
      </c>
      <c r="B7642">
        <f t="shared" si="8"/>
        <v>334</v>
      </c>
      <c r="C7642">
        <v>1</v>
      </c>
      <c r="E7642" s="1">
        <v>335</v>
      </c>
    </row>
    <row r="7643" spans="1:5" x14ac:dyDescent="0.25">
      <c r="A7643">
        <v>139</v>
      </c>
      <c r="B7643">
        <f t="shared" si="8"/>
        <v>334</v>
      </c>
      <c r="C7643">
        <v>2</v>
      </c>
      <c r="E7643">
        <v>335</v>
      </c>
    </row>
    <row r="7644" spans="1:5" x14ac:dyDescent="0.25">
      <c r="A7644">
        <v>154</v>
      </c>
      <c r="B7644">
        <f t="shared" si="8"/>
        <v>334</v>
      </c>
      <c r="C7644">
        <v>2</v>
      </c>
      <c r="E7644" s="1">
        <v>335</v>
      </c>
    </row>
    <row r="7645" spans="1:5" x14ac:dyDescent="0.25">
      <c r="A7645">
        <v>157</v>
      </c>
      <c r="B7645">
        <f t="shared" si="8"/>
        <v>334</v>
      </c>
      <c r="C7645">
        <v>5</v>
      </c>
      <c r="E7645">
        <v>335</v>
      </c>
    </row>
    <row r="7646" spans="1:5" x14ac:dyDescent="0.25">
      <c r="A7646">
        <v>168</v>
      </c>
      <c r="B7646">
        <f t="shared" si="8"/>
        <v>334</v>
      </c>
      <c r="C7646">
        <v>4</v>
      </c>
      <c r="E7646" s="1">
        <v>335</v>
      </c>
    </row>
    <row r="7647" spans="1:5" x14ac:dyDescent="0.25">
      <c r="A7647">
        <v>187</v>
      </c>
      <c r="B7647">
        <f t="shared" si="8"/>
        <v>334</v>
      </c>
      <c r="C7647">
        <v>4</v>
      </c>
      <c r="E7647">
        <v>335</v>
      </c>
    </row>
    <row r="7648" spans="1:5" x14ac:dyDescent="0.25">
      <c r="A7648">
        <v>198</v>
      </c>
      <c r="B7648">
        <f t="shared" si="8"/>
        <v>334</v>
      </c>
      <c r="C7648">
        <v>1</v>
      </c>
      <c r="E7648" s="1">
        <v>335</v>
      </c>
    </row>
    <row r="7649" spans="1:5" x14ac:dyDescent="0.25">
      <c r="A7649">
        <v>200</v>
      </c>
      <c r="B7649">
        <f t="shared" si="8"/>
        <v>334</v>
      </c>
      <c r="C7649">
        <v>3</v>
      </c>
      <c r="E7649">
        <v>335</v>
      </c>
    </row>
    <row r="7650" spans="1:5" x14ac:dyDescent="0.25">
      <c r="A7650">
        <v>211</v>
      </c>
      <c r="B7650">
        <f t="shared" si="8"/>
        <v>334</v>
      </c>
      <c r="C7650">
        <v>4</v>
      </c>
      <c r="E7650" s="1">
        <v>335</v>
      </c>
    </row>
    <row r="7651" spans="1:5" x14ac:dyDescent="0.25">
      <c r="A7651">
        <v>215</v>
      </c>
      <c r="B7651">
        <f t="shared" si="8"/>
        <v>334</v>
      </c>
      <c r="C7651">
        <v>5</v>
      </c>
      <c r="E7651">
        <v>335</v>
      </c>
    </row>
    <row r="7652" spans="1:5" x14ac:dyDescent="0.25">
      <c r="A7652">
        <v>231</v>
      </c>
      <c r="B7652">
        <f t="shared" si="8"/>
        <v>334</v>
      </c>
      <c r="C7652">
        <v>5</v>
      </c>
      <c r="E7652" s="1">
        <v>335</v>
      </c>
    </row>
    <row r="7653" spans="1:5" x14ac:dyDescent="0.25">
      <c r="A7653">
        <v>233</v>
      </c>
      <c r="B7653">
        <f t="shared" si="8"/>
        <v>334</v>
      </c>
      <c r="C7653">
        <v>5</v>
      </c>
      <c r="E7653">
        <v>335</v>
      </c>
    </row>
    <row r="7654" spans="1:5" x14ac:dyDescent="0.25">
      <c r="A7654">
        <v>258</v>
      </c>
      <c r="B7654">
        <f t="shared" si="8"/>
        <v>334</v>
      </c>
      <c r="C7654">
        <v>2</v>
      </c>
      <c r="E7654" s="1">
        <v>335</v>
      </c>
    </row>
    <row r="7655" spans="1:5" x14ac:dyDescent="0.25">
      <c r="A7655">
        <v>281</v>
      </c>
      <c r="B7655">
        <f t="shared" si="8"/>
        <v>334</v>
      </c>
      <c r="C7655">
        <v>2</v>
      </c>
      <c r="E7655">
        <v>335</v>
      </c>
    </row>
    <row r="7656" spans="1:5" x14ac:dyDescent="0.25">
      <c r="A7656">
        <v>289</v>
      </c>
      <c r="B7656">
        <f t="shared" si="8"/>
        <v>334</v>
      </c>
      <c r="C7656">
        <v>1</v>
      </c>
      <c r="E7656" s="1">
        <v>335</v>
      </c>
    </row>
    <row r="7657" spans="1:5" x14ac:dyDescent="0.25">
      <c r="A7657">
        <v>298</v>
      </c>
      <c r="B7657">
        <f t="shared" si="8"/>
        <v>334</v>
      </c>
      <c r="C7657">
        <v>4</v>
      </c>
      <c r="E7657">
        <v>335</v>
      </c>
    </row>
    <row r="7658" spans="1:5" x14ac:dyDescent="0.25">
      <c r="A7658">
        <v>1</v>
      </c>
      <c r="B7658">
        <f t="shared" si="8"/>
        <v>335</v>
      </c>
      <c r="C7658">
        <v>4</v>
      </c>
      <c r="E7658" s="1">
        <v>336</v>
      </c>
    </row>
    <row r="7659" spans="1:5" x14ac:dyDescent="0.25">
      <c r="A7659">
        <v>23</v>
      </c>
      <c r="B7659">
        <f t="shared" si="8"/>
        <v>335</v>
      </c>
      <c r="C7659">
        <v>2</v>
      </c>
      <c r="E7659">
        <v>336</v>
      </c>
    </row>
    <row r="7660" spans="1:5" x14ac:dyDescent="0.25">
      <c r="A7660">
        <v>25</v>
      </c>
      <c r="B7660">
        <f t="shared" si="8"/>
        <v>335</v>
      </c>
      <c r="C7660">
        <v>3</v>
      </c>
      <c r="E7660" s="1">
        <v>336</v>
      </c>
    </row>
    <row r="7661" spans="1:5" x14ac:dyDescent="0.25">
      <c r="A7661">
        <v>28</v>
      </c>
      <c r="B7661">
        <f t="shared" si="8"/>
        <v>335</v>
      </c>
      <c r="C7661">
        <v>3</v>
      </c>
      <c r="E7661">
        <v>336</v>
      </c>
    </row>
    <row r="7662" spans="1:5" x14ac:dyDescent="0.25">
      <c r="A7662">
        <v>32</v>
      </c>
      <c r="B7662">
        <f t="shared" si="8"/>
        <v>335</v>
      </c>
      <c r="C7662">
        <v>5</v>
      </c>
      <c r="E7662" s="1">
        <v>336</v>
      </c>
    </row>
    <row r="7663" spans="1:5" x14ac:dyDescent="0.25">
      <c r="A7663">
        <v>35</v>
      </c>
      <c r="B7663">
        <f t="shared" si="8"/>
        <v>335</v>
      </c>
      <c r="C7663">
        <v>2</v>
      </c>
      <c r="E7663">
        <v>336</v>
      </c>
    </row>
    <row r="7664" spans="1:5" x14ac:dyDescent="0.25">
      <c r="A7664">
        <v>41</v>
      </c>
      <c r="B7664">
        <f t="shared" si="8"/>
        <v>335</v>
      </c>
      <c r="C7664">
        <v>2</v>
      </c>
      <c r="E7664" s="1">
        <v>336</v>
      </c>
    </row>
    <row r="7665" spans="1:5" x14ac:dyDescent="0.25">
      <c r="A7665">
        <v>57</v>
      </c>
      <c r="B7665">
        <f t="shared" si="8"/>
        <v>335</v>
      </c>
      <c r="C7665">
        <v>3</v>
      </c>
      <c r="E7665">
        <v>336</v>
      </c>
    </row>
    <row r="7666" spans="1:5" x14ac:dyDescent="0.25">
      <c r="A7666">
        <v>63</v>
      </c>
      <c r="B7666">
        <f t="shared" si="8"/>
        <v>335</v>
      </c>
      <c r="C7666">
        <v>5</v>
      </c>
      <c r="E7666" s="1">
        <v>336</v>
      </c>
    </row>
    <row r="7667" spans="1:5" x14ac:dyDescent="0.25">
      <c r="A7667">
        <v>70</v>
      </c>
      <c r="B7667">
        <f t="shared" si="8"/>
        <v>335</v>
      </c>
      <c r="C7667">
        <v>4</v>
      </c>
      <c r="E7667">
        <v>336</v>
      </c>
    </row>
    <row r="7668" spans="1:5" x14ac:dyDescent="0.25">
      <c r="A7668">
        <v>90</v>
      </c>
      <c r="B7668">
        <f t="shared" si="8"/>
        <v>335</v>
      </c>
      <c r="C7668">
        <v>4</v>
      </c>
      <c r="E7668" s="1">
        <v>336</v>
      </c>
    </row>
    <row r="7669" spans="1:5" x14ac:dyDescent="0.25">
      <c r="A7669">
        <v>104</v>
      </c>
      <c r="B7669">
        <f t="shared" si="8"/>
        <v>335</v>
      </c>
      <c r="C7669">
        <v>3</v>
      </c>
      <c r="E7669">
        <v>336</v>
      </c>
    </row>
    <row r="7670" spans="1:5" x14ac:dyDescent="0.25">
      <c r="A7670">
        <v>109</v>
      </c>
      <c r="B7670">
        <f t="shared" si="8"/>
        <v>335</v>
      </c>
      <c r="C7670">
        <v>5</v>
      </c>
      <c r="E7670" s="1">
        <v>336</v>
      </c>
    </row>
    <row r="7671" spans="1:5" x14ac:dyDescent="0.25">
      <c r="A7671">
        <v>115</v>
      </c>
      <c r="B7671">
        <f t="shared" si="8"/>
        <v>335</v>
      </c>
      <c r="C7671">
        <v>2</v>
      </c>
      <c r="E7671">
        <v>336</v>
      </c>
    </row>
    <row r="7672" spans="1:5" x14ac:dyDescent="0.25">
      <c r="A7672">
        <v>116</v>
      </c>
      <c r="B7672">
        <f t="shared" si="8"/>
        <v>335</v>
      </c>
      <c r="C7672">
        <v>2</v>
      </c>
      <c r="E7672" s="1">
        <v>336</v>
      </c>
    </row>
    <row r="7673" spans="1:5" x14ac:dyDescent="0.25">
      <c r="A7673">
        <v>121</v>
      </c>
      <c r="B7673">
        <f t="shared" si="8"/>
        <v>335</v>
      </c>
      <c r="C7673">
        <v>3</v>
      </c>
      <c r="E7673">
        <v>336</v>
      </c>
    </row>
    <row r="7674" spans="1:5" x14ac:dyDescent="0.25">
      <c r="A7674">
        <v>124</v>
      </c>
      <c r="B7674">
        <f t="shared" si="8"/>
        <v>335</v>
      </c>
      <c r="C7674">
        <v>4</v>
      </c>
      <c r="E7674" s="1">
        <v>336</v>
      </c>
    </row>
    <row r="7675" spans="1:5" x14ac:dyDescent="0.25">
      <c r="A7675">
        <v>129</v>
      </c>
      <c r="B7675">
        <f t="shared" si="8"/>
        <v>335</v>
      </c>
      <c r="C7675">
        <v>5</v>
      </c>
      <c r="E7675">
        <v>336</v>
      </c>
    </row>
    <row r="7676" spans="1:5" x14ac:dyDescent="0.25">
      <c r="A7676">
        <v>161</v>
      </c>
      <c r="B7676">
        <f t="shared" si="8"/>
        <v>335</v>
      </c>
      <c r="C7676">
        <v>5</v>
      </c>
      <c r="E7676" s="1">
        <v>336</v>
      </c>
    </row>
    <row r="7677" spans="1:5" x14ac:dyDescent="0.25">
      <c r="A7677">
        <v>177</v>
      </c>
      <c r="B7677">
        <f t="shared" si="8"/>
        <v>335</v>
      </c>
      <c r="C7677">
        <v>4</v>
      </c>
      <c r="E7677">
        <v>336</v>
      </c>
    </row>
    <row r="7678" spans="1:5" x14ac:dyDescent="0.25">
      <c r="A7678">
        <v>178</v>
      </c>
      <c r="B7678">
        <f t="shared" si="8"/>
        <v>335</v>
      </c>
      <c r="C7678">
        <v>3</v>
      </c>
      <c r="E7678" s="1">
        <v>336</v>
      </c>
    </row>
    <row r="7679" spans="1:5" x14ac:dyDescent="0.25">
      <c r="A7679">
        <v>187</v>
      </c>
      <c r="B7679">
        <f t="shared" si="8"/>
        <v>335</v>
      </c>
      <c r="C7679">
        <v>4</v>
      </c>
      <c r="E7679">
        <v>336</v>
      </c>
    </row>
    <row r="7680" spans="1:5" x14ac:dyDescent="0.25">
      <c r="A7680">
        <v>196</v>
      </c>
      <c r="B7680">
        <f t="shared" si="8"/>
        <v>335</v>
      </c>
      <c r="C7680">
        <v>2</v>
      </c>
      <c r="E7680" s="1">
        <v>336</v>
      </c>
    </row>
    <row r="7681" spans="1:5" x14ac:dyDescent="0.25">
      <c r="A7681">
        <v>200</v>
      </c>
      <c r="B7681">
        <f t="shared" si="8"/>
        <v>335</v>
      </c>
      <c r="C7681">
        <v>3</v>
      </c>
      <c r="E7681">
        <v>336</v>
      </c>
    </row>
    <row r="7682" spans="1:5" x14ac:dyDescent="0.25">
      <c r="A7682">
        <v>222</v>
      </c>
      <c r="B7682">
        <f t="shared" si="8"/>
        <v>335</v>
      </c>
      <c r="C7682">
        <v>1</v>
      </c>
      <c r="E7682" s="1">
        <v>336</v>
      </c>
    </row>
    <row r="7683" spans="1:5" x14ac:dyDescent="0.25">
      <c r="A7683">
        <v>236</v>
      </c>
      <c r="B7683">
        <f t="shared" si="8"/>
        <v>335</v>
      </c>
      <c r="C7683">
        <v>4</v>
      </c>
      <c r="E7683">
        <v>336</v>
      </c>
    </row>
    <row r="7684" spans="1:5" x14ac:dyDescent="0.25">
      <c r="A7684">
        <v>255</v>
      </c>
      <c r="B7684">
        <f t="shared" si="8"/>
        <v>335</v>
      </c>
      <c r="C7684">
        <v>5</v>
      </c>
      <c r="E7684" s="1">
        <v>336</v>
      </c>
    </row>
    <row r="7685" spans="1:5" x14ac:dyDescent="0.25">
      <c r="A7685">
        <v>266</v>
      </c>
      <c r="B7685">
        <f t="shared" si="8"/>
        <v>335</v>
      </c>
      <c r="C7685">
        <v>3</v>
      </c>
      <c r="E7685">
        <v>336</v>
      </c>
    </row>
    <row r="7686" spans="1:5" x14ac:dyDescent="0.25">
      <c r="A7686">
        <v>273</v>
      </c>
      <c r="B7686">
        <f t="shared" si="8"/>
        <v>335</v>
      </c>
      <c r="C7686">
        <v>2</v>
      </c>
      <c r="E7686" s="1">
        <v>336</v>
      </c>
    </row>
    <row r="7687" spans="1:5" x14ac:dyDescent="0.25">
      <c r="A7687">
        <v>277</v>
      </c>
      <c r="B7687">
        <f t="shared" si="8"/>
        <v>335</v>
      </c>
      <c r="C7687">
        <v>5</v>
      </c>
      <c r="E7687">
        <v>336</v>
      </c>
    </row>
    <row r="7688" spans="1:5" x14ac:dyDescent="0.25">
      <c r="A7688">
        <v>278</v>
      </c>
      <c r="B7688">
        <f t="shared" si="8"/>
        <v>335</v>
      </c>
      <c r="C7688">
        <v>1</v>
      </c>
      <c r="E7688" s="1">
        <v>336</v>
      </c>
    </row>
    <row r="7689" spans="1:5" x14ac:dyDescent="0.25">
      <c r="A7689">
        <v>281</v>
      </c>
      <c r="B7689">
        <f t="shared" si="8"/>
        <v>335</v>
      </c>
      <c r="C7689">
        <v>5</v>
      </c>
      <c r="E7689">
        <v>336</v>
      </c>
    </row>
    <row r="7690" spans="1:5" x14ac:dyDescent="0.25">
      <c r="A7690">
        <v>285</v>
      </c>
      <c r="B7690">
        <f t="shared" si="8"/>
        <v>335</v>
      </c>
      <c r="C7690">
        <v>1</v>
      </c>
      <c r="E7690" s="1">
        <v>336</v>
      </c>
    </row>
    <row r="7691" spans="1:5" x14ac:dyDescent="0.25">
      <c r="A7691">
        <v>25</v>
      </c>
      <c r="B7691">
        <f t="shared" si="8"/>
        <v>336</v>
      </c>
      <c r="C7691">
        <v>5</v>
      </c>
      <c r="E7691">
        <v>337</v>
      </c>
    </row>
    <row r="7692" spans="1:5" x14ac:dyDescent="0.25">
      <c r="A7692">
        <v>33</v>
      </c>
      <c r="B7692">
        <f t="shared" si="8"/>
        <v>336</v>
      </c>
      <c r="C7692">
        <v>4</v>
      </c>
      <c r="E7692" s="1">
        <v>337</v>
      </c>
    </row>
    <row r="7693" spans="1:5" x14ac:dyDescent="0.25">
      <c r="A7693">
        <v>45</v>
      </c>
      <c r="B7693">
        <f t="shared" si="8"/>
        <v>336</v>
      </c>
      <c r="C7693">
        <v>5</v>
      </c>
      <c r="E7693">
        <v>337</v>
      </c>
    </row>
    <row r="7694" spans="1:5" x14ac:dyDescent="0.25">
      <c r="A7694">
        <v>60</v>
      </c>
      <c r="B7694">
        <f t="shared" ref="B7694:B7757" si="9">E7694-1</f>
        <v>336</v>
      </c>
      <c r="C7694">
        <v>1</v>
      </c>
      <c r="E7694" s="1">
        <v>337</v>
      </c>
    </row>
    <row r="7695" spans="1:5" x14ac:dyDescent="0.25">
      <c r="A7695">
        <v>86</v>
      </c>
      <c r="B7695">
        <f t="shared" si="9"/>
        <v>336</v>
      </c>
      <c r="C7695">
        <v>5</v>
      </c>
      <c r="E7695">
        <v>337</v>
      </c>
    </row>
    <row r="7696" spans="1:5" x14ac:dyDescent="0.25">
      <c r="A7696">
        <v>99</v>
      </c>
      <c r="B7696">
        <f t="shared" si="9"/>
        <v>336</v>
      </c>
      <c r="C7696">
        <v>1</v>
      </c>
      <c r="E7696" s="1">
        <v>337</v>
      </c>
    </row>
    <row r="7697" spans="1:5" x14ac:dyDescent="0.25">
      <c r="A7697">
        <v>106</v>
      </c>
      <c r="B7697">
        <f t="shared" si="9"/>
        <v>336</v>
      </c>
      <c r="C7697">
        <v>4</v>
      </c>
      <c r="E7697">
        <v>337</v>
      </c>
    </row>
    <row r="7698" spans="1:5" x14ac:dyDescent="0.25">
      <c r="A7698">
        <v>126</v>
      </c>
      <c r="B7698">
        <f t="shared" si="9"/>
        <v>336</v>
      </c>
      <c r="C7698">
        <v>2</v>
      </c>
      <c r="E7698" s="1">
        <v>337</v>
      </c>
    </row>
    <row r="7699" spans="1:5" x14ac:dyDescent="0.25">
      <c r="A7699">
        <v>135</v>
      </c>
      <c r="B7699">
        <f t="shared" si="9"/>
        <v>336</v>
      </c>
      <c r="C7699">
        <v>4</v>
      </c>
      <c r="E7699">
        <v>337</v>
      </c>
    </row>
    <row r="7700" spans="1:5" x14ac:dyDescent="0.25">
      <c r="A7700">
        <v>136</v>
      </c>
      <c r="B7700">
        <f t="shared" si="9"/>
        <v>336</v>
      </c>
      <c r="C7700">
        <v>1</v>
      </c>
      <c r="E7700" s="1">
        <v>337</v>
      </c>
    </row>
    <row r="7701" spans="1:5" x14ac:dyDescent="0.25">
      <c r="A7701">
        <v>138</v>
      </c>
      <c r="B7701">
        <f t="shared" si="9"/>
        <v>336</v>
      </c>
      <c r="C7701">
        <v>2</v>
      </c>
      <c r="E7701">
        <v>337</v>
      </c>
    </row>
    <row r="7702" spans="1:5" x14ac:dyDescent="0.25">
      <c r="A7702">
        <v>165</v>
      </c>
      <c r="B7702">
        <f t="shared" si="9"/>
        <v>336</v>
      </c>
      <c r="C7702">
        <v>1</v>
      </c>
      <c r="E7702" s="1">
        <v>337</v>
      </c>
    </row>
    <row r="7703" spans="1:5" x14ac:dyDescent="0.25">
      <c r="A7703">
        <v>198</v>
      </c>
      <c r="B7703">
        <f t="shared" si="9"/>
        <v>336</v>
      </c>
      <c r="C7703">
        <v>3</v>
      </c>
      <c r="E7703">
        <v>337</v>
      </c>
    </row>
    <row r="7704" spans="1:5" x14ac:dyDescent="0.25">
      <c r="A7704">
        <v>200</v>
      </c>
      <c r="B7704">
        <f t="shared" si="9"/>
        <v>336</v>
      </c>
      <c r="C7704">
        <v>2</v>
      </c>
      <c r="E7704" s="1">
        <v>337</v>
      </c>
    </row>
    <row r="7705" spans="1:5" x14ac:dyDescent="0.25">
      <c r="A7705">
        <v>210</v>
      </c>
      <c r="B7705">
        <f t="shared" si="9"/>
        <v>336</v>
      </c>
      <c r="C7705">
        <v>4</v>
      </c>
      <c r="E7705">
        <v>337</v>
      </c>
    </row>
    <row r="7706" spans="1:5" x14ac:dyDescent="0.25">
      <c r="A7706">
        <v>221</v>
      </c>
      <c r="B7706">
        <f t="shared" si="9"/>
        <v>336</v>
      </c>
      <c r="C7706">
        <v>2</v>
      </c>
      <c r="E7706" s="1">
        <v>337</v>
      </c>
    </row>
    <row r="7707" spans="1:5" x14ac:dyDescent="0.25">
      <c r="A7707">
        <v>227</v>
      </c>
      <c r="B7707">
        <f t="shared" si="9"/>
        <v>336</v>
      </c>
      <c r="C7707">
        <v>3</v>
      </c>
      <c r="E7707">
        <v>337</v>
      </c>
    </row>
    <row r="7708" spans="1:5" x14ac:dyDescent="0.25">
      <c r="A7708">
        <v>234</v>
      </c>
      <c r="B7708">
        <f t="shared" si="9"/>
        <v>336</v>
      </c>
      <c r="C7708">
        <v>4</v>
      </c>
      <c r="E7708" s="1">
        <v>337</v>
      </c>
    </row>
    <row r="7709" spans="1:5" x14ac:dyDescent="0.25">
      <c r="A7709">
        <v>257</v>
      </c>
      <c r="B7709">
        <f t="shared" si="9"/>
        <v>336</v>
      </c>
      <c r="C7709">
        <v>5</v>
      </c>
      <c r="E7709">
        <v>337</v>
      </c>
    </row>
    <row r="7710" spans="1:5" x14ac:dyDescent="0.25">
      <c r="A7710">
        <v>275</v>
      </c>
      <c r="B7710">
        <f t="shared" si="9"/>
        <v>336</v>
      </c>
      <c r="C7710">
        <v>2</v>
      </c>
      <c r="E7710" s="1">
        <v>337</v>
      </c>
    </row>
    <row r="7711" spans="1:5" x14ac:dyDescent="0.25">
      <c r="A7711">
        <v>290</v>
      </c>
      <c r="B7711">
        <f t="shared" si="9"/>
        <v>336</v>
      </c>
      <c r="C7711">
        <v>5</v>
      </c>
      <c r="E7711">
        <v>337</v>
      </c>
    </row>
    <row r="7712" spans="1:5" x14ac:dyDescent="0.25">
      <c r="A7712">
        <v>24</v>
      </c>
      <c r="B7712">
        <f t="shared" si="9"/>
        <v>337</v>
      </c>
      <c r="C7712">
        <v>2</v>
      </c>
      <c r="E7712" s="1">
        <v>338</v>
      </c>
    </row>
    <row r="7713" spans="1:5" x14ac:dyDescent="0.25">
      <c r="A7713">
        <v>27</v>
      </c>
      <c r="B7713">
        <f t="shared" si="9"/>
        <v>337</v>
      </c>
      <c r="C7713">
        <v>3</v>
      </c>
      <c r="E7713">
        <v>338</v>
      </c>
    </row>
    <row r="7714" spans="1:5" x14ac:dyDescent="0.25">
      <c r="A7714">
        <v>49</v>
      </c>
      <c r="B7714">
        <f t="shared" si="9"/>
        <v>337</v>
      </c>
      <c r="C7714">
        <v>3</v>
      </c>
      <c r="E7714" s="1">
        <v>338</v>
      </c>
    </row>
    <row r="7715" spans="1:5" x14ac:dyDescent="0.25">
      <c r="A7715">
        <v>59</v>
      </c>
      <c r="B7715">
        <f t="shared" si="9"/>
        <v>337</v>
      </c>
      <c r="C7715">
        <v>5</v>
      </c>
      <c r="E7715">
        <v>338</v>
      </c>
    </row>
    <row r="7716" spans="1:5" x14ac:dyDescent="0.25">
      <c r="A7716">
        <v>65</v>
      </c>
      <c r="B7716">
        <f t="shared" si="9"/>
        <v>337</v>
      </c>
      <c r="C7716">
        <v>1</v>
      </c>
      <c r="E7716" s="1">
        <v>338</v>
      </c>
    </row>
    <row r="7717" spans="1:5" x14ac:dyDescent="0.25">
      <c r="A7717">
        <v>76</v>
      </c>
      <c r="B7717">
        <f t="shared" si="9"/>
        <v>337</v>
      </c>
      <c r="C7717">
        <v>1</v>
      </c>
      <c r="E7717">
        <v>338</v>
      </c>
    </row>
    <row r="7718" spans="1:5" x14ac:dyDescent="0.25">
      <c r="A7718">
        <v>84</v>
      </c>
      <c r="B7718">
        <f t="shared" si="9"/>
        <v>337</v>
      </c>
      <c r="C7718">
        <v>5</v>
      </c>
      <c r="E7718" s="1">
        <v>338</v>
      </c>
    </row>
    <row r="7719" spans="1:5" x14ac:dyDescent="0.25">
      <c r="A7719">
        <v>86</v>
      </c>
      <c r="B7719">
        <f t="shared" si="9"/>
        <v>337</v>
      </c>
      <c r="C7719">
        <v>1</v>
      </c>
      <c r="E7719">
        <v>338</v>
      </c>
    </row>
    <row r="7720" spans="1:5" x14ac:dyDescent="0.25">
      <c r="A7720">
        <v>87</v>
      </c>
      <c r="B7720">
        <f t="shared" si="9"/>
        <v>337</v>
      </c>
      <c r="C7720">
        <v>1</v>
      </c>
      <c r="E7720" s="1">
        <v>338</v>
      </c>
    </row>
    <row r="7721" spans="1:5" x14ac:dyDescent="0.25">
      <c r="A7721">
        <v>98</v>
      </c>
      <c r="B7721">
        <f t="shared" si="9"/>
        <v>337</v>
      </c>
      <c r="C7721">
        <v>3</v>
      </c>
      <c r="E7721">
        <v>338</v>
      </c>
    </row>
    <row r="7722" spans="1:5" x14ac:dyDescent="0.25">
      <c r="A7722">
        <v>99</v>
      </c>
      <c r="B7722">
        <f t="shared" si="9"/>
        <v>337</v>
      </c>
      <c r="C7722">
        <v>2</v>
      </c>
      <c r="E7722" s="1">
        <v>338</v>
      </c>
    </row>
    <row r="7723" spans="1:5" x14ac:dyDescent="0.25">
      <c r="A7723">
        <v>150</v>
      </c>
      <c r="B7723">
        <f t="shared" si="9"/>
        <v>337</v>
      </c>
      <c r="C7723">
        <v>3</v>
      </c>
      <c r="E7723">
        <v>338</v>
      </c>
    </row>
    <row r="7724" spans="1:5" x14ac:dyDescent="0.25">
      <c r="A7724">
        <v>155</v>
      </c>
      <c r="B7724">
        <f t="shared" si="9"/>
        <v>337</v>
      </c>
      <c r="C7724">
        <v>1</v>
      </c>
      <c r="E7724" s="1">
        <v>338</v>
      </c>
    </row>
    <row r="7725" spans="1:5" x14ac:dyDescent="0.25">
      <c r="A7725">
        <v>155</v>
      </c>
      <c r="B7725">
        <f t="shared" si="9"/>
        <v>337</v>
      </c>
      <c r="C7725">
        <v>2</v>
      </c>
      <c r="E7725">
        <v>338</v>
      </c>
    </row>
    <row r="7726" spans="1:5" x14ac:dyDescent="0.25">
      <c r="A7726">
        <v>156</v>
      </c>
      <c r="B7726">
        <f t="shared" si="9"/>
        <v>337</v>
      </c>
      <c r="C7726">
        <v>4</v>
      </c>
      <c r="E7726" s="1">
        <v>338</v>
      </c>
    </row>
    <row r="7727" spans="1:5" x14ac:dyDescent="0.25">
      <c r="A7727">
        <v>169</v>
      </c>
      <c r="B7727">
        <f t="shared" si="9"/>
        <v>337</v>
      </c>
      <c r="C7727">
        <v>1</v>
      </c>
      <c r="E7727">
        <v>338</v>
      </c>
    </row>
    <row r="7728" spans="1:5" x14ac:dyDescent="0.25">
      <c r="A7728">
        <v>170</v>
      </c>
      <c r="B7728">
        <f t="shared" si="9"/>
        <v>337</v>
      </c>
      <c r="C7728">
        <v>5</v>
      </c>
      <c r="E7728" s="1">
        <v>338</v>
      </c>
    </row>
    <row r="7729" spans="1:5" x14ac:dyDescent="0.25">
      <c r="A7729">
        <v>184</v>
      </c>
      <c r="B7729">
        <f t="shared" si="9"/>
        <v>337</v>
      </c>
      <c r="C7729">
        <v>2</v>
      </c>
      <c r="E7729">
        <v>338</v>
      </c>
    </row>
    <row r="7730" spans="1:5" x14ac:dyDescent="0.25">
      <c r="A7730">
        <v>198</v>
      </c>
      <c r="B7730">
        <f t="shared" si="9"/>
        <v>337</v>
      </c>
      <c r="C7730">
        <v>3</v>
      </c>
      <c r="E7730" s="1">
        <v>338</v>
      </c>
    </row>
    <row r="7731" spans="1:5" x14ac:dyDescent="0.25">
      <c r="A7731">
        <v>202</v>
      </c>
      <c r="B7731">
        <f t="shared" si="9"/>
        <v>337</v>
      </c>
      <c r="C7731">
        <v>2</v>
      </c>
      <c r="E7731">
        <v>338</v>
      </c>
    </row>
    <row r="7732" spans="1:5" x14ac:dyDescent="0.25">
      <c r="A7732">
        <v>217</v>
      </c>
      <c r="B7732">
        <f t="shared" si="9"/>
        <v>337</v>
      </c>
      <c r="C7732">
        <v>3</v>
      </c>
      <c r="E7732" s="1">
        <v>338</v>
      </c>
    </row>
    <row r="7733" spans="1:5" x14ac:dyDescent="0.25">
      <c r="A7733">
        <v>224</v>
      </c>
      <c r="B7733">
        <f t="shared" si="9"/>
        <v>337</v>
      </c>
      <c r="C7733">
        <v>3</v>
      </c>
      <c r="E7733">
        <v>338</v>
      </c>
    </row>
    <row r="7734" spans="1:5" x14ac:dyDescent="0.25">
      <c r="A7734">
        <v>239</v>
      </c>
      <c r="B7734">
        <f t="shared" si="9"/>
        <v>337</v>
      </c>
      <c r="C7734">
        <v>2</v>
      </c>
      <c r="E7734" s="1">
        <v>338</v>
      </c>
    </row>
    <row r="7735" spans="1:5" x14ac:dyDescent="0.25">
      <c r="A7735">
        <v>255</v>
      </c>
      <c r="B7735">
        <f t="shared" si="9"/>
        <v>337</v>
      </c>
      <c r="C7735">
        <v>1</v>
      </c>
      <c r="E7735">
        <v>338</v>
      </c>
    </row>
    <row r="7736" spans="1:5" x14ac:dyDescent="0.25">
      <c r="A7736">
        <v>257</v>
      </c>
      <c r="B7736">
        <f t="shared" si="9"/>
        <v>337</v>
      </c>
      <c r="C7736">
        <v>2</v>
      </c>
      <c r="E7736" s="1">
        <v>338</v>
      </c>
    </row>
    <row r="7737" spans="1:5" x14ac:dyDescent="0.25">
      <c r="A7737">
        <v>259</v>
      </c>
      <c r="B7737">
        <f t="shared" si="9"/>
        <v>337</v>
      </c>
      <c r="C7737">
        <v>4</v>
      </c>
      <c r="E7737">
        <v>338</v>
      </c>
    </row>
    <row r="7738" spans="1:5" x14ac:dyDescent="0.25">
      <c r="A7738">
        <v>268</v>
      </c>
      <c r="B7738">
        <f t="shared" si="9"/>
        <v>337</v>
      </c>
      <c r="C7738">
        <v>4</v>
      </c>
      <c r="E7738" s="1">
        <v>338</v>
      </c>
    </row>
    <row r="7739" spans="1:5" x14ac:dyDescent="0.25">
      <c r="A7739">
        <v>283</v>
      </c>
      <c r="B7739">
        <f t="shared" si="9"/>
        <v>337</v>
      </c>
      <c r="C7739">
        <v>2</v>
      </c>
      <c r="E7739">
        <v>338</v>
      </c>
    </row>
    <row r="7740" spans="1:5" x14ac:dyDescent="0.25">
      <c r="A7740">
        <v>10</v>
      </c>
      <c r="B7740">
        <f t="shared" si="9"/>
        <v>338</v>
      </c>
      <c r="C7740">
        <v>3</v>
      </c>
      <c r="E7740" s="1">
        <v>339</v>
      </c>
    </row>
    <row r="7741" spans="1:5" x14ac:dyDescent="0.25">
      <c r="A7741">
        <v>17</v>
      </c>
      <c r="B7741">
        <f t="shared" si="9"/>
        <v>338</v>
      </c>
      <c r="C7741">
        <v>2</v>
      </c>
      <c r="E7741">
        <v>339</v>
      </c>
    </row>
    <row r="7742" spans="1:5" x14ac:dyDescent="0.25">
      <c r="A7742">
        <v>23</v>
      </c>
      <c r="B7742">
        <f t="shared" si="9"/>
        <v>338</v>
      </c>
      <c r="C7742">
        <v>3</v>
      </c>
      <c r="E7742" s="1">
        <v>339</v>
      </c>
    </row>
    <row r="7743" spans="1:5" x14ac:dyDescent="0.25">
      <c r="A7743">
        <v>49</v>
      </c>
      <c r="B7743">
        <f t="shared" si="9"/>
        <v>338</v>
      </c>
      <c r="C7743">
        <v>5</v>
      </c>
      <c r="E7743">
        <v>339</v>
      </c>
    </row>
    <row r="7744" spans="1:5" x14ac:dyDescent="0.25">
      <c r="A7744">
        <v>57</v>
      </c>
      <c r="B7744">
        <f t="shared" si="9"/>
        <v>338</v>
      </c>
      <c r="C7744">
        <v>1</v>
      </c>
      <c r="E7744" s="1">
        <v>339</v>
      </c>
    </row>
    <row r="7745" spans="1:5" x14ac:dyDescent="0.25">
      <c r="A7745">
        <v>63</v>
      </c>
      <c r="B7745">
        <f t="shared" si="9"/>
        <v>338</v>
      </c>
      <c r="C7745">
        <v>4</v>
      </c>
      <c r="E7745">
        <v>339</v>
      </c>
    </row>
    <row r="7746" spans="1:5" x14ac:dyDescent="0.25">
      <c r="A7746">
        <v>72</v>
      </c>
      <c r="B7746">
        <f t="shared" si="9"/>
        <v>338</v>
      </c>
      <c r="C7746">
        <v>3</v>
      </c>
      <c r="E7746" s="1">
        <v>339</v>
      </c>
    </row>
    <row r="7747" spans="1:5" x14ac:dyDescent="0.25">
      <c r="A7747">
        <v>95</v>
      </c>
      <c r="B7747">
        <f t="shared" si="9"/>
        <v>338</v>
      </c>
      <c r="C7747">
        <v>3</v>
      </c>
      <c r="E7747">
        <v>339</v>
      </c>
    </row>
    <row r="7748" spans="1:5" x14ac:dyDescent="0.25">
      <c r="A7748">
        <v>110</v>
      </c>
      <c r="B7748">
        <f t="shared" si="9"/>
        <v>338</v>
      </c>
      <c r="C7748">
        <v>4</v>
      </c>
      <c r="E7748" s="1">
        <v>339</v>
      </c>
    </row>
    <row r="7749" spans="1:5" x14ac:dyDescent="0.25">
      <c r="A7749">
        <v>114</v>
      </c>
      <c r="B7749">
        <f t="shared" si="9"/>
        <v>338</v>
      </c>
      <c r="C7749">
        <v>5</v>
      </c>
      <c r="E7749">
        <v>339</v>
      </c>
    </row>
    <row r="7750" spans="1:5" x14ac:dyDescent="0.25">
      <c r="A7750">
        <v>121</v>
      </c>
      <c r="B7750">
        <f t="shared" si="9"/>
        <v>338</v>
      </c>
      <c r="C7750">
        <v>3</v>
      </c>
      <c r="E7750" s="1">
        <v>339</v>
      </c>
    </row>
    <row r="7751" spans="1:5" x14ac:dyDescent="0.25">
      <c r="A7751">
        <v>195</v>
      </c>
      <c r="B7751">
        <f t="shared" si="9"/>
        <v>338</v>
      </c>
      <c r="C7751">
        <v>1</v>
      </c>
      <c r="E7751">
        <v>339</v>
      </c>
    </row>
    <row r="7752" spans="1:5" x14ac:dyDescent="0.25">
      <c r="A7752">
        <v>198</v>
      </c>
      <c r="B7752">
        <f t="shared" si="9"/>
        <v>338</v>
      </c>
      <c r="C7752">
        <v>5</v>
      </c>
      <c r="E7752" s="1">
        <v>339</v>
      </c>
    </row>
    <row r="7753" spans="1:5" x14ac:dyDescent="0.25">
      <c r="A7753">
        <v>207</v>
      </c>
      <c r="B7753">
        <f t="shared" si="9"/>
        <v>338</v>
      </c>
      <c r="C7753">
        <v>2</v>
      </c>
      <c r="E7753">
        <v>339</v>
      </c>
    </row>
    <row r="7754" spans="1:5" x14ac:dyDescent="0.25">
      <c r="A7754">
        <v>218</v>
      </c>
      <c r="B7754">
        <f t="shared" si="9"/>
        <v>338</v>
      </c>
      <c r="C7754">
        <v>1</v>
      </c>
      <c r="E7754" s="1">
        <v>339</v>
      </c>
    </row>
    <row r="7755" spans="1:5" x14ac:dyDescent="0.25">
      <c r="A7755">
        <v>227</v>
      </c>
      <c r="B7755">
        <f t="shared" si="9"/>
        <v>338</v>
      </c>
      <c r="C7755">
        <v>4</v>
      </c>
      <c r="E7755">
        <v>339</v>
      </c>
    </row>
    <row r="7756" spans="1:5" x14ac:dyDescent="0.25">
      <c r="A7756">
        <v>228</v>
      </c>
      <c r="B7756">
        <f t="shared" si="9"/>
        <v>338</v>
      </c>
      <c r="C7756">
        <v>3</v>
      </c>
      <c r="E7756" s="1">
        <v>339</v>
      </c>
    </row>
    <row r="7757" spans="1:5" x14ac:dyDescent="0.25">
      <c r="A7757">
        <v>234</v>
      </c>
      <c r="B7757">
        <f t="shared" si="9"/>
        <v>338</v>
      </c>
      <c r="C7757">
        <v>1</v>
      </c>
      <c r="E7757">
        <v>339</v>
      </c>
    </row>
    <row r="7758" spans="1:5" x14ac:dyDescent="0.25">
      <c r="A7758">
        <v>245</v>
      </c>
      <c r="B7758">
        <f t="shared" ref="B7758:B7821" si="10">E7758-1</f>
        <v>338</v>
      </c>
      <c r="C7758">
        <v>5</v>
      </c>
      <c r="E7758" s="1">
        <v>339</v>
      </c>
    </row>
    <row r="7759" spans="1:5" x14ac:dyDescent="0.25">
      <c r="A7759">
        <v>267</v>
      </c>
      <c r="B7759">
        <f t="shared" si="10"/>
        <v>338</v>
      </c>
      <c r="C7759">
        <v>2</v>
      </c>
      <c r="E7759">
        <v>339</v>
      </c>
    </row>
    <row r="7760" spans="1:5" x14ac:dyDescent="0.25">
      <c r="A7760">
        <v>15</v>
      </c>
      <c r="B7760">
        <f t="shared" si="10"/>
        <v>339</v>
      </c>
      <c r="C7760">
        <v>3</v>
      </c>
      <c r="E7760" s="1">
        <v>340</v>
      </c>
    </row>
    <row r="7761" spans="1:5" x14ac:dyDescent="0.25">
      <c r="A7761">
        <v>39</v>
      </c>
      <c r="B7761">
        <f t="shared" si="10"/>
        <v>339</v>
      </c>
      <c r="C7761">
        <v>3</v>
      </c>
      <c r="E7761">
        <v>340</v>
      </c>
    </row>
    <row r="7762" spans="1:5" x14ac:dyDescent="0.25">
      <c r="A7762">
        <v>64</v>
      </c>
      <c r="B7762">
        <f t="shared" si="10"/>
        <v>339</v>
      </c>
      <c r="C7762">
        <v>5</v>
      </c>
      <c r="E7762" s="1">
        <v>340</v>
      </c>
    </row>
    <row r="7763" spans="1:5" x14ac:dyDescent="0.25">
      <c r="A7763">
        <v>72</v>
      </c>
      <c r="B7763">
        <f t="shared" si="10"/>
        <v>339</v>
      </c>
      <c r="C7763">
        <v>5</v>
      </c>
      <c r="E7763">
        <v>340</v>
      </c>
    </row>
    <row r="7764" spans="1:5" x14ac:dyDescent="0.25">
      <c r="A7764">
        <v>77</v>
      </c>
      <c r="B7764">
        <f t="shared" si="10"/>
        <v>339</v>
      </c>
      <c r="C7764">
        <v>3</v>
      </c>
      <c r="E7764" s="1">
        <v>340</v>
      </c>
    </row>
    <row r="7765" spans="1:5" x14ac:dyDescent="0.25">
      <c r="A7765">
        <v>100</v>
      </c>
      <c r="B7765">
        <f t="shared" si="10"/>
        <v>339</v>
      </c>
      <c r="C7765">
        <v>3</v>
      </c>
      <c r="E7765">
        <v>340</v>
      </c>
    </row>
    <row r="7766" spans="1:5" x14ac:dyDescent="0.25">
      <c r="A7766">
        <v>121</v>
      </c>
      <c r="B7766">
        <f t="shared" si="10"/>
        <v>339</v>
      </c>
      <c r="C7766">
        <v>3</v>
      </c>
      <c r="E7766" s="1">
        <v>340</v>
      </c>
    </row>
    <row r="7767" spans="1:5" x14ac:dyDescent="0.25">
      <c r="A7767">
        <v>138</v>
      </c>
      <c r="B7767">
        <f t="shared" si="10"/>
        <v>339</v>
      </c>
      <c r="C7767">
        <v>5</v>
      </c>
      <c r="E7767">
        <v>340</v>
      </c>
    </row>
    <row r="7768" spans="1:5" x14ac:dyDescent="0.25">
      <c r="A7768">
        <v>138</v>
      </c>
      <c r="B7768">
        <f t="shared" si="10"/>
        <v>339</v>
      </c>
      <c r="C7768">
        <v>4</v>
      </c>
      <c r="E7768" s="1">
        <v>340</v>
      </c>
    </row>
    <row r="7769" spans="1:5" x14ac:dyDescent="0.25">
      <c r="A7769">
        <v>143</v>
      </c>
      <c r="B7769">
        <f t="shared" si="10"/>
        <v>339</v>
      </c>
      <c r="C7769">
        <v>4</v>
      </c>
      <c r="E7769">
        <v>340</v>
      </c>
    </row>
    <row r="7770" spans="1:5" x14ac:dyDescent="0.25">
      <c r="A7770">
        <v>176</v>
      </c>
      <c r="B7770">
        <f t="shared" si="10"/>
        <v>339</v>
      </c>
      <c r="C7770">
        <v>5</v>
      </c>
      <c r="E7770" s="1">
        <v>340</v>
      </c>
    </row>
    <row r="7771" spans="1:5" x14ac:dyDescent="0.25">
      <c r="A7771">
        <v>194</v>
      </c>
      <c r="B7771">
        <f t="shared" si="10"/>
        <v>339</v>
      </c>
      <c r="C7771">
        <v>2</v>
      </c>
      <c r="E7771">
        <v>340</v>
      </c>
    </row>
    <row r="7772" spans="1:5" x14ac:dyDescent="0.25">
      <c r="A7772">
        <v>205</v>
      </c>
      <c r="B7772">
        <f t="shared" si="10"/>
        <v>339</v>
      </c>
      <c r="C7772">
        <v>4</v>
      </c>
      <c r="E7772" s="1">
        <v>340</v>
      </c>
    </row>
    <row r="7773" spans="1:5" x14ac:dyDescent="0.25">
      <c r="A7773">
        <v>226</v>
      </c>
      <c r="B7773">
        <f t="shared" si="10"/>
        <v>339</v>
      </c>
      <c r="C7773">
        <v>2</v>
      </c>
      <c r="E7773">
        <v>340</v>
      </c>
    </row>
    <row r="7774" spans="1:5" x14ac:dyDescent="0.25">
      <c r="A7774">
        <v>232</v>
      </c>
      <c r="B7774">
        <f t="shared" si="10"/>
        <v>339</v>
      </c>
      <c r="C7774">
        <v>3</v>
      </c>
      <c r="E7774" s="1">
        <v>340</v>
      </c>
    </row>
    <row r="7775" spans="1:5" x14ac:dyDescent="0.25">
      <c r="A7775">
        <v>253</v>
      </c>
      <c r="B7775">
        <f t="shared" si="10"/>
        <v>339</v>
      </c>
      <c r="C7775">
        <v>1</v>
      </c>
      <c r="E7775">
        <v>340</v>
      </c>
    </row>
    <row r="7776" spans="1:5" x14ac:dyDescent="0.25">
      <c r="A7776">
        <v>274</v>
      </c>
      <c r="B7776">
        <f t="shared" si="10"/>
        <v>339</v>
      </c>
      <c r="C7776">
        <v>3</v>
      </c>
      <c r="E7776" s="1">
        <v>340</v>
      </c>
    </row>
    <row r="7777" spans="1:5" x14ac:dyDescent="0.25">
      <c r="A7777">
        <v>277</v>
      </c>
      <c r="B7777">
        <f t="shared" si="10"/>
        <v>339</v>
      </c>
      <c r="C7777">
        <v>4</v>
      </c>
      <c r="E7777">
        <v>340</v>
      </c>
    </row>
    <row r="7778" spans="1:5" x14ac:dyDescent="0.25">
      <c r="A7778">
        <v>277</v>
      </c>
      <c r="B7778">
        <f t="shared" si="10"/>
        <v>339</v>
      </c>
      <c r="C7778">
        <v>4</v>
      </c>
      <c r="E7778" s="1">
        <v>340</v>
      </c>
    </row>
    <row r="7779" spans="1:5" x14ac:dyDescent="0.25">
      <c r="A7779">
        <v>285</v>
      </c>
      <c r="B7779">
        <f t="shared" si="10"/>
        <v>339</v>
      </c>
      <c r="C7779">
        <v>1</v>
      </c>
      <c r="E7779">
        <v>340</v>
      </c>
    </row>
    <row r="7780" spans="1:5" x14ac:dyDescent="0.25">
      <c r="A7780">
        <v>9</v>
      </c>
      <c r="B7780">
        <f t="shared" si="10"/>
        <v>340</v>
      </c>
      <c r="C7780">
        <v>5</v>
      </c>
      <c r="E7780" s="1">
        <v>341</v>
      </c>
    </row>
    <row r="7781" spans="1:5" x14ac:dyDescent="0.25">
      <c r="A7781">
        <v>11</v>
      </c>
      <c r="B7781">
        <f t="shared" si="10"/>
        <v>340</v>
      </c>
      <c r="C7781">
        <v>4</v>
      </c>
      <c r="E7781">
        <v>341</v>
      </c>
    </row>
    <row r="7782" spans="1:5" x14ac:dyDescent="0.25">
      <c r="A7782">
        <v>34</v>
      </c>
      <c r="B7782">
        <f t="shared" si="10"/>
        <v>340</v>
      </c>
      <c r="C7782">
        <v>3</v>
      </c>
      <c r="E7782" s="1">
        <v>341</v>
      </c>
    </row>
    <row r="7783" spans="1:5" x14ac:dyDescent="0.25">
      <c r="A7783">
        <v>34</v>
      </c>
      <c r="B7783">
        <f t="shared" si="10"/>
        <v>340</v>
      </c>
      <c r="C7783">
        <v>3</v>
      </c>
      <c r="E7783">
        <v>341</v>
      </c>
    </row>
    <row r="7784" spans="1:5" x14ac:dyDescent="0.25">
      <c r="A7784">
        <v>42</v>
      </c>
      <c r="B7784">
        <f t="shared" si="10"/>
        <v>340</v>
      </c>
      <c r="C7784">
        <v>2</v>
      </c>
      <c r="E7784" s="1">
        <v>341</v>
      </c>
    </row>
    <row r="7785" spans="1:5" x14ac:dyDescent="0.25">
      <c r="A7785">
        <v>67</v>
      </c>
      <c r="B7785">
        <f t="shared" si="10"/>
        <v>340</v>
      </c>
      <c r="C7785">
        <v>4</v>
      </c>
      <c r="E7785">
        <v>341</v>
      </c>
    </row>
    <row r="7786" spans="1:5" x14ac:dyDescent="0.25">
      <c r="A7786">
        <v>73</v>
      </c>
      <c r="B7786">
        <f t="shared" si="10"/>
        <v>340</v>
      </c>
      <c r="C7786">
        <v>3</v>
      </c>
      <c r="E7786" s="1">
        <v>341</v>
      </c>
    </row>
    <row r="7787" spans="1:5" x14ac:dyDescent="0.25">
      <c r="A7787">
        <v>78</v>
      </c>
      <c r="B7787">
        <f t="shared" si="10"/>
        <v>340</v>
      </c>
      <c r="C7787">
        <v>1</v>
      </c>
      <c r="E7787">
        <v>341</v>
      </c>
    </row>
    <row r="7788" spans="1:5" x14ac:dyDescent="0.25">
      <c r="A7788">
        <v>88</v>
      </c>
      <c r="B7788">
        <f t="shared" si="10"/>
        <v>340</v>
      </c>
      <c r="C7788">
        <v>2</v>
      </c>
      <c r="E7788" s="1">
        <v>341</v>
      </c>
    </row>
    <row r="7789" spans="1:5" x14ac:dyDescent="0.25">
      <c r="A7789">
        <v>93</v>
      </c>
      <c r="B7789">
        <f t="shared" si="10"/>
        <v>340</v>
      </c>
      <c r="C7789">
        <v>5</v>
      </c>
      <c r="E7789">
        <v>341</v>
      </c>
    </row>
    <row r="7790" spans="1:5" x14ac:dyDescent="0.25">
      <c r="A7790">
        <v>98</v>
      </c>
      <c r="B7790">
        <f t="shared" si="10"/>
        <v>340</v>
      </c>
      <c r="C7790">
        <v>2</v>
      </c>
      <c r="E7790" s="1">
        <v>341</v>
      </c>
    </row>
    <row r="7791" spans="1:5" x14ac:dyDescent="0.25">
      <c r="A7791">
        <v>103</v>
      </c>
      <c r="B7791">
        <f t="shared" si="10"/>
        <v>340</v>
      </c>
      <c r="C7791">
        <v>5</v>
      </c>
      <c r="E7791">
        <v>341</v>
      </c>
    </row>
    <row r="7792" spans="1:5" x14ac:dyDescent="0.25">
      <c r="A7792">
        <v>122</v>
      </c>
      <c r="B7792">
        <f t="shared" si="10"/>
        <v>340</v>
      </c>
      <c r="C7792">
        <v>4</v>
      </c>
      <c r="E7792" s="1">
        <v>341</v>
      </c>
    </row>
    <row r="7793" spans="1:5" x14ac:dyDescent="0.25">
      <c r="A7793">
        <v>124</v>
      </c>
      <c r="B7793">
        <f t="shared" si="10"/>
        <v>340</v>
      </c>
      <c r="C7793">
        <v>3</v>
      </c>
      <c r="E7793">
        <v>341</v>
      </c>
    </row>
    <row r="7794" spans="1:5" x14ac:dyDescent="0.25">
      <c r="A7794">
        <v>146</v>
      </c>
      <c r="B7794">
        <f t="shared" si="10"/>
        <v>340</v>
      </c>
      <c r="C7794">
        <v>2</v>
      </c>
      <c r="E7794" s="1">
        <v>341</v>
      </c>
    </row>
    <row r="7795" spans="1:5" x14ac:dyDescent="0.25">
      <c r="A7795">
        <v>150</v>
      </c>
      <c r="B7795">
        <f t="shared" si="10"/>
        <v>340</v>
      </c>
      <c r="C7795">
        <v>4</v>
      </c>
      <c r="E7795">
        <v>341</v>
      </c>
    </row>
    <row r="7796" spans="1:5" x14ac:dyDescent="0.25">
      <c r="A7796">
        <v>168</v>
      </c>
      <c r="B7796">
        <f t="shared" si="10"/>
        <v>340</v>
      </c>
      <c r="C7796">
        <v>1</v>
      </c>
      <c r="E7796" s="1">
        <v>341</v>
      </c>
    </row>
    <row r="7797" spans="1:5" x14ac:dyDescent="0.25">
      <c r="A7797">
        <v>180</v>
      </c>
      <c r="B7797">
        <f t="shared" si="10"/>
        <v>340</v>
      </c>
      <c r="C7797">
        <v>3</v>
      </c>
      <c r="E7797">
        <v>341</v>
      </c>
    </row>
    <row r="7798" spans="1:5" x14ac:dyDescent="0.25">
      <c r="A7798">
        <v>199</v>
      </c>
      <c r="B7798">
        <f t="shared" si="10"/>
        <v>340</v>
      </c>
      <c r="C7798">
        <v>5</v>
      </c>
      <c r="E7798" s="1">
        <v>341</v>
      </c>
    </row>
    <row r="7799" spans="1:5" x14ac:dyDescent="0.25">
      <c r="A7799">
        <v>205</v>
      </c>
      <c r="B7799">
        <f t="shared" si="10"/>
        <v>340</v>
      </c>
      <c r="C7799">
        <v>2</v>
      </c>
      <c r="E7799">
        <v>341</v>
      </c>
    </row>
    <row r="7800" spans="1:5" x14ac:dyDescent="0.25">
      <c r="A7800">
        <v>205</v>
      </c>
      <c r="B7800">
        <f t="shared" si="10"/>
        <v>340</v>
      </c>
      <c r="C7800">
        <v>5</v>
      </c>
      <c r="E7800" s="1">
        <v>341</v>
      </c>
    </row>
    <row r="7801" spans="1:5" x14ac:dyDescent="0.25">
      <c r="A7801">
        <v>237</v>
      </c>
      <c r="B7801">
        <f t="shared" si="10"/>
        <v>340</v>
      </c>
      <c r="C7801">
        <v>2</v>
      </c>
      <c r="E7801">
        <v>341</v>
      </c>
    </row>
    <row r="7802" spans="1:5" x14ac:dyDescent="0.25">
      <c r="A7802">
        <v>251</v>
      </c>
      <c r="B7802">
        <f t="shared" si="10"/>
        <v>340</v>
      </c>
      <c r="C7802">
        <v>4</v>
      </c>
      <c r="E7802" s="1">
        <v>341</v>
      </c>
    </row>
    <row r="7803" spans="1:5" x14ac:dyDescent="0.25">
      <c r="A7803">
        <v>275</v>
      </c>
      <c r="B7803">
        <f t="shared" si="10"/>
        <v>340</v>
      </c>
      <c r="C7803">
        <v>1</v>
      </c>
      <c r="E7803">
        <v>341</v>
      </c>
    </row>
    <row r="7804" spans="1:5" x14ac:dyDescent="0.25">
      <c r="A7804">
        <v>277</v>
      </c>
      <c r="B7804">
        <f t="shared" si="10"/>
        <v>340</v>
      </c>
      <c r="C7804">
        <v>4</v>
      </c>
      <c r="E7804" s="1">
        <v>341</v>
      </c>
    </row>
    <row r="7805" spans="1:5" x14ac:dyDescent="0.25">
      <c r="A7805">
        <v>299</v>
      </c>
      <c r="B7805">
        <f t="shared" si="10"/>
        <v>340</v>
      </c>
      <c r="C7805">
        <v>3</v>
      </c>
      <c r="E7805">
        <v>341</v>
      </c>
    </row>
    <row r="7806" spans="1:5" x14ac:dyDescent="0.25">
      <c r="A7806">
        <v>15</v>
      </c>
      <c r="B7806">
        <f t="shared" si="10"/>
        <v>341</v>
      </c>
      <c r="C7806">
        <v>5</v>
      </c>
      <c r="E7806" s="1">
        <v>342</v>
      </c>
    </row>
    <row r="7807" spans="1:5" x14ac:dyDescent="0.25">
      <c r="A7807">
        <v>29</v>
      </c>
      <c r="B7807">
        <f t="shared" si="10"/>
        <v>341</v>
      </c>
      <c r="C7807">
        <v>5</v>
      </c>
      <c r="E7807">
        <v>342</v>
      </c>
    </row>
    <row r="7808" spans="1:5" x14ac:dyDescent="0.25">
      <c r="A7808">
        <v>34</v>
      </c>
      <c r="B7808">
        <f t="shared" si="10"/>
        <v>341</v>
      </c>
      <c r="C7808">
        <v>4</v>
      </c>
      <c r="E7808" s="1">
        <v>342</v>
      </c>
    </row>
    <row r="7809" spans="1:5" x14ac:dyDescent="0.25">
      <c r="A7809">
        <v>51</v>
      </c>
      <c r="B7809">
        <f t="shared" si="10"/>
        <v>341</v>
      </c>
      <c r="C7809">
        <v>5</v>
      </c>
      <c r="E7809">
        <v>342</v>
      </c>
    </row>
    <row r="7810" spans="1:5" x14ac:dyDescent="0.25">
      <c r="A7810">
        <v>84</v>
      </c>
      <c r="B7810">
        <f t="shared" si="10"/>
        <v>341</v>
      </c>
      <c r="C7810">
        <v>3</v>
      </c>
      <c r="E7810" s="1">
        <v>342</v>
      </c>
    </row>
    <row r="7811" spans="1:5" x14ac:dyDescent="0.25">
      <c r="A7811">
        <v>90</v>
      </c>
      <c r="B7811">
        <f t="shared" si="10"/>
        <v>341</v>
      </c>
      <c r="C7811">
        <v>3</v>
      </c>
      <c r="E7811">
        <v>342</v>
      </c>
    </row>
    <row r="7812" spans="1:5" x14ac:dyDescent="0.25">
      <c r="A7812">
        <v>94</v>
      </c>
      <c r="B7812">
        <f t="shared" si="10"/>
        <v>341</v>
      </c>
      <c r="C7812">
        <v>3</v>
      </c>
      <c r="E7812" s="1">
        <v>342</v>
      </c>
    </row>
    <row r="7813" spans="1:5" x14ac:dyDescent="0.25">
      <c r="A7813">
        <v>103</v>
      </c>
      <c r="B7813">
        <f t="shared" si="10"/>
        <v>341</v>
      </c>
      <c r="C7813">
        <v>5</v>
      </c>
      <c r="E7813">
        <v>342</v>
      </c>
    </row>
    <row r="7814" spans="1:5" x14ac:dyDescent="0.25">
      <c r="A7814">
        <v>105</v>
      </c>
      <c r="B7814">
        <f t="shared" si="10"/>
        <v>341</v>
      </c>
      <c r="C7814">
        <v>4</v>
      </c>
      <c r="E7814" s="1">
        <v>342</v>
      </c>
    </row>
    <row r="7815" spans="1:5" x14ac:dyDescent="0.25">
      <c r="A7815">
        <v>128</v>
      </c>
      <c r="B7815">
        <f t="shared" si="10"/>
        <v>341</v>
      </c>
      <c r="C7815">
        <v>5</v>
      </c>
      <c r="E7815">
        <v>342</v>
      </c>
    </row>
    <row r="7816" spans="1:5" x14ac:dyDescent="0.25">
      <c r="A7816">
        <v>128</v>
      </c>
      <c r="B7816">
        <f t="shared" si="10"/>
        <v>341</v>
      </c>
      <c r="C7816">
        <v>2</v>
      </c>
      <c r="E7816" s="1">
        <v>342</v>
      </c>
    </row>
    <row r="7817" spans="1:5" x14ac:dyDescent="0.25">
      <c r="A7817">
        <v>144</v>
      </c>
      <c r="B7817">
        <f t="shared" si="10"/>
        <v>341</v>
      </c>
      <c r="C7817">
        <v>2</v>
      </c>
      <c r="E7817">
        <v>342</v>
      </c>
    </row>
    <row r="7818" spans="1:5" x14ac:dyDescent="0.25">
      <c r="A7818">
        <v>149</v>
      </c>
      <c r="B7818">
        <f t="shared" si="10"/>
        <v>341</v>
      </c>
      <c r="C7818">
        <v>3</v>
      </c>
      <c r="E7818" s="1">
        <v>342</v>
      </c>
    </row>
    <row r="7819" spans="1:5" x14ac:dyDescent="0.25">
      <c r="A7819">
        <v>162</v>
      </c>
      <c r="B7819">
        <f t="shared" si="10"/>
        <v>341</v>
      </c>
      <c r="C7819">
        <v>1</v>
      </c>
      <c r="E7819">
        <v>342</v>
      </c>
    </row>
    <row r="7820" spans="1:5" x14ac:dyDescent="0.25">
      <c r="A7820">
        <v>194</v>
      </c>
      <c r="B7820">
        <f t="shared" si="10"/>
        <v>341</v>
      </c>
      <c r="C7820">
        <v>5</v>
      </c>
      <c r="E7820" s="1">
        <v>342</v>
      </c>
    </row>
    <row r="7821" spans="1:5" x14ac:dyDescent="0.25">
      <c r="A7821">
        <v>225</v>
      </c>
      <c r="B7821">
        <f t="shared" si="10"/>
        <v>341</v>
      </c>
      <c r="C7821">
        <v>2</v>
      </c>
      <c r="E7821">
        <v>342</v>
      </c>
    </row>
    <row r="7822" spans="1:5" x14ac:dyDescent="0.25">
      <c r="A7822">
        <v>234</v>
      </c>
      <c r="B7822">
        <f t="shared" ref="B7822:B7885" si="11">E7822-1</f>
        <v>341</v>
      </c>
      <c r="C7822">
        <v>5</v>
      </c>
      <c r="E7822" s="1">
        <v>342</v>
      </c>
    </row>
    <row r="7823" spans="1:5" x14ac:dyDescent="0.25">
      <c r="A7823">
        <v>263</v>
      </c>
      <c r="B7823">
        <f t="shared" si="11"/>
        <v>341</v>
      </c>
      <c r="C7823">
        <v>1</v>
      </c>
      <c r="E7823">
        <v>342</v>
      </c>
    </row>
    <row r="7824" spans="1:5" x14ac:dyDescent="0.25">
      <c r="A7824">
        <v>271</v>
      </c>
      <c r="B7824">
        <f t="shared" si="11"/>
        <v>341</v>
      </c>
      <c r="C7824">
        <v>4</v>
      </c>
      <c r="E7824" s="1">
        <v>342</v>
      </c>
    </row>
    <row r="7825" spans="1:5" x14ac:dyDescent="0.25">
      <c r="A7825">
        <v>273</v>
      </c>
      <c r="B7825">
        <f t="shared" si="11"/>
        <v>341</v>
      </c>
      <c r="C7825">
        <v>2</v>
      </c>
      <c r="E7825">
        <v>342</v>
      </c>
    </row>
    <row r="7826" spans="1:5" x14ac:dyDescent="0.25">
      <c r="A7826">
        <v>275</v>
      </c>
      <c r="B7826">
        <f t="shared" si="11"/>
        <v>341</v>
      </c>
      <c r="C7826">
        <v>1</v>
      </c>
      <c r="E7826" s="1">
        <v>342</v>
      </c>
    </row>
    <row r="7827" spans="1:5" x14ac:dyDescent="0.25">
      <c r="A7827">
        <v>283</v>
      </c>
      <c r="B7827">
        <f t="shared" si="11"/>
        <v>341</v>
      </c>
      <c r="C7827">
        <v>5</v>
      </c>
      <c r="E7827">
        <v>342</v>
      </c>
    </row>
    <row r="7828" spans="1:5" x14ac:dyDescent="0.25">
      <c r="A7828">
        <v>283</v>
      </c>
      <c r="B7828">
        <f t="shared" si="11"/>
        <v>341</v>
      </c>
      <c r="C7828">
        <v>1</v>
      </c>
      <c r="E7828" s="1">
        <v>342</v>
      </c>
    </row>
    <row r="7829" spans="1:5" x14ac:dyDescent="0.25">
      <c r="A7829">
        <v>295</v>
      </c>
      <c r="B7829">
        <f t="shared" si="11"/>
        <v>341</v>
      </c>
      <c r="C7829">
        <v>4</v>
      </c>
      <c r="E7829">
        <v>342</v>
      </c>
    </row>
    <row r="7830" spans="1:5" x14ac:dyDescent="0.25">
      <c r="A7830">
        <v>298</v>
      </c>
      <c r="B7830">
        <f t="shared" si="11"/>
        <v>341</v>
      </c>
      <c r="C7830">
        <v>4</v>
      </c>
      <c r="E7830" s="1">
        <v>342</v>
      </c>
    </row>
    <row r="7831" spans="1:5" x14ac:dyDescent="0.25">
      <c r="A7831">
        <v>35</v>
      </c>
      <c r="B7831">
        <f t="shared" si="11"/>
        <v>342</v>
      </c>
      <c r="C7831">
        <v>2</v>
      </c>
      <c r="E7831">
        <v>343</v>
      </c>
    </row>
    <row r="7832" spans="1:5" x14ac:dyDescent="0.25">
      <c r="A7832">
        <v>42</v>
      </c>
      <c r="B7832">
        <f t="shared" si="11"/>
        <v>342</v>
      </c>
      <c r="C7832">
        <v>4</v>
      </c>
      <c r="E7832" s="1">
        <v>343</v>
      </c>
    </row>
    <row r="7833" spans="1:5" x14ac:dyDescent="0.25">
      <c r="A7833">
        <v>71</v>
      </c>
      <c r="B7833">
        <f t="shared" si="11"/>
        <v>342</v>
      </c>
      <c r="C7833">
        <v>2</v>
      </c>
      <c r="E7833">
        <v>343</v>
      </c>
    </row>
    <row r="7834" spans="1:5" x14ac:dyDescent="0.25">
      <c r="A7834">
        <v>95</v>
      </c>
      <c r="B7834">
        <f t="shared" si="11"/>
        <v>342</v>
      </c>
      <c r="C7834">
        <v>4</v>
      </c>
      <c r="E7834" s="1">
        <v>343</v>
      </c>
    </row>
    <row r="7835" spans="1:5" x14ac:dyDescent="0.25">
      <c r="A7835">
        <v>105</v>
      </c>
      <c r="B7835">
        <f t="shared" si="11"/>
        <v>342</v>
      </c>
      <c r="C7835">
        <v>2</v>
      </c>
      <c r="E7835">
        <v>343</v>
      </c>
    </row>
    <row r="7836" spans="1:5" x14ac:dyDescent="0.25">
      <c r="A7836">
        <v>105</v>
      </c>
      <c r="B7836">
        <f t="shared" si="11"/>
        <v>342</v>
      </c>
      <c r="C7836">
        <v>3</v>
      </c>
      <c r="E7836" s="1">
        <v>343</v>
      </c>
    </row>
    <row r="7837" spans="1:5" x14ac:dyDescent="0.25">
      <c r="A7837">
        <v>107</v>
      </c>
      <c r="B7837">
        <f t="shared" si="11"/>
        <v>342</v>
      </c>
      <c r="C7837">
        <v>5</v>
      </c>
      <c r="E7837">
        <v>343</v>
      </c>
    </row>
    <row r="7838" spans="1:5" x14ac:dyDescent="0.25">
      <c r="A7838">
        <v>112</v>
      </c>
      <c r="B7838">
        <f t="shared" si="11"/>
        <v>342</v>
      </c>
      <c r="C7838">
        <v>4</v>
      </c>
      <c r="E7838" s="1">
        <v>343</v>
      </c>
    </row>
    <row r="7839" spans="1:5" x14ac:dyDescent="0.25">
      <c r="A7839">
        <v>120</v>
      </c>
      <c r="B7839">
        <f t="shared" si="11"/>
        <v>342</v>
      </c>
      <c r="C7839">
        <v>3</v>
      </c>
      <c r="E7839">
        <v>343</v>
      </c>
    </row>
    <row r="7840" spans="1:5" x14ac:dyDescent="0.25">
      <c r="A7840">
        <v>137</v>
      </c>
      <c r="B7840">
        <f t="shared" si="11"/>
        <v>342</v>
      </c>
      <c r="C7840">
        <v>2</v>
      </c>
      <c r="E7840" s="1">
        <v>343</v>
      </c>
    </row>
    <row r="7841" spans="1:5" x14ac:dyDescent="0.25">
      <c r="A7841">
        <v>145</v>
      </c>
      <c r="B7841">
        <f t="shared" si="11"/>
        <v>342</v>
      </c>
      <c r="C7841">
        <v>1</v>
      </c>
      <c r="E7841">
        <v>343</v>
      </c>
    </row>
    <row r="7842" spans="1:5" x14ac:dyDescent="0.25">
      <c r="A7842">
        <v>152</v>
      </c>
      <c r="B7842">
        <f t="shared" si="11"/>
        <v>342</v>
      </c>
      <c r="C7842">
        <v>2</v>
      </c>
      <c r="E7842" s="1">
        <v>343</v>
      </c>
    </row>
    <row r="7843" spans="1:5" x14ac:dyDescent="0.25">
      <c r="A7843">
        <v>176</v>
      </c>
      <c r="B7843">
        <f t="shared" si="11"/>
        <v>342</v>
      </c>
      <c r="C7843">
        <v>1</v>
      </c>
      <c r="E7843">
        <v>343</v>
      </c>
    </row>
    <row r="7844" spans="1:5" x14ac:dyDescent="0.25">
      <c r="A7844">
        <v>177</v>
      </c>
      <c r="B7844">
        <f t="shared" si="11"/>
        <v>342</v>
      </c>
      <c r="C7844">
        <v>4</v>
      </c>
      <c r="E7844" s="1">
        <v>343</v>
      </c>
    </row>
    <row r="7845" spans="1:5" x14ac:dyDescent="0.25">
      <c r="A7845">
        <v>181</v>
      </c>
      <c r="B7845">
        <f t="shared" si="11"/>
        <v>342</v>
      </c>
      <c r="C7845">
        <v>2</v>
      </c>
      <c r="E7845">
        <v>343</v>
      </c>
    </row>
    <row r="7846" spans="1:5" x14ac:dyDescent="0.25">
      <c r="A7846">
        <v>197</v>
      </c>
      <c r="B7846">
        <f t="shared" si="11"/>
        <v>342</v>
      </c>
      <c r="C7846">
        <v>2</v>
      </c>
      <c r="E7846" s="1">
        <v>343</v>
      </c>
    </row>
    <row r="7847" spans="1:5" x14ac:dyDescent="0.25">
      <c r="A7847">
        <v>199</v>
      </c>
      <c r="B7847">
        <f t="shared" si="11"/>
        <v>342</v>
      </c>
      <c r="C7847">
        <v>4</v>
      </c>
      <c r="E7847">
        <v>343</v>
      </c>
    </row>
    <row r="7848" spans="1:5" x14ac:dyDescent="0.25">
      <c r="A7848">
        <v>207</v>
      </c>
      <c r="B7848">
        <f t="shared" si="11"/>
        <v>342</v>
      </c>
      <c r="C7848">
        <v>5</v>
      </c>
      <c r="E7848" s="1">
        <v>343</v>
      </c>
    </row>
    <row r="7849" spans="1:5" x14ac:dyDescent="0.25">
      <c r="A7849">
        <v>209</v>
      </c>
      <c r="B7849">
        <f t="shared" si="11"/>
        <v>342</v>
      </c>
      <c r="C7849">
        <v>1</v>
      </c>
      <c r="E7849">
        <v>343</v>
      </c>
    </row>
    <row r="7850" spans="1:5" x14ac:dyDescent="0.25">
      <c r="A7850">
        <v>215</v>
      </c>
      <c r="B7850">
        <f t="shared" si="11"/>
        <v>342</v>
      </c>
      <c r="C7850">
        <v>3</v>
      </c>
      <c r="E7850" s="1">
        <v>343</v>
      </c>
    </row>
    <row r="7851" spans="1:5" x14ac:dyDescent="0.25">
      <c r="A7851">
        <v>230</v>
      </c>
      <c r="B7851">
        <f t="shared" si="11"/>
        <v>342</v>
      </c>
      <c r="C7851">
        <v>1</v>
      </c>
      <c r="E7851">
        <v>343</v>
      </c>
    </row>
    <row r="7852" spans="1:5" x14ac:dyDescent="0.25">
      <c r="A7852">
        <v>240</v>
      </c>
      <c r="B7852">
        <f t="shared" si="11"/>
        <v>342</v>
      </c>
      <c r="C7852">
        <v>2</v>
      </c>
      <c r="E7852" s="1">
        <v>343</v>
      </c>
    </row>
    <row r="7853" spans="1:5" x14ac:dyDescent="0.25">
      <c r="A7853">
        <v>255</v>
      </c>
      <c r="B7853">
        <f t="shared" si="11"/>
        <v>342</v>
      </c>
      <c r="C7853">
        <v>5</v>
      </c>
      <c r="E7853">
        <v>343</v>
      </c>
    </row>
    <row r="7854" spans="1:5" x14ac:dyDescent="0.25">
      <c r="A7854">
        <v>261</v>
      </c>
      <c r="B7854">
        <f t="shared" si="11"/>
        <v>342</v>
      </c>
      <c r="C7854">
        <v>1</v>
      </c>
      <c r="E7854" s="1">
        <v>343</v>
      </c>
    </row>
    <row r="7855" spans="1:5" x14ac:dyDescent="0.25">
      <c r="A7855">
        <v>262</v>
      </c>
      <c r="B7855">
        <f t="shared" si="11"/>
        <v>342</v>
      </c>
      <c r="C7855">
        <v>5</v>
      </c>
      <c r="E7855">
        <v>343</v>
      </c>
    </row>
    <row r="7856" spans="1:5" x14ac:dyDescent="0.25">
      <c r="A7856">
        <v>300</v>
      </c>
      <c r="B7856">
        <f t="shared" si="11"/>
        <v>342</v>
      </c>
      <c r="C7856">
        <v>4</v>
      </c>
      <c r="E7856" s="1">
        <v>343</v>
      </c>
    </row>
    <row r="7857" spans="1:5" x14ac:dyDescent="0.25">
      <c r="A7857">
        <v>1</v>
      </c>
      <c r="B7857">
        <f t="shared" si="11"/>
        <v>343</v>
      </c>
      <c r="C7857">
        <v>2</v>
      </c>
      <c r="E7857">
        <v>344</v>
      </c>
    </row>
    <row r="7858" spans="1:5" x14ac:dyDescent="0.25">
      <c r="A7858">
        <v>10</v>
      </c>
      <c r="B7858">
        <f t="shared" si="11"/>
        <v>343</v>
      </c>
      <c r="C7858">
        <v>3</v>
      </c>
      <c r="E7858" s="1">
        <v>344</v>
      </c>
    </row>
    <row r="7859" spans="1:5" x14ac:dyDescent="0.25">
      <c r="A7859">
        <v>14</v>
      </c>
      <c r="B7859">
        <f t="shared" si="11"/>
        <v>343</v>
      </c>
      <c r="C7859">
        <v>2</v>
      </c>
      <c r="E7859">
        <v>344</v>
      </c>
    </row>
    <row r="7860" spans="1:5" x14ac:dyDescent="0.25">
      <c r="A7860">
        <v>19</v>
      </c>
      <c r="B7860">
        <f t="shared" si="11"/>
        <v>343</v>
      </c>
      <c r="C7860">
        <v>2</v>
      </c>
      <c r="E7860" s="1">
        <v>344</v>
      </c>
    </row>
    <row r="7861" spans="1:5" x14ac:dyDescent="0.25">
      <c r="A7861">
        <v>20</v>
      </c>
      <c r="B7861">
        <f t="shared" si="11"/>
        <v>343</v>
      </c>
      <c r="C7861">
        <v>2</v>
      </c>
      <c r="E7861">
        <v>344</v>
      </c>
    </row>
    <row r="7862" spans="1:5" x14ac:dyDescent="0.25">
      <c r="A7862">
        <v>24</v>
      </c>
      <c r="B7862">
        <f t="shared" si="11"/>
        <v>343</v>
      </c>
      <c r="C7862">
        <v>3</v>
      </c>
      <c r="E7862" s="1">
        <v>344</v>
      </c>
    </row>
    <row r="7863" spans="1:5" x14ac:dyDescent="0.25">
      <c r="A7863">
        <v>28</v>
      </c>
      <c r="B7863">
        <f t="shared" si="11"/>
        <v>343</v>
      </c>
      <c r="C7863">
        <v>4</v>
      </c>
      <c r="E7863">
        <v>344</v>
      </c>
    </row>
    <row r="7864" spans="1:5" x14ac:dyDescent="0.25">
      <c r="A7864">
        <v>32</v>
      </c>
      <c r="B7864">
        <f t="shared" si="11"/>
        <v>343</v>
      </c>
      <c r="C7864">
        <v>3</v>
      </c>
      <c r="E7864" s="1">
        <v>344</v>
      </c>
    </row>
    <row r="7865" spans="1:5" x14ac:dyDescent="0.25">
      <c r="A7865">
        <v>35</v>
      </c>
      <c r="B7865">
        <f t="shared" si="11"/>
        <v>343</v>
      </c>
      <c r="C7865">
        <v>4</v>
      </c>
      <c r="E7865">
        <v>344</v>
      </c>
    </row>
    <row r="7866" spans="1:5" x14ac:dyDescent="0.25">
      <c r="A7866">
        <v>37</v>
      </c>
      <c r="B7866">
        <f t="shared" si="11"/>
        <v>343</v>
      </c>
      <c r="C7866">
        <v>5</v>
      </c>
      <c r="E7866" s="1">
        <v>344</v>
      </c>
    </row>
    <row r="7867" spans="1:5" x14ac:dyDescent="0.25">
      <c r="A7867">
        <v>51</v>
      </c>
      <c r="B7867">
        <f t="shared" si="11"/>
        <v>343</v>
      </c>
      <c r="C7867">
        <v>5</v>
      </c>
      <c r="E7867">
        <v>344</v>
      </c>
    </row>
    <row r="7868" spans="1:5" x14ac:dyDescent="0.25">
      <c r="A7868">
        <v>52</v>
      </c>
      <c r="B7868">
        <f t="shared" si="11"/>
        <v>343</v>
      </c>
      <c r="C7868">
        <v>2</v>
      </c>
      <c r="E7868" s="1">
        <v>344</v>
      </c>
    </row>
    <row r="7869" spans="1:5" x14ac:dyDescent="0.25">
      <c r="A7869">
        <v>74</v>
      </c>
      <c r="B7869">
        <f t="shared" si="11"/>
        <v>343</v>
      </c>
      <c r="C7869">
        <v>1</v>
      </c>
      <c r="E7869">
        <v>344</v>
      </c>
    </row>
    <row r="7870" spans="1:5" x14ac:dyDescent="0.25">
      <c r="A7870">
        <v>75</v>
      </c>
      <c r="B7870">
        <f t="shared" si="11"/>
        <v>343</v>
      </c>
      <c r="C7870">
        <v>3</v>
      </c>
      <c r="E7870" s="1">
        <v>344</v>
      </c>
    </row>
    <row r="7871" spans="1:5" x14ac:dyDescent="0.25">
      <c r="A7871">
        <v>76</v>
      </c>
      <c r="B7871">
        <f t="shared" si="11"/>
        <v>343</v>
      </c>
      <c r="C7871">
        <v>1</v>
      </c>
      <c r="E7871">
        <v>344</v>
      </c>
    </row>
    <row r="7872" spans="1:5" x14ac:dyDescent="0.25">
      <c r="A7872">
        <v>105</v>
      </c>
      <c r="B7872">
        <f t="shared" si="11"/>
        <v>343</v>
      </c>
      <c r="C7872">
        <v>2</v>
      </c>
      <c r="E7872" s="1">
        <v>344</v>
      </c>
    </row>
    <row r="7873" spans="1:5" x14ac:dyDescent="0.25">
      <c r="A7873">
        <v>137</v>
      </c>
      <c r="B7873">
        <f t="shared" si="11"/>
        <v>343</v>
      </c>
      <c r="C7873">
        <v>4</v>
      </c>
      <c r="E7873">
        <v>344</v>
      </c>
    </row>
    <row r="7874" spans="1:5" x14ac:dyDescent="0.25">
      <c r="A7874">
        <v>141</v>
      </c>
      <c r="B7874">
        <f t="shared" si="11"/>
        <v>343</v>
      </c>
      <c r="C7874">
        <v>1</v>
      </c>
      <c r="E7874" s="1">
        <v>344</v>
      </c>
    </row>
    <row r="7875" spans="1:5" x14ac:dyDescent="0.25">
      <c r="A7875">
        <v>144</v>
      </c>
      <c r="B7875">
        <f t="shared" si="11"/>
        <v>343</v>
      </c>
      <c r="C7875">
        <v>5</v>
      </c>
      <c r="E7875">
        <v>344</v>
      </c>
    </row>
    <row r="7876" spans="1:5" x14ac:dyDescent="0.25">
      <c r="A7876">
        <v>153</v>
      </c>
      <c r="B7876">
        <f t="shared" si="11"/>
        <v>343</v>
      </c>
      <c r="C7876">
        <v>1</v>
      </c>
      <c r="E7876" s="1">
        <v>344</v>
      </c>
    </row>
    <row r="7877" spans="1:5" x14ac:dyDescent="0.25">
      <c r="A7877">
        <v>165</v>
      </c>
      <c r="B7877">
        <f t="shared" si="11"/>
        <v>343</v>
      </c>
      <c r="C7877">
        <v>4</v>
      </c>
      <c r="E7877">
        <v>344</v>
      </c>
    </row>
    <row r="7878" spans="1:5" x14ac:dyDescent="0.25">
      <c r="A7878">
        <v>166</v>
      </c>
      <c r="B7878">
        <f t="shared" si="11"/>
        <v>343</v>
      </c>
      <c r="C7878">
        <v>2</v>
      </c>
      <c r="E7878" s="1">
        <v>344</v>
      </c>
    </row>
    <row r="7879" spans="1:5" x14ac:dyDescent="0.25">
      <c r="A7879">
        <v>173</v>
      </c>
      <c r="B7879">
        <f t="shared" si="11"/>
        <v>343</v>
      </c>
      <c r="C7879">
        <v>1</v>
      </c>
      <c r="E7879">
        <v>344</v>
      </c>
    </row>
    <row r="7880" spans="1:5" x14ac:dyDescent="0.25">
      <c r="A7880">
        <v>187</v>
      </c>
      <c r="B7880">
        <f t="shared" si="11"/>
        <v>343</v>
      </c>
      <c r="C7880">
        <v>3</v>
      </c>
      <c r="E7880" s="1">
        <v>344</v>
      </c>
    </row>
    <row r="7881" spans="1:5" x14ac:dyDescent="0.25">
      <c r="A7881">
        <v>191</v>
      </c>
      <c r="B7881">
        <f t="shared" si="11"/>
        <v>343</v>
      </c>
      <c r="C7881">
        <v>1</v>
      </c>
      <c r="E7881">
        <v>344</v>
      </c>
    </row>
    <row r="7882" spans="1:5" x14ac:dyDescent="0.25">
      <c r="A7882">
        <v>195</v>
      </c>
      <c r="B7882">
        <f t="shared" si="11"/>
        <v>343</v>
      </c>
      <c r="C7882">
        <v>2</v>
      </c>
      <c r="E7882" s="1">
        <v>344</v>
      </c>
    </row>
    <row r="7883" spans="1:5" x14ac:dyDescent="0.25">
      <c r="A7883">
        <v>235</v>
      </c>
      <c r="B7883">
        <f t="shared" si="11"/>
        <v>343</v>
      </c>
      <c r="C7883">
        <v>5</v>
      </c>
      <c r="E7883">
        <v>344</v>
      </c>
    </row>
    <row r="7884" spans="1:5" x14ac:dyDescent="0.25">
      <c r="A7884">
        <v>258</v>
      </c>
      <c r="B7884">
        <f t="shared" si="11"/>
        <v>343</v>
      </c>
      <c r="C7884">
        <v>3</v>
      </c>
      <c r="E7884" s="1">
        <v>344</v>
      </c>
    </row>
    <row r="7885" spans="1:5" x14ac:dyDescent="0.25">
      <c r="A7885">
        <v>258</v>
      </c>
      <c r="B7885">
        <f t="shared" si="11"/>
        <v>343</v>
      </c>
      <c r="C7885">
        <v>5</v>
      </c>
      <c r="E7885">
        <v>344</v>
      </c>
    </row>
    <row r="7886" spans="1:5" x14ac:dyDescent="0.25">
      <c r="A7886">
        <v>261</v>
      </c>
      <c r="B7886">
        <f t="shared" ref="B7886:B7949" si="12">E7886-1</f>
        <v>343</v>
      </c>
      <c r="C7886">
        <v>3</v>
      </c>
      <c r="E7886" s="1">
        <v>344</v>
      </c>
    </row>
    <row r="7887" spans="1:5" x14ac:dyDescent="0.25">
      <c r="A7887">
        <v>266</v>
      </c>
      <c r="B7887">
        <f t="shared" si="12"/>
        <v>343</v>
      </c>
      <c r="C7887">
        <v>2</v>
      </c>
      <c r="E7887">
        <v>344</v>
      </c>
    </row>
    <row r="7888" spans="1:5" x14ac:dyDescent="0.25">
      <c r="A7888">
        <v>280</v>
      </c>
      <c r="B7888">
        <f t="shared" si="12"/>
        <v>343</v>
      </c>
      <c r="C7888">
        <v>1</v>
      </c>
      <c r="E7888" s="1">
        <v>344</v>
      </c>
    </row>
    <row r="7889" spans="1:5" x14ac:dyDescent="0.25">
      <c r="A7889">
        <v>281</v>
      </c>
      <c r="B7889">
        <f t="shared" si="12"/>
        <v>343</v>
      </c>
      <c r="C7889">
        <v>5</v>
      </c>
      <c r="E7889">
        <v>344</v>
      </c>
    </row>
    <row r="7890" spans="1:5" x14ac:dyDescent="0.25">
      <c r="A7890">
        <v>31</v>
      </c>
      <c r="B7890">
        <f t="shared" si="12"/>
        <v>344</v>
      </c>
      <c r="C7890">
        <v>2</v>
      </c>
      <c r="E7890" s="1">
        <v>345</v>
      </c>
    </row>
    <row r="7891" spans="1:5" x14ac:dyDescent="0.25">
      <c r="A7891">
        <v>44</v>
      </c>
      <c r="B7891">
        <f t="shared" si="12"/>
        <v>344</v>
      </c>
      <c r="C7891">
        <v>2</v>
      </c>
      <c r="E7891">
        <v>345</v>
      </c>
    </row>
    <row r="7892" spans="1:5" x14ac:dyDescent="0.25">
      <c r="A7892">
        <v>47</v>
      </c>
      <c r="B7892">
        <f t="shared" si="12"/>
        <v>344</v>
      </c>
      <c r="C7892">
        <v>3</v>
      </c>
      <c r="E7892" s="1">
        <v>345</v>
      </c>
    </row>
    <row r="7893" spans="1:5" x14ac:dyDescent="0.25">
      <c r="A7893">
        <v>49</v>
      </c>
      <c r="B7893">
        <f t="shared" si="12"/>
        <v>344</v>
      </c>
      <c r="C7893">
        <v>1</v>
      </c>
      <c r="E7893">
        <v>345</v>
      </c>
    </row>
    <row r="7894" spans="1:5" x14ac:dyDescent="0.25">
      <c r="A7894">
        <v>62</v>
      </c>
      <c r="B7894">
        <f t="shared" si="12"/>
        <v>344</v>
      </c>
      <c r="C7894">
        <v>4</v>
      </c>
      <c r="E7894" s="1">
        <v>345</v>
      </c>
    </row>
    <row r="7895" spans="1:5" x14ac:dyDescent="0.25">
      <c r="A7895">
        <v>68</v>
      </c>
      <c r="B7895">
        <f t="shared" si="12"/>
        <v>344</v>
      </c>
      <c r="C7895">
        <v>5</v>
      </c>
      <c r="E7895">
        <v>345</v>
      </c>
    </row>
    <row r="7896" spans="1:5" x14ac:dyDescent="0.25">
      <c r="A7896">
        <v>83</v>
      </c>
      <c r="B7896">
        <f t="shared" si="12"/>
        <v>344</v>
      </c>
      <c r="C7896">
        <v>4</v>
      </c>
      <c r="E7896" s="1">
        <v>345</v>
      </c>
    </row>
    <row r="7897" spans="1:5" x14ac:dyDescent="0.25">
      <c r="A7897">
        <v>93</v>
      </c>
      <c r="B7897">
        <f t="shared" si="12"/>
        <v>344</v>
      </c>
      <c r="C7897">
        <v>5</v>
      </c>
      <c r="E7897">
        <v>345</v>
      </c>
    </row>
    <row r="7898" spans="1:5" x14ac:dyDescent="0.25">
      <c r="A7898">
        <v>94</v>
      </c>
      <c r="B7898">
        <f t="shared" si="12"/>
        <v>344</v>
      </c>
      <c r="C7898">
        <v>1</v>
      </c>
      <c r="E7898" s="1">
        <v>345</v>
      </c>
    </row>
    <row r="7899" spans="1:5" x14ac:dyDescent="0.25">
      <c r="A7899">
        <v>118</v>
      </c>
      <c r="B7899">
        <f t="shared" si="12"/>
        <v>344</v>
      </c>
      <c r="C7899">
        <v>5</v>
      </c>
      <c r="E7899">
        <v>345</v>
      </c>
    </row>
    <row r="7900" spans="1:5" x14ac:dyDescent="0.25">
      <c r="A7900">
        <v>124</v>
      </c>
      <c r="B7900">
        <f t="shared" si="12"/>
        <v>344</v>
      </c>
      <c r="C7900">
        <v>2</v>
      </c>
      <c r="E7900" s="1">
        <v>345</v>
      </c>
    </row>
    <row r="7901" spans="1:5" x14ac:dyDescent="0.25">
      <c r="A7901">
        <v>145</v>
      </c>
      <c r="B7901">
        <f t="shared" si="12"/>
        <v>344</v>
      </c>
      <c r="C7901">
        <v>3</v>
      </c>
      <c r="E7901">
        <v>345</v>
      </c>
    </row>
    <row r="7902" spans="1:5" x14ac:dyDescent="0.25">
      <c r="A7902">
        <v>147</v>
      </c>
      <c r="B7902">
        <f t="shared" si="12"/>
        <v>344</v>
      </c>
      <c r="C7902">
        <v>2</v>
      </c>
      <c r="E7902" s="1">
        <v>345</v>
      </c>
    </row>
    <row r="7903" spans="1:5" x14ac:dyDescent="0.25">
      <c r="A7903">
        <v>184</v>
      </c>
      <c r="B7903">
        <f t="shared" si="12"/>
        <v>344</v>
      </c>
      <c r="C7903">
        <v>3</v>
      </c>
      <c r="E7903">
        <v>345</v>
      </c>
    </row>
    <row r="7904" spans="1:5" x14ac:dyDescent="0.25">
      <c r="A7904">
        <v>190</v>
      </c>
      <c r="B7904">
        <f t="shared" si="12"/>
        <v>344</v>
      </c>
      <c r="C7904">
        <v>5</v>
      </c>
      <c r="E7904" s="1">
        <v>345</v>
      </c>
    </row>
    <row r="7905" spans="1:5" x14ac:dyDescent="0.25">
      <c r="A7905">
        <v>235</v>
      </c>
      <c r="B7905">
        <f t="shared" si="12"/>
        <v>344</v>
      </c>
      <c r="C7905">
        <v>4</v>
      </c>
      <c r="E7905">
        <v>345</v>
      </c>
    </row>
    <row r="7906" spans="1:5" x14ac:dyDescent="0.25">
      <c r="A7906">
        <v>256</v>
      </c>
      <c r="B7906">
        <f t="shared" si="12"/>
        <v>344</v>
      </c>
      <c r="C7906">
        <v>1</v>
      </c>
      <c r="E7906" s="1">
        <v>345</v>
      </c>
    </row>
    <row r="7907" spans="1:5" x14ac:dyDescent="0.25">
      <c r="A7907">
        <v>277</v>
      </c>
      <c r="B7907">
        <f t="shared" si="12"/>
        <v>344</v>
      </c>
      <c r="C7907">
        <v>4</v>
      </c>
      <c r="E7907">
        <v>345</v>
      </c>
    </row>
    <row r="7908" spans="1:5" x14ac:dyDescent="0.25">
      <c r="A7908">
        <v>284</v>
      </c>
      <c r="B7908">
        <f t="shared" si="12"/>
        <v>344</v>
      </c>
      <c r="C7908">
        <v>5</v>
      </c>
      <c r="E7908" s="1">
        <v>345</v>
      </c>
    </row>
    <row r="7909" spans="1:5" x14ac:dyDescent="0.25">
      <c r="A7909">
        <v>294</v>
      </c>
      <c r="B7909">
        <f t="shared" si="12"/>
        <v>344</v>
      </c>
      <c r="C7909">
        <v>3</v>
      </c>
      <c r="E7909">
        <v>345</v>
      </c>
    </row>
    <row r="7910" spans="1:5" x14ac:dyDescent="0.25">
      <c r="A7910">
        <v>5</v>
      </c>
      <c r="B7910">
        <f t="shared" si="12"/>
        <v>345</v>
      </c>
      <c r="C7910">
        <v>4</v>
      </c>
      <c r="E7910" s="1">
        <v>346</v>
      </c>
    </row>
    <row r="7911" spans="1:5" x14ac:dyDescent="0.25">
      <c r="A7911">
        <v>6</v>
      </c>
      <c r="B7911">
        <f t="shared" si="12"/>
        <v>345</v>
      </c>
      <c r="C7911">
        <v>5</v>
      </c>
      <c r="E7911">
        <v>346</v>
      </c>
    </row>
    <row r="7912" spans="1:5" x14ac:dyDescent="0.25">
      <c r="A7912">
        <v>17</v>
      </c>
      <c r="B7912">
        <f t="shared" si="12"/>
        <v>345</v>
      </c>
      <c r="C7912">
        <v>2</v>
      </c>
      <c r="E7912" s="1">
        <v>346</v>
      </c>
    </row>
    <row r="7913" spans="1:5" x14ac:dyDescent="0.25">
      <c r="A7913">
        <v>19</v>
      </c>
      <c r="B7913">
        <f t="shared" si="12"/>
        <v>345</v>
      </c>
      <c r="C7913">
        <v>4</v>
      </c>
      <c r="E7913">
        <v>346</v>
      </c>
    </row>
    <row r="7914" spans="1:5" x14ac:dyDescent="0.25">
      <c r="A7914">
        <v>20</v>
      </c>
      <c r="B7914">
        <f t="shared" si="12"/>
        <v>345</v>
      </c>
      <c r="C7914">
        <v>3</v>
      </c>
      <c r="E7914" s="1">
        <v>346</v>
      </c>
    </row>
    <row r="7915" spans="1:5" x14ac:dyDescent="0.25">
      <c r="A7915">
        <v>30</v>
      </c>
      <c r="B7915">
        <f t="shared" si="12"/>
        <v>345</v>
      </c>
      <c r="C7915">
        <v>3</v>
      </c>
      <c r="E7915">
        <v>346</v>
      </c>
    </row>
    <row r="7916" spans="1:5" x14ac:dyDescent="0.25">
      <c r="A7916">
        <v>53</v>
      </c>
      <c r="B7916">
        <f t="shared" si="12"/>
        <v>345</v>
      </c>
      <c r="C7916">
        <v>5</v>
      </c>
      <c r="E7916" s="1">
        <v>346</v>
      </c>
    </row>
    <row r="7917" spans="1:5" x14ac:dyDescent="0.25">
      <c r="A7917">
        <v>77</v>
      </c>
      <c r="B7917">
        <f t="shared" si="12"/>
        <v>345</v>
      </c>
      <c r="C7917">
        <v>2</v>
      </c>
      <c r="E7917">
        <v>346</v>
      </c>
    </row>
    <row r="7918" spans="1:5" x14ac:dyDescent="0.25">
      <c r="A7918">
        <v>79</v>
      </c>
      <c r="B7918">
        <f t="shared" si="12"/>
        <v>345</v>
      </c>
      <c r="C7918">
        <v>3</v>
      </c>
      <c r="E7918" s="1">
        <v>346</v>
      </c>
    </row>
    <row r="7919" spans="1:5" x14ac:dyDescent="0.25">
      <c r="A7919">
        <v>92</v>
      </c>
      <c r="B7919">
        <f t="shared" si="12"/>
        <v>345</v>
      </c>
      <c r="C7919">
        <v>3</v>
      </c>
      <c r="E7919">
        <v>346</v>
      </c>
    </row>
    <row r="7920" spans="1:5" x14ac:dyDescent="0.25">
      <c r="A7920">
        <v>100</v>
      </c>
      <c r="B7920">
        <f t="shared" si="12"/>
        <v>345</v>
      </c>
      <c r="C7920">
        <v>3</v>
      </c>
      <c r="E7920" s="1">
        <v>346</v>
      </c>
    </row>
    <row r="7921" spans="1:5" x14ac:dyDescent="0.25">
      <c r="A7921">
        <v>102</v>
      </c>
      <c r="B7921">
        <f t="shared" si="12"/>
        <v>345</v>
      </c>
      <c r="C7921">
        <v>5</v>
      </c>
      <c r="E7921">
        <v>346</v>
      </c>
    </row>
    <row r="7922" spans="1:5" x14ac:dyDescent="0.25">
      <c r="A7922">
        <v>117</v>
      </c>
      <c r="B7922">
        <f t="shared" si="12"/>
        <v>345</v>
      </c>
      <c r="C7922">
        <v>5</v>
      </c>
      <c r="E7922" s="1">
        <v>346</v>
      </c>
    </row>
    <row r="7923" spans="1:5" x14ac:dyDescent="0.25">
      <c r="A7923">
        <v>143</v>
      </c>
      <c r="B7923">
        <f t="shared" si="12"/>
        <v>345</v>
      </c>
      <c r="C7923">
        <v>2</v>
      </c>
      <c r="E7923">
        <v>346</v>
      </c>
    </row>
    <row r="7924" spans="1:5" x14ac:dyDescent="0.25">
      <c r="A7924">
        <v>167</v>
      </c>
      <c r="B7924">
        <f t="shared" si="12"/>
        <v>345</v>
      </c>
      <c r="C7924">
        <v>2</v>
      </c>
      <c r="E7924" s="1">
        <v>346</v>
      </c>
    </row>
    <row r="7925" spans="1:5" x14ac:dyDescent="0.25">
      <c r="A7925">
        <v>168</v>
      </c>
      <c r="B7925">
        <f t="shared" si="12"/>
        <v>345</v>
      </c>
      <c r="C7925">
        <v>5</v>
      </c>
      <c r="E7925">
        <v>346</v>
      </c>
    </row>
    <row r="7926" spans="1:5" x14ac:dyDescent="0.25">
      <c r="A7926">
        <v>174</v>
      </c>
      <c r="B7926">
        <f t="shared" si="12"/>
        <v>345</v>
      </c>
      <c r="C7926">
        <v>1</v>
      </c>
      <c r="E7926" s="1">
        <v>346</v>
      </c>
    </row>
    <row r="7927" spans="1:5" x14ac:dyDescent="0.25">
      <c r="A7927">
        <v>176</v>
      </c>
      <c r="B7927">
        <f t="shared" si="12"/>
        <v>345</v>
      </c>
      <c r="C7927">
        <v>1</v>
      </c>
      <c r="E7927">
        <v>346</v>
      </c>
    </row>
    <row r="7928" spans="1:5" x14ac:dyDescent="0.25">
      <c r="A7928">
        <v>185</v>
      </c>
      <c r="B7928">
        <f t="shared" si="12"/>
        <v>345</v>
      </c>
      <c r="C7928">
        <v>2</v>
      </c>
      <c r="E7928" s="1">
        <v>346</v>
      </c>
    </row>
    <row r="7929" spans="1:5" x14ac:dyDescent="0.25">
      <c r="A7929">
        <v>190</v>
      </c>
      <c r="B7929">
        <f t="shared" si="12"/>
        <v>345</v>
      </c>
      <c r="C7929">
        <v>2</v>
      </c>
      <c r="E7929">
        <v>346</v>
      </c>
    </row>
    <row r="7930" spans="1:5" x14ac:dyDescent="0.25">
      <c r="A7930">
        <v>216</v>
      </c>
      <c r="B7930">
        <f t="shared" si="12"/>
        <v>345</v>
      </c>
      <c r="C7930">
        <v>2</v>
      </c>
      <c r="E7930" s="1">
        <v>346</v>
      </c>
    </row>
    <row r="7931" spans="1:5" x14ac:dyDescent="0.25">
      <c r="A7931">
        <v>216</v>
      </c>
      <c r="B7931">
        <f t="shared" si="12"/>
        <v>345</v>
      </c>
      <c r="C7931">
        <v>5</v>
      </c>
      <c r="E7931">
        <v>346</v>
      </c>
    </row>
    <row r="7932" spans="1:5" x14ac:dyDescent="0.25">
      <c r="A7932">
        <v>248</v>
      </c>
      <c r="B7932">
        <f t="shared" si="12"/>
        <v>345</v>
      </c>
      <c r="C7932">
        <v>5</v>
      </c>
      <c r="E7932" s="1">
        <v>346</v>
      </c>
    </row>
    <row r="7933" spans="1:5" x14ac:dyDescent="0.25">
      <c r="A7933">
        <v>267</v>
      </c>
      <c r="B7933">
        <f t="shared" si="12"/>
        <v>345</v>
      </c>
      <c r="C7933">
        <v>2</v>
      </c>
      <c r="E7933">
        <v>346</v>
      </c>
    </row>
    <row r="7934" spans="1:5" x14ac:dyDescent="0.25">
      <c r="A7934">
        <v>300</v>
      </c>
      <c r="B7934">
        <f t="shared" si="12"/>
        <v>345</v>
      </c>
      <c r="C7934">
        <v>4</v>
      </c>
      <c r="E7934" s="1">
        <v>346</v>
      </c>
    </row>
    <row r="7935" spans="1:5" x14ac:dyDescent="0.25">
      <c r="A7935">
        <v>16</v>
      </c>
      <c r="B7935">
        <f t="shared" si="12"/>
        <v>346</v>
      </c>
      <c r="C7935">
        <v>3</v>
      </c>
      <c r="E7935">
        <v>347</v>
      </c>
    </row>
    <row r="7936" spans="1:5" x14ac:dyDescent="0.25">
      <c r="A7936">
        <v>84</v>
      </c>
      <c r="B7936">
        <f t="shared" si="12"/>
        <v>346</v>
      </c>
      <c r="C7936">
        <v>5</v>
      </c>
      <c r="E7936" s="1">
        <v>347</v>
      </c>
    </row>
    <row r="7937" spans="1:5" x14ac:dyDescent="0.25">
      <c r="A7937">
        <v>87</v>
      </c>
      <c r="B7937">
        <f t="shared" si="12"/>
        <v>346</v>
      </c>
      <c r="C7937">
        <v>4</v>
      </c>
      <c r="E7937">
        <v>347</v>
      </c>
    </row>
    <row r="7938" spans="1:5" x14ac:dyDescent="0.25">
      <c r="A7938">
        <v>96</v>
      </c>
      <c r="B7938">
        <f t="shared" si="12"/>
        <v>346</v>
      </c>
      <c r="C7938">
        <v>4</v>
      </c>
      <c r="E7938" s="1">
        <v>347</v>
      </c>
    </row>
    <row r="7939" spans="1:5" x14ac:dyDescent="0.25">
      <c r="A7939">
        <v>101</v>
      </c>
      <c r="B7939">
        <f t="shared" si="12"/>
        <v>346</v>
      </c>
      <c r="C7939">
        <v>5</v>
      </c>
      <c r="E7939">
        <v>347</v>
      </c>
    </row>
    <row r="7940" spans="1:5" x14ac:dyDescent="0.25">
      <c r="A7940">
        <v>132</v>
      </c>
      <c r="B7940">
        <f t="shared" si="12"/>
        <v>346</v>
      </c>
      <c r="C7940">
        <v>1</v>
      </c>
      <c r="E7940" s="1">
        <v>347</v>
      </c>
    </row>
    <row r="7941" spans="1:5" x14ac:dyDescent="0.25">
      <c r="A7941">
        <v>139</v>
      </c>
      <c r="B7941">
        <f t="shared" si="12"/>
        <v>346</v>
      </c>
      <c r="C7941">
        <v>5</v>
      </c>
      <c r="E7941">
        <v>347</v>
      </c>
    </row>
    <row r="7942" spans="1:5" x14ac:dyDescent="0.25">
      <c r="A7942">
        <v>153</v>
      </c>
      <c r="B7942">
        <f t="shared" si="12"/>
        <v>346</v>
      </c>
      <c r="C7942">
        <v>1</v>
      </c>
      <c r="E7942" s="1">
        <v>347</v>
      </c>
    </row>
    <row r="7943" spans="1:5" x14ac:dyDescent="0.25">
      <c r="A7943">
        <v>155</v>
      </c>
      <c r="B7943">
        <f t="shared" si="12"/>
        <v>346</v>
      </c>
      <c r="C7943">
        <v>2</v>
      </c>
      <c r="E7943">
        <v>347</v>
      </c>
    </row>
    <row r="7944" spans="1:5" x14ac:dyDescent="0.25">
      <c r="A7944">
        <v>158</v>
      </c>
      <c r="B7944">
        <f t="shared" si="12"/>
        <v>346</v>
      </c>
      <c r="C7944">
        <v>1</v>
      </c>
      <c r="E7944" s="1">
        <v>347</v>
      </c>
    </row>
    <row r="7945" spans="1:5" x14ac:dyDescent="0.25">
      <c r="A7945">
        <v>158</v>
      </c>
      <c r="B7945">
        <f t="shared" si="12"/>
        <v>346</v>
      </c>
      <c r="C7945">
        <v>5</v>
      </c>
      <c r="E7945">
        <v>347</v>
      </c>
    </row>
    <row r="7946" spans="1:5" x14ac:dyDescent="0.25">
      <c r="A7946">
        <v>163</v>
      </c>
      <c r="B7946">
        <f t="shared" si="12"/>
        <v>346</v>
      </c>
      <c r="C7946">
        <v>5</v>
      </c>
      <c r="E7946" s="1">
        <v>347</v>
      </c>
    </row>
    <row r="7947" spans="1:5" x14ac:dyDescent="0.25">
      <c r="A7947">
        <v>167</v>
      </c>
      <c r="B7947">
        <f t="shared" si="12"/>
        <v>346</v>
      </c>
      <c r="C7947">
        <v>4</v>
      </c>
      <c r="E7947">
        <v>347</v>
      </c>
    </row>
    <row r="7948" spans="1:5" x14ac:dyDescent="0.25">
      <c r="A7948">
        <v>204</v>
      </c>
      <c r="B7948">
        <f t="shared" si="12"/>
        <v>346</v>
      </c>
      <c r="C7948">
        <v>5</v>
      </c>
      <c r="E7948" s="1">
        <v>347</v>
      </c>
    </row>
    <row r="7949" spans="1:5" x14ac:dyDescent="0.25">
      <c r="A7949">
        <v>214</v>
      </c>
      <c r="B7949">
        <f t="shared" si="12"/>
        <v>346</v>
      </c>
      <c r="C7949">
        <v>1</v>
      </c>
      <c r="E7949">
        <v>347</v>
      </c>
    </row>
    <row r="7950" spans="1:5" x14ac:dyDescent="0.25">
      <c r="A7950">
        <v>222</v>
      </c>
      <c r="B7950">
        <f t="shared" ref="B7950:B8013" si="13">E7950-1</f>
        <v>346</v>
      </c>
      <c r="C7950">
        <v>2</v>
      </c>
      <c r="E7950" s="1">
        <v>347</v>
      </c>
    </row>
    <row r="7951" spans="1:5" x14ac:dyDescent="0.25">
      <c r="A7951">
        <v>223</v>
      </c>
      <c r="B7951">
        <f t="shared" si="13"/>
        <v>346</v>
      </c>
      <c r="C7951">
        <v>2</v>
      </c>
      <c r="E7951">
        <v>347</v>
      </c>
    </row>
    <row r="7952" spans="1:5" x14ac:dyDescent="0.25">
      <c r="A7952">
        <v>241</v>
      </c>
      <c r="B7952">
        <f t="shared" si="13"/>
        <v>346</v>
      </c>
      <c r="C7952">
        <v>1</v>
      </c>
      <c r="E7952" s="1">
        <v>347</v>
      </c>
    </row>
    <row r="7953" spans="1:5" x14ac:dyDescent="0.25">
      <c r="A7953">
        <v>241</v>
      </c>
      <c r="B7953">
        <f t="shared" si="13"/>
        <v>346</v>
      </c>
      <c r="C7953">
        <v>2</v>
      </c>
      <c r="E7953">
        <v>347</v>
      </c>
    </row>
    <row r="7954" spans="1:5" x14ac:dyDescent="0.25">
      <c r="A7954">
        <v>242</v>
      </c>
      <c r="B7954">
        <f t="shared" si="13"/>
        <v>346</v>
      </c>
      <c r="C7954">
        <v>5</v>
      </c>
      <c r="E7954" s="1">
        <v>347</v>
      </c>
    </row>
    <row r="7955" spans="1:5" x14ac:dyDescent="0.25">
      <c r="A7955">
        <v>242</v>
      </c>
      <c r="B7955">
        <f t="shared" si="13"/>
        <v>346</v>
      </c>
      <c r="C7955">
        <v>1</v>
      </c>
      <c r="E7955">
        <v>347</v>
      </c>
    </row>
    <row r="7956" spans="1:5" x14ac:dyDescent="0.25">
      <c r="A7956">
        <v>250</v>
      </c>
      <c r="B7956">
        <f t="shared" si="13"/>
        <v>346</v>
      </c>
      <c r="C7956">
        <v>2</v>
      </c>
      <c r="E7956" s="1">
        <v>347</v>
      </c>
    </row>
    <row r="7957" spans="1:5" x14ac:dyDescent="0.25">
      <c r="A7957">
        <v>254</v>
      </c>
      <c r="B7957">
        <f t="shared" si="13"/>
        <v>346</v>
      </c>
      <c r="C7957">
        <v>3</v>
      </c>
      <c r="E7957">
        <v>347</v>
      </c>
    </row>
    <row r="7958" spans="1:5" x14ac:dyDescent="0.25">
      <c r="A7958">
        <v>271</v>
      </c>
      <c r="B7958">
        <f t="shared" si="13"/>
        <v>346</v>
      </c>
      <c r="C7958">
        <v>4</v>
      </c>
      <c r="E7958" s="1">
        <v>347</v>
      </c>
    </row>
    <row r="7959" spans="1:5" x14ac:dyDescent="0.25">
      <c r="A7959">
        <v>272</v>
      </c>
      <c r="B7959">
        <f t="shared" si="13"/>
        <v>346</v>
      </c>
      <c r="C7959">
        <v>1</v>
      </c>
      <c r="E7959">
        <v>347</v>
      </c>
    </row>
    <row r="7960" spans="1:5" x14ac:dyDescent="0.25">
      <c r="A7960">
        <v>283</v>
      </c>
      <c r="B7960">
        <f t="shared" si="13"/>
        <v>346</v>
      </c>
      <c r="C7960">
        <v>4</v>
      </c>
      <c r="E7960" s="1">
        <v>347</v>
      </c>
    </row>
    <row r="7961" spans="1:5" x14ac:dyDescent="0.25">
      <c r="A7961">
        <v>4</v>
      </c>
      <c r="B7961">
        <f t="shared" si="13"/>
        <v>347</v>
      </c>
      <c r="C7961">
        <v>5</v>
      </c>
      <c r="E7961">
        <v>348</v>
      </c>
    </row>
    <row r="7962" spans="1:5" x14ac:dyDescent="0.25">
      <c r="A7962">
        <v>6</v>
      </c>
      <c r="B7962">
        <f t="shared" si="13"/>
        <v>347</v>
      </c>
      <c r="C7962">
        <v>2</v>
      </c>
      <c r="E7962" s="1">
        <v>348</v>
      </c>
    </row>
    <row r="7963" spans="1:5" x14ac:dyDescent="0.25">
      <c r="A7963">
        <v>15</v>
      </c>
      <c r="B7963">
        <f t="shared" si="13"/>
        <v>347</v>
      </c>
      <c r="C7963">
        <v>2</v>
      </c>
      <c r="E7963">
        <v>348</v>
      </c>
    </row>
    <row r="7964" spans="1:5" x14ac:dyDescent="0.25">
      <c r="A7964">
        <v>22</v>
      </c>
      <c r="B7964">
        <f t="shared" si="13"/>
        <v>347</v>
      </c>
      <c r="C7964">
        <v>4</v>
      </c>
      <c r="E7964" s="1">
        <v>348</v>
      </c>
    </row>
    <row r="7965" spans="1:5" x14ac:dyDescent="0.25">
      <c r="A7965">
        <v>23</v>
      </c>
      <c r="B7965">
        <f t="shared" si="13"/>
        <v>347</v>
      </c>
      <c r="C7965">
        <v>5</v>
      </c>
      <c r="E7965">
        <v>348</v>
      </c>
    </row>
    <row r="7966" spans="1:5" x14ac:dyDescent="0.25">
      <c r="A7966">
        <v>53</v>
      </c>
      <c r="B7966">
        <f t="shared" si="13"/>
        <v>347</v>
      </c>
      <c r="C7966">
        <v>2</v>
      </c>
      <c r="E7966" s="1">
        <v>348</v>
      </c>
    </row>
    <row r="7967" spans="1:5" x14ac:dyDescent="0.25">
      <c r="A7967">
        <v>58</v>
      </c>
      <c r="B7967">
        <f t="shared" si="13"/>
        <v>347</v>
      </c>
      <c r="C7967">
        <v>3</v>
      </c>
      <c r="E7967">
        <v>348</v>
      </c>
    </row>
    <row r="7968" spans="1:5" x14ac:dyDescent="0.25">
      <c r="A7968">
        <v>82</v>
      </c>
      <c r="B7968">
        <f t="shared" si="13"/>
        <v>347</v>
      </c>
      <c r="C7968">
        <v>5</v>
      </c>
      <c r="E7968" s="1">
        <v>348</v>
      </c>
    </row>
    <row r="7969" spans="1:5" x14ac:dyDescent="0.25">
      <c r="A7969">
        <v>85</v>
      </c>
      <c r="B7969">
        <f t="shared" si="13"/>
        <v>347</v>
      </c>
      <c r="C7969">
        <v>1</v>
      </c>
      <c r="E7969">
        <v>348</v>
      </c>
    </row>
    <row r="7970" spans="1:5" x14ac:dyDescent="0.25">
      <c r="A7970">
        <v>88</v>
      </c>
      <c r="B7970">
        <f t="shared" si="13"/>
        <v>347</v>
      </c>
      <c r="C7970">
        <v>3</v>
      </c>
      <c r="E7970" s="1">
        <v>348</v>
      </c>
    </row>
    <row r="7971" spans="1:5" x14ac:dyDescent="0.25">
      <c r="A7971">
        <v>106</v>
      </c>
      <c r="B7971">
        <f t="shared" si="13"/>
        <v>347</v>
      </c>
      <c r="C7971">
        <v>2</v>
      </c>
      <c r="E7971">
        <v>348</v>
      </c>
    </row>
    <row r="7972" spans="1:5" x14ac:dyDescent="0.25">
      <c r="A7972">
        <v>107</v>
      </c>
      <c r="B7972">
        <f t="shared" si="13"/>
        <v>347</v>
      </c>
      <c r="C7972">
        <v>2</v>
      </c>
      <c r="E7972" s="1">
        <v>348</v>
      </c>
    </row>
    <row r="7973" spans="1:5" x14ac:dyDescent="0.25">
      <c r="A7973">
        <v>121</v>
      </c>
      <c r="B7973">
        <f t="shared" si="13"/>
        <v>347</v>
      </c>
      <c r="C7973">
        <v>5</v>
      </c>
      <c r="E7973">
        <v>348</v>
      </c>
    </row>
    <row r="7974" spans="1:5" x14ac:dyDescent="0.25">
      <c r="A7974">
        <v>128</v>
      </c>
      <c r="B7974">
        <f t="shared" si="13"/>
        <v>347</v>
      </c>
      <c r="C7974">
        <v>1</v>
      </c>
      <c r="E7974" s="1">
        <v>348</v>
      </c>
    </row>
    <row r="7975" spans="1:5" x14ac:dyDescent="0.25">
      <c r="A7975">
        <v>134</v>
      </c>
      <c r="B7975">
        <f t="shared" si="13"/>
        <v>347</v>
      </c>
      <c r="C7975">
        <v>1</v>
      </c>
      <c r="E7975">
        <v>348</v>
      </c>
    </row>
    <row r="7976" spans="1:5" x14ac:dyDescent="0.25">
      <c r="A7976">
        <v>159</v>
      </c>
      <c r="B7976">
        <f t="shared" si="13"/>
        <v>347</v>
      </c>
      <c r="C7976">
        <v>3</v>
      </c>
      <c r="E7976" s="1">
        <v>348</v>
      </c>
    </row>
    <row r="7977" spans="1:5" x14ac:dyDescent="0.25">
      <c r="A7977">
        <v>164</v>
      </c>
      <c r="B7977">
        <f t="shared" si="13"/>
        <v>347</v>
      </c>
      <c r="C7977">
        <v>2</v>
      </c>
      <c r="E7977">
        <v>348</v>
      </c>
    </row>
    <row r="7978" spans="1:5" x14ac:dyDescent="0.25">
      <c r="A7978">
        <v>169</v>
      </c>
      <c r="B7978">
        <f t="shared" si="13"/>
        <v>347</v>
      </c>
      <c r="C7978">
        <v>3</v>
      </c>
      <c r="E7978" s="1">
        <v>348</v>
      </c>
    </row>
    <row r="7979" spans="1:5" x14ac:dyDescent="0.25">
      <c r="A7979">
        <v>186</v>
      </c>
      <c r="B7979">
        <f t="shared" si="13"/>
        <v>347</v>
      </c>
      <c r="C7979">
        <v>4</v>
      </c>
      <c r="E7979">
        <v>348</v>
      </c>
    </row>
    <row r="7980" spans="1:5" x14ac:dyDescent="0.25">
      <c r="A7980">
        <v>194</v>
      </c>
      <c r="B7980">
        <f t="shared" si="13"/>
        <v>347</v>
      </c>
      <c r="C7980">
        <v>1</v>
      </c>
      <c r="E7980" s="1">
        <v>348</v>
      </c>
    </row>
    <row r="7981" spans="1:5" x14ac:dyDescent="0.25">
      <c r="A7981">
        <v>202</v>
      </c>
      <c r="B7981">
        <f t="shared" si="13"/>
        <v>347</v>
      </c>
      <c r="C7981">
        <v>4</v>
      </c>
      <c r="E7981">
        <v>348</v>
      </c>
    </row>
    <row r="7982" spans="1:5" x14ac:dyDescent="0.25">
      <c r="A7982">
        <v>204</v>
      </c>
      <c r="B7982">
        <f t="shared" si="13"/>
        <v>347</v>
      </c>
      <c r="C7982">
        <v>3</v>
      </c>
      <c r="E7982" s="1">
        <v>348</v>
      </c>
    </row>
    <row r="7983" spans="1:5" x14ac:dyDescent="0.25">
      <c r="A7983">
        <v>231</v>
      </c>
      <c r="B7983">
        <f t="shared" si="13"/>
        <v>347</v>
      </c>
      <c r="C7983">
        <v>3</v>
      </c>
      <c r="E7983">
        <v>348</v>
      </c>
    </row>
    <row r="7984" spans="1:5" x14ac:dyDescent="0.25">
      <c r="A7984">
        <v>240</v>
      </c>
      <c r="B7984">
        <f t="shared" si="13"/>
        <v>347</v>
      </c>
      <c r="C7984">
        <v>3</v>
      </c>
      <c r="E7984" s="1">
        <v>348</v>
      </c>
    </row>
    <row r="7985" spans="1:5" x14ac:dyDescent="0.25">
      <c r="A7985">
        <v>246</v>
      </c>
      <c r="B7985">
        <f t="shared" si="13"/>
        <v>347</v>
      </c>
      <c r="C7985">
        <v>5</v>
      </c>
      <c r="E7985">
        <v>348</v>
      </c>
    </row>
    <row r="7986" spans="1:5" x14ac:dyDescent="0.25">
      <c r="A7986">
        <v>263</v>
      </c>
      <c r="B7986">
        <f t="shared" si="13"/>
        <v>347</v>
      </c>
      <c r="C7986">
        <v>5</v>
      </c>
      <c r="E7986" s="1">
        <v>348</v>
      </c>
    </row>
    <row r="7987" spans="1:5" x14ac:dyDescent="0.25">
      <c r="A7987">
        <v>274</v>
      </c>
      <c r="B7987">
        <f t="shared" si="13"/>
        <v>347</v>
      </c>
      <c r="C7987">
        <v>4</v>
      </c>
      <c r="E7987">
        <v>348</v>
      </c>
    </row>
    <row r="7988" spans="1:5" x14ac:dyDescent="0.25">
      <c r="A7988">
        <v>20</v>
      </c>
      <c r="B7988">
        <f t="shared" si="13"/>
        <v>348</v>
      </c>
      <c r="C7988">
        <v>2</v>
      </c>
      <c r="E7988" s="1">
        <v>349</v>
      </c>
    </row>
    <row r="7989" spans="1:5" x14ac:dyDescent="0.25">
      <c r="A7989">
        <v>38</v>
      </c>
      <c r="B7989">
        <f t="shared" si="13"/>
        <v>348</v>
      </c>
      <c r="C7989">
        <v>4</v>
      </c>
      <c r="E7989">
        <v>349</v>
      </c>
    </row>
    <row r="7990" spans="1:5" x14ac:dyDescent="0.25">
      <c r="A7990">
        <v>40</v>
      </c>
      <c r="B7990">
        <f t="shared" si="13"/>
        <v>348</v>
      </c>
      <c r="C7990">
        <v>2</v>
      </c>
      <c r="E7990" s="1">
        <v>349</v>
      </c>
    </row>
    <row r="7991" spans="1:5" x14ac:dyDescent="0.25">
      <c r="A7991">
        <v>49</v>
      </c>
      <c r="B7991">
        <f t="shared" si="13"/>
        <v>348</v>
      </c>
      <c r="C7991">
        <v>5</v>
      </c>
      <c r="E7991">
        <v>349</v>
      </c>
    </row>
    <row r="7992" spans="1:5" x14ac:dyDescent="0.25">
      <c r="A7992">
        <v>80</v>
      </c>
      <c r="B7992">
        <f t="shared" si="13"/>
        <v>348</v>
      </c>
      <c r="C7992">
        <v>1</v>
      </c>
      <c r="E7992" s="1">
        <v>349</v>
      </c>
    </row>
    <row r="7993" spans="1:5" x14ac:dyDescent="0.25">
      <c r="A7993">
        <v>93</v>
      </c>
      <c r="B7993">
        <f t="shared" si="13"/>
        <v>348</v>
      </c>
      <c r="C7993">
        <v>5</v>
      </c>
      <c r="E7993">
        <v>349</v>
      </c>
    </row>
    <row r="7994" spans="1:5" x14ac:dyDescent="0.25">
      <c r="A7994">
        <v>104</v>
      </c>
      <c r="B7994">
        <f t="shared" si="13"/>
        <v>348</v>
      </c>
      <c r="C7994">
        <v>3</v>
      </c>
      <c r="E7994" s="1">
        <v>349</v>
      </c>
    </row>
    <row r="7995" spans="1:5" x14ac:dyDescent="0.25">
      <c r="A7995">
        <v>118</v>
      </c>
      <c r="B7995">
        <f t="shared" si="13"/>
        <v>348</v>
      </c>
      <c r="C7995">
        <v>4</v>
      </c>
      <c r="E7995">
        <v>349</v>
      </c>
    </row>
    <row r="7996" spans="1:5" x14ac:dyDescent="0.25">
      <c r="A7996">
        <v>126</v>
      </c>
      <c r="B7996">
        <f t="shared" si="13"/>
        <v>348</v>
      </c>
      <c r="C7996">
        <v>5</v>
      </c>
      <c r="E7996" s="1">
        <v>349</v>
      </c>
    </row>
    <row r="7997" spans="1:5" x14ac:dyDescent="0.25">
      <c r="A7997">
        <v>142</v>
      </c>
      <c r="B7997">
        <f t="shared" si="13"/>
        <v>348</v>
      </c>
      <c r="C7997">
        <v>2</v>
      </c>
      <c r="E7997">
        <v>349</v>
      </c>
    </row>
    <row r="7998" spans="1:5" x14ac:dyDescent="0.25">
      <c r="A7998">
        <v>169</v>
      </c>
      <c r="B7998">
        <f t="shared" si="13"/>
        <v>348</v>
      </c>
      <c r="C7998">
        <v>2</v>
      </c>
      <c r="E7998" s="1">
        <v>349</v>
      </c>
    </row>
    <row r="7999" spans="1:5" x14ac:dyDescent="0.25">
      <c r="A7999">
        <v>215</v>
      </c>
      <c r="B7999">
        <f t="shared" si="13"/>
        <v>348</v>
      </c>
      <c r="C7999">
        <v>2</v>
      </c>
      <c r="E7999">
        <v>349</v>
      </c>
    </row>
    <row r="8000" spans="1:5" x14ac:dyDescent="0.25">
      <c r="A8000">
        <v>239</v>
      </c>
      <c r="B8000">
        <f t="shared" si="13"/>
        <v>348</v>
      </c>
      <c r="C8000">
        <v>3</v>
      </c>
      <c r="E8000" s="1">
        <v>349</v>
      </c>
    </row>
    <row r="8001" spans="1:5" x14ac:dyDescent="0.25">
      <c r="A8001">
        <v>239</v>
      </c>
      <c r="B8001">
        <f t="shared" si="13"/>
        <v>348</v>
      </c>
      <c r="C8001">
        <v>1</v>
      </c>
      <c r="E8001">
        <v>349</v>
      </c>
    </row>
    <row r="8002" spans="1:5" x14ac:dyDescent="0.25">
      <c r="A8002">
        <v>244</v>
      </c>
      <c r="B8002">
        <f t="shared" si="13"/>
        <v>348</v>
      </c>
      <c r="C8002">
        <v>1</v>
      </c>
      <c r="E8002" s="1">
        <v>349</v>
      </c>
    </row>
    <row r="8003" spans="1:5" x14ac:dyDescent="0.25">
      <c r="A8003">
        <v>254</v>
      </c>
      <c r="B8003">
        <f t="shared" si="13"/>
        <v>348</v>
      </c>
      <c r="C8003">
        <v>5</v>
      </c>
      <c r="E8003">
        <v>349</v>
      </c>
    </row>
    <row r="8004" spans="1:5" x14ac:dyDescent="0.25">
      <c r="A8004">
        <v>264</v>
      </c>
      <c r="B8004">
        <f t="shared" si="13"/>
        <v>348</v>
      </c>
      <c r="C8004">
        <v>1</v>
      </c>
      <c r="E8004" s="1">
        <v>349</v>
      </c>
    </row>
    <row r="8005" spans="1:5" x14ac:dyDescent="0.25">
      <c r="A8005">
        <v>288</v>
      </c>
      <c r="B8005">
        <f t="shared" si="13"/>
        <v>348</v>
      </c>
      <c r="C8005">
        <v>1</v>
      </c>
      <c r="E8005">
        <v>349</v>
      </c>
    </row>
    <row r="8006" spans="1:5" x14ac:dyDescent="0.25">
      <c r="A8006">
        <v>74</v>
      </c>
      <c r="B8006">
        <f t="shared" si="13"/>
        <v>349</v>
      </c>
      <c r="C8006">
        <v>4</v>
      </c>
      <c r="E8006" s="1">
        <v>350</v>
      </c>
    </row>
    <row r="8007" spans="1:5" x14ac:dyDescent="0.25">
      <c r="A8007">
        <v>96</v>
      </c>
      <c r="B8007">
        <f t="shared" si="13"/>
        <v>349</v>
      </c>
      <c r="C8007">
        <v>2</v>
      </c>
      <c r="E8007">
        <v>350</v>
      </c>
    </row>
    <row r="8008" spans="1:5" x14ac:dyDescent="0.25">
      <c r="A8008">
        <v>99</v>
      </c>
      <c r="B8008">
        <f t="shared" si="13"/>
        <v>349</v>
      </c>
      <c r="C8008">
        <v>4</v>
      </c>
      <c r="E8008" s="1">
        <v>350</v>
      </c>
    </row>
    <row r="8009" spans="1:5" x14ac:dyDescent="0.25">
      <c r="A8009">
        <v>124</v>
      </c>
      <c r="B8009">
        <f t="shared" si="13"/>
        <v>349</v>
      </c>
      <c r="C8009">
        <v>2</v>
      </c>
      <c r="E8009">
        <v>350</v>
      </c>
    </row>
    <row r="8010" spans="1:5" x14ac:dyDescent="0.25">
      <c r="A8010">
        <v>132</v>
      </c>
      <c r="B8010">
        <f t="shared" si="13"/>
        <v>349</v>
      </c>
      <c r="C8010">
        <v>3</v>
      </c>
      <c r="E8010" s="1">
        <v>350</v>
      </c>
    </row>
    <row r="8011" spans="1:5" x14ac:dyDescent="0.25">
      <c r="A8011">
        <v>137</v>
      </c>
      <c r="B8011">
        <f t="shared" si="13"/>
        <v>349</v>
      </c>
      <c r="C8011">
        <v>4</v>
      </c>
      <c r="E8011">
        <v>350</v>
      </c>
    </row>
    <row r="8012" spans="1:5" x14ac:dyDescent="0.25">
      <c r="A8012">
        <v>149</v>
      </c>
      <c r="B8012">
        <f t="shared" si="13"/>
        <v>349</v>
      </c>
      <c r="C8012">
        <v>3</v>
      </c>
      <c r="E8012" s="1">
        <v>350</v>
      </c>
    </row>
    <row r="8013" spans="1:5" x14ac:dyDescent="0.25">
      <c r="A8013">
        <v>157</v>
      </c>
      <c r="B8013">
        <f t="shared" si="13"/>
        <v>349</v>
      </c>
      <c r="C8013">
        <v>3</v>
      </c>
      <c r="E8013">
        <v>350</v>
      </c>
    </row>
    <row r="8014" spans="1:5" x14ac:dyDescent="0.25">
      <c r="A8014">
        <v>157</v>
      </c>
      <c r="B8014">
        <f t="shared" ref="B8014:B8077" si="14">E8014-1</f>
        <v>349</v>
      </c>
      <c r="C8014">
        <v>3</v>
      </c>
      <c r="E8014" s="1">
        <v>350</v>
      </c>
    </row>
    <row r="8015" spans="1:5" x14ac:dyDescent="0.25">
      <c r="A8015">
        <v>170</v>
      </c>
      <c r="B8015">
        <f t="shared" si="14"/>
        <v>349</v>
      </c>
      <c r="C8015">
        <v>5</v>
      </c>
      <c r="E8015">
        <v>350</v>
      </c>
    </row>
    <row r="8016" spans="1:5" x14ac:dyDescent="0.25">
      <c r="A8016">
        <v>176</v>
      </c>
      <c r="B8016">
        <f t="shared" si="14"/>
        <v>349</v>
      </c>
      <c r="C8016">
        <v>4</v>
      </c>
      <c r="E8016" s="1">
        <v>350</v>
      </c>
    </row>
    <row r="8017" spans="1:5" x14ac:dyDescent="0.25">
      <c r="A8017">
        <v>179</v>
      </c>
      <c r="B8017">
        <f t="shared" si="14"/>
        <v>349</v>
      </c>
      <c r="C8017">
        <v>2</v>
      </c>
      <c r="E8017">
        <v>350</v>
      </c>
    </row>
    <row r="8018" spans="1:5" x14ac:dyDescent="0.25">
      <c r="A8018">
        <v>182</v>
      </c>
      <c r="B8018">
        <f t="shared" si="14"/>
        <v>349</v>
      </c>
      <c r="C8018">
        <v>4</v>
      </c>
      <c r="E8018" s="1">
        <v>350</v>
      </c>
    </row>
    <row r="8019" spans="1:5" x14ac:dyDescent="0.25">
      <c r="A8019">
        <v>233</v>
      </c>
      <c r="B8019">
        <f t="shared" si="14"/>
        <v>349</v>
      </c>
      <c r="C8019">
        <v>5</v>
      </c>
      <c r="E8019">
        <v>350</v>
      </c>
    </row>
    <row r="8020" spans="1:5" x14ac:dyDescent="0.25">
      <c r="A8020">
        <v>238</v>
      </c>
      <c r="B8020">
        <f t="shared" si="14"/>
        <v>349</v>
      </c>
      <c r="C8020">
        <v>3</v>
      </c>
      <c r="E8020" s="1">
        <v>350</v>
      </c>
    </row>
    <row r="8021" spans="1:5" x14ac:dyDescent="0.25">
      <c r="A8021">
        <v>248</v>
      </c>
      <c r="B8021">
        <f t="shared" si="14"/>
        <v>349</v>
      </c>
      <c r="C8021">
        <v>2</v>
      </c>
      <c r="E8021">
        <v>350</v>
      </c>
    </row>
    <row r="8022" spans="1:5" x14ac:dyDescent="0.25">
      <c r="A8022">
        <v>248</v>
      </c>
      <c r="B8022">
        <f t="shared" si="14"/>
        <v>349</v>
      </c>
      <c r="C8022">
        <v>4</v>
      </c>
      <c r="E8022" s="1">
        <v>350</v>
      </c>
    </row>
    <row r="8023" spans="1:5" x14ac:dyDescent="0.25">
      <c r="A8023">
        <v>298</v>
      </c>
      <c r="B8023">
        <f t="shared" si="14"/>
        <v>349</v>
      </c>
      <c r="C8023">
        <v>4</v>
      </c>
      <c r="E8023">
        <v>350</v>
      </c>
    </row>
    <row r="8024" spans="1:5" x14ac:dyDescent="0.25">
      <c r="A8024">
        <v>41</v>
      </c>
      <c r="B8024">
        <f t="shared" si="14"/>
        <v>350</v>
      </c>
      <c r="C8024">
        <v>2</v>
      </c>
      <c r="E8024" s="1">
        <v>351</v>
      </c>
    </row>
    <row r="8025" spans="1:5" x14ac:dyDescent="0.25">
      <c r="A8025">
        <v>85</v>
      </c>
      <c r="B8025">
        <f t="shared" si="14"/>
        <v>350</v>
      </c>
      <c r="C8025">
        <v>1</v>
      </c>
      <c r="E8025">
        <v>351</v>
      </c>
    </row>
    <row r="8026" spans="1:5" x14ac:dyDescent="0.25">
      <c r="A8026">
        <v>86</v>
      </c>
      <c r="B8026">
        <f t="shared" si="14"/>
        <v>350</v>
      </c>
      <c r="C8026">
        <v>2</v>
      </c>
      <c r="E8026" s="1">
        <v>351</v>
      </c>
    </row>
    <row r="8027" spans="1:5" x14ac:dyDescent="0.25">
      <c r="A8027">
        <v>104</v>
      </c>
      <c r="B8027">
        <f t="shared" si="14"/>
        <v>350</v>
      </c>
      <c r="C8027">
        <v>4</v>
      </c>
      <c r="E8027">
        <v>351</v>
      </c>
    </row>
    <row r="8028" spans="1:5" x14ac:dyDescent="0.25">
      <c r="A8028">
        <v>111</v>
      </c>
      <c r="B8028">
        <f t="shared" si="14"/>
        <v>350</v>
      </c>
      <c r="C8028">
        <v>2</v>
      </c>
      <c r="E8028" s="1">
        <v>351</v>
      </c>
    </row>
    <row r="8029" spans="1:5" x14ac:dyDescent="0.25">
      <c r="A8029">
        <v>112</v>
      </c>
      <c r="B8029">
        <f t="shared" si="14"/>
        <v>350</v>
      </c>
      <c r="C8029">
        <v>5</v>
      </c>
      <c r="E8029">
        <v>351</v>
      </c>
    </row>
    <row r="8030" spans="1:5" x14ac:dyDescent="0.25">
      <c r="A8030">
        <v>143</v>
      </c>
      <c r="B8030">
        <f t="shared" si="14"/>
        <v>350</v>
      </c>
      <c r="C8030">
        <v>5</v>
      </c>
      <c r="E8030" s="1">
        <v>351</v>
      </c>
    </row>
    <row r="8031" spans="1:5" x14ac:dyDescent="0.25">
      <c r="A8031">
        <v>144</v>
      </c>
      <c r="B8031">
        <f t="shared" si="14"/>
        <v>350</v>
      </c>
      <c r="C8031">
        <v>3</v>
      </c>
      <c r="E8031">
        <v>351</v>
      </c>
    </row>
    <row r="8032" spans="1:5" x14ac:dyDescent="0.25">
      <c r="A8032">
        <v>146</v>
      </c>
      <c r="B8032">
        <f t="shared" si="14"/>
        <v>350</v>
      </c>
      <c r="C8032">
        <v>2</v>
      </c>
      <c r="E8032" s="1">
        <v>351</v>
      </c>
    </row>
    <row r="8033" spans="1:5" x14ac:dyDescent="0.25">
      <c r="A8033">
        <v>156</v>
      </c>
      <c r="B8033">
        <f t="shared" si="14"/>
        <v>350</v>
      </c>
      <c r="C8033">
        <v>4</v>
      </c>
      <c r="E8033">
        <v>351</v>
      </c>
    </row>
    <row r="8034" spans="1:5" x14ac:dyDescent="0.25">
      <c r="A8034">
        <v>167</v>
      </c>
      <c r="B8034">
        <f t="shared" si="14"/>
        <v>350</v>
      </c>
      <c r="C8034">
        <v>4</v>
      </c>
      <c r="E8034" s="1">
        <v>351</v>
      </c>
    </row>
    <row r="8035" spans="1:5" x14ac:dyDescent="0.25">
      <c r="A8035">
        <v>179</v>
      </c>
      <c r="B8035">
        <f t="shared" si="14"/>
        <v>350</v>
      </c>
      <c r="C8035">
        <v>4</v>
      </c>
      <c r="E8035">
        <v>351</v>
      </c>
    </row>
    <row r="8036" spans="1:5" x14ac:dyDescent="0.25">
      <c r="A8036">
        <v>203</v>
      </c>
      <c r="B8036">
        <f t="shared" si="14"/>
        <v>350</v>
      </c>
      <c r="C8036">
        <v>4</v>
      </c>
      <c r="E8036" s="1">
        <v>351</v>
      </c>
    </row>
    <row r="8037" spans="1:5" x14ac:dyDescent="0.25">
      <c r="A8037">
        <v>203</v>
      </c>
      <c r="B8037">
        <f t="shared" si="14"/>
        <v>350</v>
      </c>
      <c r="C8037">
        <v>2</v>
      </c>
      <c r="E8037">
        <v>351</v>
      </c>
    </row>
    <row r="8038" spans="1:5" x14ac:dyDescent="0.25">
      <c r="A8038">
        <v>214</v>
      </c>
      <c r="B8038">
        <f t="shared" si="14"/>
        <v>350</v>
      </c>
      <c r="C8038">
        <v>3</v>
      </c>
      <c r="E8038" s="1">
        <v>351</v>
      </c>
    </row>
    <row r="8039" spans="1:5" x14ac:dyDescent="0.25">
      <c r="A8039">
        <v>216</v>
      </c>
      <c r="B8039">
        <f t="shared" si="14"/>
        <v>350</v>
      </c>
      <c r="C8039">
        <v>2</v>
      </c>
      <c r="E8039">
        <v>351</v>
      </c>
    </row>
    <row r="8040" spans="1:5" x14ac:dyDescent="0.25">
      <c r="A8040">
        <v>240</v>
      </c>
      <c r="B8040">
        <f t="shared" si="14"/>
        <v>350</v>
      </c>
      <c r="C8040">
        <v>4</v>
      </c>
      <c r="E8040" s="1">
        <v>351</v>
      </c>
    </row>
    <row r="8041" spans="1:5" x14ac:dyDescent="0.25">
      <c r="A8041">
        <v>249</v>
      </c>
      <c r="B8041">
        <f t="shared" si="14"/>
        <v>350</v>
      </c>
      <c r="C8041">
        <v>5</v>
      </c>
      <c r="E8041">
        <v>351</v>
      </c>
    </row>
    <row r="8042" spans="1:5" x14ac:dyDescent="0.25">
      <c r="A8042">
        <v>264</v>
      </c>
      <c r="B8042">
        <f t="shared" si="14"/>
        <v>350</v>
      </c>
      <c r="C8042">
        <v>2</v>
      </c>
      <c r="E8042" s="1">
        <v>351</v>
      </c>
    </row>
    <row r="8043" spans="1:5" x14ac:dyDescent="0.25">
      <c r="A8043">
        <v>283</v>
      </c>
      <c r="B8043">
        <f t="shared" si="14"/>
        <v>350</v>
      </c>
      <c r="C8043">
        <v>4</v>
      </c>
      <c r="E8043">
        <v>351</v>
      </c>
    </row>
    <row r="8044" spans="1:5" x14ac:dyDescent="0.25">
      <c r="A8044">
        <v>296</v>
      </c>
      <c r="B8044">
        <f t="shared" si="14"/>
        <v>350</v>
      </c>
      <c r="C8044">
        <v>5</v>
      </c>
      <c r="E8044" s="1">
        <v>351</v>
      </c>
    </row>
    <row r="8045" spans="1:5" x14ac:dyDescent="0.25">
      <c r="A8045">
        <v>25</v>
      </c>
      <c r="B8045">
        <f t="shared" si="14"/>
        <v>351</v>
      </c>
      <c r="C8045">
        <v>2</v>
      </c>
      <c r="E8045">
        <v>352</v>
      </c>
    </row>
    <row r="8046" spans="1:5" x14ac:dyDescent="0.25">
      <c r="A8046">
        <v>52</v>
      </c>
      <c r="B8046">
        <f t="shared" si="14"/>
        <v>351</v>
      </c>
      <c r="C8046">
        <v>1</v>
      </c>
      <c r="E8046" s="1">
        <v>352</v>
      </c>
    </row>
    <row r="8047" spans="1:5" x14ac:dyDescent="0.25">
      <c r="A8047">
        <v>58</v>
      </c>
      <c r="B8047">
        <f t="shared" si="14"/>
        <v>351</v>
      </c>
      <c r="C8047">
        <v>5</v>
      </c>
      <c r="E8047">
        <v>352</v>
      </c>
    </row>
    <row r="8048" spans="1:5" x14ac:dyDescent="0.25">
      <c r="A8048">
        <v>69</v>
      </c>
      <c r="B8048">
        <f t="shared" si="14"/>
        <v>351</v>
      </c>
      <c r="C8048">
        <v>3</v>
      </c>
      <c r="E8048" s="1">
        <v>352</v>
      </c>
    </row>
    <row r="8049" spans="1:5" x14ac:dyDescent="0.25">
      <c r="A8049">
        <v>69</v>
      </c>
      <c r="B8049">
        <f t="shared" si="14"/>
        <v>351</v>
      </c>
      <c r="C8049">
        <v>1</v>
      </c>
      <c r="E8049">
        <v>352</v>
      </c>
    </row>
    <row r="8050" spans="1:5" x14ac:dyDescent="0.25">
      <c r="A8050">
        <v>69</v>
      </c>
      <c r="B8050">
        <f t="shared" si="14"/>
        <v>351</v>
      </c>
      <c r="C8050">
        <v>4</v>
      </c>
      <c r="E8050" s="1">
        <v>352</v>
      </c>
    </row>
    <row r="8051" spans="1:5" x14ac:dyDescent="0.25">
      <c r="A8051">
        <v>76</v>
      </c>
      <c r="B8051">
        <f t="shared" si="14"/>
        <v>351</v>
      </c>
      <c r="C8051">
        <v>4</v>
      </c>
      <c r="E8051">
        <v>352</v>
      </c>
    </row>
    <row r="8052" spans="1:5" x14ac:dyDescent="0.25">
      <c r="A8052">
        <v>102</v>
      </c>
      <c r="B8052">
        <f t="shared" si="14"/>
        <v>351</v>
      </c>
      <c r="C8052">
        <v>2</v>
      </c>
      <c r="E8052" s="1">
        <v>352</v>
      </c>
    </row>
    <row r="8053" spans="1:5" x14ac:dyDescent="0.25">
      <c r="A8053">
        <v>109</v>
      </c>
      <c r="B8053">
        <f t="shared" si="14"/>
        <v>351</v>
      </c>
      <c r="C8053">
        <v>5</v>
      </c>
      <c r="E8053">
        <v>352</v>
      </c>
    </row>
    <row r="8054" spans="1:5" x14ac:dyDescent="0.25">
      <c r="A8054">
        <v>118</v>
      </c>
      <c r="B8054">
        <f t="shared" si="14"/>
        <v>351</v>
      </c>
      <c r="C8054">
        <v>2</v>
      </c>
      <c r="E8054" s="1">
        <v>352</v>
      </c>
    </row>
    <row r="8055" spans="1:5" x14ac:dyDescent="0.25">
      <c r="A8055">
        <v>120</v>
      </c>
      <c r="B8055">
        <f t="shared" si="14"/>
        <v>351</v>
      </c>
      <c r="C8055">
        <v>4</v>
      </c>
      <c r="E8055">
        <v>352</v>
      </c>
    </row>
    <row r="8056" spans="1:5" x14ac:dyDescent="0.25">
      <c r="A8056">
        <v>122</v>
      </c>
      <c r="B8056">
        <f t="shared" si="14"/>
        <v>351</v>
      </c>
      <c r="C8056">
        <v>5</v>
      </c>
      <c r="E8056" s="1">
        <v>352</v>
      </c>
    </row>
    <row r="8057" spans="1:5" x14ac:dyDescent="0.25">
      <c r="A8057">
        <v>149</v>
      </c>
      <c r="B8057">
        <f t="shared" si="14"/>
        <v>351</v>
      </c>
      <c r="C8057">
        <v>3</v>
      </c>
      <c r="E8057">
        <v>352</v>
      </c>
    </row>
    <row r="8058" spans="1:5" x14ac:dyDescent="0.25">
      <c r="A8058">
        <v>173</v>
      </c>
      <c r="B8058">
        <f t="shared" si="14"/>
        <v>351</v>
      </c>
      <c r="C8058">
        <v>2</v>
      </c>
      <c r="E8058" s="1">
        <v>352</v>
      </c>
    </row>
    <row r="8059" spans="1:5" x14ac:dyDescent="0.25">
      <c r="A8059">
        <v>195</v>
      </c>
      <c r="B8059">
        <f t="shared" si="14"/>
        <v>351</v>
      </c>
      <c r="C8059">
        <v>2</v>
      </c>
      <c r="E8059">
        <v>352</v>
      </c>
    </row>
    <row r="8060" spans="1:5" x14ac:dyDescent="0.25">
      <c r="A8060">
        <v>196</v>
      </c>
      <c r="B8060">
        <f t="shared" si="14"/>
        <v>351</v>
      </c>
      <c r="C8060">
        <v>5</v>
      </c>
      <c r="E8060" s="1">
        <v>352</v>
      </c>
    </row>
    <row r="8061" spans="1:5" x14ac:dyDescent="0.25">
      <c r="A8061">
        <v>201</v>
      </c>
      <c r="B8061">
        <f t="shared" si="14"/>
        <v>351</v>
      </c>
      <c r="C8061">
        <v>2</v>
      </c>
      <c r="E8061">
        <v>352</v>
      </c>
    </row>
    <row r="8062" spans="1:5" x14ac:dyDescent="0.25">
      <c r="A8062">
        <v>231</v>
      </c>
      <c r="B8062">
        <f t="shared" si="14"/>
        <v>351</v>
      </c>
      <c r="C8062">
        <v>2</v>
      </c>
      <c r="E8062" s="1">
        <v>352</v>
      </c>
    </row>
    <row r="8063" spans="1:5" x14ac:dyDescent="0.25">
      <c r="A8063">
        <v>238</v>
      </c>
      <c r="B8063">
        <f t="shared" si="14"/>
        <v>351</v>
      </c>
      <c r="C8063">
        <v>4</v>
      </c>
      <c r="E8063">
        <v>352</v>
      </c>
    </row>
    <row r="8064" spans="1:5" x14ac:dyDescent="0.25">
      <c r="A8064">
        <v>269</v>
      </c>
      <c r="B8064">
        <f t="shared" si="14"/>
        <v>351</v>
      </c>
      <c r="C8064">
        <v>5</v>
      </c>
      <c r="E8064" s="1">
        <v>352</v>
      </c>
    </row>
    <row r="8065" spans="1:5" x14ac:dyDescent="0.25">
      <c r="A8065">
        <v>282</v>
      </c>
      <c r="B8065">
        <f t="shared" si="14"/>
        <v>351</v>
      </c>
      <c r="C8065">
        <v>2</v>
      </c>
      <c r="E8065">
        <v>352</v>
      </c>
    </row>
    <row r="8066" spans="1:5" x14ac:dyDescent="0.25">
      <c r="A8066">
        <v>282</v>
      </c>
      <c r="B8066">
        <f t="shared" si="14"/>
        <v>351</v>
      </c>
      <c r="C8066">
        <v>4</v>
      </c>
      <c r="E8066" s="1">
        <v>352</v>
      </c>
    </row>
    <row r="8067" spans="1:5" x14ac:dyDescent="0.25">
      <c r="A8067">
        <v>28</v>
      </c>
      <c r="B8067">
        <f t="shared" si="14"/>
        <v>352</v>
      </c>
      <c r="C8067">
        <v>5</v>
      </c>
      <c r="E8067">
        <v>353</v>
      </c>
    </row>
    <row r="8068" spans="1:5" x14ac:dyDescent="0.25">
      <c r="A8068">
        <v>59</v>
      </c>
      <c r="B8068">
        <f t="shared" si="14"/>
        <v>352</v>
      </c>
      <c r="C8068">
        <v>4</v>
      </c>
      <c r="E8068" s="1">
        <v>353</v>
      </c>
    </row>
    <row r="8069" spans="1:5" x14ac:dyDescent="0.25">
      <c r="A8069">
        <v>64</v>
      </c>
      <c r="B8069">
        <f t="shared" si="14"/>
        <v>352</v>
      </c>
      <c r="C8069">
        <v>1</v>
      </c>
      <c r="E8069">
        <v>353</v>
      </c>
    </row>
    <row r="8070" spans="1:5" x14ac:dyDescent="0.25">
      <c r="A8070">
        <v>73</v>
      </c>
      <c r="B8070">
        <f t="shared" si="14"/>
        <v>352</v>
      </c>
      <c r="C8070">
        <v>2</v>
      </c>
      <c r="E8070" s="1">
        <v>353</v>
      </c>
    </row>
    <row r="8071" spans="1:5" x14ac:dyDescent="0.25">
      <c r="A8071">
        <v>88</v>
      </c>
      <c r="B8071">
        <f t="shared" si="14"/>
        <v>352</v>
      </c>
      <c r="C8071">
        <v>1</v>
      </c>
      <c r="E8071">
        <v>353</v>
      </c>
    </row>
    <row r="8072" spans="1:5" x14ac:dyDescent="0.25">
      <c r="A8072">
        <v>102</v>
      </c>
      <c r="B8072">
        <f t="shared" si="14"/>
        <v>352</v>
      </c>
      <c r="C8072">
        <v>3</v>
      </c>
      <c r="E8072" s="1">
        <v>353</v>
      </c>
    </row>
    <row r="8073" spans="1:5" x14ac:dyDescent="0.25">
      <c r="A8073">
        <v>105</v>
      </c>
      <c r="B8073">
        <f t="shared" si="14"/>
        <v>352</v>
      </c>
      <c r="C8073">
        <v>3</v>
      </c>
      <c r="E8073">
        <v>353</v>
      </c>
    </row>
    <row r="8074" spans="1:5" x14ac:dyDescent="0.25">
      <c r="A8074">
        <v>134</v>
      </c>
      <c r="B8074">
        <f t="shared" si="14"/>
        <v>352</v>
      </c>
      <c r="C8074">
        <v>4</v>
      </c>
      <c r="E8074" s="1">
        <v>353</v>
      </c>
    </row>
    <row r="8075" spans="1:5" x14ac:dyDescent="0.25">
      <c r="A8075">
        <v>142</v>
      </c>
      <c r="B8075">
        <f t="shared" si="14"/>
        <v>352</v>
      </c>
      <c r="C8075">
        <v>3</v>
      </c>
      <c r="E8075">
        <v>353</v>
      </c>
    </row>
    <row r="8076" spans="1:5" x14ac:dyDescent="0.25">
      <c r="A8076">
        <v>142</v>
      </c>
      <c r="B8076">
        <f t="shared" si="14"/>
        <v>352</v>
      </c>
      <c r="C8076">
        <v>4</v>
      </c>
      <c r="E8076" s="1">
        <v>353</v>
      </c>
    </row>
    <row r="8077" spans="1:5" x14ac:dyDescent="0.25">
      <c r="A8077">
        <v>185</v>
      </c>
      <c r="B8077">
        <f t="shared" si="14"/>
        <v>352</v>
      </c>
      <c r="C8077">
        <v>3</v>
      </c>
      <c r="E8077">
        <v>353</v>
      </c>
    </row>
    <row r="8078" spans="1:5" x14ac:dyDescent="0.25">
      <c r="A8078">
        <v>201</v>
      </c>
      <c r="B8078">
        <f t="shared" ref="B8078:B8141" si="15">E8078-1</f>
        <v>352</v>
      </c>
      <c r="C8078">
        <v>5</v>
      </c>
      <c r="E8078" s="1">
        <v>353</v>
      </c>
    </row>
    <row r="8079" spans="1:5" x14ac:dyDescent="0.25">
      <c r="A8079">
        <v>230</v>
      </c>
      <c r="B8079">
        <f t="shared" si="15"/>
        <v>352</v>
      </c>
      <c r="C8079">
        <v>5</v>
      </c>
      <c r="E8079">
        <v>353</v>
      </c>
    </row>
    <row r="8080" spans="1:5" x14ac:dyDescent="0.25">
      <c r="A8080">
        <v>242</v>
      </c>
      <c r="B8080">
        <f t="shared" si="15"/>
        <v>352</v>
      </c>
      <c r="C8080">
        <v>5</v>
      </c>
      <c r="E8080" s="1">
        <v>353</v>
      </c>
    </row>
    <row r="8081" spans="1:5" x14ac:dyDescent="0.25">
      <c r="A8081">
        <v>249</v>
      </c>
      <c r="B8081">
        <f t="shared" si="15"/>
        <v>352</v>
      </c>
      <c r="C8081">
        <v>4</v>
      </c>
      <c r="E8081">
        <v>353</v>
      </c>
    </row>
    <row r="8082" spans="1:5" x14ac:dyDescent="0.25">
      <c r="A8082">
        <v>286</v>
      </c>
      <c r="B8082">
        <f t="shared" si="15"/>
        <v>352</v>
      </c>
      <c r="C8082">
        <v>4</v>
      </c>
      <c r="E8082" s="1">
        <v>353</v>
      </c>
    </row>
    <row r="8083" spans="1:5" x14ac:dyDescent="0.25">
      <c r="A8083">
        <v>290</v>
      </c>
      <c r="B8083">
        <f t="shared" si="15"/>
        <v>352</v>
      </c>
      <c r="C8083">
        <v>3</v>
      </c>
      <c r="E8083">
        <v>353</v>
      </c>
    </row>
    <row r="8084" spans="1:5" x14ac:dyDescent="0.25">
      <c r="A8084">
        <v>294</v>
      </c>
      <c r="B8084">
        <f t="shared" si="15"/>
        <v>352</v>
      </c>
      <c r="C8084">
        <v>3</v>
      </c>
      <c r="E8084" s="1">
        <v>353</v>
      </c>
    </row>
    <row r="8085" spans="1:5" x14ac:dyDescent="0.25">
      <c r="A8085">
        <v>36</v>
      </c>
      <c r="B8085">
        <f t="shared" si="15"/>
        <v>353</v>
      </c>
      <c r="C8085">
        <v>3</v>
      </c>
      <c r="E8085">
        <v>354</v>
      </c>
    </row>
    <row r="8086" spans="1:5" x14ac:dyDescent="0.25">
      <c r="A8086">
        <v>38</v>
      </c>
      <c r="B8086">
        <f t="shared" si="15"/>
        <v>353</v>
      </c>
      <c r="C8086">
        <v>5</v>
      </c>
      <c r="E8086" s="1">
        <v>354</v>
      </c>
    </row>
    <row r="8087" spans="1:5" x14ac:dyDescent="0.25">
      <c r="A8087">
        <v>64</v>
      </c>
      <c r="B8087">
        <f t="shared" si="15"/>
        <v>353</v>
      </c>
      <c r="C8087">
        <v>5</v>
      </c>
      <c r="E8087">
        <v>354</v>
      </c>
    </row>
    <row r="8088" spans="1:5" x14ac:dyDescent="0.25">
      <c r="A8088">
        <v>67</v>
      </c>
      <c r="B8088">
        <f t="shared" si="15"/>
        <v>353</v>
      </c>
      <c r="C8088">
        <v>1</v>
      </c>
      <c r="E8088" s="1">
        <v>354</v>
      </c>
    </row>
    <row r="8089" spans="1:5" x14ac:dyDescent="0.25">
      <c r="A8089">
        <v>87</v>
      </c>
      <c r="B8089">
        <f t="shared" si="15"/>
        <v>353</v>
      </c>
      <c r="C8089">
        <v>3</v>
      </c>
      <c r="E8089">
        <v>354</v>
      </c>
    </row>
    <row r="8090" spans="1:5" x14ac:dyDescent="0.25">
      <c r="A8090">
        <v>106</v>
      </c>
      <c r="B8090">
        <f t="shared" si="15"/>
        <v>353</v>
      </c>
      <c r="C8090">
        <v>1</v>
      </c>
      <c r="E8090" s="1">
        <v>354</v>
      </c>
    </row>
    <row r="8091" spans="1:5" x14ac:dyDescent="0.25">
      <c r="A8091">
        <v>113</v>
      </c>
      <c r="B8091">
        <f t="shared" si="15"/>
        <v>353</v>
      </c>
      <c r="C8091">
        <v>4</v>
      </c>
      <c r="E8091">
        <v>354</v>
      </c>
    </row>
    <row r="8092" spans="1:5" x14ac:dyDescent="0.25">
      <c r="A8092">
        <v>118</v>
      </c>
      <c r="B8092">
        <f t="shared" si="15"/>
        <v>353</v>
      </c>
      <c r="C8092">
        <v>1</v>
      </c>
      <c r="E8092" s="1">
        <v>354</v>
      </c>
    </row>
    <row r="8093" spans="1:5" x14ac:dyDescent="0.25">
      <c r="A8093">
        <v>130</v>
      </c>
      <c r="B8093">
        <f t="shared" si="15"/>
        <v>353</v>
      </c>
      <c r="C8093">
        <v>4</v>
      </c>
      <c r="E8093">
        <v>354</v>
      </c>
    </row>
    <row r="8094" spans="1:5" x14ac:dyDescent="0.25">
      <c r="A8094">
        <v>136</v>
      </c>
      <c r="B8094">
        <f t="shared" si="15"/>
        <v>353</v>
      </c>
      <c r="C8094">
        <v>3</v>
      </c>
      <c r="E8094" s="1">
        <v>354</v>
      </c>
    </row>
    <row r="8095" spans="1:5" x14ac:dyDescent="0.25">
      <c r="A8095">
        <v>161</v>
      </c>
      <c r="B8095">
        <f t="shared" si="15"/>
        <v>353</v>
      </c>
      <c r="C8095">
        <v>4</v>
      </c>
      <c r="E8095">
        <v>354</v>
      </c>
    </row>
    <row r="8096" spans="1:5" x14ac:dyDescent="0.25">
      <c r="A8096">
        <v>162</v>
      </c>
      <c r="B8096">
        <f t="shared" si="15"/>
        <v>353</v>
      </c>
      <c r="C8096">
        <v>4</v>
      </c>
      <c r="E8096" s="1">
        <v>354</v>
      </c>
    </row>
    <row r="8097" spans="1:5" x14ac:dyDescent="0.25">
      <c r="A8097">
        <v>164</v>
      </c>
      <c r="B8097">
        <f t="shared" si="15"/>
        <v>353</v>
      </c>
      <c r="C8097">
        <v>3</v>
      </c>
      <c r="E8097">
        <v>354</v>
      </c>
    </row>
    <row r="8098" spans="1:5" x14ac:dyDescent="0.25">
      <c r="A8098">
        <v>192</v>
      </c>
      <c r="B8098">
        <f t="shared" si="15"/>
        <v>353</v>
      </c>
      <c r="C8098">
        <v>1</v>
      </c>
      <c r="E8098" s="1">
        <v>354</v>
      </c>
    </row>
    <row r="8099" spans="1:5" x14ac:dyDescent="0.25">
      <c r="A8099">
        <v>201</v>
      </c>
      <c r="B8099">
        <f t="shared" si="15"/>
        <v>353</v>
      </c>
      <c r="C8099">
        <v>1</v>
      </c>
      <c r="E8099">
        <v>354</v>
      </c>
    </row>
    <row r="8100" spans="1:5" x14ac:dyDescent="0.25">
      <c r="A8100">
        <v>224</v>
      </c>
      <c r="B8100">
        <f t="shared" si="15"/>
        <v>353</v>
      </c>
      <c r="C8100">
        <v>5</v>
      </c>
      <c r="E8100" s="1">
        <v>354</v>
      </c>
    </row>
    <row r="8101" spans="1:5" x14ac:dyDescent="0.25">
      <c r="A8101">
        <v>249</v>
      </c>
      <c r="B8101">
        <f t="shared" si="15"/>
        <v>353</v>
      </c>
      <c r="C8101">
        <v>1</v>
      </c>
      <c r="E8101">
        <v>354</v>
      </c>
    </row>
    <row r="8102" spans="1:5" x14ac:dyDescent="0.25">
      <c r="A8102">
        <v>250</v>
      </c>
      <c r="B8102">
        <f t="shared" si="15"/>
        <v>353</v>
      </c>
      <c r="C8102">
        <v>2</v>
      </c>
      <c r="E8102" s="1">
        <v>354</v>
      </c>
    </row>
    <row r="8103" spans="1:5" x14ac:dyDescent="0.25">
      <c r="A8103">
        <v>258</v>
      </c>
      <c r="B8103">
        <f t="shared" si="15"/>
        <v>353</v>
      </c>
      <c r="C8103">
        <v>5</v>
      </c>
      <c r="E8103">
        <v>354</v>
      </c>
    </row>
    <row r="8104" spans="1:5" x14ac:dyDescent="0.25">
      <c r="A8104">
        <v>11</v>
      </c>
      <c r="B8104">
        <f t="shared" si="15"/>
        <v>354</v>
      </c>
      <c r="C8104">
        <v>4</v>
      </c>
      <c r="E8104" s="1">
        <v>355</v>
      </c>
    </row>
    <row r="8105" spans="1:5" x14ac:dyDescent="0.25">
      <c r="A8105">
        <v>15</v>
      </c>
      <c r="B8105">
        <f t="shared" si="15"/>
        <v>354</v>
      </c>
      <c r="C8105">
        <v>5</v>
      </c>
      <c r="E8105">
        <v>355</v>
      </c>
    </row>
    <row r="8106" spans="1:5" x14ac:dyDescent="0.25">
      <c r="A8106">
        <v>44</v>
      </c>
      <c r="B8106">
        <f t="shared" si="15"/>
        <v>354</v>
      </c>
      <c r="C8106">
        <v>3</v>
      </c>
      <c r="E8106" s="1">
        <v>355</v>
      </c>
    </row>
    <row r="8107" spans="1:5" x14ac:dyDescent="0.25">
      <c r="A8107">
        <v>51</v>
      </c>
      <c r="B8107">
        <f t="shared" si="15"/>
        <v>354</v>
      </c>
      <c r="C8107">
        <v>4</v>
      </c>
      <c r="E8107">
        <v>355</v>
      </c>
    </row>
    <row r="8108" spans="1:5" x14ac:dyDescent="0.25">
      <c r="A8108">
        <v>75</v>
      </c>
      <c r="B8108">
        <f t="shared" si="15"/>
        <v>354</v>
      </c>
      <c r="C8108">
        <v>3</v>
      </c>
      <c r="E8108" s="1">
        <v>355</v>
      </c>
    </row>
    <row r="8109" spans="1:5" x14ac:dyDescent="0.25">
      <c r="A8109">
        <v>80</v>
      </c>
      <c r="B8109">
        <f t="shared" si="15"/>
        <v>354</v>
      </c>
      <c r="C8109">
        <v>3</v>
      </c>
      <c r="E8109">
        <v>355</v>
      </c>
    </row>
    <row r="8110" spans="1:5" x14ac:dyDescent="0.25">
      <c r="A8110">
        <v>88</v>
      </c>
      <c r="B8110">
        <f t="shared" si="15"/>
        <v>354</v>
      </c>
      <c r="C8110">
        <v>3</v>
      </c>
      <c r="E8110" s="1">
        <v>355</v>
      </c>
    </row>
    <row r="8111" spans="1:5" x14ac:dyDescent="0.25">
      <c r="A8111">
        <v>95</v>
      </c>
      <c r="B8111">
        <f t="shared" si="15"/>
        <v>354</v>
      </c>
      <c r="C8111">
        <v>4</v>
      </c>
      <c r="E8111">
        <v>355</v>
      </c>
    </row>
    <row r="8112" spans="1:5" x14ac:dyDescent="0.25">
      <c r="A8112">
        <v>110</v>
      </c>
      <c r="B8112">
        <f t="shared" si="15"/>
        <v>354</v>
      </c>
      <c r="C8112">
        <v>1</v>
      </c>
      <c r="E8112" s="1">
        <v>355</v>
      </c>
    </row>
    <row r="8113" spans="1:5" x14ac:dyDescent="0.25">
      <c r="A8113">
        <v>112</v>
      </c>
      <c r="B8113">
        <f t="shared" si="15"/>
        <v>354</v>
      </c>
      <c r="C8113">
        <v>3</v>
      </c>
      <c r="E8113">
        <v>355</v>
      </c>
    </row>
    <row r="8114" spans="1:5" x14ac:dyDescent="0.25">
      <c r="A8114">
        <v>141</v>
      </c>
      <c r="B8114">
        <f t="shared" si="15"/>
        <v>354</v>
      </c>
      <c r="C8114">
        <v>3</v>
      </c>
      <c r="E8114" s="1">
        <v>355</v>
      </c>
    </row>
    <row r="8115" spans="1:5" x14ac:dyDescent="0.25">
      <c r="A8115">
        <v>143</v>
      </c>
      <c r="B8115">
        <f t="shared" si="15"/>
        <v>354</v>
      </c>
      <c r="C8115">
        <v>1</v>
      </c>
      <c r="E8115">
        <v>355</v>
      </c>
    </row>
    <row r="8116" spans="1:5" x14ac:dyDescent="0.25">
      <c r="A8116">
        <v>159</v>
      </c>
      <c r="B8116">
        <f t="shared" si="15"/>
        <v>354</v>
      </c>
      <c r="C8116">
        <v>1</v>
      </c>
      <c r="E8116" s="1">
        <v>355</v>
      </c>
    </row>
    <row r="8117" spans="1:5" x14ac:dyDescent="0.25">
      <c r="A8117">
        <v>161</v>
      </c>
      <c r="B8117">
        <f t="shared" si="15"/>
        <v>354</v>
      </c>
      <c r="C8117">
        <v>3</v>
      </c>
      <c r="E8117">
        <v>355</v>
      </c>
    </row>
    <row r="8118" spans="1:5" x14ac:dyDescent="0.25">
      <c r="A8118">
        <v>161</v>
      </c>
      <c r="B8118">
        <f t="shared" si="15"/>
        <v>354</v>
      </c>
      <c r="C8118">
        <v>5</v>
      </c>
      <c r="E8118" s="1">
        <v>355</v>
      </c>
    </row>
    <row r="8119" spans="1:5" x14ac:dyDescent="0.25">
      <c r="A8119">
        <v>166</v>
      </c>
      <c r="B8119">
        <f t="shared" si="15"/>
        <v>354</v>
      </c>
      <c r="C8119">
        <v>5</v>
      </c>
      <c r="E8119">
        <v>355</v>
      </c>
    </row>
    <row r="8120" spans="1:5" x14ac:dyDescent="0.25">
      <c r="A8120">
        <v>170</v>
      </c>
      <c r="B8120">
        <f t="shared" si="15"/>
        <v>354</v>
      </c>
      <c r="C8120">
        <v>1</v>
      </c>
      <c r="E8120" s="1">
        <v>355</v>
      </c>
    </row>
    <row r="8121" spans="1:5" x14ac:dyDescent="0.25">
      <c r="A8121">
        <v>179</v>
      </c>
      <c r="B8121">
        <f t="shared" si="15"/>
        <v>354</v>
      </c>
      <c r="C8121">
        <v>2</v>
      </c>
      <c r="E8121">
        <v>355</v>
      </c>
    </row>
    <row r="8122" spans="1:5" x14ac:dyDescent="0.25">
      <c r="A8122">
        <v>182</v>
      </c>
      <c r="B8122">
        <f t="shared" si="15"/>
        <v>354</v>
      </c>
      <c r="C8122">
        <v>1</v>
      </c>
      <c r="E8122" s="1">
        <v>355</v>
      </c>
    </row>
    <row r="8123" spans="1:5" x14ac:dyDescent="0.25">
      <c r="A8123">
        <v>192</v>
      </c>
      <c r="B8123">
        <f t="shared" si="15"/>
        <v>354</v>
      </c>
      <c r="C8123">
        <v>5</v>
      </c>
      <c r="E8123">
        <v>355</v>
      </c>
    </row>
    <row r="8124" spans="1:5" x14ac:dyDescent="0.25">
      <c r="A8124">
        <v>195</v>
      </c>
      <c r="B8124">
        <f t="shared" si="15"/>
        <v>354</v>
      </c>
      <c r="C8124">
        <v>2</v>
      </c>
      <c r="E8124" s="1">
        <v>355</v>
      </c>
    </row>
    <row r="8125" spans="1:5" x14ac:dyDescent="0.25">
      <c r="A8125">
        <v>200</v>
      </c>
      <c r="B8125">
        <f t="shared" si="15"/>
        <v>354</v>
      </c>
      <c r="C8125">
        <v>2</v>
      </c>
      <c r="E8125">
        <v>355</v>
      </c>
    </row>
    <row r="8126" spans="1:5" x14ac:dyDescent="0.25">
      <c r="A8126">
        <v>216</v>
      </c>
      <c r="B8126">
        <f t="shared" si="15"/>
        <v>354</v>
      </c>
      <c r="C8126">
        <v>4</v>
      </c>
      <c r="E8126" s="1">
        <v>355</v>
      </c>
    </row>
    <row r="8127" spans="1:5" x14ac:dyDescent="0.25">
      <c r="A8127">
        <v>231</v>
      </c>
      <c r="B8127">
        <f t="shared" si="15"/>
        <v>354</v>
      </c>
      <c r="C8127">
        <v>5</v>
      </c>
      <c r="E8127">
        <v>355</v>
      </c>
    </row>
    <row r="8128" spans="1:5" x14ac:dyDescent="0.25">
      <c r="A8128">
        <v>240</v>
      </c>
      <c r="B8128">
        <f t="shared" si="15"/>
        <v>354</v>
      </c>
      <c r="C8128">
        <v>3</v>
      </c>
      <c r="E8128" s="1">
        <v>355</v>
      </c>
    </row>
    <row r="8129" spans="1:5" x14ac:dyDescent="0.25">
      <c r="A8129">
        <v>247</v>
      </c>
      <c r="B8129">
        <f t="shared" si="15"/>
        <v>354</v>
      </c>
      <c r="C8129">
        <v>5</v>
      </c>
      <c r="E8129">
        <v>355</v>
      </c>
    </row>
    <row r="8130" spans="1:5" x14ac:dyDescent="0.25">
      <c r="A8130">
        <v>254</v>
      </c>
      <c r="B8130">
        <f t="shared" si="15"/>
        <v>354</v>
      </c>
      <c r="C8130">
        <v>4</v>
      </c>
      <c r="E8130" s="1">
        <v>355</v>
      </c>
    </row>
    <row r="8131" spans="1:5" x14ac:dyDescent="0.25">
      <c r="A8131">
        <v>269</v>
      </c>
      <c r="B8131">
        <f t="shared" si="15"/>
        <v>354</v>
      </c>
      <c r="C8131">
        <v>3</v>
      </c>
      <c r="E8131">
        <v>355</v>
      </c>
    </row>
    <row r="8132" spans="1:5" x14ac:dyDescent="0.25">
      <c r="A8132">
        <v>274</v>
      </c>
      <c r="B8132">
        <f t="shared" si="15"/>
        <v>354</v>
      </c>
      <c r="C8132">
        <v>1</v>
      </c>
      <c r="E8132" s="1">
        <v>355</v>
      </c>
    </row>
    <row r="8133" spans="1:5" x14ac:dyDescent="0.25">
      <c r="A8133">
        <v>277</v>
      </c>
      <c r="B8133">
        <f t="shared" si="15"/>
        <v>354</v>
      </c>
      <c r="C8133">
        <v>2</v>
      </c>
      <c r="E8133">
        <v>355</v>
      </c>
    </row>
    <row r="8134" spans="1:5" x14ac:dyDescent="0.25">
      <c r="A8134">
        <v>26</v>
      </c>
      <c r="B8134">
        <f t="shared" si="15"/>
        <v>355</v>
      </c>
      <c r="C8134">
        <v>3</v>
      </c>
      <c r="E8134" s="1">
        <v>356</v>
      </c>
    </row>
    <row r="8135" spans="1:5" x14ac:dyDescent="0.25">
      <c r="A8135">
        <v>39</v>
      </c>
      <c r="B8135">
        <f t="shared" si="15"/>
        <v>355</v>
      </c>
      <c r="C8135">
        <v>4</v>
      </c>
      <c r="E8135">
        <v>356</v>
      </c>
    </row>
    <row r="8136" spans="1:5" x14ac:dyDescent="0.25">
      <c r="A8136">
        <v>76</v>
      </c>
      <c r="B8136">
        <f t="shared" si="15"/>
        <v>355</v>
      </c>
      <c r="C8136">
        <v>3</v>
      </c>
      <c r="E8136" s="1">
        <v>356</v>
      </c>
    </row>
    <row r="8137" spans="1:5" x14ac:dyDescent="0.25">
      <c r="A8137">
        <v>98</v>
      </c>
      <c r="B8137">
        <f t="shared" si="15"/>
        <v>355</v>
      </c>
      <c r="C8137">
        <v>2</v>
      </c>
      <c r="E8137">
        <v>356</v>
      </c>
    </row>
    <row r="8138" spans="1:5" x14ac:dyDescent="0.25">
      <c r="A8138">
        <v>99</v>
      </c>
      <c r="B8138">
        <f t="shared" si="15"/>
        <v>355</v>
      </c>
      <c r="C8138">
        <v>2</v>
      </c>
      <c r="E8138" s="1">
        <v>356</v>
      </c>
    </row>
    <row r="8139" spans="1:5" x14ac:dyDescent="0.25">
      <c r="A8139">
        <v>129</v>
      </c>
      <c r="B8139">
        <f t="shared" si="15"/>
        <v>355</v>
      </c>
      <c r="C8139">
        <v>5</v>
      </c>
      <c r="E8139">
        <v>356</v>
      </c>
    </row>
    <row r="8140" spans="1:5" x14ac:dyDescent="0.25">
      <c r="A8140">
        <v>136</v>
      </c>
      <c r="B8140">
        <f t="shared" si="15"/>
        <v>355</v>
      </c>
      <c r="C8140">
        <v>1</v>
      </c>
      <c r="E8140" s="1">
        <v>356</v>
      </c>
    </row>
    <row r="8141" spans="1:5" x14ac:dyDescent="0.25">
      <c r="A8141">
        <v>144</v>
      </c>
      <c r="B8141">
        <f t="shared" si="15"/>
        <v>355</v>
      </c>
      <c r="C8141">
        <v>3</v>
      </c>
      <c r="E8141">
        <v>356</v>
      </c>
    </row>
    <row r="8142" spans="1:5" x14ac:dyDescent="0.25">
      <c r="A8142">
        <v>168</v>
      </c>
      <c r="B8142">
        <f t="shared" ref="B8142:B8205" si="16">E8142-1</f>
        <v>355</v>
      </c>
      <c r="C8142">
        <v>5</v>
      </c>
      <c r="E8142" s="1">
        <v>356</v>
      </c>
    </row>
    <row r="8143" spans="1:5" x14ac:dyDescent="0.25">
      <c r="A8143">
        <v>189</v>
      </c>
      <c r="B8143">
        <f t="shared" si="16"/>
        <v>355</v>
      </c>
      <c r="C8143">
        <v>4</v>
      </c>
      <c r="E8143">
        <v>356</v>
      </c>
    </row>
    <row r="8144" spans="1:5" x14ac:dyDescent="0.25">
      <c r="A8144">
        <v>193</v>
      </c>
      <c r="B8144">
        <f t="shared" si="16"/>
        <v>355</v>
      </c>
      <c r="C8144">
        <v>2</v>
      </c>
      <c r="E8144" s="1">
        <v>356</v>
      </c>
    </row>
    <row r="8145" spans="1:5" x14ac:dyDescent="0.25">
      <c r="A8145">
        <v>198</v>
      </c>
      <c r="B8145">
        <f t="shared" si="16"/>
        <v>355</v>
      </c>
      <c r="C8145">
        <v>2</v>
      </c>
      <c r="E8145">
        <v>356</v>
      </c>
    </row>
    <row r="8146" spans="1:5" x14ac:dyDescent="0.25">
      <c r="A8146">
        <v>211</v>
      </c>
      <c r="B8146">
        <f t="shared" si="16"/>
        <v>355</v>
      </c>
      <c r="C8146">
        <v>1</v>
      </c>
      <c r="E8146" s="1">
        <v>356</v>
      </c>
    </row>
    <row r="8147" spans="1:5" x14ac:dyDescent="0.25">
      <c r="A8147">
        <v>218</v>
      </c>
      <c r="B8147">
        <f t="shared" si="16"/>
        <v>355</v>
      </c>
      <c r="C8147">
        <v>2</v>
      </c>
      <c r="E8147">
        <v>356</v>
      </c>
    </row>
    <row r="8148" spans="1:5" x14ac:dyDescent="0.25">
      <c r="A8148">
        <v>239</v>
      </c>
      <c r="B8148">
        <f t="shared" si="16"/>
        <v>355</v>
      </c>
      <c r="C8148">
        <v>5</v>
      </c>
      <c r="E8148" s="1">
        <v>356</v>
      </c>
    </row>
    <row r="8149" spans="1:5" x14ac:dyDescent="0.25">
      <c r="A8149">
        <v>276</v>
      </c>
      <c r="B8149">
        <f t="shared" si="16"/>
        <v>355</v>
      </c>
      <c r="C8149">
        <v>4</v>
      </c>
      <c r="E8149">
        <v>356</v>
      </c>
    </row>
    <row r="8150" spans="1:5" x14ac:dyDescent="0.25">
      <c r="A8150">
        <v>282</v>
      </c>
      <c r="B8150">
        <f t="shared" si="16"/>
        <v>355</v>
      </c>
      <c r="C8150">
        <v>1</v>
      </c>
      <c r="E8150" s="1">
        <v>356</v>
      </c>
    </row>
    <row r="8151" spans="1:5" x14ac:dyDescent="0.25">
      <c r="A8151">
        <v>15</v>
      </c>
      <c r="B8151">
        <f t="shared" si="16"/>
        <v>356</v>
      </c>
      <c r="C8151">
        <v>3</v>
      </c>
      <c r="E8151">
        <v>357</v>
      </c>
    </row>
    <row r="8152" spans="1:5" x14ac:dyDescent="0.25">
      <c r="A8152">
        <v>18</v>
      </c>
      <c r="B8152">
        <f t="shared" si="16"/>
        <v>356</v>
      </c>
      <c r="C8152">
        <v>4</v>
      </c>
      <c r="E8152" s="1">
        <v>357</v>
      </c>
    </row>
    <row r="8153" spans="1:5" x14ac:dyDescent="0.25">
      <c r="A8153">
        <v>28</v>
      </c>
      <c r="B8153">
        <f t="shared" si="16"/>
        <v>356</v>
      </c>
      <c r="C8153">
        <v>3</v>
      </c>
      <c r="E8153">
        <v>357</v>
      </c>
    </row>
    <row r="8154" spans="1:5" x14ac:dyDescent="0.25">
      <c r="A8154">
        <v>32</v>
      </c>
      <c r="B8154">
        <f t="shared" si="16"/>
        <v>356</v>
      </c>
      <c r="C8154">
        <v>2</v>
      </c>
      <c r="E8154" s="1">
        <v>357</v>
      </c>
    </row>
    <row r="8155" spans="1:5" x14ac:dyDescent="0.25">
      <c r="A8155">
        <v>48</v>
      </c>
      <c r="B8155">
        <f t="shared" si="16"/>
        <v>356</v>
      </c>
      <c r="C8155">
        <v>2</v>
      </c>
      <c r="E8155">
        <v>357</v>
      </c>
    </row>
    <row r="8156" spans="1:5" x14ac:dyDescent="0.25">
      <c r="A8156">
        <v>51</v>
      </c>
      <c r="B8156">
        <f t="shared" si="16"/>
        <v>356</v>
      </c>
      <c r="C8156">
        <v>5</v>
      </c>
      <c r="E8156" s="1">
        <v>357</v>
      </c>
    </row>
    <row r="8157" spans="1:5" x14ac:dyDescent="0.25">
      <c r="A8157">
        <v>68</v>
      </c>
      <c r="B8157">
        <f t="shared" si="16"/>
        <v>356</v>
      </c>
      <c r="C8157">
        <v>2</v>
      </c>
      <c r="E8157">
        <v>357</v>
      </c>
    </row>
    <row r="8158" spans="1:5" x14ac:dyDescent="0.25">
      <c r="A8158">
        <v>88</v>
      </c>
      <c r="B8158">
        <f t="shared" si="16"/>
        <v>356</v>
      </c>
      <c r="C8158">
        <v>2</v>
      </c>
      <c r="E8158" s="1">
        <v>357</v>
      </c>
    </row>
    <row r="8159" spans="1:5" x14ac:dyDescent="0.25">
      <c r="A8159">
        <v>89</v>
      </c>
      <c r="B8159">
        <f t="shared" si="16"/>
        <v>356</v>
      </c>
      <c r="C8159">
        <v>2</v>
      </c>
      <c r="E8159">
        <v>357</v>
      </c>
    </row>
    <row r="8160" spans="1:5" x14ac:dyDescent="0.25">
      <c r="A8160">
        <v>122</v>
      </c>
      <c r="B8160">
        <f t="shared" si="16"/>
        <v>356</v>
      </c>
      <c r="C8160">
        <v>1</v>
      </c>
      <c r="E8160" s="1">
        <v>357</v>
      </c>
    </row>
    <row r="8161" spans="1:5" x14ac:dyDescent="0.25">
      <c r="A8161">
        <v>133</v>
      </c>
      <c r="B8161">
        <f t="shared" si="16"/>
        <v>356</v>
      </c>
      <c r="C8161">
        <v>5</v>
      </c>
      <c r="E8161">
        <v>357</v>
      </c>
    </row>
    <row r="8162" spans="1:5" x14ac:dyDescent="0.25">
      <c r="A8162">
        <v>138</v>
      </c>
      <c r="B8162">
        <f t="shared" si="16"/>
        <v>356</v>
      </c>
      <c r="C8162">
        <v>5</v>
      </c>
      <c r="E8162" s="1">
        <v>357</v>
      </c>
    </row>
    <row r="8163" spans="1:5" x14ac:dyDescent="0.25">
      <c r="A8163">
        <v>160</v>
      </c>
      <c r="B8163">
        <f t="shared" si="16"/>
        <v>356</v>
      </c>
      <c r="C8163">
        <v>2</v>
      </c>
      <c r="E8163">
        <v>357</v>
      </c>
    </row>
    <row r="8164" spans="1:5" x14ac:dyDescent="0.25">
      <c r="A8164">
        <v>168</v>
      </c>
      <c r="B8164">
        <f t="shared" si="16"/>
        <v>356</v>
      </c>
      <c r="C8164">
        <v>1</v>
      </c>
      <c r="E8164" s="1">
        <v>357</v>
      </c>
    </row>
    <row r="8165" spans="1:5" x14ac:dyDescent="0.25">
      <c r="A8165">
        <v>170</v>
      </c>
      <c r="B8165">
        <f t="shared" si="16"/>
        <v>356</v>
      </c>
      <c r="C8165">
        <v>2</v>
      </c>
      <c r="E8165">
        <v>357</v>
      </c>
    </row>
    <row r="8166" spans="1:5" x14ac:dyDescent="0.25">
      <c r="A8166">
        <v>216</v>
      </c>
      <c r="B8166">
        <f t="shared" si="16"/>
        <v>356</v>
      </c>
      <c r="C8166">
        <v>4</v>
      </c>
      <c r="E8166" s="1">
        <v>357</v>
      </c>
    </row>
    <row r="8167" spans="1:5" x14ac:dyDescent="0.25">
      <c r="A8167">
        <v>219</v>
      </c>
      <c r="B8167">
        <f t="shared" si="16"/>
        <v>356</v>
      </c>
      <c r="C8167">
        <v>3</v>
      </c>
      <c r="E8167">
        <v>357</v>
      </c>
    </row>
    <row r="8168" spans="1:5" x14ac:dyDescent="0.25">
      <c r="A8168">
        <v>221</v>
      </c>
      <c r="B8168">
        <f t="shared" si="16"/>
        <v>356</v>
      </c>
      <c r="C8168">
        <v>3</v>
      </c>
      <c r="E8168" s="1">
        <v>357</v>
      </c>
    </row>
    <row r="8169" spans="1:5" x14ac:dyDescent="0.25">
      <c r="A8169">
        <v>253</v>
      </c>
      <c r="B8169">
        <f t="shared" si="16"/>
        <v>356</v>
      </c>
      <c r="C8169">
        <v>4</v>
      </c>
      <c r="E8169">
        <v>357</v>
      </c>
    </row>
    <row r="8170" spans="1:5" x14ac:dyDescent="0.25">
      <c r="A8170">
        <v>262</v>
      </c>
      <c r="B8170">
        <f t="shared" si="16"/>
        <v>356</v>
      </c>
      <c r="C8170">
        <v>4</v>
      </c>
      <c r="E8170" s="1">
        <v>357</v>
      </c>
    </row>
    <row r="8171" spans="1:5" x14ac:dyDescent="0.25">
      <c r="A8171">
        <v>266</v>
      </c>
      <c r="B8171">
        <f t="shared" si="16"/>
        <v>356</v>
      </c>
      <c r="C8171">
        <v>5</v>
      </c>
      <c r="E8171">
        <v>357</v>
      </c>
    </row>
    <row r="8172" spans="1:5" x14ac:dyDescent="0.25">
      <c r="A8172">
        <v>285</v>
      </c>
      <c r="B8172">
        <f t="shared" si="16"/>
        <v>356</v>
      </c>
      <c r="C8172">
        <v>5</v>
      </c>
      <c r="E8172" s="1">
        <v>357</v>
      </c>
    </row>
    <row r="8173" spans="1:5" x14ac:dyDescent="0.25">
      <c r="A8173">
        <v>289</v>
      </c>
      <c r="B8173">
        <f t="shared" si="16"/>
        <v>356</v>
      </c>
      <c r="C8173">
        <v>5</v>
      </c>
      <c r="E8173">
        <v>357</v>
      </c>
    </row>
    <row r="8174" spans="1:5" x14ac:dyDescent="0.25">
      <c r="A8174">
        <v>28</v>
      </c>
      <c r="B8174">
        <f t="shared" si="16"/>
        <v>357</v>
      </c>
      <c r="C8174">
        <v>4</v>
      </c>
      <c r="E8174" s="1">
        <v>358</v>
      </c>
    </row>
    <row r="8175" spans="1:5" x14ac:dyDescent="0.25">
      <c r="A8175">
        <v>40</v>
      </c>
      <c r="B8175">
        <f t="shared" si="16"/>
        <v>357</v>
      </c>
      <c r="C8175">
        <v>2</v>
      </c>
      <c r="E8175">
        <v>358</v>
      </c>
    </row>
    <row r="8176" spans="1:5" x14ac:dyDescent="0.25">
      <c r="A8176">
        <v>50</v>
      </c>
      <c r="B8176">
        <f t="shared" si="16"/>
        <v>357</v>
      </c>
      <c r="C8176">
        <v>4</v>
      </c>
      <c r="E8176" s="1">
        <v>358</v>
      </c>
    </row>
    <row r="8177" spans="1:5" x14ac:dyDescent="0.25">
      <c r="A8177">
        <v>93</v>
      </c>
      <c r="B8177">
        <f t="shared" si="16"/>
        <v>357</v>
      </c>
      <c r="C8177">
        <v>4</v>
      </c>
      <c r="E8177">
        <v>358</v>
      </c>
    </row>
    <row r="8178" spans="1:5" x14ac:dyDescent="0.25">
      <c r="A8178">
        <v>109</v>
      </c>
      <c r="B8178">
        <f t="shared" si="16"/>
        <v>357</v>
      </c>
      <c r="C8178">
        <v>3</v>
      </c>
      <c r="E8178" s="1">
        <v>358</v>
      </c>
    </row>
    <row r="8179" spans="1:5" x14ac:dyDescent="0.25">
      <c r="A8179">
        <v>128</v>
      </c>
      <c r="B8179">
        <f t="shared" si="16"/>
        <v>357</v>
      </c>
      <c r="C8179">
        <v>4</v>
      </c>
      <c r="E8179">
        <v>358</v>
      </c>
    </row>
    <row r="8180" spans="1:5" x14ac:dyDescent="0.25">
      <c r="A8180">
        <v>135</v>
      </c>
      <c r="B8180">
        <f t="shared" si="16"/>
        <v>357</v>
      </c>
      <c r="C8180">
        <v>3</v>
      </c>
      <c r="E8180" s="1">
        <v>358</v>
      </c>
    </row>
    <row r="8181" spans="1:5" x14ac:dyDescent="0.25">
      <c r="A8181">
        <v>151</v>
      </c>
      <c r="B8181">
        <f t="shared" si="16"/>
        <v>357</v>
      </c>
      <c r="C8181">
        <v>5</v>
      </c>
      <c r="E8181">
        <v>358</v>
      </c>
    </row>
    <row r="8182" spans="1:5" x14ac:dyDescent="0.25">
      <c r="A8182">
        <v>166</v>
      </c>
      <c r="B8182">
        <f t="shared" si="16"/>
        <v>357</v>
      </c>
      <c r="C8182">
        <v>2</v>
      </c>
      <c r="E8182" s="1">
        <v>358</v>
      </c>
    </row>
    <row r="8183" spans="1:5" x14ac:dyDescent="0.25">
      <c r="A8183">
        <v>191</v>
      </c>
      <c r="B8183">
        <f t="shared" si="16"/>
        <v>357</v>
      </c>
      <c r="C8183">
        <v>3</v>
      </c>
      <c r="E8183">
        <v>358</v>
      </c>
    </row>
    <row r="8184" spans="1:5" x14ac:dyDescent="0.25">
      <c r="A8184">
        <v>193</v>
      </c>
      <c r="B8184">
        <f t="shared" si="16"/>
        <v>357</v>
      </c>
      <c r="C8184">
        <v>4</v>
      </c>
      <c r="E8184" s="1">
        <v>358</v>
      </c>
    </row>
    <row r="8185" spans="1:5" x14ac:dyDescent="0.25">
      <c r="A8185">
        <v>209</v>
      </c>
      <c r="B8185">
        <f t="shared" si="16"/>
        <v>357</v>
      </c>
      <c r="C8185">
        <v>4</v>
      </c>
      <c r="E8185">
        <v>358</v>
      </c>
    </row>
    <row r="8186" spans="1:5" x14ac:dyDescent="0.25">
      <c r="A8186">
        <v>219</v>
      </c>
      <c r="B8186">
        <f t="shared" si="16"/>
        <v>357</v>
      </c>
      <c r="C8186">
        <v>2</v>
      </c>
      <c r="E8186" s="1">
        <v>358</v>
      </c>
    </row>
    <row r="8187" spans="1:5" x14ac:dyDescent="0.25">
      <c r="A8187">
        <v>223</v>
      </c>
      <c r="B8187">
        <f t="shared" si="16"/>
        <v>357</v>
      </c>
      <c r="C8187">
        <v>4</v>
      </c>
      <c r="E8187">
        <v>358</v>
      </c>
    </row>
    <row r="8188" spans="1:5" x14ac:dyDescent="0.25">
      <c r="A8188">
        <v>278</v>
      </c>
      <c r="B8188">
        <f t="shared" si="16"/>
        <v>357</v>
      </c>
      <c r="C8188">
        <v>2</v>
      </c>
      <c r="E8188" s="1">
        <v>358</v>
      </c>
    </row>
    <row r="8189" spans="1:5" x14ac:dyDescent="0.25">
      <c r="A8189">
        <v>288</v>
      </c>
      <c r="B8189">
        <f t="shared" si="16"/>
        <v>357</v>
      </c>
      <c r="C8189">
        <v>5</v>
      </c>
      <c r="E8189">
        <v>358</v>
      </c>
    </row>
    <row r="8190" spans="1:5" x14ac:dyDescent="0.25">
      <c r="A8190">
        <v>298</v>
      </c>
      <c r="B8190">
        <f t="shared" si="16"/>
        <v>357</v>
      </c>
      <c r="C8190">
        <v>1</v>
      </c>
      <c r="E8190" s="1">
        <v>358</v>
      </c>
    </row>
    <row r="8191" spans="1:5" x14ac:dyDescent="0.25">
      <c r="A8191">
        <v>6</v>
      </c>
      <c r="B8191">
        <f t="shared" si="16"/>
        <v>358</v>
      </c>
      <c r="C8191">
        <v>2</v>
      </c>
      <c r="E8191">
        <v>359</v>
      </c>
    </row>
    <row r="8192" spans="1:5" x14ac:dyDescent="0.25">
      <c r="A8192">
        <v>16</v>
      </c>
      <c r="B8192">
        <f t="shared" si="16"/>
        <v>358</v>
      </c>
      <c r="C8192">
        <v>5</v>
      </c>
      <c r="E8192" s="1">
        <v>359</v>
      </c>
    </row>
    <row r="8193" spans="1:5" x14ac:dyDescent="0.25">
      <c r="A8193">
        <v>28</v>
      </c>
      <c r="B8193">
        <f t="shared" si="16"/>
        <v>358</v>
      </c>
      <c r="C8193">
        <v>3</v>
      </c>
      <c r="E8193">
        <v>359</v>
      </c>
    </row>
    <row r="8194" spans="1:5" x14ac:dyDescent="0.25">
      <c r="A8194">
        <v>32</v>
      </c>
      <c r="B8194">
        <f t="shared" si="16"/>
        <v>358</v>
      </c>
      <c r="C8194">
        <v>3</v>
      </c>
      <c r="E8194" s="1">
        <v>359</v>
      </c>
    </row>
    <row r="8195" spans="1:5" x14ac:dyDescent="0.25">
      <c r="A8195">
        <v>45</v>
      </c>
      <c r="B8195">
        <f t="shared" si="16"/>
        <v>358</v>
      </c>
      <c r="C8195">
        <v>2</v>
      </c>
      <c r="E8195">
        <v>359</v>
      </c>
    </row>
    <row r="8196" spans="1:5" x14ac:dyDescent="0.25">
      <c r="A8196">
        <v>62</v>
      </c>
      <c r="B8196">
        <f t="shared" si="16"/>
        <v>358</v>
      </c>
      <c r="C8196">
        <v>5</v>
      </c>
      <c r="E8196" s="1">
        <v>359</v>
      </c>
    </row>
    <row r="8197" spans="1:5" x14ac:dyDescent="0.25">
      <c r="A8197">
        <v>63</v>
      </c>
      <c r="B8197">
        <f t="shared" si="16"/>
        <v>358</v>
      </c>
      <c r="C8197">
        <v>1</v>
      </c>
      <c r="E8197">
        <v>359</v>
      </c>
    </row>
    <row r="8198" spans="1:5" x14ac:dyDescent="0.25">
      <c r="A8198">
        <v>64</v>
      </c>
      <c r="B8198">
        <f t="shared" si="16"/>
        <v>358</v>
      </c>
      <c r="C8198">
        <v>4</v>
      </c>
      <c r="E8198" s="1">
        <v>359</v>
      </c>
    </row>
    <row r="8199" spans="1:5" x14ac:dyDescent="0.25">
      <c r="A8199">
        <v>73</v>
      </c>
      <c r="B8199">
        <f t="shared" si="16"/>
        <v>358</v>
      </c>
      <c r="C8199">
        <v>2</v>
      </c>
      <c r="E8199">
        <v>359</v>
      </c>
    </row>
    <row r="8200" spans="1:5" x14ac:dyDescent="0.25">
      <c r="A8200">
        <v>73</v>
      </c>
      <c r="B8200">
        <f t="shared" si="16"/>
        <v>358</v>
      </c>
      <c r="C8200">
        <v>2</v>
      </c>
      <c r="E8200" s="1">
        <v>359</v>
      </c>
    </row>
    <row r="8201" spans="1:5" x14ac:dyDescent="0.25">
      <c r="A8201">
        <v>75</v>
      </c>
      <c r="B8201">
        <f t="shared" si="16"/>
        <v>358</v>
      </c>
      <c r="C8201">
        <v>4</v>
      </c>
      <c r="E8201">
        <v>359</v>
      </c>
    </row>
    <row r="8202" spans="1:5" x14ac:dyDescent="0.25">
      <c r="A8202">
        <v>116</v>
      </c>
      <c r="B8202">
        <f t="shared" si="16"/>
        <v>358</v>
      </c>
      <c r="C8202">
        <v>3</v>
      </c>
      <c r="E8202" s="1">
        <v>359</v>
      </c>
    </row>
    <row r="8203" spans="1:5" x14ac:dyDescent="0.25">
      <c r="A8203">
        <v>122</v>
      </c>
      <c r="B8203">
        <f t="shared" si="16"/>
        <v>358</v>
      </c>
      <c r="C8203">
        <v>4</v>
      </c>
      <c r="E8203">
        <v>359</v>
      </c>
    </row>
    <row r="8204" spans="1:5" x14ac:dyDescent="0.25">
      <c r="A8204">
        <v>138</v>
      </c>
      <c r="B8204">
        <f t="shared" si="16"/>
        <v>358</v>
      </c>
      <c r="C8204">
        <v>2</v>
      </c>
      <c r="E8204" s="1">
        <v>359</v>
      </c>
    </row>
    <row r="8205" spans="1:5" x14ac:dyDescent="0.25">
      <c r="A8205">
        <v>147</v>
      </c>
      <c r="B8205">
        <f t="shared" si="16"/>
        <v>358</v>
      </c>
      <c r="C8205">
        <v>3</v>
      </c>
      <c r="E8205">
        <v>359</v>
      </c>
    </row>
    <row r="8206" spans="1:5" x14ac:dyDescent="0.25">
      <c r="A8206">
        <v>179</v>
      </c>
      <c r="B8206">
        <f t="shared" ref="B8206:B8269" si="17">E8206-1</f>
        <v>358</v>
      </c>
      <c r="C8206">
        <v>4</v>
      </c>
      <c r="E8206" s="1">
        <v>359</v>
      </c>
    </row>
    <row r="8207" spans="1:5" x14ac:dyDescent="0.25">
      <c r="A8207">
        <v>188</v>
      </c>
      <c r="B8207">
        <f t="shared" si="17"/>
        <v>358</v>
      </c>
      <c r="C8207">
        <v>4</v>
      </c>
      <c r="E8207">
        <v>359</v>
      </c>
    </row>
    <row r="8208" spans="1:5" x14ac:dyDescent="0.25">
      <c r="A8208">
        <v>248</v>
      </c>
      <c r="B8208">
        <f t="shared" si="17"/>
        <v>358</v>
      </c>
      <c r="C8208">
        <v>5</v>
      </c>
      <c r="E8208" s="1">
        <v>359</v>
      </c>
    </row>
    <row r="8209" spans="1:5" x14ac:dyDescent="0.25">
      <c r="A8209">
        <v>253</v>
      </c>
      <c r="B8209">
        <f t="shared" si="17"/>
        <v>358</v>
      </c>
      <c r="C8209">
        <v>3</v>
      </c>
      <c r="E8209">
        <v>359</v>
      </c>
    </row>
    <row r="8210" spans="1:5" x14ac:dyDescent="0.25">
      <c r="A8210">
        <v>272</v>
      </c>
      <c r="B8210">
        <f t="shared" si="17"/>
        <v>358</v>
      </c>
      <c r="C8210">
        <v>1</v>
      </c>
      <c r="E8210" s="1">
        <v>359</v>
      </c>
    </row>
    <row r="8211" spans="1:5" x14ac:dyDescent="0.25">
      <c r="A8211">
        <v>278</v>
      </c>
      <c r="B8211">
        <f t="shared" si="17"/>
        <v>358</v>
      </c>
      <c r="C8211">
        <v>2</v>
      </c>
      <c r="E8211">
        <v>359</v>
      </c>
    </row>
    <row r="8212" spans="1:5" x14ac:dyDescent="0.25">
      <c r="A8212">
        <v>15</v>
      </c>
      <c r="B8212">
        <f t="shared" si="17"/>
        <v>359</v>
      </c>
      <c r="C8212">
        <v>3</v>
      </c>
      <c r="E8212" s="1">
        <v>360</v>
      </c>
    </row>
    <row r="8213" spans="1:5" x14ac:dyDescent="0.25">
      <c r="A8213">
        <v>20</v>
      </c>
      <c r="B8213">
        <f t="shared" si="17"/>
        <v>359</v>
      </c>
      <c r="C8213">
        <v>2</v>
      </c>
      <c r="E8213">
        <v>360</v>
      </c>
    </row>
    <row r="8214" spans="1:5" x14ac:dyDescent="0.25">
      <c r="A8214">
        <v>39</v>
      </c>
      <c r="B8214">
        <f t="shared" si="17"/>
        <v>359</v>
      </c>
      <c r="C8214">
        <v>4</v>
      </c>
      <c r="E8214" s="1">
        <v>360</v>
      </c>
    </row>
    <row r="8215" spans="1:5" x14ac:dyDescent="0.25">
      <c r="A8215">
        <v>39</v>
      </c>
      <c r="B8215">
        <f t="shared" si="17"/>
        <v>359</v>
      </c>
      <c r="C8215">
        <v>3</v>
      </c>
      <c r="E8215">
        <v>360</v>
      </c>
    </row>
    <row r="8216" spans="1:5" x14ac:dyDescent="0.25">
      <c r="A8216">
        <v>46</v>
      </c>
      <c r="B8216">
        <f t="shared" si="17"/>
        <v>359</v>
      </c>
      <c r="C8216">
        <v>4</v>
      </c>
      <c r="E8216" s="1">
        <v>360</v>
      </c>
    </row>
    <row r="8217" spans="1:5" x14ac:dyDescent="0.25">
      <c r="A8217">
        <v>61</v>
      </c>
      <c r="B8217">
        <f t="shared" si="17"/>
        <v>359</v>
      </c>
      <c r="C8217">
        <v>4</v>
      </c>
      <c r="E8217">
        <v>360</v>
      </c>
    </row>
    <row r="8218" spans="1:5" x14ac:dyDescent="0.25">
      <c r="A8218">
        <v>61</v>
      </c>
      <c r="B8218">
        <f t="shared" si="17"/>
        <v>359</v>
      </c>
      <c r="C8218">
        <v>3</v>
      </c>
      <c r="E8218" s="1">
        <v>360</v>
      </c>
    </row>
    <row r="8219" spans="1:5" x14ac:dyDescent="0.25">
      <c r="A8219">
        <v>64</v>
      </c>
      <c r="B8219">
        <f t="shared" si="17"/>
        <v>359</v>
      </c>
      <c r="C8219">
        <v>1</v>
      </c>
      <c r="E8219">
        <v>360</v>
      </c>
    </row>
    <row r="8220" spans="1:5" x14ac:dyDescent="0.25">
      <c r="A8220">
        <v>81</v>
      </c>
      <c r="B8220">
        <f t="shared" si="17"/>
        <v>359</v>
      </c>
      <c r="C8220">
        <v>5</v>
      </c>
      <c r="E8220" s="1">
        <v>360</v>
      </c>
    </row>
    <row r="8221" spans="1:5" x14ac:dyDescent="0.25">
      <c r="A8221">
        <v>84</v>
      </c>
      <c r="B8221">
        <f t="shared" si="17"/>
        <v>359</v>
      </c>
      <c r="C8221">
        <v>4</v>
      </c>
      <c r="E8221">
        <v>360</v>
      </c>
    </row>
    <row r="8222" spans="1:5" x14ac:dyDescent="0.25">
      <c r="A8222">
        <v>117</v>
      </c>
      <c r="B8222">
        <f t="shared" si="17"/>
        <v>359</v>
      </c>
      <c r="C8222">
        <v>1</v>
      </c>
      <c r="E8222" s="1">
        <v>360</v>
      </c>
    </row>
    <row r="8223" spans="1:5" x14ac:dyDescent="0.25">
      <c r="A8223">
        <v>134</v>
      </c>
      <c r="B8223">
        <f t="shared" si="17"/>
        <v>359</v>
      </c>
      <c r="C8223">
        <v>4</v>
      </c>
      <c r="E8223">
        <v>360</v>
      </c>
    </row>
    <row r="8224" spans="1:5" x14ac:dyDescent="0.25">
      <c r="A8224">
        <v>157</v>
      </c>
      <c r="B8224">
        <f t="shared" si="17"/>
        <v>359</v>
      </c>
      <c r="C8224">
        <v>1</v>
      </c>
      <c r="E8224" s="1">
        <v>360</v>
      </c>
    </row>
    <row r="8225" spans="1:5" x14ac:dyDescent="0.25">
      <c r="A8225">
        <v>166</v>
      </c>
      <c r="B8225">
        <f t="shared" si="17"/>
        <v>359</v>
      </c>
      <c r="C8225">
        <v>2</v>
      </c>
      <c r="E8225">
        <v>360</v>
      </c>
    </row>
    <row r="8226" spans="1:5" x14ac:dyDescent="0.25">
      <c r="A8226">
        <v>202</v>
      </c>
      <c r="B8226">
        <f t="shared" si="17"/>
        <v>359</v>
      </c>
      <c r="C8226">
        <v>5</v>
      </c>
      <c r="E8226" s="1">
        <v>360</v>
      </c>
    </row>
    <row r="8227" spans="1:5" x14ac:dyDescent="0.25">
      <c r="A8227">
        <v>212</v>
      </c>
      <c r="B8227">
        <f t="shared" si="17"/>
        <v>359</v>
      </c>
      <c r="C8227">
        <v>1</v>
      </c>
      <c r="E8227">
        <v>360</v>
      </c>
    </row>
    <row r="8228" spans="1:5" x14ac:dyDescent="0.25">
      <c r="A8228">
        <v>216</v>
      </c>
      <c r="B8228">
        <f t="shared" si="17"/>
        <v>359</v>
      </c>
      <c r="C8228">
        <v>4</v>
      </c>
      <c r="E8228" s="1">
        <v>360</v>
      </c>
    </row>
    <row r="8229" spans="1:5" x14ac:dyDescent="0.25">
      <c r="A8229">
        <v>239</v>
      </c>
      <c r="B8229">
        <f t="shared" si="17"/>
        <v>359</v>
      </c>
      <c r="C8229">
        <v>2</v>
      </c>
      <c r="E8229">
        <v>360</v>
      </c>
    </row>
    <row r="8230" spans="1:5" x14ac:dyDescent="0.25">
      <c r="A8230">
        <v>246</v>
      </c>
      <c r="B8230">
        <f t="shared" si="17"/>
        <v>359</v>
      </c>
      <c r="C8230">
        <v>3</v>
      </c>
      <c r="E8230" s="1">
        <v>360</v>
      </c>
    </row>
    <row r="8231" spans="1:5" x14ac:dyDescent="0.25">
      <c r="A8231">
        <v>252</v>
      </c>
      <c r="B8231">
        <f t="shared" si="17"/>
        <v>359</v>
      </c>
      <c r="C8231">
        <v>3</v>
      </c>
      <c r="E8231">
        <v>360</v>
      </c>
    </row>
    <row r="8232" spans="1:5" x14ac:dyDescent="0.25">
      <c r="A8232">
        <v>266</v>
      </c>
      <c r="B8232">
        <f t="shared" si="17"/>
        <v>359</v>
      </c>
      <c r="C8232">
        <v>4</v>
      </c>
      <c r="E8232" s="1">
        <v>360</v>
      </c>
    </row>
    <row r="8233" spans="1:5" x14ac:dyDescent="0.25">
      <c r="A8233">
        <v>274</v>
      </c>
      <c r="B8233">
        <f t="shared" si="17"/>
        <v>359</v>
      </c>
      <c r="C8233">
        <v>1</v>
      </c>
      <c r="E8233">
        <v>360</v>
      </c>
    </row>
    <row r="8234" spans="1:5" x14ac:dyDescent="0.25">
      <c r="A8234">
        <v>284</v>
      </c>
      <c r="B8234">
        <f t="shared" si="17"/>
        <v>359</v>
      </c>
      <c r="C8234">
        <v>3</v>
      </c>
      <c r="E8234" s="1">
        <v>360</v>
      </c>
    </row>
    <row r="8235" spans="1:5" x14ac:dyDescent="0.25">
      <c r="A8235">
        <v>295</v>
      </c>
      <c r="B8235">
        <f t="shared" si="17"/>
        <v>359</v>
      </c>
      <c r="C8235">
        <v>3</v>
      </c>
      <c r="E8235">
        <v>360</v>
      </c>
    </row>
    <row r="8236" spans="1:5" x14ac:dyDescent="0.25">
      <c r="A8236">
        <v>54</v>
      </c>
      <c r="B8236">
        <f t="shared" si="17"/>
        <v>360</v>
      </c>
      <c r="C8236">
        <v>1</v>
      </c>
      <c r="E8236" s="1">
        <v>361</v>
      </c>
    </row>
    <row r="8237" spans="1:5" x14ac:dyDescent="0.25">
      <c r="A8237">
        <v>61</v>
      </c>
      <c r="B8237">
        <f t="shared" si="17"/>
        <v>360</v>
      </c>
      <c r="C8237">
        <v>5</v>
      </c>
      <c r="E8237">
        <v>361</v>
      </c>
    </row>
    <row r="8238" spans="1:5" x14ac:dyDescent="0.25">
      <c r="A8238">
        <v>86</v>
      </c>
      <c r="B8238">
        <f t="shared" si="17"/>
        <v>360</v>
      </c>
      <c r="C8238">
        <v>5</v>
      </c>
      <c r="E8238" s="1">
        <v>361</v>
      </c>
    </row>
    <row r="8239" spans="1:5" x14ac:dyDescent="0.25">
      <c r="A8239">
        <v>88</v>
      </c>
      <c r="B8239">
        <f t="shared" si="17"/>
        <v>360</v>
      </c>
      <c r="C8239">
        <v>3</v>
      </c>
      <c r="E8239">
        <v>361</v>
      </c>
    </row>
    <row r="8240" spans="1:5" x14ac:dyDescent="0.25">
      <c r="A8240">
        <v>101</v>
      </c>
      <c r="B8240">
        <f t="shared" si="17"/>
        <v>360</v>
      </c>
      <c r="C8240">
        <v>1</v>
      </c>
      <c r="E8240" s="1">
        <v>361</v>
      </c>
    </row>
    <row r="8241" spans="1:5" x14ac:dyDescent="0.25">
      <c r="A8241">
        <v>108</v>
      </c>
      <c r="B8241">
        <f t="shared" si="17"/>
        <v>360</v>
      </c>
      <c r="C8241">
        <v>4</v>
      </c>
      <c r="E8241">
        <v>361</v>
      </c>
    </row>
    <row r="8242" spans="1:5" x14ac:dyDescent="0.25">
      <c r="A8242">
        <v>135</v>
      </c>
      <c r="B8242">
        <f t="shared" si="17"/>
        <v>360</v>
      </c>
      <c r="C8242">
        <v>1</v>
      </c>
      <c r="E8242" s="1">
        <v>361</v>
      </c>
    </row>
    <row r="8243" spans="1:5" x14ac:dyDescent="0.25">
      <c r="A8243">
        <v>159</v>
      </c>
      <c r="B8243">
        <f t="shared" si="17"/>
        <v>360</v>
      </c>
      <c r="C8243">
        <v>3</v>
      </c>
      <c r="E8243">
        <v>361</v>
      </c>
    </row>
    <row r="8244" spans="1:5" x14ac:dyDescent="0.25">
      <c r="A8244">
        <v>186</v>
      </c>
      <c r="B8244">
        <f t="shared" si="17"/>
        <v>360</v>
      </c>
      <c r="C8244">
        <v>2</v>
      </c>
      <c r="E8244" s="1">
        <v>361</v>
      </c>
    </row>
    <row r="8245" spans="1:5" x14ac:dyDescent="0.25">
      <c r="A8245">
        <v>201</v>
      </c>
      <c r="B8245">
        <f t="shared" si="17"/>
        <v>360</v>
      </c>
      <c r="C8245">
        <v>1</v>
      </c>
      <c r="E8245">
        <v>361</v>
      </c>
    </row>
    <row r="8246" spans="1:5" x14ac:dyDescent="0.25">
      <c r="A8246">
        <v>202</v>
      </c>
      <c r="B8246">
        <f t="shared" si="17"/>
        <v>360</v>
      </c>
      <c r="C8246">
        <v>5</v>
      </c>
      <c r="E8246" s="1">
        <v>361</v>
      </c>
    </row>
    <row r="8247" spans="1:5" x14ac:dyDescent="0.25">
      <c r="A8247">
        <v>225</v>
      </c>
      <c r="B8247">
        <f t="shared" si="17"/>
        <v>360</v>
      </c>
      <c r="C8247">
        <v>3</v>
      </c>
      <c r="E8247">
        <v>361</v>
      </c>
    </row>
    <row r="8248" spans="1:5" x14ac:dyDescent="0.25">
      <c r="A8248">
        <v>229</v>
      </c>
      <c r="B8248">
        <f t="shared" si="17"/>
        <v>360</v>
      </c>
      <c r="C8248">
        <v>5</v>
      </c>
      <c r="E8248" s="1">
        <v>361</v>
      </c>
    </row>
    <row r="8249" spans="1:5" x14ac:dyDescent="0.25">
      <c r="A8249">
        <v>231</v>
      </c>
      <c r="B8249">
        <f t="shared" si="17"/>
        <v>360</v>
      </c>
      <c r="C8249">
        <v>1</v>
      </c>
      <c r="E8249">
        <v>361</v>
      </c>
    </row>
    <row r="8250" spans="1:5" x14ac:dyDescent="0.25">
      <c r="A8250">
        <v>235</v>
      </c>
      <c r="B8250">
        <f t="shared" si="17"/>
        <v>360</v>
      </c>
      <c r="C8250">
        <v>2</v>
      </c>
      <c r="E8250" s="1">
        <v>361</v>
      </c>
    </row>
    <row r="8251" spans="1:5" x14ac:dyDescent="0.25">
      <c r="A8251">
        <v>254</v>
      </c>
      <c r="B8251">
        <f t="shared" si="17"/>
        <v>360</v>
      </c>
      <c r="C8251">
        <v>3</v>
      </c>
      <c r="E8251">
        <v>361</v>
      </c>
    </row>
    <row r="8252" spans="1:5" x14ac:dyDescent="0.25">
      <c r="A8252">
        <v>281</v>
      </c>
      <c r="B8252">
        <f t="shared" si="17"/>
        <v>360</v>
      </c>
      <c r="C8252">
        <v>1</v>
      </c>
      <c r="E8252" s="1">
        <v>361</v>
      </c>
    </row>
    <row r="8253" spans="1:5" x14ac:dyDescent="0.25">
      <c r="A8253">
        <v>282</v>
      </c>
      <c r="B8253">
        <f t="shared" si="17"/>
        <v>360</v>
      </c>
      <c r="C8253">
        <v>2</v>
      </c>
      <c r="E8253">
        <v>361</v>
      </c>
    </row>
    <row r="8254" spans="1:5" x14ac:dyDescent="0.25">
      <c r="A8254">
        <v>14</v>
      </c>
      <c r="B8254">
        <f t="shared" si="17"/>
        <v>361</v>
      </c>
      <c r="C8254">
        <v>2</v>
      </c>
      <c r="E8254" s="1">
        <v>362</v>
      </c>
    </row>
    <row r="8255" spans="1:5" x14ac:dyDescent="0.25">
      <c r="A8255">
        <v>21</v>
      </c>
      <c r="B8255">
        <f t="shared" si="17"/>
        <v>361</v>
      </c>
      <c r="C8255">
        <v>2</v>
      </c>
      <c r="E8255">
        <v>362</v>
      </c>
    </row>
    <row r="8256" spans="1:5" x14ac:dyDescent="0.25">
      <c r="A8256">
        <v>32</v>
      </c>
      <c r="B8256">
        <f t="shared" si="17"/>
        <v>361</v>
      </c>
      <c r="C8256">
        <v>5</v>
      </c>
      <c r="E8256" s="1">
        <v>362</v>
      </c>
    </row>
    <row r="8257" spans="1:5" x14ac:dyDescent="0.25">
      <c r="A8257">
        <v>39</v>
      </c>
      <c r="B8257">
        <f t="shared" si="17"/>
        <v>361</v>
      </c>
      <c r="C8257">
        <v>3</v>
      </c>
      <c r="E8257">
        <v>362</v>
      </c>
    </row>
    <row r="8258" spans="1:5" x14ac:dyDescent="0.25">
      <c r="A8258">
        <v>56</v>
      </c>
      <c r="B8258">
        <f t="shared" si="17"/>
        <v>361</v>
      </c>
      <c r="C8258">
        <v>2</v>
      </c>
      <c r="E8258" s="1">
        <v>362</v>
      </c>
    </row>
    <row r="8259" spans="1:5" x14ac:dyDescent="0.25">
      <c r="A8259">
        <v>86</v>
      </c>
      <c r="B8259">
        <f t="shared" si="17"/>
        <v>361</v>
      </c>
      <c r="C8259">
        <v>2</v>
      </c>
      <c r="E8259">
        <v>362</v>
      </c>
    </row>
    <row r="8260" spans="1:5" x14ac:dyDescent="0.25">
      <c r="A8260">
        <v>105</v>
      </c>
      <c r="B8260">
        <f t="shared" si="17"/>
        <v>361</v>
      </c>
      <c r="C8260">
        <v>3</v>
      </c>
      <c r="E8260" s="1">
        <v>362</v>
      </c>
    </row>
    <row r="8261" spans="1:5" x14ac:dyDescent="0.25">
      <c r="A8261">
        <v>121</v>
      </c>
      <c r="B8261">
        <f t="shared" si="17"/>
        <v>361</v>
      </c>
      <c r="C8261">
        <v>1</v>
      </c>
      <c r="E8261">
        <v>362</v>
      </c>
    </row>
    <row r="8262" spans="1:5" x14ac:dyDescent="0.25">
      <c r="A8262">
        <v>136</v>
      </c>
      <c r="B8262">
        <f t="shared" si="17"/>
        <v>361</v>
      </c>
      <c r="C8262">
        <v>4</v>
      </c>
      <c r="E8262" s="1">
        <v>362</v>
      </c>
    </row>
    <row r="8263" spans="1:5" x14ac:dyDescent="0.25">
      <c r="A8263">
        <v>139</v>
      </c>
      <c r="B8263">
        <f t="shared" si="17"/>
        <v>361</v>
      </c>
      <c r="C8263">
        <v>3</v>
      </c>
      <c r="E8263">
        <v>362</v>
      </c>
    </row>
    <row r="8264" spans="1:5" x14ac:dyDescent="0.25">
      <c r="A8264">
        <v>151</v>
      </c>
      <c r="B8264">
        <f t="shared" si="17"/>
        <v>361</v>
      </c>
      <c r="C8264">
        <v>5</v>
      </c>
      <c r="E8264" s="1">
        <v>362</v>
      </c>
    </row>
    <row r="8265" spans="1:5" x14ac:dyDescent="0.25">
      <c r="A8265">
        <v>167</v>
      </c>
      <c r="B8265">
        <f t="shared" si="17"/>
        <v>361</v>
      </c>
      <c r="C8265">
        <v>2</v>
      </c>
      <c r="E8265">
        <v>362</v>
      </c>
    </row>
    <row r="8266" spans="1:5" x14ac:dyDescent="0.25">
      <c r="A8266">
        <v>169</v>
      </c>
      <c r="B8266">
        <f t="shared" si="17"/>
        <v>361</v>
      </c>
      <c r="C8266">
        <v>5</v>
      </c>
      <c r="E8266" s="1">
        <v>362</v>
      </c>
    </row>
    <row r="8267" spans="1:5" x14ac:dyDescent="0.25">
      <c r="A8267">
        <v>217</v>
      </c>
      <c r="B8267">
        <f t="shared" si="17"/>
        <v>361</v>
      </c>
      <c r="C8267">
        <v>4</v>
      </c>
      <c r="E8267">
        <v>362</v>
      </c>
    </row>
    <row r="8268" spans="1:5" x14ac:dyDescent="0.25">
      <c r="A8268">
        <v>276</v>
      </c>
      <c r="B8268">
        <f t="shared" si="17"/>
        <v>361</v>
      </c>
      <c r="C8268">
        <v>4</v>
      </c>
      <c r="E8268" s="1">
        <v>362</v>
      </c>
    </row>
    <row r="8269" spans="1:5" x14ac:dyDescent="0.25">
      <c r="A8269">
        <v>41</v>
      </c>
      <c r="B8269">
        <f t="shared" si="17"/>
        <v>362</v>
      </c>
      <c r="C8269">
        <v>2</v>
      </c>
      <c r="E8269">
        <v>363</v>
      </c>
    </row>
    <row r="8270" spans="1:5" x14ac:dyDescent="0.25">
      <c r="A8270">
        <v>54</v>
      </c>
      <c r="B8270">
        <f t="shared" ref="B8270:B8333" si="18">E8270-1</f>
        <v>362</v>
      </c>
      <c r="C8270">
        <v>1</v>
      </c>
      <c r="E8270" s="1">
        <v>363</v>
      </c>
    </row>
    <row r="8271" spans="1:5" x14ac:dyDescent="0.25">
      <c r="A8271">
        <v>64</v>
      </c>
      <c r="B8271">
        <f t="shared" si="18"/>
        <v>362</v>
      </c>
      <c r="C8271">
        <v>3</v>
      </c>
      <c r="E8271">
        <v>363</v>
      </c>
    </row>
    <row r="8272" spans="1:5" x14ac:dyDescent="0.25">
      <c r="A8272">
        <v>71</v>
      </c>
      <c r="B8272">
        <f t="shared" si="18"/>
        <v>362</v>
      </c>
      <c r="C8272">
        <v>4</v>
      </c>
      <c r="E8272" s="1">
        <v>363</v>
      </c>
    </row>
    <row r="8273" spans="1:5" x14ac:dyDescent="0.25">
      <c r="A8273">
        <v>73</v>
      </c>
      <c r="B8273">
        <f t="shared" si="18"/>
        <v>362</v>
      </c>
      <c r="C8273">
        <v>1</v>
      </c>
      <c r="E8273">
        <v>363</v>
      </c>
    </row>
    <row r="8274" spans="1:5" x14ac:dyDescent="0.25">
      <c r="A8274">
        <v>76</v>
      </c>
      <c r="B8274">
        <f t="shared" si="18"/>
        <v>362</v>
      </c>
      <c r="C8274">
        <v>3</v>
      </c>
      <c r="E8274" s="1">
        <v>363</v>
      </c>
    </row>
    <row r="8275" spans="1:5" x14ac:dyDescent="0.25">
      <c r="A8275">
        <v>135</v>
      </c>
      <c r="B8275">
        <f t="shared" si="18"/>
        <v>362</v>
      </c>
      <c r="C8275">
        <v>4</v>
      </c>
      <c r="E8275">
        <v>363</v>
      </c>
    </row>
    <row r="8276" spans="1:5" x14ac:dyDescent="0.25">
      <c r="A8276">
        <v>143</v>
      </c>
      <c r="B8276">
        <f t="shared" si="18"/>
        <v>362</v>
      </c>
      <c r="C8276">
        <v>4</v>
      </c>
      <c r="E8276" s="1">
        <v>363</v>
      </c>
    </row>
    <row r="8277" spans="1:5" x14ac:dyDescent="0.25">
      <c r="A8277">
        <v>146</v>
      </c>
      <c r="B8277">
        <f t="shared" si="18"/>
        <v>362</v>
      </c>
      <c r="C8277">
        <v>1</v>
      </c>
      <c r="E8277">
        <v>363</v>
      </c>
    </row>
    <row r="8278" spans="1:5" x14ac:dyDescent="0.25">
      <c r="A8278">
        <v>147</v>
      </c>
      <c r="B8278">
        <f t="shared" si="18"/>
        <v>362</v>
      </c>
      <c r="C8278">
        <v>5</v>
      </c>
      <c r="E8278" s="1">
        <v>363</v>
      </c>
    </row>
    <row r="8279" spans="1:5" x14ac:dyDescent="0.25">
      <c r="A8279">
        <v>164</v>
      </c>
      <c r="B8279">
        <f t="shared" si="18"/>
        <v>362</v>
      </c>
      <c r="C8279">
        <v>3</v>
      </c>
      <c r="E8279">
        <v>363</v>
      </c>
    </row>
    <row r="8280" spans="1:5" x14ac:dyDescent="0.25">
      <c r="A8280">
        <v>169</v>
      </c>
      <c r="B8280">
        <f t="shared" si="18"/>
        <v>362</v>
      </c>
      <c r="C8280">
        <v>5</v>
      </c>
      <c r="E8280" s="1">
        <v>363</v>
      </c>
    </row>
    <row r="8281" spans="1:5" x14ac:dyDescent="0.25">
      <c r="A8281">
        <v>186</v>
      </c>
      <c r="B8281">
        <f t="shared" si="18"/>
        <v>362</v>
      </c>
      <c r="C8281">
        <v>5</v>
      </c>
      <c r="E8281">
        <v>363</v>
      </c>
    </row>
    <row r="8282" spans="1:5" x14ac:dyDescent="0.25">
      <c r="A8282">
        <v>199</v>
      </c>
      <c r="B8282">
        <f t="shared" si="18"/>
        <v>362</v>
      </c>
      <c r="C8282">
        <v>1</v>
      </c>
      <c r="E8282" s="1">
        <v>363</v>
      </c>
    </row>
    <row r="8283" spans="1:5" x14ac:dyDescent="0.25">
      <c r="A8283">
        <v>206</v>
      </c>
      <c r="B8283">
        <f t="shared" si="18"/>
        <v>362</v>
      </c>
      <c r="C8283">
        <v>3</v>
      </c>
      <c r="E8283">
        <v>363</v>
      </c>
    </row>
    <row r="8284" spans="1:5" x14ac:dyDescent="0.25">
      <c r="A8284">
        <v>216</v>
      </c>
      <c r="B8284">
        <f t="shared" si="18"/>
        <v>362</v>
      </c>
      <c r="C8284">
        <v>4</v>
      </c>
      <c r="E8284" s="1">
        <v>363</v>
      </c>
    </row>
    <row r="8285" spans="1:5" x14ac:dyDescent="0.25">
      <c r="A8285">
        <v>217</v>
      </c>
      <c r="B8285">
        <f t="shared" si="18"/>
        <v>362</v>
      </c>
      <c r="C8285">
        <v>3</v>
      </c>
      <c r="E8285">
        <v>363</v>
      </c>
    </row>
    <row r="8286" spans="1:5" x14ac:dyDescent="0.25">
      <c r="A8286">
        <v>220</v>
      </c>
      <c r="B8286">
        <f t="shared" si="18"/>
        <v>362</v>
      </c>
      <c r="C8286">
        <v>1</v>
      </c>
      <c r="E8286" s="1">
        <v>363</v>
      </c>
    </row>
    <row r="8287" spans="1:5" x14ac:dyDescent="0.25">
      <c r="A8287">
        <v>254</v>
      </c>
      <c r="B8287">
        <f t="shared" si="18"/>
        <v>362</v>
      </c>
      <c r="C8287">
        <v>4</v>
      </c>
      <c r="E8287">
        <v>363</v>
      </c>
    </row>
    <row r="8288" spans="1:5" x14ac:dyDescent="0.25">
      <c r="A8288">
        <v>261</v>
      </c>
      <c r="B8288">
        <f t="shared" si="18"/>
        <v>362</v>
      </c>
      <c r="C8288">
        <v>3</v>
      </c>
      <c r="E8288" s="1">
        <v>363</v>
      </c>
    </row>
    <row r="8289" spans="1:5" x14ac:dyDescent="0.25">
      <c r="A8289">
        <v>262</v>
      </c>
      <c r="B8289">
        <f t="shared" si="18"/>
        <v>362</v>
      </c>
      <c r="C8289">
        <v>2</v>
      </c>
      <c r="E8289">
        <v>363</v>
      </c>
    </row>
    <row r="8290" spans="1:5" x14ac:dyDescent="0.25">
      <c r="A8290">
        <v>264</v>
      </c>
      <c r="B8290">
        <f t="shared" si="18"/>
        <v>362</v>
      </c>
      <c r="C8290">
        <v>3</v>
      </c>
      <c r="E8290" s="1">
        <v>363</v>
      </c>
    </row>
    <row r="8291" spans="1:5" x14ac:dyDescent="0.25">
      <c r="A8291">
        <v>300</v>
      </c>
      <c r="B8291">
        <f t="shared" si="18"/>
        <v>362</v>
      </c>
      <c r="C8291">
        <v>1</v>
      </c>
      <c r="E8291">
        <v>363</v>
      </c>
    </row>
    <row r="8292" spans="1:5" x14ac:dyDescent="0.25">
      <c r="A8292">
        <v>28</v>
      </c>
      <c r="B8292">
        <f t="shared" si="18"/>
        <v>363</v>
      </c>
      <c r="C8292">
        <v>3</v>
      </c>
      <c r="E8292" s="1">
        <v>364</v>
      </c>
    </row>
    <row r="8293" spans="1:5" x14ac:dyDescent="0.25">
      <c r="A8293">
        <v>38</v>
      </c>
      <c r="B8293">
        <f t="shared" si="18"/>
        <v>363</v>
      </c>
      <c r="C8293">
        <v>3</v>
      </c>
      <c r="E8293">
        <v>364</v>
      </c>
    </row>
    <row r="8294" spans="1:5" x14ac:dyDescent="0.25">
      <c r="A8294">
        <v>66</v>
      </c>
      <c r="B8294">
        <f t="shared" si="18"/>
        <v>363</v>
      </c>
      <c r="C8294">
        <v>5</v>
      </c>
      <c r="E8294" s="1">
        <v>364</v>
      </c>
    </row>
    <row r="8295" spans="1:5" x14ac:dyDescent="0.25">
      <c r="A8295">
        <v>71</v>
      </c>
      <c r="B8295">
        <f t="shared" si="18"/>
        <v>363</v>
      </c>
      <c r="C8295">
        <v>3</v>
      </c>
      <c r="E8295">
        <v>364</v>
      </c>
    </row>
    <row r="8296" spans="1:5" x14ac:dyDescent="0.25">
      <c r="A8296">
        <v>72</v>
      </c>
      <c r="B8296">
        <f t="shared" si="18"/>
        <v>363</v>
      </c>
      <c r="C8296">
        <v>2</v>
      </c>
      <c r="E8296" s="1">
        <v>364</v>
      </c>
    </row>
    <row r="8297" spans="1:5" x14ac:dyDescent="0.25">
      <c r="A8297">
        <v>80</v>
      </c>
      <c r="B8297">
        <f t="shared" si="18"/>
        <v>363</v>
      </c>
      <c r="C8297">
        <v>2</v>
      </c>
      <c r="E8297">
        <v>364</v>
      </c>
    </row>
    <row r="8298" spans="1:5" x14ac:dyDescent="0.25">
      <c r="A8298">
        <v>100</v>
      </c>
      <c r="B8298">
        <f t="shared" si="18"/>
        <v>363</v>
      </c>
      <c r="C8298">
        <v>3</v>
      </c>
      <c r="E8298" s="1">
        <v>364</v>
      </c>
    </row>
    <row r="8299" spans="1:5" x14ac:dyDescent="0.25">
      <c r="A8299">
        <v>132</v>
      </c>
      <c r="B8299">
        <f t="shared" si="18"/>
        <v>363</v>
      </c>
      <c r="C8299">
        <v>2</v>
      </c>
      <c r="E8299">
        <v>364</v>
      </c>
    </row>
    <row r="8300" spans="1:5" x14ac:dyDescent="0.25">
      <c r="A8300">
        <v>139</v>
      </c>
      <c r="B8300">
        <f t="shared" si="18"/>
        <v>363</v>
      </c>
      <c r="C8300">
        <v>4</v>
      </c>
      <c r="E8300" s="1">
        <v>364</v>
      </c>
    </row>
    <row r="8301" spans="1:5" x14ac:dyDescent="0.25">
      <c r="A8301">
        <v>167</v>
      </c>
      <c r="B8301">
        <f t="shared" si="18"/>
        <v>363</v>
      </c>
      <c r="C8301">
        <v>1</v>
      </c>
      <c r="E8301">
        <v>364</v>
      </c>
    </row>
    <row r="8302" spans="1:5" x14ac:dyDescent="0.25">
      <c r="A8302">
        <v>192</v>
      </c>
      <c r="B8302">
        <f t="shared" si="18"/>
        <v>363</v>
      </c>
      <c r="C8302">
        <v>5</v>
      </c>
      <c r="E8302" s="1">
        <v>364</v>
      </c>
    </row>
    <row r="8303" spans="1:5" x14ac:dyDescent="0.25">
      <c r="A8303">
        <v>195</v>
      </c>
      <c r="B8303">
        <f t="shared" si="18"/>
        <v>363</v>
      </c>
      <c r="C8303">
        <v>1</v>
      </c>
      <c r="E8303">
        <v>364</v>
      </c>
    </row>
    <row r="8304" spans="1:5" x14ac:dyDescent="0.25">
      <c r="A8304">
        <v>208</v>
      </c>
      <c r="B8304">
        <f t="shared" si="18"/>
        <v>363</v>
      </c>
      <c r="C8304">
        <v>4</v>
      </c>
      <c r="E8304" s="1">
        <v>364</v>
      </c>
    </row>
    <row r="8305" spans="1:5" x14ac:dyDescent="0.25">
      <c r="A8305">
        <v>209</v>
      </c>
      <c r="B8305">
        <f t="shared" si="18"/>
        <v>363</v>
      </c>
      <c r="C8305">
        <v>5</v>
      </c>
      <c r="E8305">
        <v>364</v>
      </c>
    </row>
    <row r="8306" spans="1:5" x14ac:dyDescent="0.25">
      <c r="A8306">
        <v>226</v>
      </c>
      <c r="B8306">
        <f t="shared" si="18"/>
        <v>363</v>
      </c>
      <c r="C8306">
        <v>5</v>
      </c>
      <c r="E8306" s="1">
        <v>364</v>
      </c>
    </row>
    <row r="8307" spans="1:5" x14ac:dyDescent="0.25">
      <c r="A8307">
        <v>228</v>
      </c>
      <c r="B8307">
        <f t="shared" si="18"/>
        <v>363</v>
      </c>
      <c r="C8307">
        <v>5</v>
      </c>
      <c r="E8307">
        <v>364</v>
      </c>
    </row>
    <row r="8308" spans="1:5" x14ac:dyDescent="0.25">
      <c r="A8308">
        <v>240</v>
      </c>
      <c r="B8308">
        <f t="shared" si="18"/>
        <v>363</v>
      </c>
      <c r="C8308">
        <v>2</v>
      </c>
      <c r="E8308" s="1">
        <v>364</v>
      </c>
    </row>
    <row r="8309" spans="1:5" x14ac:dyDescent="0.25">
      <c r="A8309">
        <v>275</v>
      </c>
      <c r="B8309">
        <f t="shared" si="18"/>
        <v>363</v>
      </c>
      <c r="C8309">
        <v>2</v>
      </c>
      <c r="E8309">
        <v>364</v>
      </c>
    </row>
    <row r="8310" spans="1:5" x14ac:dyDescent="0.25">
      <c r="A8310">
        <v>15</v>
      </c>
      <c r="B8310">
        <f t="shared" si="18"/>
        <v>364</v>
      </c>
      <c r="C8310">
        <v>5</v>
      </c>
      <c r="E8310" s="1">
        <v>365</v>
      </c>
    </row>
    <row r="8311" spans="1:5" x14ac:dyDescent="0.25">
      <c r="A8311">
        <v>38</v>
      </c>
      <c r="B8311">
        <f t="shared" si="18"/>
        <v>364</v>
      </c>
      <c r="C8311">
        <v>5</v>
      </c>
      <c r="E8311">
        <v>365</v>
      </c>
    </row>
    <row r="8312" spans="1:5" x14ac:dyDescent="0.25">
      <c r="A8312">
        <v>45</v>
      </c>
      <c r="B8312">
        <f t="shared" si="18"/>
        <v>364</v>
      </c>
      <c r="C8312">
        <v>2</v>
      </c>
      <c r="E8312" s="1">
        <v>365</v>
      </c>
    </row>
    <row r="8313" spans="1:5" x14ac:dyDescent="0.25">
      <c r="A8313">
        <v>65</v>
      </c>
      <c r="B8313">
        <f t="shared" si="18"/>
        <v>364</v>
      </c>
      <c r="C8313">
        <v>3</v>
      </c>
      <c r="E8313">
        <v>365</v>
      </c>
    </row>
    <row r="8314" spans="1:5" x14ac:dyDescent="0.25">
      <c r="A8314">
        <v>71</v>
      </c>
      <c r="B8314">
        <f t="shared" si="18"/>
        <v>364</v>
      </c>
      <c r="C8314">
        <v>2</v>
      </c>
      <c r="E8314" s="1">
        <v>365</v>
      </c>
    </row>
    <row r="8315" spans="1:5" x14ac:dyDescent="0.25">
      <c r="A8315">
        <v>71</v>
      </c>
      <c r="B8315">
        <f t="shared" si="18"/>
        <v>364</v>
      </c>
      <c r="C8315">
        <v>4</v>
      </c>
      <c r="E8315">
        <v>365</v>
      </c>
    </row>
    <row r="8316" spans="1:5" x14ac:dyDescent="0.25">
      <c r="A8316">
        <v>103</v>
      </c>
      <c r="B8316">
        <f t="shared" si="18"/>
        <v>364</v>
      </c>
      <c r="C8316">
        <v>5</v>
      </c>
      <c r="E8316" s="1">
        <v>365</v>
      </c>
    </row>
    <row r="8317" spans="1:5" x14ac:dyDescent="0.25">
      <c r="A8317">
        <v>106</v>
      </c>
      <c r="B8317">
        <f t="shared" si="18"/>
        <v>364</v>
      </c>
      <c r="C8317">
        <v>2</v>
      </c>
      <c r="E8317">
        <v>365</v>
      </c>
    </row>
    <row r="8318" spans="1:5" x14ac:dyDescent="0.25">
      <c r="A8318">
        <v>109</v>
      </c>
      <c r="B8318">
        <f t="shared" si="18"/>
        <v>364</v>
      </c>
      <c r="C8318">
        <v>2</v>
      </c>
      <c r="E8318" s="1">
        <v>365</v>
      </c>
    </row>
    <row r="8319" spans="1:5" x14ac:dyDescent="0.25">
      <c r="A8319">
        <v>113</v>
      </c>
      <c r="B8319">
        <f t="shared" si="18"/>
        <v>364</v>
      </c>
      <c r="C8319">
        <v>1</v>
      </c>
      <c r="E8319">
        <v>365</v>
      </c>
    </row>
    <row r="8320" spans="1:5" x14ac:dyDescent="0.25">
      <c r="A8320">
        <v>122</v>
      </c>
      <c r="B8320">
        <f t="shared" si="18"/>
        <v>364</v>
      </c>
      <c r="C8320">
        <v>4</v>
      </c>
      <c r="E8320" s="1">
        <v>365</v>
      </c>
    </row>
    <row r="8321" spans="1:5" x14ac:dyDescent="0.25">
      <c r="A8321">
        <v>193</v>
      </c>
      <c r="B8321">
        <f t="shared" si="18"/>
        <v>364</v>
      </c>
      <c r="C8321">
        <v>1</v>
      </c>
      <c r="E8321">
        <v>365</v>
      </c>
    </row>
    <row r="8322" spans="1:5" x14ac:dyDescent="0.25">
      <c r="A8322">
        <v>198</v>
      </c>
      <c r="B8322">
        <f t="shared" si="18"/>
        <v>364</v>
      </c>
      <c r="C8322">
        <v>4</v>
      </c>
      <c r="E8322" s="1">
        <v>365</v>
      </c>
    </row>
    <row r="8323" spans="1:5" x14ac:dyDescent="0.25">
      <c r="A8323">
        <v>202</v>
      </c>
      <c r="B8323">
        <f t="shared" si="18"/>
        <v>364</v>
      </c>
      <c r="C8323">
        <v>3</v>
      </c>
      <c r="E8323">
        <v>365</v>
      </c>
    </row>
    <row r="8324" spans="1:5" x14ac:dyDescent="0.25">
      <c r="A8324">
        <v>204</v>
      </c>
      <c r="B8324">
        <f t="shared" si="18"/>
        <v>364</v>
      </c>
      <c r="C8324">
        <v>5</v>
      </c>
      <c r="E8324" s="1">
        <v>365</v>
      </c>
    </row>
    <row r="8325" spans="1:5" x14ac:dyDescent="0.25">
      <c r="A8325">
        <v>257</v>
      </c>
      <c r="B8325">
        <f t="shared" si="18"/>
        <v>364</v>
      </c>
      <c r="C8325">
        <v>5</v>
      </c>
      <c r="E8325">
        <v>365</v>
      </c>
    </row>
    <row r="8326" spans="1:5" x14ac:dyDescent="0.25">
      <c r="A8326">
        <v>261</v>
      </c>
      <c r="B8326">
        <f t="shared" si="18"/>
        <v>364</v>
      </c>
      <c r="C8326">
        <v>2</v>
      </c>
      <c r="E8326" s="1">
        <v>365</v>
      </c>
    </row>
    <row r="8327" spans="1:5" x14ac:dyDescent="0.25">
      <c r="A8327">
        <v>276</v>
      </c>
      <c r="B8327">
        <f t="shared" si="18"/>
        <v>364</v>
      </c>
      <c r="C8327">
        <v>2</v>
      </c>
      <c r="E8327">
        <v>365</v>
      </c>
    </row>
    <row r="8328" spans="1:5" x14ac:dyDescent="0.25">
      <c r="A8328">
        <v>289</v>
      </c>
      <c r="B8328">
        <f t="shared" si="18"/>
        <v>364</v>
      </c>
      <c r="C8328">
        <v>2</v>
      </c>
      <c r="E8328" s="1">
        <v>365</v>
      </c>
    </row>
    <row r="8329" spans="1:5" x14ac:dyDescent="0.25">
      <c r="A8329">
        <v>22</v>
      </c>
      <c r="B8329">
        <f t="shared" si="18"/>
        <v>365</v>
      </c>
      <c r="C8329">
        <v>2</v>
      </c>
      <c r="E8329">
        <v>366</v>
      </c>
    </row>
    <row r="8330" spans="1:5" x14ac:dyDescent="0.25">
      <c r="A8330">
        <v>37</v>
      </c>
      <c r="B8330">
        <f t="shared" si="18"/>
        <v>365</v>
      </c>
      <c r="C8330">
        <v>2</v>
      </c>
      <c r="E8330" s="1">
        <v>366</v>
      </c>
    </row>
    <row r="8331" spans="1:5" x14ac:dyDescent="0.25">
      <c r="A8331">
        <v>39</v>
      </c>
      <c r="B8331">
        <f t="shared" si="18"/>
        <v>365</v>
      </c>
      <c r="C8331">
        <v>4</v>
      </c>
      <c r="E8331">
        <v>366</v>
      </c>
    </row>
    <row r="8332" spans="1:5" x14ac:dyDescent="0.25">
      <c r="A8332">
        <v>43</v>
      </c>
      <c r="B8332">
        <f t="shared" si="18"/>
        <v>365</v>
      </c>
      <c r="C8332">
        <v>2</v>
      </c>
      <c r="E8332" s="1">
        <v>366</v>
      </c>
    </row>
    <row r="8333" spans="1:5" x14ac:dyDescent="0.25">
      <c r="A8333">
        <v>52</v>
      </c>
      <c r="B8333">
        <f t="shared" si="18"/>
        <v>365</v>
      </c>
      <c r="C8333">
        <v>4</v>
      </c>
      <c r="E8333">
        <v>366</v>
      </c>
    </row>
    <row r="8334" spans="1:5" x14ac:dyDescent="0.25">
      <c r="A8334">
        <v>61</v>
      </c>
      <c r="B8334">
        <f t="shared" ref="B8334:B8397" si="19">E8334-1</f>
        <v>365</v>
      </c>
      <c r="C8334">
        <v>5</v>
      </c>
      <c r="E8334" s="1">
        <v>366</v>
      </c>
    </row>
    <row r="8335" spans="1:5" x14ac:dyDescent="0.25">
      <c r="A8335">
        <v>63</v>
      </c>
      <c r="B8335">
        <f t="shared" si="19"/>
        <v>365</v>
      </c>
      <c r="C8335">
        <v>2</v>
      </c>
      <c r="E8335">
        <v>366</v>
      </c>
    </row>
    <row r="8336" spans="1:5" x14ac:dyDescent="0.25">
      <c r="A8336">
        <v>66</v>
      </c>
      <c r="B8336">
        <f t="shared" si="19"/>
        <v>365</v>
      </c>
      <c r="C8336">
        <v>1</v>
      </c>
      <c r="E8336" s="1">
        <v>366</v>
      </c>
    </row>
    <row r="8337" spans="1:5" x14ac:dyDescent="0.25">
      <c r="A8337">
        <v>76</v>
      </c>
      <c r="B8337">
        <f t="shared" si="19"/>
        <v>365</v>
      </c>
      <c r="C8337">
        <v>2</v>
      </c>
      <c r="E8337">
        <v>366</v>
      </c>
    </row>
    <row r="8338" spans="1:5" x14ac:dyDescent="0.25">
      <c r="A8338">
        <v>97</v>
      </c>
      <c r="B8338">
        <f t="shared" si="19"/>
        <v>365</v>
      </c>
      <c r="C8338">
        <v>5</v>
      </c>
      <c r="E8338" s="1">
        <v>366</v>
      </c>
    </row>
    <row r="8339" spans="1:5" x14ac:dyDescent="0.25">
      <c r="A8339">
        <v>104</v>
      </c>
      <c r="B8339">
        <f t="shared" si="19"/>
        <v>365</v>
      </c>
      <c r="C8339">
        <v>3</v>
      </c>
      <c r="E8339">
        <v>366</v>
      </c>
    </row>
    <row r="8340" spans="1:5" x14ac:dyDescent="0.25">
      <c r="A8340">
        <v>105</v>
      </c>
      <c r="B8340">
        <f t="shared" si="19"/>
        <v>365</v>
      </c>
      <c r="C8340">
        <v>4</v>
      </c>
      <c r="E8340" s="1">
        <v>366</v>
      </c>
    </row>
    <row r="8341" spans="1:5" x14ac:dyDescent="0.25">
      <c r="A8341">
        <v>116</v>
      </c>
      <c r="B8341">
        <f t="shared" si="19"/>
        <v>365</v>
      </c>
      <c r="C8341">
        <v>2</v>
      </c>
      <c r="E8341">
        <v>366</v>
      </c>
    </row>
    <row r="8342" spans="1:5" x14ac:dyDescent="0.25">
      <c r="A8342">
        <v>121</v>
      </c>
      <c r="B8342">
        <f t="shared" si="19"/>
        <v>365</v>
      </c>
      <c r="C8342">
        <v>3</v>
      </c>
      <c r="E8342" s="1">
        <v>366</v>
      </c>
    </row>
    <row r="8343" spans="1:5" x14ac:dyDescent="0.25">
      <c r="A8343">
        <v>129</v>
      </c>
      <c r="B8343">
        <f t="shared" si="19"/>
        <v>365</v>
      </c>
      <c r="C8343">
        <v>2</v>
      </c>
      <c r="E8343">
        <v>366</v>
      </c>
    </row>
    <row r="8344" spans="1:5" x14ac:dyDescent="0.25">
      <c r="A8344">
        <v>141</v>
      </c>
      <c r="B8344">
        <f t="shared" si="19"/>
        <v>365</v>
      </c>
      <c r="C8344">
        <v>5</v>
      </c>
      <c r="E8344" s="1">
        <v>366</v>
      </c>
    </row>
    <row r="8345" spans="1:5" x14ac:dyDescent="0.25">
      <c r="A8345">
        <v>142</v>
      </c>
      <c r="B8345">
        <f t="shared" si="19"/>
        <v>365</v>
      </c>
      <c r="C8345">
        <v>2</v>
      </c>
      <c r="E8345">
        <v>366</v>
      </c>
    </row>
    <row r="8346" spans="1:5" x14ac:dyDescent="0.25">
      <c r="A8346">
        <v>142</v>
      </c>
      <c r="B8346">
        <f t="shared" si="19"/>
        <v>365</v>
      </c>
      <c r="C8346">
        <v>1</v>
      </c>
      <c r="E8346" s="1">
        <v>366</v>
      </c>
    </row>
    <row r="8347" spans="1:5" x14ac:dyDescent="0.25">
      <c r="A8347">
        <v>162</v>
      </c>
      <c r="B8347">
        <f t="shared" si="19"/>
        <v>365</v>
      </c>
      <c r="C8347">
        <v>4</v>
      </c>
      <c r="E8347">
        <v>366</v>
      </c>
    </row>
    <row r="8348" spans="1:5" x14ac:dyDescent="0.25">
      <c r="A8348">
        <v>182</v>
      </c>
      <c r="B8348">
        <f t="shared" si="19"/>
        <v>365</v>
      </c>
      <c r="C8348">
        <v>5</v>
      </c>
      <c r="E8348" s="1">
        <v>366</v>
      </c>
    </row>
    <row r="8349" spans="1:5" x14ac:dyDescent="0.25">
      <c r="A8349">
        <v>184</v>
      </c>
      <c r="B8349">
        <f t="shared" si="19"/>
        <v>365</v>
      </c>
      <c r="C8349">
        <v>5</v>
      </c>
      <c r="E8349">
        <v>366</v>
      </c>
    </row>
    <row r="8350" spans="1:5" x14ac:dyDescent="0.25">
      <c r="A8350">
        <v>193</v>
      </c>
      <c r="B8350">
        <f t="shared" si="19"/>
        <v>365</v>
      </c>
      <c r="C8350">
        <v>1</v>
      </c>
      <c r="E8350" s="1">
        <v>366</v>
      </c>
    </row>
    <row r="8351" spans="1:5" x14ac:dyDescent="0.25">
      <c r="A8351">
        <v>201</v>
      </c>
      <c r="B8351">
        <f t="shared" si="19"/>
        <v>365</v>
      </c>
      <c r="C8351">
        <v>4</v>
      </c>
      <c r="E8351">
        <v>366</v>
      </c>
    </row>
    <row r="8352" spans="1:5" x14ac:dyDescent="0.25">
      <c r="A8352">
        <v>229</v>
      </c>
      <c r="B8352">
        <f t="shared" si="19"/>
        <v>365</v>
      </c>
      <c r="C8352">
        <v>2</v>
      </c>
      <c r="E8352" s="1">
        <v>366</v>
      </c>
    </row>
    <row r="8353" spans="1:5" x14ac:dyDescent="0.25">
      <c r="A8353">
        <v>244</v>
      </c>
      <c r="B8353">
        <f t="shared" si="19"/>
        <v>365</v>
      </c>
      <c r="C8353">
        <v>5</v>
      </c>
      <c r="E8353">
        <v>366</v>
      </c>
    </row>
    <row r="8354" spans="1:5" x14ac:dyDescent="0.25">
      <c r="A8354">
        <v>254</v>
      </c>
      <c r="B8354">
        <f t="shared" si="19"/>
        <v>365</v>
      </c>
      <c r="C8354">
        <v>1</v>
      </c>
      <c r="E8354" s="1">
        <v>366</v>
      </c>
    </row>
    <row r="8355" spans="1:5" x14ac:dyDescent="0.25">
      <c r="A8355">
        <v>266</v>
      </c>
      <c r="B8355">
        <f t="shared" si="19"/>
        <v>365</v>
      </c>
      <c r="C8355">
        <v>4</v>
      </c>
      <c r="E8355">
        <v>366</v>
      </c>
    </row>
    <row r="8356" spans="1:5" x14ac:dyDescent="0.25">
      <c r="A8356">
        <v>275</v>
      </c>
      <c r="B8356">
        <f t="shared" si="19"/>
        <v>365</v>
      </c>
      <c r="C8356">
        <v>1</v>
      </c>
      <c r="E8356" s="1">
        <v>366</v>
      </c>
    </row>
    <row r="8357" spans="1:5" x14ac:dyDescent="0.25">
      <c r="A8357">
        <v>276</v>
      </c>
      <c r="B8357">
        <f t="shared" si="19"/>
        <v>365</v>
      </c>
      <c r="C8357">
        <v>2</v>
      </c>
      <c r="E8357">
        <v>366</v>
      </c>
    </row>
    <row r="8358" spans="1:5" x14ac:dyDescent="0.25">
      <c r="A8358">
        <v>281</v>
      </c>
      <c r="B8358">
        <f t="shared" si="19"/>
        <v>365</v>
      </c>
      <c r="C8358">
        <v>3</v>
      </c>
      <c r="E8358" s="1">
        <v>366</v>
      </c>
    </row>
    <row r="8359" spans="1:5" x14ac:dyDescent="0.25">
      <c r="A8359">
        <v>282</v>
      </c>
      <c r="B8359">
        <f t="shared" si="19"/>
        <v>365</v>
      </c>
      <c r="C8359">
        <v>2</v>
      </c>
      <c r="E8359">
        <v>366</v>
      </c>
    </row>
    <row r="8360" spans="1:5" x14ac:dyDescent="0.25">
      <c r="A8360">
        <v>2</v>
      </c>
      <c r="B8360">
        <f t="shared" si="19"/>
        <v>366</v>
      </c>
      <c r="C8360">
        <v>2</v>
      </c>
      <c r="E8360" s="1">
        <v>367</v>
      </c>
    </row>
    <row r="8361" spans="1:5" x14ac:dyDescent="0.25">
      <c r="A8361">
        <v>15</v>
      </c>
      <c r="B8361">
        <f t="shared" si="19"/>
        <v>366</v>
      </c>
      <c r="C8361">
        <v>5</v>
      </c>
      <c r="E8361">
        <v>367</v>
      </c>
    </row>
    <row r="8362" spans="1:5" x14ac:dyDescent="0.25">
      <c r="A8362">
        <v>32</v>
      </c>
      <c r="B8362">
        <f t="shared" si="19"/>
        <v>366</v>
      </c>
      <c r="C8362">
        <v>3</v>
      </c>
      <c r="E8362" s="1">
        <v>367</v>
      </c>
    </row>
    <row r="8363" spans="1:5" x14ac:dyDescent="0.25">
      <c r="A8363">
        <v>37</v>
      </c>
      <c r="B8363">
        <f t="shared" si="19"/>
        <v>366</v>
      </c>
      <c r="C8363">
        <v>3</v>
      </c>
      <c r="E8363">
        <v>367</v>
      </c>
    </row>
    <row r="8364" spans="1:5" x14ac:dyDescent="0.25">
      <c r="A8364">
        <v>63</v>
      </c>
      <c r="B8364">
        <f t="shared" si="19"/>
        <v>366</v>
      </c>
      <c r="C8364">
        <v>2</v>
      </c>
      <c r="E8364" s="1">
        <v>367</v>
      </c>
    </row>
    <row r="8365" spans="1:5" x14ac:dyDescent="0.25">
      <c r="A8365">
        <v>64</v>
      </c>
      <c r="B8365">
        <f t="shared" si="19"/>
        <v>366</v>
      </c>
      <c r="C8365">
        <v>2</v>
      </c>
      <c r="E8365">
        <v>367</v>
      </c>
    </row>
    <row r="8366" spans="1:5" x14ac:dyDescent="0.25">
      <c r="A8366">
        <v>73</v>
      </c>
      <c r="B8366">
        <f t="shared" si="19"/>
        <v>366</v>
      </c>
      <c r="C8366">
        <v>3</v>
      </c>
      <c r="E8366" s="1">
        <v>367</v>
      </c>
    </row>
    <row r="8367" spans="1:5" x14ac:dyDescent="0.25">
      <c r="A8367">
        <v>76</v>
      </c>
      <c r="B8367">
        <f t="shared" si="19"/>
        <v>366</v>
      </c>
      <c r="C8367">
        <v>1</v>
      </c>
      <c r="E8367">
        <v>367</v>
      </c>
    </row>
    <row r="8368" spans="1:5" x14ac:dyDescent="0.25">
      <c r="A8368">
        <v>93</v>
      </c>
      <c r="B8368">
        <f t="shared" si="19"/>
        <v>366</v>
      </c>
      <c r="C8368">
        <v>1</v>
      </c>
      <c r="E8368" s="1">
        <v>367</v>
      </c>
    </row>
    <row r="8369" spans="1:5" x14ac:dyDescent="0.25">
      <c r="A8369">
        <v>97</v>
      </c>
      <c r="B8369">
        <f t="shared" si="19"/>
        <v>366</v>
      </c>
      <c r="C8369">
        <v>4</v>
      </c>
      <c r="E8369">
        <v>367</v>
      </c>
    </row>
    <row r="8370" spans="1:5" x14ac:dyDescent="0.25">
      <c r="A8370">
        <v>104</v>
      </c>
      <c r="B8370">
        <f t="shared" si="19"/>
        <v>366</v>
      </c>
      <c r="C8370">
        <v>2</v>
      </c>
      <c r="E8370" s="1">
        <v>367</v>
      </c>
    </row>
    <row r="8371" spans="1:5" x14ac:dyDescent="0.25">
      <c r="A8371">
        <v>108</v>
      </c>
      <c r="B8371">
        <f t="shared" si="19"/>
        <v>366</v>
      </c>
      <c r="C8371">
        <v>3</v>
      </c>
      <c r="E8371">
        <v>367</v>
      </c>
    </row>
    <row r="8372" spans="1:5" x14ac:dyDescent="0.25">
      <c r="A8372">
        <v>114</v>
      </c>
      <c r="B8372">
        <f t="shared" si="19"/>
        <v>366</v>
      </c>
      <c r="C8372">
        <v>2</v>
      </c>
      <c r="E8372" s="1">
        <v>367</v>
      </c>
    </row>
    <row r="8373" spans="1:5" x14ac:dyDescent="0.25">
      <c r="A8373">
        <v>132</v>
      </c>
      <c r="B8373">
        <f t="shared" si="19"/>
        <v>366</v>
      </c>
      <c r="C8373">
        <v>5</v>
      </c>
      <c r="E8373">
        <v>367</v>
      </c>
    </row>
    <row r="8374" spans="1:5" x14ac:dyDescent="0.25">
      <c r="A8374">
        <v>144</v>
      </c>
      <c r="B8374">
        <f t="shared" si="19"/>
        <v>366</v>
      </c>
      <c r="C8374">
        <v>5</v>
      </c>
      <c r="E8374" s="1">
        <v>367</v>
      </c>
    </row>
    <row r="8375" spans="1:5" x14ac:dyDescent="0.25">
      <c r="A8375">
        <v>160</v>
      </c>
      <c r="B8375">
        <f t="shared" si="19"/>
        <v>366</v>
      </c>
      <c r="C8375">
        <v>1</v>
      </c>
      <c r="E8375">
        <v>367</v>
      </c>
    </row>
    <row r="8376" spans="1:5" x14ac:dyDescent="0.25">
      <c r="A8376">
        <v>162</v>
      </c>
      <c r="B8376">
        <f t="shared" si="19"/>
        <v>366</v>
      </c>
      <c r="C8376">
        <v>2</v>
      </c>
      <c r="E8376" s="1">
        <v>367</v>
      </c>
    </row>
    <row r="8377" spans="1:5" x14ac:dyDescent="0.25">
      <c r="A8377">
        <v>165</v>
      </c>
      <c r="B8377">
        <f t="shared" si="19"/>
        <v>366</v>
      </c>
      <c r="C8377">
        <v>4</v>
      </c>
      <c r="E8377">
        <v>367</v>
      </c>
    </row>
    <row r="8378" spans="1:5" x14ac:dyDescent="0.25">
      <c r="A8378">
        <v>173</v>
      </c>
      <c r="B8378">
        <f t="shared" si="19"/>
        <v>366</v>
      </c>
      <c r="C8378">
        <v>4</v>
      </c>
      <c r="E8378" s="1">
        <v>367</v>
      </c>
    </row>
    <row r="8379" spans="1:5" x14ac:dyDescent="0.25">
      <c r="A8379">
        <v>173</v>
      </c>
      <c r="B8379">
        <f t="shared" si="19"/>
        <v>366</v>
      </c>
      <c r="C8379">
        <v>2</v>
      </c>
      <c r="E8379">
        <v>367</v>
      </c>
    </row>
    <row r="8380" spans="1:5" x14ac:dyDescent="0.25">
      <c r="A8380">
        <v>175</v>
      </c>
      <c r="B8380">
        <f t="shared" si="19"/>
        <v>366</v>
      </c>
      <c r="C8380">
        <v>4</v>
      </c>
      <c r="E8380" s="1">
        <v>367</v>
      </c>
    </row>
    <row r="8381" spans="1:5" x14ac:dyDescent="0.25">
      <c r="A8381">
        <v>186</v>
      </c>
      <c r="B8381">
        <f t="shared" si="19"/>
        <v>366</v>
      </c>
      <c r="C8381">
        <v>5</v>
      </c>
      <c r="E8381">
        <v>367</v>
      </c>
    </row>
    <row r="8382" spans="1:5" x14ac:dyDescent="0.25">
      <c r="A8382">
        <v>194</v>
      </c>
      <c r="B8382">
        <f t="shared" si="19"/>
        <v>366</v>
      </c>
      <c r="C8382">
        <v>5</v>
      </c>
      <c r="E8382" s="1">
        <v>367</v>
      </c>
    </row>
    <row r="8383" spans="1:5" x14ac:dyDescent="0.25">
      <c r="A8383">
        <v>204</v>
      </c>
      <c r="B8383">
        <f t="shared" si="19"/>
        <v>366</v>
      </c>
      <c r="C8383">
        <v>5</v>
      </c>
      <c r="E8383">
        <v>367</v>
      </c>
    </row>
    <row r="8384" spans="1:5" x14ac:dyDescent="0.25">
      <c r="A8384">
        <v>205</v>
      </c>
      <c r="B8384">
        <f t="shared" si="19"/>
        <v>366</v>
      </c>
      <c r="C8384">
        <v>5</v>
      </c>
      <c r="E8384" s="1">
        <v>367</v>
      </c>
    </row>
    <row r="8385" spans="1:5" x14ac:dyDescent="0.25">
      <c r="A8385">
        <v>231</v>
      </c>
      <c r="B8385">
        <f t="shared" si="19"/>
        <v>366</v>
      </c>
      <c r="C8385">
        <v>4</v>
      </c>
      <c r="E8385">
        <v>367</v>
      </c>
    </row>
    <row r="8386" spans="1:5" x14ac:dyDescent="0.25">
      <c r="A8386">
        <v>232</v>
      </c>
      <c r="B8386">
        <f t="shared" si="19"/>
        <v>366</v>
      </c>
      <c r="C8386">
        <v>5</v>
      </c>
      <c r="E8386" s="1">
        <v>367</v>
      </c>
    </row>
    <row r="8387" spans="1:5" x14ac:dyDescent="0.25">
      <c r="A8387">
        <v>240</v>
      </c>
      <c r="B8387">
        <f t="shared" si="19"/>
        <v>366</v>
      </c>
      <c r="C8387">
        <v>4</v>
      </c>
      <c r="E8387">
        <v>367</v>
      </c>
    </row>
    <row r="8388" spans="1:5" x14ac:dyDescent="0.25">
      <c r="A8388">
        <v>264</v>
      </c>
      <c r="B8388">
        <f t="shared" si="19"/>
        <v>366</v>
      </c>
      <c r="C8388">
        <v>3</v>
      </c>
      <c r="E8388" s="1">
        <v>367</v>
      </c>
    </row>
    <row r="8389" spans="1:5" x14ac:dyDescent="0.25">
      <c r="A8389">
        <v>266</v>
      </c>
      <c r="B8389">
        <f t="shared" si="19"/>
        <v>366</v>
      </c>
      <c r="C8389">
        <v>4</v>
      </c>
      <c r="E8389">
        <v>367</v>
      </c>
    </row>
    <row r="8390" spans="1:5" x14ac:dyDescent="0.25">
      <c r="A8390">
        <v>289</v>
      </c>
      <c r="B8390">
        <f t="shared" si="19"/>
        <v>366</v>
      </c>
      <c r="C8390">
        <v>2</v>
      </c>
      <c r="E8390" s="1">
        <v>367</v>
      </c>
    </row>
    <row r="8391" spans="1:5" x14ac:dyDescent="0.25">
      <c r="A8391">
        <v>5</v>
      </c>
      <c r="B8391">
        <f t="shared" si="19"/>
        <v>367</v>
      </c>
      <c r="C8391">
        <v>3</v>
      </c>
      <c r="E8391">
        <v>368</v>
      </c>
    </row>
    <row r="8392" spans="1:5" x14ac:dyDescent="0.25">
      <c r="A8392">
        <v>8</v>
      </c>
      <c r="B8392">
        <f t="shared" si="19"/>
        <v>367</v>
      </c>
      <c r="C8392">
        <v>2</v>
      </c>
      <c r="E8392" s="1">
        <v>368</v>
      </c>
    </row>
    <row r="8393" spans="1:5" x14ac:dyDescent="0.25">
      <c r="A8393">
        <v>14</v>
      </c>
      <c r="B8393">
        <f t="shared" si="19"/>
        <v>367</v>
      </c>
      <c r="C8393">
        <v>3</v>
      </c>
      <c r="E8393">
        <v>368</v>
      </c>
    </row>
    <row r="8394" spans="1:5" x14ac:dyDescent="0.25">
      <c r="A8394">
        <v>25</v>
      </c>
      <c r="B8394">
        <f t="shared" si="19"/>
        <v>367</v>
      </c>
      <c r="C8394">
        <v>3</v>
      </c>
      <c r="E8394" s="1">
        <v>368</v>
      </c>
    </row>
    <row r="8395" spans="1:5" x14ac:dyDescent="0.25">
      <c r="A8395">
        <v>44</v>
      </c>
      <c r="B8395">
        <f t="shared" si="19"/>
        <v>367</v>
      </c>
      <c r="C8395">
        <v>4</v>
      </c>
      <c r="E8395">
        <v>368</v>
      </c>
    </row>
    <row r="8396" spans="1:5" x14ac:dyDescent="0.25">
      <c r="A8396">
        <v>49</v>
      </c>
      <c r="B8396">
        <f t="shared" si="19"/>
        <v>367</v>
      </c>
      <c r="C8396">
        <v>1</v>
      </c>
      <c r="E8396" s="1">
        <v>368</v>
      </c>
    </row>
    <row r="8397" spans="1:5" x14ac:dyDescent="0.25">
      <c r="A8397">
        <v>65</v>
      </c>
      <c r="B8397">
        <f t="shared" si="19"/>
        <v>367</v>
      </c>
      <c r="C8397">
        <v>4</v>
      </c>
      <c r="E8397">
        <v>368</v>
      </c>
    </row>
    <row r="8398" spans="1:5" x14ac:dyDescent="0.25">
      <c r="A8398">
        <v>78</v>
      </c>
      <c r="B8398">
        <f t="shared" ref="B8398:B8461" si="20">E8398-1</f>
        <v>367</v>
      </c>
      <c r="C8398">
        <v>4</v>
      </c>
      <c r="E8398" s="1">
        <v>368</v>
      </c>
    </row>
    <row r="8399" spans="1:5" x14ac:dyDescent="0.25">
      <c r="A8399">
        <v>82</v>
      </c>
      <c r="B8399">
        <f t="shared" si="20"/>
        <v>367</v>
      </c>
      <c r="C8399">
        <v>4</v>
      </c>
      <c r="E8399">
        <v>368</v>
      </c>
    </row>
    <row r="8400" spans="1:5" x14ac:dyDescent="0.25">
      <c r="A8400">
        <v>84</v>
      </c>
      <c r="B8400">
        <f t="shared" si="20"/>
        <v>367</v>
      </c>
      <c r="C8400">
        <v>2</v>
      </c>
      <c r="E8400" s="1">
        <v>368</v>
      </c>
    </row>
    <row r="8401" spans="1:5" x14ac:dyDescent="0.25">
      <c r="A8401">
        <v>107</v>
      </c>
      <c r="B8401">
        <f t="shared" si="20"/>
        <v>367</v>
      </c>
      <c r="C8401">
        <v>2</v>
      </c>
      <c r="E8401">
        <v>368</v>
      </c>
    </row>
    <row r="8402" spans="1:5" x14ac:dyDescent="0.25">
      <c r="A8402">
        <v>117</v>
      </c>
      <c r="B8402">
        <f t="shared" si="20"/>
        <v>367</v>
      </c>
      <c r="C8402">
        <v>2</v>
      </c>
      <c r="E8402" s="1">
        <v>368</v>
      </c>
    </row>
    <row r="8403" spans="1:5" x14ac:dyDescent="0.25">
      <c r="A8403">
        <v>130</v>
      </c>
      <c r="B8403">
        <f t="shared" si="20"/>
        <v>367</v>
      </c>
      <c r="C8403">
        <v>5</v>
      </c>
      <c r="E8403">
        <v>368</v>
      </c>
    </row>
    <row r="8404" spans="1:5" x14ac:dyDescent="0.25">
      <c r="A8404">
        <v>132</v>
      </c>
      <c r="B8404">
        <f t="shared" si="20"/>
        <v>367</v>
      </c>
      <c r="C8404">
        <v>3</v>
      </c>
      <c r="E8404" s="1">
        <v>368</v>
      </c>
    </row>
    <row r="8405" spans="1:5" x14ac:dyDescent="0.25">
      <c r="A8405">
        <v>135</v>
      </c>
      <c r="B8405">
        <f t="shared" si="20"/>
        <v>367</v>
      </c>
      <c r="C8405">
        <v>3</v>
      </c>
      <c r="E8405">
        <v>368</v>
      </c>
    </row>
    <row r="8406" spans="1:5" x14ac:dyDescent="0.25">
      <c r="A8406">
        <v>135</v>
      </c>
      <c r="B8406">
        <f t="shared" si="20"/>
        <v>367</v>
      </c>
      <c r="C8406">
        <v>5</v>
      </c>
      <c r="E8406" s="1">
        <v>368</v>
      </c>
    </row>
    <row r="8407" spans="1:5" x14ac:dyDescent="0.25">
      <c r="A8407">
        <v>144</v>
      </c>
      <c r="B8407">
        <f t="shared" si="20"/>
        <v>367</v>
      </c>
      <c r="C8407">
        <v>3</v>
      </c>
      <c r="E8407">
        <v>368</v>
      </c>
    </row>
    <row r="8408" spans="1:5" x14ac:dyDescent="0.25">
      <c r="A8408">
        <v>144</v>
      </c>
      <c r="B8408">
        <f t="shared" si="20"/>
        <v>367</v>
      </c>
      <c r="C8408">
        <v>4</v>
      </c>
      <c r="E8408" s="1">
        <v>368</v>
      </c>
    </row>
    <row r="8409" spans="1:5" x14ac:dyDescent="0.25">
      <c r="A8409">
        <v>157</v>
      </c>
      <c r="B8409">
        <f t="shared" si="20"/>
        <v>367</v>
      </c>
      <c r="C8409">
        <v>5</v>
      </c>
      <c r="E8409">
        <v>368</v>
      </c>
    </row>
    <row r="8410" spans="1:5" x14ac:dyDescent="0.25">
      <c r="A8410">
        <v>170</v>
      </c>
      <c r="B8410">
        <f t="shared" si="20"/>
        <v>367</v>
      </c>
      <c r="C8410">
        <v>2</v>
      </c>
      <c r="E8410" s="1">
        <v>368</v>
      </c>
    </row>
    <row r="8411" spans="1:5" x14ac:dyDescent="0.25">
      <c r="A8411">
        <v>178</v>
      </c>
      <c r="B8411">
        <f t="shared" si="20"/>
        <v>367</v>
      </c>
      <c r="C8411">
        <v>4</v>
      </c>
      <c r="E8411">
        <v>368</v>
      </c>
    </row>
    <row r="8412" spans="1:5" x14ac:dyDescent="0.25">
      <c r="A8412">
        <v>187</v>
      </c>
      <c r="B8412">
        <f t="shared" si="20"/>
        <v>367</v>
      </c>
      <c r="C8412">
        <v>3</v>
      </c>
      <c r="E8412" s="1">
        <v>368</v>
      </c>
    </row>
    <row r="8413" spans="1:5" x14ac:dyDescent="0.25">
      <c r="A8413">
        <v>191</v>
      </c>
      <c r="B8413">
        <f t="shared" si="20"/>
        <v>367</v>
      </c>
      <c r="C8413">
        <v>1</v>
      </c>
      <c r="E8413">
        <v>368</v>
      </c>
    </row>
    <row r="8414" spans="1:5" x14ac:dyDescent="0.25">
      <c r="A8414">
        <v>197</v>
      </c>
      <c r="B8414">
        <f t="shared" si="20"/>
        <v>367</v>
      </c>
      <c r="C8414">
        <v>3</v>
      </c>
      <c r="E8414" s="1">
        <v>368</v>
      </c>
    </row>
    <row r="8415" spans="1:5" x14ac:dyDescent="0.25">
      <c r="A8415">
        <v>199</v>
      </c>
      <c r="B8415">
        <f t="shared" si="20"/>
        <v>367</v>
      </c>
      <c r="C8415">
        <v>4</v>
      </c>
      <c r="E8415">
        <v>368</v>
      </c>
    </row>
    <row r="8416" spans="1:5" x14ac:dyDescent="0.25">
      <c r="A8416">
        <v>249</v>
      </c>
      <c r="B8416">
        <f t="shared" si="20"/>
        <v>367</v>
      </c>
      <c r="C8416">
        <v>3</v>
      </c>
      <c r="E8416" s="1">
        <v>368</v>
      </c>
    </row>
    <row r="8417" spans="1:5" x14ac:dyDescent="0.25">
      <c r="A8417">
        <v>258</v>
      </c>
      <c r="B8417">
        <f t="shared" si="20"/>
        <v>367</v>
      </c>
      <c r="C8417">
        <v>1</v>
      </c>
      <c r="E8417">
        <v>368</v>
      </c>
    </row>
    <row r="8418" spans="1:5" x14ac:dyDescent="0.25">
      <c r="A8418">
        <v>258</v>
      </c>
      <c r="B8418">
        <f t="shared" si="20"/>
        <v>367</v>
      </c>
      <c r="C8418">
        <v>1</v>
      </c>
      <c r="E8418" s="1">
        <v>368</v>
      </c>
    </row>
    <row r="8419" spans="1:5" x14ac:dyDescent="0.25">
      <c r="A8419">
        <v>278</v>
      </c>
      <c r="B8419">
        <f t="shared" si="20"/>
        <v>367</v>
      </c>
      <c r="C8419">
        <v>2</v>
      </c>
      <c r="E8419">
        <v>368</v>
      </c>
    </row>
    <row r="8420" spans="1:5" x14ac:dyDescent="0.25">
      <c r="A8420">
        <v>281</v>
      </c>
      <c r="B8420">
        <f t="shared" si="20"/>
        <v>367</v>
      </c>
      <c r="C8420">
        <v>5</v>
      </c>
      <c r="E8420" s="1">
        <v>368</v>
      </c>
    </row>
    <row r="8421" spans="1:5" x14ac:dyDescent="0.25">
      <c r="A8421">
        <v>283</v>
      </c>
      <c r="B8421">
        <f t="shared" si="20"/>
        <v>367</v>
      </c>
      <c r="C8421">
        <v>3</v>
      </c>
      <c r="E8421">
        <v>368</v>
      </c>
    </row>
    <row r="8422" spans="1:5" x14ac:dyDescent="0.25">
      <c r="A8422">
        <v>12</v>
      </c>
      <c r="B8422">
        <f t="shared" si="20"/>
        <v>368</v>
      </c>
      <c r="C8422">
        <v>5</v>
      </c>
      <c r="E8422" s="1">
        <v>369</v>
      </c>
    </row>
    <row r="8423" spans="1:5" x14ac:dyDescent="0.25">
      <c r="A8423">
        <v>15</v>
      </c>
      <c r="B8423">
        <f t="shared" si="20"/>
        <v>368</v>
      </c>
      <c r="C8423">
        <v>4</v>
      </c>
      <c r="E8423">
        <v>369</v>
      </c>
    </row>
    <row r="8424" spans="1:5" x14ac:dyDescent="0.25">
      <c r="A8424">
        <v>26</v>
      </c>
      <c r="B8424">
        <f t="shared" si="20"/>
        <v>368</v>
      </c>
      <c r="C8424">
        <v>3</v>
      </c>
      <c r="E8424" s="1">
        <v>369</v>
      </c>
    </row>
    <row r="8425" spans="1:5" x14ac:dyDescent="0.25">
      <c r="A8425">
        <v>27</v>
      </c>
      <c r="B8425">
        <f t="shared" si="20"/>
        <v>368</v>
      </c>
      <c r="C8425">
        <v>4</v>
      </c>
      <c r="E8425">
        <v>369</v>
      </c>
    </row>
    <row r="8426" spans="1:5" x14ac:dyDescent="0.25">
      <c r="A8426">
        <v>33</v>
      </c>
      <c r="B8426">
        <f t="shared" si="20"/>
        <v>368</v>
      </c>
      <c r="C8426">
        <v>3</v>
      </c>
      <c r="E8426" s="1">
        <v>369</v>
      </c>
    </row>
    <row r="8427" spans="1:5" x14ac:dyDescent="0.25">
      <c r="A8427">
        <v>54</v>
      </c>
      <c r="B8427">
        <f t="shared" si="20"/>
        <v>368</v>
      </c>
      <c r="C8427">
        <v>2</v>
      </c>
      <c r="E8427">
        <v>369</v>
      </c>
    </row>
    <row r="8428" spans="1:5" x14ac:dyDescent="0.25">
      <c r="A8428">
        <v>56</v>
      </c>
      <c r="B8428">
        <f t="shared" si="20"/>
        <v>368</v>
      </c>
      <c r="C8428">
        <v>2</v>
      </c>
      <c r="E8428" s="1">
        <v>369</v>
      </c>
    </row>
    <row r="8429" spans="1:5" x14ac:dyDescent="0.25">
      <c r="A8429">
        <v>59</v>
      </c>
      <c r="B8429">
        <f t="shared" si="20"/>
        <v>368</v>
      </c>
      <c r="C8429">
        <v>1</v>
      </c>
      <c r="E8429">
        <v>369</v>
      </c>
    </row>
    <row r="8430" spans="1:5" x14ac:dyDescent="0.25">
      <c r="A8430">
        <v>95</v>
      </c>
      <c r="B8430">
        <f t="shared" si="20"/>
        <v>368</v>
      </c>
      <c r="C8430">
        <v>2</v>
      </c>
      <c r="E8430" s="1">
        <v>369</v>
      </c>
    </row>
    <row r="8431" spans="1:5" x14ac:dyDescent="0.25">
      <c r="A8431">
        <v>115</v>
      </c>
      <c r="B8431">
        <f t="shared" si="20"/>
        <v>368</v>
      </c>
      <c r="C8431">
        <v>4</v>
      </c>
      <c r="E8431">
        <v>369</v>
      </c>
    </row>
    <row r="8432" spans="1:5" x14ac:dyDescent="0.25">
      <c r="A8432">
        <v>117</v>
      </c>
      <c r="B8432">
        <f t="shared" si="20"/>
        <v>368</v>
      </c>
      <c r="C8432">
        <v>4</v>
      </c>
      <c r="E8432" s="1">
        <v>369</v>
      </c>
    </row>
    <row r="8433" spans="1:5" x14ac:dyDescent="0.25">
      <c r="A8433">
        <v>126</v>
      </c>
      <c r="B8433">
        <f t="shared" si="20"/>
        <v>368</v>
      </c>
      <c r="C8433">
        <v>4</v>
      </c>
      <c r="E8433">
        <v>369</v>
      </c>
    </row>
    <row r="8434" spans="1:5" x14ac:dyDescent="0.25">
      <c r="A8434">
        <v>126</v>
      </c>
      <c r="B8434">
        <f t="shared" si="20"/>
        <v>368</v>
      </c>
      <c r="C8434">
        <v>3</v>
      </c>
      <c r="E8434" s="1">
        <v>369</v>
      </c>
    </row>
    <row r="8435" spans="1:5" x14ac:dyDescent="0.25">
      <c r="A8435">
        <v>131</v>
      </c>
      <c r="B8435">
        <f t="shared" si="20"/>
        <v>368</v>
      </c>
      <c r="C8435">
        <v>2</v>
      </c>
      <c r="E8435">
        <v>369</v>
      </c>
    </row>
    <row r="8436" spans="1:5" x14ac:dyDescent="0.25">
      <c r="A8436">
        <v>145</v>
      </c>
      <c r="B8436">
        <f t="shared" si="20"/>
        <v>368</v>
      </c>
      <c r="C8436">
        <v>2</v>
      </c>
      <c r="E8436" s="1">
        <v>369</v>
      </c>
    </row>
    <row r="8437" spans="1:5" x14ac:dyDescent="0.25">
      <c r="A8437">
        <v>150</v>
      </c>
      <c r="B8437">
        <f t="shared" si="20"/>
        <v>368</v>
      </c>
      <c r="C8437">
        <v>2</v>
      </c>
      <c r="E8437">
        <v>369</v>
      </c>
    </row>
    <row r="8438" spans="1:5" x14ac:dyDescent="0.25">
      <c r="A8438">
        <v>152</v>
      </c>
      <c r="B8438">
        <f t="shared" si="20"/>
        <v>368</v>
      </c>
      <c r="C8438">
        <v>3</v>
      </c>
      <c r="E8438" s="1">
        <v>369</v>
      </c>
    </row>
    <row r="8439" spans="1:5" x14ac:dyDescent="0.25">
      <c r="A8439">
        <v>160</v>
      </c>
      <c r="B8439">
        <f t="shared" si="20"/>
        <v>368</v>
      </c>
      <c r="C8439">
        <v>1</v>
      </c>
      <c r="E8439">
        <v>369</v>
      </c>
    </row>
    <row r="8440" spans="1:5" x14ac:dyDescent="0.25">
      <c r="A8440">
        <v>170</v>
      </c>
      <c r="B8440">
        <f t="shared" si="20"/>
        <v>368</v>
      </c>
      <c r="C8440">
        <v>4</v>
      </c>
      <c r="E8440" s="1">
        <v>369</v>
      </c>
    </row>
    <row r="8441" spans="1:5" x14ac:dyDescent="0.25">
      <c r="A8441">
        <v>177</v>
      </c>
      <c r="B8441">
        <f t="shared" si="20"/>
        <v>368</v>
      </c>
      <c r="C8441">
        <v>2</v>
      </c>
      <c r="E8441">
        <v>369</v>
      </c>
    </row>
    <row r="8442" spans="1:5" x14ac:dyDescent="0.25">
      <c r="A8442">
        <v>184</v>
      </c>
      <c r="B8442">
        <f t="shared" si="20"/>
        <v>368</v>
      </c>
      <c r="C8442">
        <v>3</v>
      </c>
      <c r="E8442" s="1">
        <v>369</v>
      </c>
    </row>
    <row r="8443" spans="1:5" x14ac:dyDescent="0.25">
      <c r="A8443">
        <v>193</v>
      </c>
      <c r="B8443">
        <f t="shared" si="20"/>
        <v>368</v>
      </c>
      <c r="C8443">
        <v>4</v>
      </c>
      <c r="E8443">
        <v>369</v>
      </c>
    </row>
    <row r="8444" spans="1:5" x14ac:dyDescent="0.25">
      <c r="A8444">
        <v>194</v>
      </c>
      <c r="B8444">
        <f t="shared" si="20"/>
        <v>368</v>
      </c>
      <c r="C8444">
        <v>4</v>
      </c>
      <c r="E8444" s="1">
        <v>369</v>
      </c>
    </row>
    <row r="8445" spans="1:5" x14ac:dyDescent="0.25">
      <c r="A8445">
        <v>202</v>
      </c>
      <c r="B8445">
        <f t="shared" si="20"/>
        <v>368</v>
      </c>
      <c r="C8445">
        <v>5</v>
      </c>
      <c r="E8445">
        <v>369</v>
      </c>
    </row>
    <row r="8446" spans="1:5" x14ac:dyDescent="0.25">
      <c r="A8446">
        <v>220</v>
      </c>
      <c r="B8446">
        <f t="shared" si="20"/>
        <v>368</v>
      </c>
      <c r="C8446">
        <v>3</v>
      </c>
      <c r="E8446" s="1">
        <v>369</v>
      </c>
    </row>
    <row r="8447" spans="1:5" x14ac:dyDescent="0.25">
      <c r="A8447">
        <v>232</v>
      </c>
      <c r="B8447">
        <f t="shared" si="20"/>
        <v>368</v>
      </c>
      <c r="C8447">
        <v>1</v>
      </c>
      <c r="E8447">
        <v>369</v>
      </c>
    </row>
    <row r="8448" spans="1:5" x14ac:dyDescent="0.25">
      <c r="A8448">
        <v>250</v>
      </c>
      <c r="B8448">
        <f t="shared" si="20"/>
        <v>368</v>
      </c>
      <c r="C8448">
        <v>4</v>
      </c>
      <c r="E8448" s="1">
        <v>369</v>
      </c>
    </row>
    <row r="8449" spans="1:5" x14ac:dyDescent="0.25">
      <c r="A8449">
        <v>250</v>
      </c>
      <c r="B8449">
        <f t="shared" si="20"/>
        <v>368</v>
      </c>
      <c r="C8449">
        <v>3</v>
      </c>
      <c r="E8449">
        <v>369</v>
      </c>
    </row>
    <row r="8450" spans="1:5" x14ac:dyDescent="0.25">
      <c r="A8450">
        <v>267</v>
      </c>
      <c r="B8450">
        <f t="shared" si="20"/>
        <v>368</v>
      </c>
      <c r="C8450">
        <v>2</v>
      </c>
      <c r="E8450" s="1">
        <v>369</v>
      </c>
    </row>
    <row r="8451" spans="1:5" x14ac:dyDescent="0.25">
      <c r="A8451">
        <v>289</v>
      </c>
      <c r="B8451">
        <f t="shared" si="20"/>
        <v>368</v>
      </c>
      <c r="C8451">
        <v>5</v>
      </c>
      <c r="E8451">
        <v>369</v>
      </c>
    </row>
    <row r="8452" spans="1:5" x14ac:dyDescent="0.25">
      <c r="A8452">
        <v>293</v>
      </c>
      <c r="B8452">
        <f t="shared" si="20"/>
        <v>368</v>
      </c>
      <c r="C8452">
        <v>4</v>
      </c>
      <c r="E8452" s="1">
        <v>369</v>
      </c>
    </row>
    <row r="8453" spans="1:5" x14ac:dyDescent="0.25">
      <c r="A8453">
        <v>62</v>
      </c>
      <c r="B8453">
        <f t="shared" si="20"/>
        <v>369</v>
      </c>
      <c r="C8453">
        <v>1</v>
      </c>
      <c r="E8453">
        <v>370</v>
      </c>
    </row>
    <row r="8454" spans="1:5" x14ac:dyDescent="0.25">
      <c r="A8454">
        <v>65</v>
      </c>
      <c r="B8454">
        <f t="shared" si="20"/>
        <v>369</v>
      </c>
      <c r="C8454">
        <v>1</v>
      </c>
      <c r="E8454" s="1">
        <v>370</v>
      </c>
    </row>
    <row r="8455" spans="1:5" x14ac:dyDescent="0.25">
      <c r="A8455">
        <v>72</v>
      </c>
      <c r="B8455">
        <f t="shared" si="20"/>
        <v>369</v>
      </c>
      <c r="C8455">
        <v>1</v>
      </c>
      <c r="E8455">
        <v>370</v>
      </c>
    </row>
    <row r="8456" spans="1:5" x14ac:dyDescent="0.25">
      <c r="A8456">
        <v>92</v>
      </c>
      <c r="B8456">
        <f t="shared" si="20"/>
        <v>369</v>
      </c>
      <c r="C8456">
        <v>2</v>
      </c>
      <c r="E8456" s="1">
        <v>370</v>
      </c>
    </row>
    <row r="8457" spans="1:5" x14ac:dyDescent="0.25">
      <c r="A8457">
        <v>93</v>
      </c>
      <c r="B8457">
        <f t="shared" si="20"/>
        <v>369</v>
      </c>
      <c r="C8457">
        <v>2</v>
      </c>
      <c r="E8457">
        <v>370</v>
      </c>
    </row>
    <row r="8458" spans="1:5" x14ac:dyDescent="0.25">
      <c r="A8458">
        <v>133</v>
      </c>
      <c r="B8458">
        <f t="shared" si="20"/>
        <v>369</v>
      </c>
      <c r="C8458">
        <v>3</v>
      </c>
      <c r="E8458" s="1">
        <v>370</v>
      </c>
    </row>
    <row r="8459" spans="1:5" x14ac:dyDescent="0.25">
      <c r="A8459">
        <v>137</v>
      </c>
      <c r="B8459">
        <f t="shared" si="20"/>
        <v>369</v>
      </c>
      <c r="C8459">
        <v>5</v>
      </c>
      <c r="E8459">
        <v>370</v>
      </c>
    </row>
    <row r="8460" spans="1:5" x14ac:dyDescent="0.25">
      <c r="A8460">
        <v>192</v>
      </c>
      <c r="B8460">
        <f t="shared" si="20"/>
        <v>369</v>
      </c>
      <c r="C8460">
        <v>3</v>
      </c>
      <c r="E8460" s="1">
        <v>370</v>
      </c>
    </row>
    <row r="8461" spans="1:5" x14ac:dyDescent="0.25">
      <c r="A8461">
        <v>194</v>
      </c>
      <c r="B8461">
        <f t="shared" si="20"/>
        <v>369</v>
      </c>
      <c r="C8461">
        <v>5</v>
      </c>
      <c r="E8461">
        <v>370</v>
      </c>
    </row>
    <row r="8462" spans="1:5" x14ac:dyDescent="0.25">
      <c r="A8462">
        <v>202</v>
      </c>
      <c r="B8462">
        <f t="shared" ref="B8462:B8525" si="21">E8462-1</f>
        <v>369</v>
      </c>
      <c r="C8462">
        <v>2</v>
      </c>
      <c r="E8462" s="1">
        <v>370</v>
      </c>
    </row>
    <row r="8463" spans="1:5" x14ac:dyDescent="0.25">
      <c r="A8463">
        <v>212</v>
      </c>
      <c r="B8463">
        <f t="shared" si="21"/>
        <v>369</v>
      </c>
      <c r="C8463">
        <v>5</v>
      </c>
      <c r="E8463">
        <v>370</v>
      </c>
    </row>
    <row r="8464" spans="1:5" x14ac:dyDescent="0.25">
      <c r="A8464">
        <v>266</v>
      </c>
      <c r="B8464">
        <f t="shared" si="21"/>
        <v>369</v>
      </c>
      <c r="C8464">
        <v>5</v>
      </c>
      <c r="E8464" s="1">
        <v>370</v>
      </c>
    </row>
    <row r="8465" spans="1:5" x14ac:dyDescent="0.25">
      <c r="A8465">
        <v>276</v>
      </c>
      <c r="B8465">
        <f t="shared" si="21"/>
        <v>369</v>
      </c>
      <c r="C8465">
        <v>2</v>
      </c>
      <c r="E8465">
        <v>370</v>
      </c>
    </row>
    <row r="8466" spans="1:5" x14ac:dyDescent="0.25">
      <c r="A8466">
        <v>292</v>
      </c>
      <c r="B8466">
        <f t="shared" si="21"/>
        <v>369</v>
      </c>
      <c r="C8466">
        <v>2</v>
      </c>
      <c r="E8466" s="1">
        <v>370</v>
      </c>
    </row>
    <row r="8467" spans="1:5" x14ac:dyDescent="0.25">
      <c r="A8467">
        <v>292</v>
      </c>
      <c r="B8467">
        <f t="shared" si="21"/>
        <v>369</v>
      </c>
      <c r="C8467">
        <v>1</v>
      </c>
      <c r="E8467">
        <v>370</v>
      </c>
    </row>
    <row r="8468" spans="1:5" x14ac:dyDescent="0.25">
      <c r="A8468">
        <v>293</v>
      </c>
      <c r="B8468">
        <f t="shared" si="21"/>
        <v>369</v>
      </c>
      <c r="C8468">
        <v>2</v>
      </c>
      <c r="E8468" s="1">
        <v>370</v>
      </c>
    </row>
    <row r="8469" spans="1:5" x14ac:dyDescent="0.25">
      <c r="A8469">
        <v>2</v>
      </c>
      <c r="B8469">
        <f t="shared" si="21"/>
        <v>370</v>
      </c>
      <c r="C8469">
        <v>3</v>
      </c>
      <c r="E8469">
        <v>371</v>
      </c>
    </row>
    <row r="8470" spans="1:5" x14ac:dyDescent="0.25">
      <c r="A8470">
        <v>13</v>
      </c>
      <c r="B8470">
        <f t="shared" si="21"/>
        <v>370</v>
      </c>
      <c r="C8470">
        <v>5</v>
      </c>
      <c r="E8470" s="1">
        <v>371</v>
      </c>
    </row>
    <row r="8471" spans="1:5" x14ac:dyDescent="0.25">
      <c r="A8471">
        <v>14</v>
      </c>
      <c r="B8471">
        <f t="shared" si="21"/>
        <v>370</v>
      </c>
      <c r="C8471">
        <v>4</v>
      </c>
      <c r="E8471">
        <v>371</v>
      </c>
    </row>
    <row r="8472" spans="1:5" x14ac:dyDescent="0.25">
      <c r="A8472">
        <v>17</v>
      </c>
      <c r="B8472">
        <f t="shared" si="21"/>
        <v>370</v>
      </c>
      <c r="C8472">
        <v>4</v>
      </c>
      <c r="E8472" s="1">
        <v>371</v>
      </c>
    </row>
    <row r="8473" spans="1:5" x14ac:dyDescent="0.25">
      <c r="A8473">
        <v>17</v>
      </c>
      <c r="B8473">
        <f t="shared" si="21"/>
        <v>370</v>
      </c>
      <c r="C8473">
        <v>3</v>
      </c>
      <c r="E8473">
        <v>371</v>
      </c>
    </row>
    <row r="8474" spans="1:5" x14ac:dyDescent="0.25">
      <c r="A8474">
        <v>25</v>
      </c>
      <c r="B8474">
        <f t="shared" si="21"/>
        <v>370</v>
      </c>
      <c r="C8474">
        <v>4</v>
      </c>
      <c r="E8474" s="1">
        <v>371</v>
      </c>
    </row>
    <row r="8475" spans="1:5" x14ac:dyDescent="0.25">
      <c r="A8475">
        <v>37</v>
      </c>
      <c r="B8475">
        <f t="shared" si="21"/>
        <v>370</v>
      </c>
      <c r="C8475">
        <v>2</v>
      </c>
      <c r="E8475">
        <v>371</v>
      </c>
    </row>
    <row r="8476" spans="1:5" x14ac:dyDescent="0.25">
      <c r="A8476">
        <v>39</v>
      </c>
      <c r="B8476">
        <f t="shared" si="21"/>
        <v>370</v>
      </c>
      <c r="C8476">
        <v>4</v>
      </c>
      <c r="E8476" s="1">
        <v>371</v>
      </c>
    </row>
    <row r="8477" spans="1:5" x14ac:dyDescent="0.25">
      <c r="A8477">
        <v>40</v>
      </c>
      <c r="B8477">
        <f t="shared" si="21"/>
        <v>370</v>
      </c>
      <c r="C8477">
        <v>3</v>
      </c>
      <c r="E8477">
        <v>371</v>
      </c>
    </row>
    <row r="8478" spans="1:5" x14ac:dyDescent="0.25">
      <c r="A8478">
        <v>69</v>
      </c>
      <c r="B8478">
        <f t="shared" si="21"/>
        <v>370</v>
      </c>
      <c r="C8478">
        <v>2</v>
      </c>
      <c r="E8478" s="1">
        <v>371</v>
      </c>
    </row>
    <row r="8479" spans="1:5" x14ac:dyDescent="0.25">
      <c r="A8479">
        <v>97</v>
      </c>
      <c r="B8479">
        <f t="shared" si="21"/>
        <v>370</v>
      </c>
      <c r="C8479">
        <v>3</v>
      </c>
      <c r="E8479">
        <v>371</v>
      </c>
    </row>
    <row r="8480" spans="1:5" x14ac:dyDescent="0.25">
      <c r="A8480">
        <v>97</v>
      </c>
      <c r="B8480">
        <f t="shared" si="21"/>
        <v>370</v>
      </c>
      <c r="C8480">
        <v>4</v>
      </c>
      <c r="E8480" s="1">
        <v>371</v>
      </c>
    </row>
    <row r="8481" spans="1:5" x14ac:dyDescent="0.25">
      <c r="A8481">
        <v>99</v>
      </c>
      <c r="B8481">
        <f t="shared" si="21"/>
        <v>370</v>
      </c>
      <c r="C8481">
        <v>2</v>
      </c>
      <c r="E8481">
        <v>371</v>
      </c>
    </row>
    <row r="8482" spans="1:5" x14ac:dyDescent="0.25">
      <c r="A8482">
        <v>128</v>
      </c>
      <c r="B8482">
        <f t="shared" si="21"/>
        <v>370</v>
      </c>
      <c r="C8482">
        <v>1</v>
      </c>
      <c r="E8482" s="1">
        <v>371</v>
      </c>
    </row>
    <row r="8483" spans="1:5" x14ac:dyDescent="0.25">
      <c r="A8483">
        <v>129</v>
      </c>
      <c r="B8483">
        <f t="shared" si="21"/>
        <v>370</v>
      </c>
      <c r="C8483">
        <v>2</v>
      </c>
      <c r="E8483">
        <v>371</v>
      </c>
    </row>
    <row r="8484" spans="1:5" x14ac:dyDescent="0.25">
      <c r="A8484">
        <v>133</v>
      </c>
      <c r="B8484">
        <f t="shared" si="21"/>
        <v>370</v>
      </c>
      <c r="C8484">
        <v>1</v>
      </c>
      <c r="E8484" s="1">
        <v>371</v>
      </c>
    </row>
    <row r="8485" spans="1:5" x14ac:dyDescent="0.25">
      <c r="A8485">
        <v>137</v>
      </c>
      <c r="B8485">
        <f t="shared" si="21"/>
        <v>370</v>
      </c>
      <c r="C8485">
        <v>5</v>
      </c>
      <c r="E8485">
        <v>371</v>
      </c>
    </row>
    <row r="8486" spans="1:5" x14ac:dyDescent="0.25">
      <c r="A8486">
        <v>150</v>
      </c>
      <c r="B8486">
        <f t="shared" si="21"/>
        <v>370</v>
      </c>
      <c r="C8486">
        <v>5</v>
      </c>
      <c r="E8486" s="1">
        <v>371</v>
      </c>
    </row>
    <row r="8487" spans="1:5" x14ac:dyDescent="0.25">
      <c r="A8487">
        <v>163</v>
      </c>
      <c r="B8487">
        <f t="shared" si="21"/>
        <v>370</v>
      </c>
      <c r="C8487">
        <v>1</v>
      </c>
      <c r="E8487">
        <v>371</v>
      </c>
    </row>
    <row r="8488" spans="1:5" x14ac:dyDescent="0.25">
      <c r="A8488">
        <v>166</v>
      </c>
      <c r="B8488">
        <f t="shared" si="21"/>
        <v>370</v>
      </c>
      <c r="C8488">
        <v>5</v>
      </c>
      <c r="E8488" s="1">
        <v>371</v>
      </c>
    </row>
    <row r="8489" spans="1:5" x14ac:dyDescent="0.25">
      <c r="A8489">
        <v>212</v>
      </c>
      <c r="B8489">
        <f t="shared" si="21"/>
        <v>370</v>
      </c>
      <c r="C8489">
        <v>3</v>
      </c>
      <c r="E8489">
        <v>371</v>
      </c>
    </row>
    <row r="8490" spans="1:5" x14ac:dyDescent="0.25">
      <c r="A8490">
        <v>223</v>
      </c>
      <c r="B8490">
        <f t="shared" si="21"/>
        <v>370</v>
      </c>
      <c r="C8490">
        <v>5</v>
      </c>
      <c r="E8490" s="1">
        <v>371</v>
      </c>
    </row>
    <row r="8491" spans="1:5" x14ac:dyDescent="0.25">
      <c r="A8491">
        <v>230</v>
      </c>
      <c r="B8491">
        <f t="shared" si="21"/>
        <v>370</v>
      </c>
      <c r="C8491">
        <v>1</v>
      </c>
      <c r="E8491">
        <v>371</v>
      </c>
    </row>
    <row r="8492" spans="1:5" x14ac:dyDescent="0.25">
      <c r="A8492">
        <v>238</v>
      </c>
      <c r="B8492">
        <f t="shared" si="21"/>
        <v>370</v>
      </c>
      <c r="C8492">
        <v>3</v>
      </c>
      <c r="E8492" s="1">
        <v>371</v>
      </c>
    </row>
    <row r="8493" spans="1:5" x14ac:dyDescent="0.25">
      <c r="A8493">
        <v>241</v>
      </c>
      <c r="B8493">
        <f t="shared" si="21"/>
        <v>370</v>
      </c>
      <c r="C8493">
        <v>3</v>
      </c>
      <c r="E8493">
        <v>371</v>
      </c>
    </row>
    <row r="8494" spans="1:5" x14ac:dyDescent="0.25">
      <c r="A8494">
        <v>257</v>
      </c>
      <c r="B8494">
        <f t="shared" si="21"/>
        <v>370</v>
      </c>
      <c r="C8494">
        <v>2</v>
      </c>
      <c r="E8494" s="1">
        <v>371</v>
      </c>
    </row>
    <row r="8495" spans="1:5" x14ac:dyDescent="0.25">
      <c r="A8495">
        <v>270</v>
      </c>
      <c r="B8495">
        <f t="shared" si="21"/>
        <v>370</v>
      </c>
      <c r="C8495">
        <v>4</v>
      </c>
      <c r="E8495">
        <v>371</v>
      </c>
    </row>
    <row r="8496" spans="1:5" x14ac:dyDescent="0.25">
      <c r="A8496">
        <v>24</v>
      </c>
      <c r="B8496">
        <f t="shared" si="21"/>
        <v>371</v>
      </c>
      <c r="C8496">
        <v>4</v>
      </c>
      <c r="E8496" s="1">
        <v>372</v>
      </c>
    </row>
    <row r="8497" spans="1:5" x14ac:dyDescent="0.25">
      <c r="A8497">
        <v>35</v>
      </c>
      <c r="B8497">
        <f t="shared" si="21"/>
        <v>371</v>
      </c>
      <c r="C8497">
        <v>4</v>
      </c>
      <c r="E8497">
        <v>372</v>
      </c>
    </row>
    <row r="8498" spans="1:5" x14ac:dyDescent="0.25">
      <c r="A8498">
        <v>57</v>
      </c>
      <c r="B8498">
        <f t="shared" si="21"/>
        <v>371</v>
      </c>
      <c r="C8498">
        <v>3</v>
      </c>
      <c r="E8498" s="1">
        <v>372</v>
      </c>
    </row>
    <row r="8499" spans="1:5" x14ac:dyDescent="0.25">
      <c r="A8499">
        <v>58</v>
      </c>
      <c r="B8499">
        <f t="shared" si="21"/>
        <v>371</v>
      </c>
      <c r="C8499">
        <v>4</v>
      </c>
      <c r="E8499">
        <v>372</v>
      </c>
    </row>
    <row r="8500" spans="1:5" x14ac:dyDescent="0.25">
      <c r="A8500">
        <v>74</v>
      </c>
      <c r="B8500">
        <f t="shared" si="21"/>
        <v>371</v>
      </c>
      <c r="C8500">
        <v>2</v>
      </c>
      <c r="E8500" s="1">
        <v>372</v>
      </c>
    </row>
    <row r="8501" spans="1:5" x14ac:dyDescent="0.25">
      <c r="A8501">
        <v>80</v>
      </c>
      <c r="B8501">
        <f t="shared" si="21"/>
        <v>371</v>
      </c>
      <c r="C8501">
        <v>2</v>
      </c>
      <c r="E8501">
        <v>372</v>
      </c>
    </row>
    <row r="8502" spans="1:5" x14ac:dyDescent="0.25">
      <c r="A8502">
        <v>97</v>
      </c>
      <c r="B8502">
        <f t="shared" si="21"/>
        <v>371</v>
      </c>
      <c r="C8502">
        <v>5</v>
      </c>
      <c r="E8502" s="1">
        <v>372</v>
      </c>
    </row>
    <row r="8503" spans="1:5" x14ac:dyDescent="0.25">
      <c r="A8503">
        <v>143</v>
      </c>
      <c r="B8503">
        <f t="shared" si="21"/>
        <v>371</v>
      </c>
      <c r="C8503">
        <v>4</v>
      </c>
      <c r="E8503">
        <v>372</v>
      </c>
    </row>
    <row r="8504" spans="1:5" x14ac:dyDescent="0.25">
      <c r="A8504">
        <v>146</v>
      </c>
      <c r="B8504">
        <f t="shared" si="21"/>
        <v>371</v>
      </c>
      <c r="C8504">
        <v>2</v>
      </c>
      <c r="E8504" s="1">
        <v>372</v>
      </c>
    </row>
    <row r="8505" spans="1:5" x14ac:dyDescent="0.25">
      <c r="A8505">
        <v>152</v>
      </c>
      <c r="B8505">
        <f t="shared" si="21"/>
        <v>371</v>
      </c>
      <c r="C8505">
        <v>2</v>
      </c>
      <c r="E8505">
        <v>372</v>
      </c>
    </row>
    <row r="8506" spans="1:5" x14ac:dyDescent="0.25">
      <c r="A8506">
        <v>158</v>
      </c>
      <c r="B8506">
        <f t="shared" si="21"/>
        <v>371</v>
      </c>
      <c r="C8506">
        <v>2</v>
      </c>
      <c r="E8506" s="1">
        <v>372</v>
      </c>
    </row>
    <row r="8507" spans="1:5" x14ac:dyDescent="0.25">
      <c r="A8507">
        <v>164</v>
      </c>
      <c r="B8507">
        <f t="shared" si="21"/>
        <v>371</v>
      </c>
      <c r="C8507">
        <v>3</v>
      </c>
      <c r="E8507">
        <v>372</v>
      </c>
    </row>
    <row r="8508" spans="1:5" x14ac:dyDescent="0.25">
      <c r="A8508">
        <v>182</v>
      </c>
      <c r="B8508">
        <f t="shared" si="21"/>
        <v>371</v>
      </c>
      <c r="C8508">
        <v>4</v>
      </c>
      <c r="E8508" s="1">
        <v>372</v>
      </c>
    </row>
    <row r="8509" spans="1:5" x14ac:dyDescent="0.25">
      <c r="A8509">
        <v>183</v>
      </c>
      <c r="B8509">
        <f t="shared" si="21"/>
        <v>371</v>
      </c>
      <c r="C8509">
        <v>3</v>
      </c>
      <c r="E8509">
        <v>372</v>
      </c>
    </row>
    <row r="8510" spans="1:5" x14ac:dyDescent="0.25">
      <c r="A8510">
        <v>191</v>
      </c>
      <c r="B8510">
        <f t="shared" si="21"/>
        <v>371</v>
      </c>
      <c r="C8510">
        <v>4</v>
      </c>
      <c r="E8510" s="1">
        <v>372</v>
      </c>
    </row>
    <row r="8511" spans="1:5" x14ac:dyDescent="0.25">
      <c r="A8511">
        <v>192</v>
      </c>
      <c r="B8511">
        <f t="shared" si="21"/>
        <v>371</v>
      </c>
      <c r="C8511">
        <v>3</v>
      </c>
      <c r="E8511">
        <v>372</v>
      </c>
    </row>
    <row r="8512" spans="1:5" x14ac:dyDescent="0.25">
      <c r="A8512">
        <v>202</v>
      </c>
      <c r="B8512">
        <f t="shared" si="21"/>
        <v>371</v>
      </c>
      <c r="C8512">
        <v>2</v>
      </c>
      <c r="E8512" s="1">
        <v>372</v>
      </c>
    </row>
    <row r="8513" spans="1:5" x14ac:dyDescent="0.25">
      <c r="A8513">
        <v>220</v>
      </c>
      <c r="B8513">
        <f t="shared" si="21"/>
        <v>371</v>
      </c>
      <c r="C8513">
        <v>2</v>
      </c>
      <c r="E8513">
        <v>372</v>
      </c>
    </row>
    <row r="8514" spans="1:5" x14ac:dyDescent="0.25">
      <c r="A8514">
        <v>229</v>
      </c>
      <c r="B8514">
        <f t="shared" si="21"/>
        <v>371</v>
      </c>
      <c r="C8514">
        <v>5</v>
      </c>
      <c r="E8514" s="1">
        <v>372</v>
      </c>
    </row>
    <row r="8515" spans="1:5" x14ac:dyDescent="0.25">
      <c r="A8515">
        <v>234</v>
      </c>
      <c r="B8515">
        <f t="shared" si="21"/>
        <v>371</v>
      </c>
      <c r="C8515">
        <v>2</v>
      </c>
      <c r="E8515">
        <v>372</v>
      </c>
    </row>
    <row r="8516" spans="1:5" x14ac:dyDescent="0.25">
      <c r="A8516">
        <v>241</v>
      </c>
      <c r="B8516">
        <f t="shared" si="21"/>
        <v>371</v>
      </c>
      <c r="C8516">
        <v>4</v>
      </c>
      <c r="E8516" s="1">
        <v>372</v>
      </c>
    </row>
    <row r="8517" spans="1:5" x14ac:dyDescent="0.25">
      <c r="A8517">
        <v>241</v>
      </c>
      <c r="B8517">
        <f t="shared" si="21"/>
        <v>371</v>
      </c>
      <c r="C8517">
        <v>3</v>
      </c>
      <c r="E8517">
        <v>372</v>
      </c>
    </row>
    <row r="8518" spans="1:5" x14ac:dyDescent="0.25">
      <c r="A8518">
        <v>248</v>
      </c>
      <c r="B8518">
        <f t="shared" si="21"/>
        <v>371</v>
      </c>
      <c r="C8518">
        <v>1</v>
      </c>
      <c r="E8518" s="1">
        <v>372</v>
      </c>
    </row>
    <row r="8519" spans="1:5" x14ac:dyDescent="0.25">
      <c r="A8519">
        <v>290</v>
      </c>
      <c r="B8519">
        <f t="shared" si="21"/>
        <v>371</v>
      </c>
      <c r="C8519">
        <v>1</v>
      </c>
      <c r="E8519">
        <v>372</v>
      </c>
    </row>
    <row r="8520" spans="1:5" x14ac:dyDescent="0.25">
      <c r="A8520">
        <v>1</v>
      </c>
      <c r="B8520">
        <f t="shared" si="21"/>
        <v>372</v>
      </c>
      <c r="C8520">
        <v>3</v>
      </c>
      <c r="E8520" s="1">
        <v>373</v>
      </c>
    </row>
    <row r="8521" spans="1:5" x14ac:dyDescent="0.25">
      <c r="A8521">
        <v>21</v>
      </c>
      <c r="B8521">
        <f t="shared" si="21"/>
        <v>372</v>
      </c>
      <c r="C8521">
        <v>5</v>
      </c>
      <c r="E8521">
        <v>373</v>
      </c>
    </row>
    <row r="8522" spans="1:5" x14ac:dyDescent="0.25">
      <c r="A8522">
        <v>30</v>
      </c>
      <c r="B8522">
        <f t="shared" si="21"/>
        <v>372</v>
      </c>
      <c r="C8522">
        <v>2</v>
      </c>
      <c r="E8522" s="1">
        <v>373</v>
      </c>
    </row>
    <row r="8523" spans="1:5" x14ac:dyDescent="0.25">
      <c r="A8523">
        <v>30</v>
      </c>
      <c r="B8523">
        <f t="shared" si="21"/>
        <v>372</v>
      </c>
      <c r="C8523">
        <v>3</v>
      </c>
      <c r="E8523">
        <v>373</v>
      </c>
    </row>
    <row r="8524" spans="1:5" x14ac:dyDescent="0.25">
      <c r="A8524">
        <v>42</v>
      </c>
      <c r="B8524">
        <f t="shared" si="21"/>
        <v>372</v>
      </c>
      <c r="C8524">
        <v>3</v>
      </c>
      <c r="E8524" s="1">
        <v>373</v>
      </c>
    </row>
    <row r="8525" spans="1:5" x14ac:dyDescent="0.25">
      <c r="A8525">
        <v>57</v>
      </c>
      <c r="B8525">
        <f t="shared" si="21"/>
        <v>372</v>
      </c>
      <c r="C8525">
        <v>1</v>
      </c>
      <c r="E8525">
        <v>373</v>
      </c>
    </row>
    <row r="8526" spans="1:5" x14ac:dyDescent="0.25">
      <c r="A8526">
        <v>58</v>
      </c>
      <c r="B8526">
        <f t="shared" ref="B8526:B8589" si="22">E8526-1</f>
        <v>372</v>
      </c>
      <c r="C8526">
        <v>2</v>
      </c>
      <c r="E8526" s="1">
        <v>373</v>
      </c>
    </row>
    <row r="8527" spans="1:5" x14ac:dyDescent="0.25">
      <c r="A8527">
        <v>75</v>
      </c>
      <c r="B8527">
        <f t="shared" si="22"/>
        <v>372</v>
      </c>
      <c r="C8527">
        <v>3</v>
      </c>
      <c r="E8527">
        <v>373</v>
      </c>
    </row>
    <row r="8528" spans="1:5" x14ac:dyDescent="0.25">
      <c r="A8528">
        <v>79</v>
      </c>
      <c r="B8528">
        <f t="shared" si="22"/>
        <v>372</v>
      </c>
      <c r="C8528">
        <v>4</v>
      </c>
      <c r="E8528" s="1">
        <v>373</v>
      </c>
    </row>
    <row r="8529" spans="1:5" x14ac:dyDescent="0.25">
      <c r="A8529">
        <v>87</v>
      </c>
      <c r="B8529">
        <f t="shared" si="22"/>
        <v>372</v>
      </c>
      <c r="C8529">
        <v>3</v>
      </c>
      <c r="E8529">
        <v>373</v>
      </c>
    </row>
    <row r="8530" spans="1:5" x14ac:dyDescent="0.25">
      <c r="A8530">
        <v>87</v>
      </c>
      <c r="B8530">
        <f t="shared" si="22"/>
        <v>372</v>
      </c>
      <c r="C8530">
        <v>3</v>
      </c>
      <c r="E8530" s="1">
        <v>373</v>
      </c>
    </row>
    <row r="8531" spans="1:5" x14ac:dyDescent="0.25">
      <c r="A8531">
        <v>94</v>
      </c>
      <c r="B8531">
        <f t="shared" si="22"/>
        <v>372</v>
      </c>
      <c r="C8531">
        <v>3</v>
      </c>
      <c r="E8531">
        <v>373</v>
      </c>
    </row>
    <row r="8532" spans="1:5" x14ac:dyDescent="0.25">
      <c r="A8532">
        <v>98</v>
      </c>
      <c r="B8532">
        <f t="shared" si="22"/>
        <v>372</v>
      </c>
      <c r="C8532">
        <v>5</v>
      </c>
      <c r="E8532" s="1">
        <v>373</v>
      </c>
    </row>
    <row r="8533" spans="1:5" x14ac:dyDescent="0.25">
      <c r="A8533">
        <v>113</v>
      </c>
      <c r="B8533">
        <f t="shared" si="22"/>
        <v>372</v>
      </c>
      <c r="C8533">
        <v>3</v>
      </c>
      <c r="E8533">
        <v>373</v>
      </c>
    </row>
    <row r="8534" spans="1:5" x14ac:dyDescent="0.25">
      <c r="A8534">
        <v>134</v>
      </c>
      <c r="B8534">
        <f t="shared" si="22"/>
        <v>372</v>
      </c>
      <c r="C8534">
        <v>4</v>
      </c>
      <c r="E8534" s="1">
        <v>373</v>
      </c>
    </row>
    <row r="8535" spans="1:5" x14ac:dyDescent="0.25">
      <c r="A8535">
        <v>148</v>
      </c>
      <c r="B8535">
        <f t="shared" si="22"/>
        <v>372</v>
      </c>
      <c r="C8535">
        <v>2</v>
      </c>
      <c r="E8535">
        <v>373</v>
      </c>
    </row>
    <row r="8536" spans="1:5" x14ac:dyDescent="0.25">
      <c r="A8536">
        <v>152</v>
      </c>
      <c r="B8536">
        <f t="shared" si="22"/>
        <v>372</v>
      </c>
      <c r="C8536">
        <v>5</v>
      </c>
      <c r="E8536" s="1">
        <v>373</v>
      </c>
    </row>
    <row r="8537" spans="1:5" x14ac:dyDescent="0.25">
      <c r="A8537">
        <v>159</v>
      </c>
      <c r="B8537">
        <f t="shared" si="22"/>
        <v>372</v>
      </c>
      <c r="C8537">
        <v>4</v>
      </c>
      <c r="E8537">
        <v>373</v>
      </c>
    </row>
    <row r="8538" spans="1:5" x14ac:dyDescent="0.25">
      <c r="A8538">
        <v>165</v>
      </c>
      <c r="B8538">
        <f t="shared" si="22"/>
        <v>372</v>
      </c>
      <c r="C8538">
        <v>4</v>
      </c>
      <c r="E8538" s="1">
        <v>373</v>
      </c>
    </row>
    <row r="8539" spans="1:5" x14ac:dyDescent="0.25">
      <c r="A8539">
        <v>179</v>
      </c>
      <c r="B8539">
        <f t="shared" si="22"/>
        <v>372</v>
      </c>
      <c r="C8539">
        <v>5</v>
      </c>
      <c r="E8539">
        <v>373</v>
      </c>
    </row>
    <row r="8540" spans="1:5" x14ac:dyDescent="0.25">
      <c r="A8540">
        <v>231</v>
      </c>
      <c r="B8540">
        <f t="shared" si="22"/>
        <v>372</v>
      </c>
      <c r="C8540">
        <v>3</v>
      </c>
      <c r="E8540" s="1">
        <v>373</v>
      </c>
    </row>
    <row r="8541" spans="1:5" x14ac:dyDescent="0.25">
      <c r="A8541">
        <v>239</v>
      </c>
      <c r="B8541">
        <f t="shared" si="22"/>
        <v>372</v>
      </c>
      <c r="C8541">
        <v>2</v>
      </c>
      <c r="E8541">
        <v>373</v>
      </c>
    </row>
    <row r="8542" spans="1:5" x14ac:dyDescent="0.25">
      <c r="A8542">
        <v>245</v>
      </c>
      <c r="B8542">
        <f t="shared" si="22"/>
        <v>372</v>
      </c>
      <c r="C8542">
        <v>1</v>
      </c>
      <c r="E8542" s="1">
        <v>373</v>
      </c>
    </row>
    <row r="8543" spans="1:5" x14ac:dyDescent="0.25">
      <c r="A8543">
        <v>251</v>
      </c>
      <c r="B8543">
        <f t="shared" si="22"/>
        <v>372</v>
      </c>
      <c r="C8543">
        <v>1</v>
      </c>
      <c r="E8543">
        <v>373</v>
      </c>
    </row>
    <row r="8544" spans="1:5" x14ac:dyDescent="0.25">
      <c r="A8544">
        <v>268</v>
      </c>
      <c r="B8544">
        <f t="shared" si="22"/>
        <v>372</v>
      </c>
      <c r="C8544">
        <v>1</v>
      </c>
      <c r="E8544" s="1">
        <v>373</v>
      </c>
    </row>
    <row r="8545" spans="1:5" x14ac:dyDescent="0.25">
      <c r="A8545">
        <v>268</v>
      </c>
      <c r="B8545">
        <f t="shared" si="22"/>
        <v>372</v>
      </c>
      <c r="C8545">
        <v>5</v>
      </c>
      <c r="E8545">
        <v>373</v>
      </c>
    </row>
    <row r="8546" spans="1:5" x14ac:dyDescent="0.25">
      <c r="A8546">
        <v>295</v>
      </c>
      <c r="B8546">
        <f t="shared" si="22"/>
        <v>372</v>
      </c>
      <c r="C8546">
        <v>1</v>
      </c>
      <c r="E8546" s="1">
        <v>373</v>
      </c>
    </row>
    <row r="8547" spans="1:5" x14ac:dyDescent="0.25">
      <c r="A8547">
        <v>299</v>
      </c>
      <c r="B8547">
        <f t="shared" si="22"/>
        <v>372</v>
      </c>
      <c r="C8547">
        <v>1</v>
      </c>
      <c r="E8547">
        <v>373</v>
      </c>
    </row>
    <row r="8548" spans="1:5" x14ac:dyDescent="0.25">
      <c r="A8548">
        <v>20</v>
      </c>
      <c r="B8548">
        <f t="shared" si="22"/>
        <v>373</v>
      </c>
      <c r="C8548">
        <v>3</v>
      </c>
      <c r="E8548" s="1">
        <v>374</v>
      </c>
    </row>
    <row r="8549" spans="1:5" x14ac:dyDescent="0.25">
      <c r="A8549">
        <v>27</v>
      </c>
      <c r="B8549">
        <f t="shared" si="22"/>
        <v>373</v>
      </c>
      <c r="C8549">
        <v>4</v>
      </c>
      <c r="E8549">
        <v>374</v>
      </c>
    </row>
    <row r="8550" spans="1:5" x14ac:dyDescent="0.25">
      <c r="A8550">
        <v>31</v>
      </c>
      <c r="B8550">
        <f t="shared" si="22"/>
        <v>373</v>
      </c>
      <c r="C8550">
        <v>5</v>
      </c>
      <c r="E8550" s="1">
        <v>374</v>
      </c>
    </row>
    <row r="8551" spans="1:5" x14ac:dyDescent="0.25">
      <c r="A8551">
        <v>32</v>
      </c>
      <c r="B8551">
        <f t="shared" si="22"/>
        <v>373</v>
      </c>
      <c r="C8551">
        <v>4</v>
      </c>
      <c r="E8551">
        <v>374</v>
      </c>
    </row>
    <row r="8552" spans="1:5" x14ac:dyDescent="0.25">
      <c r="A8552">
        <v>41</v>
      </c>
      <c r="B8552">
        <f t="shared" si="22"/>
        <v>373</v>
      </c>
      <c r="C8552">
        <v>4</v>
      </c>
      <c r="E8552" s="1">
        <v>374</v>
      </c>
    </row>
    <row r="8553" spans="1:5" x14ac:dyDescent="0.25">
      <c r="A8553">
        <v>58</v>
      </c>
      <c r="B8553">
        <f t="shared" si="22"/>
        <v>373</v>
      </c>
      <c r="C8553">
        <v>2</v>
      </c>
      <c r="E8553">
        <v>374</v>
      </c>
    </row>
    <row r="8554" spans="1:5" x14ac:dyDescent="0.25">
      <c r="A8554">
        <v>62</v>
      </c>
      <c r="B8554">
        <f t="shared" si="22"/>
        <v>373</v>
      </c>
      <c r="C8554">
        <v>2</v>
      </c>
      <c r="E8554" s="1">
        <v>374</v>
      </c>
    </row>
    <row r="8555" spans="1:5" x14ac:dyDescent="0.25">
      <c r="A8555">
        <v>83</v>
      </c>
      <c r="B8555">
        <f t="shared" si="22"/>
        <v>373</v>
      </c>
      <c r="C8555">
        <v>2</v>
      </c>
      <c r="E8555">
        <v>374</v>
      </c>
    </row>
    <row r="8556" spans="1:5" x14ac:dyDescent="0.25">
      <c r="A8556">
        <v>85</v>
      </c>
      <c r="B8556">
        <f t="shared" si="22"/>
        <v>373</v>
      </c>
      <c r="C8556">
        <v>1</v>
      </c>
      <c r="E8556" s="1">
        <v>374</v>
      </c>
    </row>
    <row r="8557" spans="1:5" x14ac:dyDescent="0.25">
      <c r="A8557">
        <v>98</v>
      </c>
      <c r="B8557">
        <f t="shared" si="22"/>
        <v>373</v>
      </c>
      <c r="C8557">
        <v>4</v>
      </c>
      <c r="E8557">
        <v>374</v>
      </c>
    </row>
    <row r="8558" spans="1:5" x14ac:dyDescent="0.25">
      <c r="A8558">
        <v>114</v>
      </c>
      <c r="B8558">
        <f t="shared" si="22"/>
        <v>373</v>
      </c>
      <c r="C8558">
        <v>2</v>
      </c>
      <c r="E8558" s="1">
        <v>374</v>
      </c>
    </row>
    <row r="8559" spans="1:5" x14ac:dyDescent="0.25">
      <c r="A8559">
        <v>135</v>
      </c>
      <c r="B8559">
        <f t="shared" si="22"/>
        <v>373</v>
      </c>
      <c r="C8559">
        <v>5</v>
      </c>
      <c r="E8559">
        <v>374</v>
      </c>
    </row>
    <row r="8560" spans="1:5" x14ac:dyDescent="0.25">
      <c r="A8560">
        <v>158</v>
      </c>
      <c r="B8560">
        <f t="shared" si="22"/>
        <v>373</v>
      </c>
      <c r="C8560">
        <v>1</v>
      </c>
      <c r="E8560" s="1">
        <v>374</v>
      </c>
    </row>
    <row r="8561" spans="1:5" x14ac:dyDescent="0.25">
      <c r="A8561">
        <v>172</v>
      </c>
      <c r="B8561">
        <f t="shared" si="22"/>
        <v>373</v>
      </c>
      <c r="C8561">
        <v>2</v>
      </c>
      <c r="E8561">
        <v>374</v>
      </c>
    </row>
    <row r="8562" spans="1:5" x14ac:dyDescent="0.25">
      <c r="A8562">
        <v>175</v>
      </c>
      <c r="B8562">
        <f t="shared" si="22"/>
        <v>373</v>
      </c>
      <c r="C8562">
        <v>3</v>
      </c>
      <c r="E8562" s="1">
        <v>374</v>
      </c>
    </row>
    <row r="8563" spans="1:5" x14ac:dyDescent="0.25">
      <c r="A8563">
        <v>191</v>
      </c>
      <c r="B8563">
        <f t="shared" si="22"/>
        <v>373</v>
      </c>
      <c r="C8563">
        <v>5</v>
      </c>
      <c r="E8563">
        <v>374</v>
      </c>
    </row>
    <row r="8564" spans="1:5" x14ac:dyDescent="0.25">
      <c r="A8564">
        <v>201</v>
      </c>
      <c r="B8564">
        <f t="shared" si="22"/>
        <v>373</v>
      </c>
      <c r="C8564">
        <v>5</v>
      </c>
      <c r="E8564" s="1">
        <v>374</v>
      </c>
    </row>
    <row r="8565" spans="1:5" x14ac:dyDescent="0.25">
      <c r="A8565">
        <v>204</v>
      </c>
      <c r="B8565">
        <f t="shared" si="22"/>
        <v>373</v>
      </c>
      <c r="C8565">
        <v>3</v>
      </c>
      <c r="E8565">
        <v>374</v>
      </c>
    </row>
    <row r="8566" spans="1:5" x14ac:dyDescent="0.25">
      <c r="A8566">
        <v>209</v>
      </c>
      <c r="B8566">
        <f t="shared" si="22"/>
        <v>373</v>
      </c>
      <c r="C8566">
        <v>2</v>
      </c>
      <c r="E8566" s="1">
        <v>374</v>
      </c>
    </row>
    <row r="8567" spans="1:5" x14ac:dyDescent="0.25">
      <c r="A8567">
        <v>233</v>
      </c>
      <c r="B8567">
        <f t="shared" si="22"/>
        <v>373</v>
      </c>
      <c r="C8567">
        <v>4</v>
      </c>
      <c r="E8567">
        <v>374</v>
      </c>
    </row>
    <row r="8568" spans="1:5" x14ac:dyDescent="0.25">
      <c r="A8568">
        <v>247</v>
      </c>
      <c r="B8568">
        <f t="shared" si="22"/>
        <v>373</v>
      </c>
      <c r="C8568">
        <v>1</v>
      </c>
      <c r="E8568" s="1">
        <v>374</v>
      </c>
    </row>
    <row r="8569" spans="1:5" x14ac:dyDescent="0.25">
      <c r="A8569">
        <v>250</v>
      </c>
      <c r="B8569">
        <f t="shared" si="22"/>
        <v>373</v>
      </c>
      <c r="C8569">
        <v>4</v>
      </c>
      <c r="E8569">
        <v>374</v>
      </c>
    </row>
    <row r="8570" spans="1:5" x14ac:dyDescent="0.25">
      <c r="A8570">
        <v>250</v>
      </c>
      <c r="B8570">
        <f t="shared" si="22"/>
        <v>373</v>
      </c>
      <c r="C8570">
        <v>5</v>
      </c>
      <c r="E8570" s="1">
        <v>374</v>
      </c>
    </row>
    <row r="8571" spans="1:5" x14ac:dyDescent="0.25">
      <c r="A8571">
        <v>257</v>
      </c>
      <c r="B8571">
        <f t="shared" si="22"/>
        <v>373</v>
      </c>
      <c r="C8571">
        <v>1</v>
      </c>
      <c r="E8571">
        <v>374</v>
      </c>
    </row>
    <row r="8572" spans="1:5" x14ac:dyDescent="0.25">
      <c r="A8572">
        <v>257</v>
      </c>
      <c r="B8572">
        <f t="shared" si="22"/>
        <v>373</v>
      </c>
      <c r="C8572">
        <v>3</v>
      </c>
      <c r="E8572" s="1">
        <v>374</v>
      </c>
    </row>
    <row r="8573" spans="1:5" x14ac:dyDescent="0.25">
      <c r="A8573">
        <v>277</v>
      </c>
      <c r="B8573">
        <f t="shared" si="22"/>
        <v>373</v>
      </c>
      <c r="C8573">
        <v>5</v>
      </c>
      <c r="E8573">
        <v>374</v>
      </c>
    </row>
    <row r="8574" spans="1:5" x14ac:dyDescent="0.25">
      <c r="A8574">
        <v>280</v>
      </c>
      <c r="B8574">
        <f t="shared" si="22"/>
        <v>373</v>
      </c>
      <c r="C8574">
        <v>1</v>
      </c>
      <c r="E8574" s="1">
        <v>374</v>
      </c>
    </row>
    <row r="8575" spans="1:5" x14ac:dyDescent="0.25">
      <c r="A8575">
        <v>290</v>
      </c>
      <c r="B8575">
        <f t="shared" si="22"/>
        <v>373</v>
      </c>
      <c r="C8575">
        <v>5</v>
      </c>
      <c r="E8575">
        <v>374</v>
      </c>
    </row>
    <row r="8576" spans="1:5" x14ac:dyDescent="0.25">
      <c r="A8576">
        <v>18</v>
      </c>
      <c r="B8576">
        <f t="shared" si="22"/>
        <v>374</v>
      </c>
      <c r="C8576">
        <v>3</v>
      </c>
      <c r="E8576" s="1">
        <v>375</v>
      </c>
    </row>
    <row r="8577" spans="1:5" x14ac:dyDescent="0.25">
      <c r="A8577">
        <v>20</v>
      </c>
      <c r="B8577">
        <f t="shared" si="22"/>
        <v>374</v>
      </c>
      <c r="C8577">
        <v>5</v>
      </c>
      <c r="E8577">
        <v>375</v>
      </c>
    </row>
    <row r="8578" spans="1:5" x14ac:dyDescent="0.25">
      <c r="A8578">
        <v>43</v>
      </c>
      <c r="B8578">
        <f t="shared" si="22"/>
        <v>374</v>
      </c>
      <c r="C8578">
        <v>5</v>
      </c>
      <c r="E8578" s="1">
        <v>375</v>
      </c>
    </row>
    <row r="8579" spans="1:5" x14ac:dyDescent="0.25">
      <c r="A8579">
        <v>50</v>
      </c>
      <c r="B8579">
        <f t="shared" si="22"/>
        <v>374</v>
      </c>
      <c r="C8579">
        <v>2</v>
      </c>
      <c r="E8579">
        <v>375</v>
      </c>
    </row>
    <row r="8580" spans="1:5" x14ac:dyDescent="0.25">
      <c r="A8580">
        <v>68</v>
      </c>
      <c r="B8580">
        <f t="shared" si="22"/>
        <v>374</v>
      </c>
      <c r="C8580">
        <v>3</v>
      </c>
      <c r="E8580" s="1">
        <v>375</v>
      </c>
    </row>
    <row r="8581" spans="1:5" x14ac:dyDescent="0.25">
      <c r="A8581">
        <v>89</v>
      </c>
      <c r="B8581">
        <f t="shared" si="22"/>
        <v>374</v>
      </c>
      <c r="C8581">
        <v>3</v>
      </c>
      <c r="E8581">
        <v>375</v>
      </c>
    </row>
    <row r="8582" spans="1:5" x14ac:dyDescent="0.25">
      <c r="A8582">
        <v>90</v>
      </c>
      <c r="B8582">
        <f t="shared" si="22"/>
        <v>374</v>
      </c>
      <c r="C8582">
        <v>1</v>
      </c>
      <c r="E8582" s="1">
        <v>375</v>
      </c>
    </row>
    <row r="8583" spans="1:5" x14ac:dyDescent="0.25">
      <c r="A8583">
        <v>117</v>
      </c>
      <c r="B8583">
        <f t="shared" si="22"/>
        <v>374</v>
      </c>
      <c r="C8583">
        <v>2</v>
      </c>
      <c r="E8583">
        <v>375</v>
      </c>
    </row>
    <row r="8584" spans="1:5" x14ac:dyDescent="0.25">
      <c r="A8584">
        <v>121</v>
      </c>
      <c r="B8584">
        <f t="shared" si="22"/>
        <v>374</v>
      </c>
      <c r="C8584">
        <v>1</v>
      </c>
      <c r="E8584" s="1">
        <v>375</v>
      </c>
    </row>
    <row r="8585" spans="1:5" x14ac:dyDescent="0.25">
      <c r="A8585">
        <v>124</v>
      </c>
      <c r="B8585">
        <f t="shared" si="22"/>
        <v>374</v>
      </c>
      <c r="C8585">
        <v>2</v>
      </c>
      <c r="E8585">
        <v>375</v>
      </c>
    </row>
    <row r="8586" spans="1:5" x14ac:dyDescent="0.25">
      <c r="A8586">
        <v>130</v>
      </c>
      <c r="B8586">
        <f t="shared" si="22"/>
        <v>374</v>
      </c>
      <c r="C8586">
        <v>5</v>
      </c>
      <c r="E8586" s="1">
        <v>375</v>
      </c>
    </row>
    <row r="8587" spans="1:5" x14ac:dyDescent="0.25">
      <c r="A8587">
        <v>142</v>
      </c>
      <c r="B8587">
        <f t="shared" si="22"/>
        <v>374</v>
      </c>
      <c r="C8587">
        <v>4</v>
      </c>
      <c r="E8587">
        <v>375</v>
      </c>
    </row>
    <row r="8588" spans="1:5" x14ac:dyDescent="0.25">
      <c r="A8588">
        <v>144</v>
      </c>
      <c r="B8588">
        <f t="shared" si="22"/>
        <v>374</v>
      </c>
      <c r="C8588">
        <v>3</v>
      </c>
      <c r="E8588" s="1">
        <v>375</v>
      </c>
    </row>
    <row r="8589" spans="1:5" x14ac:dyDescent="0.25">
      <c r="A8589">
        <v>176</v>
      </c>
      <c r="B8589">
        <f t="shared" si="22"/>
        <v>374</v>
      </c>
      <c r="C8589">
        <v>3</v>
      </c>
      <c r="E8589">
        <v>375</v>
      </c>
    </row>
    <row r="8590" spans="1:5" x14ac:dyDescent="0.25">
      <c r="A8590">
        <v>203</v>
      </c>
      <c r="B8590">
        <f t="shared" ref="B8590:B8653" si="23">E8590-1</f>
        <v>374</v>
      </c>
      <c r="C8590">
        <v>5</v>
      </c>
      <c r="E8590" s="1">
        <v>375</v>
      </c>
    </row>
    <row r="8591" spans="1:5" x14ac:dyDescent="0.25">
      <c r="A8591">
        <v>217</v>
      </c>
      <c r="B8591">
        <f t="shared" si="23"/>
        <v>374</v>
      </c>
      <c r="C8591">
        <v>1</v>
      </c>
      <c r="E8591">
        <v>375</v>
      </c>
    </row>
    <row r="8592" spans="1:5" x14ac:dyDescent="0.25">
      <c r="A8592">
        <v>241</v>
      </c>
      <c r="B8592">
        <f t="shared" si="23"/>
        <v>374</v>
      </c>
      <c r="C8592">
        <v>2</v>
      </c>
      <c r="E8592" s="1">
        <v>375</v>
      </c>
    </row>
    <row r="8593" spans="1:5" x14ac:dyDescent="0.25">
      <c r="A8593">
        <v>242</v>
      </c>
      <c r="B8593">
        <f t="shared" si="23"/>
        <v>374</v>
      </c>
      <c r="C8593">
        <v>5</v>
      </c>
      <c r="E8593">
        <v>375</v>
      </c>
    </row>
    <row r="8594" spans="1:5" x14ac:dyDescent="0.25">
      <c r="A8594">
        <v>249</v>
      </c>
      <c r="B8594">
        <f t="shared" si="23"/>
        <v>374</v>
      </c>
      <c r="C8594">
        <v>1</v>
      </c>
      <c r="E8594" s="1">
        <v>375</v>
      </c>
    </row>
    <row r="8595" spans="1:5" x14ac:dyDescent="0.25">
      <c r="A8595">
        <v>265</v>
      </c>
      <c r="B8595">
        <f t="shared" si="23"/>
        <v>374</v>
      </c>
      <c r="C8595">
        <v>3</v>
      </c>
      <c r="E8595">
        <v>375</v>
      </c>
    </row>
    <row r="8596" spans="1:5" x14ac:dyDescent="0.25">
      <c r="A8596">
        <v>267</v>
      </c>
      <c r="B8596">
        <f t="shared" si="23"/>
        <v>374</v>
      </c>
      <c r="C8596">
        <v>3</v>
      </c>
      <c r="E8596" s="1">
        <v>375</v>
      </c>
    </row>
    <row r="8597" spans="1:5" x14ac:dyDescent="0.25">
      <c r="A8597">
        <v>4</v>
      </c>
      <c r="B8597">
        <f t="shared" si="23"/>
        <v>375</v>
      </c>
      <c r="C8597">
        <v>2</v>
      </c>
      <c r="E8597">
        <v>376</v>
      </c>
    </row>
    <row r="8598" spans="1:5" x14ac:dyDescent="0.25">
      <c r="A8598">
        <v>7</v>
      </c>
      <c r="B8598">
        <f t="shared" si="23"/>
        <v>375</v>
      </c>
      <c r="C8598">
        <v>4</v>
      </c>
      <c r="E8598" s="1">
        <v>376</v>
      </c>
    </row>
    <row r="8599" spans="1:5" x14ac:dyDescent="0.25">
      <c r="A8599">
        <v>11</v>
      </c>
      <c r="B8599">
        <f t="shared" si="23"/>
        <v>375</v>
      </c>
      <c r="C8599">
        <v>4</v>
      </c>
      <c r="E8599">
        <v>376</v>
      </c>
    </row>
    <row r="8600" spans="1:5" x14ac:dyDescent="0.25">
      <c r="A8600">
        <v>14</v>
      </c>
      <c r="B8600">
        <f t="shared" si="23"/>
        <v>375</v>
      </c>
      <c r="C8600">
        <v>5</v>
      </c>
      <c r="E8600" s="1">
        <v>376</v>
      </c>
    </row>
    <row r="8601" spans="1:5" x14ac:dyDescent="0.25">
      <c r="A8601">
        <v>53</v>
      </c>
      <c r="B8601">
        <f t="shared" si="23"/>
        <v>375</v>
      </c>
      <c r="C8601">
        <v>1</v>
      </c>
      <c r="E8601">
        <v>376</v>
      </c>
    </row>
    <row r="8602" spans="1:5" x14ac:dyDescent="0.25">
      <c r="A8602">
        <v>58</v>
      </c>
      <c r="B8602">
        <f t="shared" si="23"/>
        <v>375</v>
      </c>
      <c r="C8602">
        <v>5</v>
      </c>
      <c r="E8602" s="1">
        <v>376</v>
      </c>
    </row>
    <row r="8603" spans="1:5" x14ac:dyDescent="0.25">
      <c r="A8603">
        <v>86</v>
      </c>
      <c r="B8603">
        <f t="shared" si="23"/>
        <v>375</v>
      </c>
      <c r="C8603">
        <v>1</v>
      </c>
      <c r="E8603">
        <v>376</v>
      </c>
    </row>
    <row r="8604" spans="1:5" x14ac:dyDescent="0.25">
      <c r="A8604">
        <v>91</v>
      </c>
      <c r="B8604">
        <f t="shared" si="23"/>
        <v>375</v>
      </c>
      <c r="C8604">
        <v>4</v>
      </c>
      <c r="E8604" s="1">
        <v>376</v>
      </c>
    </row>
    <row r="8605" spans="1:5" x14ac:dyDescent="0.25">
      <c r="A8605">
        <v>97</v>
      </c>
      <c r="B8605">
        <f t="shared" si="23"/>
        <v>375</v>
      </c>
      <c r="C8605">
        <v>4</v>
      </c>
      <c r="E8605">
        <v>376</v>
      </c>
    </row>
    <row r="8606" spans="1:5" x14ac:dyDescent="0.25">
      <c r="A8606">
        <v>124</v>
      </c>
      <c r="B8606">
        <f t="shared" si="23"/>
        <v>375</v>
      </c>
      <c r="C8606">
        <v>5</v>
      </c>
      <c r="E8606" s="1">
        <v>376</v>
      </c>
    </row>
    <row r="8607" spans="1:5" x14ac:dyDescent="0.25">
      <c r="A8607">
        <v>125</v>
      </c>
      <c r="B8607">
        <f t="shared" si="23"/>
        <v>375</v>
      </c>
      <c r="C8607">
        <v>2</v>
      </c>
      <c r="E8607">
        <v>376</v>
      </c>
    </row>
    <row r="8608" spans="1:5" x14ac:dyDescent="0.25">
      <c r="A8608">
        <v>142</v>
      </c>
      <c r="B8608">
        <f t="shared" si="23"/>
        <v>375</v>
      </c>
      <c r="C8608">
        <v>1</v>
      </c>
      <c r="E8608" s="1">
        <v>376</v>
      </c>
    </row>
    <row r="8609" spans="1:5" x14ac:dyDescent="0.25">
      <c r="A8609">
        <v>143</v>
      </c>
      <c r="B8609">
        <f t="shared" si="23"/>
        <v>375</v>
      </c>
      <c r="C8609">
        <v>5</v>
      </c>
      <c r="E8609">
        <v>376</v>
      </c>
    </row>
    <row r="8610" spans="1:5" x14ac:dyDescent="0.25">
      <c r="A8610">
        <v>154</v>
      </c>
      <c r="B8610">
        <f t="shared" si="23"/>
        <v>375</v>
      </c>
      <c r="C8610">
        <v>1</v>
      </c>
      <c r="E8610" s="1">
        <v>376</v>
      </c>
    </row>
    <row r="8611" spans="1:5" x14ac:dyDescent="0.25">
      <c r="A8611">
        <v>162</v>
      </c>
      <c r="B8611">
        <f t="shared" si="23"/>
        <v>375</v>
      </c>
      <c r="C8611">
        <v>3</v>
      </c>
      <c r="E8611">
        <v>376</v>
      </c>
    </row>
    <row r="8612" spans="1:5" x14ac:dyDescent="0.25">
      <c r="A8612">
        <v>205</v>
      </c>
      <c r="B8612">
        <f t="shared" si="23"/>
        <v>375</v>
      </c>
      <c r="C8612">
        <v>1</v>
      </c>
      <c r="E8612" s="1">
        <v>376</v>
      </c>
    </row>
    <row r="8613" spans="1:5" x14ac:dyDescent="0.25">
      <c r="A8613">
        <v>210</v>
      </c>
      <c r="B8613">
        <f t="shared" si="23"/>
        <v>375</v>
      </c>
      <c r="C8613">
        <v>2</v>
      </c>
      <c r="E8613">
        <v>376</v>
      </c>
    </row>
    <row r="8614" spans="1:5" x14ac:dyDescent="0.25">
      <c r="A8614">
        <v>231</v>
      </c>
      <c r="B8614">
        <f t="shared" si="23"/>
        <v>375</v>
      </c>
      <c r="C8614">
        <v>5</v>
      </c>
      <c r="E8614" s="1">
        <v>376</v>
      </c>
    </row>
    <row r="8615" spans="1:5" x14ac:dyDescent="0.25">
      <c r="A8615">
        <v>233</v>
      </c>
      <c r="B8615">
        <f t="shared" si="23"/>
        <v>375</v>
      </c>
      <c r="C8615">
        <v>1</v>
      </c>
      <c r="E8615">
        <v>376</v>
      </c>
    </row>
    <row r="8616" spans="1:5" x14ac:dyDescent="0.25">
      <c r="A8616">
        <v>240</v>
      </c>
      <c r="B8616">
        <f t="shared" si="23"/>
        <v>375</v>
      </c>
      <c r="C8616">
        <v>4</v>
      </c>
      <c r="E8616" s="1">
        <v>376</v>
      </c>
    </row>
    <row r="8617" spans="1:5" x14ac:dyDescent="0.25">
      <c r="A8617">
        <v>242</v>
      </c>
      <c r="B8617">
        <f t="shared" si="23"/>
        <v>375</v>
      </c>
      <c r="C8617">
        <v>2</v>
      </c>
      <c r="E8617">
        <v>376</v>
      </c>
    </row>
    <row r="8618" spans="1:5" x14ac:dyDescent="0.25">
      <c r="A8618">
        <v>263</v>
      </c>
      <c r="B8618">
        <f t="shared" si="23"/>
        <v>375</v>
      </c>
      <c r="C8618">
        <v>2</v>
      </c>
      <c r="E8618" s="1">
        <v>376</v>
      </c>
    </row>
    <row r="8619" spans="1:5" x14ac:dyDescent="0.25">
      <c r="A8619">
        <v>283</v>
      </c>
      <c r="B8619">
        <f t="shared" si="23"/>
        <v>375</v>
      </c>
      <c r="C8619">
        <v>3</v>
      </c>
      <c r="E8619">
        <v>376</v>
      </c>
    </row>
    <row r="8620" spans="1:5" x14ac:dyDescent="0.25">
      <c r="A8620">
        <v>289</v>
      </c>
      <c r="B8620">
        <f t="shared" si="23"/>
        <v>375</v>
      </c>
      <c r="C8620">
        <v>3</v>
      </c>
      <c r="E8620" s="1">
        <v>376</v>
      </c>
    </row>
    <row r="8621" spans="1:5" x14ac:dyDescent="0.25">
      <c r="A8621">
        <v>4</v>
      </c>
      <c r="B8621">
        <f t="shared" si="23"/>
        <v>376</v>
      </c>
      <c r="C8621">
        <v>3</v>
      </c>
      <c r="E8621">
        <v>377</v>
      </c>
    </row>
    <row r="8622" spans="1:5" x14ac:dyDescent="0.25">
      <c r="A8622">
        <v>7</v>
      </c>
      <c r="B8622">
        <f t="shared" si="23"/>
        <v>376</v>
      </c>
      <c r="C8622">
        <v>5</v>
      </c>
      <c r="E8622" s="1">
        <v>377</v>
      </c>
    </row>
    <row r="8623" spans="1:5" x14ac:dyDescent="0.25">
      <c r="A8623">
        <v>25</v>
      </c>
      <c r="B8623">
        <f t="shared" si="23"/>
        <v>376</v>
      </c>
      <c r="C8623">
        <v>4</v>
      </c>
      <c r="E8623">
        <v>377</v>
      </c>
    </row>
    <row r="8624" spans="1:5" x14ac:dyDescent="0.25">
      <c r="A8624">
        <v>30</v>
      </c>
      <c r="B8624">
        <f t="shared" si="23"/>
        <v>376</v>
      </c>
      <c r="C8624">
        <v>5</v>
      </c>
      <c r="E8624" s="1">
        <v>377</v>
      </c>
    </row>
    <row r="8625" spans="1:5" x14ac:dyDescent="0.25">
      <c r="A8625">
        <v>42</v>
      </c>
      <c r="B8625">
        <f t="shared" si="23"/>
        <v>376</v>
      </c>
      <c r="C8625">
        <v>2</v>
      </c>
      <c r="E8625">
        <v>377</v>
      </c>
    </row>
    <row r="8626" spans="1:5" x14ac:dyDescent="0.25">
      <c r="A8626">
        <v>47</v>
      </c>
      <c r="B8626">
        <f t="shared" si="23"/>
        <v>376</v>
      </c>
      <c r="C8626">
        <v>1</v>
      </c>
      <c r="E8626" s="1">
        <v>377</v>
      </c>
    </row>
    <row r="8627" spans="1:5" x14ac:dyDescent="0.25">
      <c r="A8627">
        <v>54</v>
      </c>
      <c r="B8627">
        <f t="shared" si="23"/>
        <v>376</v>
      </c>
      <c r="C8627">
        <v>4</v>
      </c>
      <c r="E8627">
        <v>377</v>
      </c>
    </row>
    <row r="8628" spans="1:5" x14ac:dyDescent="0.25">
      <c r="A8628">
        <v>74</v>
      </c>
      <c r="B8628">
        <f t="shared" si="23"/>
        <v>376</v>
      </c>
      <c r="C8628">
        <v>1</v>
      </c>
      <c r="E8628" s="1">
        <v>377</v>
      </c>
    </row>
    <row r="8629" spans="1:5" x14ac:dyDescent="0.25">
      <c r="A8629">
        <v>79</v>
      </c>
      <c r="B8629">
        <f t="shared" si="23"/>
        <v>376</v>
      </c>
      <c r="C8629">
        <v>1</v>
      </c>
      <c r="E8629">
        <v>377</v>
      </c>
    </row>
    <row r="8630" spans="1:5" x14ac:dyDescent="0.25">
      <c r="A8630">
        <v>85</v>
      </c>
      <c r="B8630">
        <f t="shared" si="23"/>
        <v>376</v>
      </c>
      <c r="C8630">
        <v>1</v>
      </c>
      <c r="E8630" s="1">
        <v>377</v>
      </c>
    </row>
    <row r="8631" spans="1:5" x14ac:dyDescent="0.25">
      <c r="A8631">
        <v>99</v>
      </c>
      <c r="B8631">
        <f t="shared" si="23"/>
        <v>376</v>
      </c>
      <c r="C8631">
        <v>5</v>
      </c>
      <c r="E8631">
        <v>377</v>
      </c>
    </row>
    <row r="8632" spans="1:5" x14ac:dyDescent="0.25">
      <c r="A8632">
        <v>115</v>
      </c>
      <c r="B8632">
        <f t="shared" si="23"/>
        <v>376</v>
      </c>
      <c r="C8632">
        <v>3</v>
      </c>
      <c r="E8632" s="1">
        <v>377</v>
      </c>
    </row>
    <row r="8633" spans="1:5" x14ac:dyDescent="0.25">
      <c r="A8633">
        <v>120</v>
      </c>
      <c r="B8633">
        <f t="shared" si="23"/>
        <v>376</v>
      </c>
      <c r="C8633">
        <v>4</v>
      </c>
      <c r="E8633">
        <v>377</v>
      </c>
    </row>
    <row r="8634" spans="1:5" x14ac:dyDescent="0.25">
      <c r="A8634">
        <v>142</v>
      </c>
      <c r="B8634">
        <f t="shared" si="23"/>
        <v>376</v>
      </c>
      <c r="C8634">
        <v>4</v>
      </c>
      <c r="E8634" s="1">
        <v>377</v>
      </c>
    </row>
    <row r="8635" spans="1:5" x14ac:dyDescent="0.25">
      <c r="A8635">
        <v>146</v>
      </c>
      <c r="B8635">
        <f t="shared" si="23"/>
        <v>376</v>
      </c>
      <c r="C8635">
        <v>3</v>
      </c>
      <c r="E8635">
        <v>377</v>
      </c>
    </row>
    <row r="8636" spans="1:5" x14ac:dyDescent="0.25">
      <c r="A8636">
        <v>148</v>
      </c>
      <c r="B8636">
        <f t="shared" si="23"/>
        <v>376</v>
      </c>
      <c r="C8636">
        <v>2</v>
      </c>
      <c r="E8636" s="1">
        <v>377</v>
      </c>
    </row>
    <row r="8637" spans="1:5" x14ac:dyDescent="0.25">
      <c r="A8637">
        <v>165</v>
      </c>
      <c r="B8637">
        <f t="shared" si="23"/>
        <v>376</v>
      </c>
      <c r="C8637">
        <v>5</v>
      </c>
      <c r="E8637">
        <v>377</v>
      </c>
    </row>
    <row r="8638" spans="1:5" x14ac:dyDescent="0.25">
      <c r="A8638">
        <v>208</v>
      </c>
      <c r="B8638">
        <f t="shared" si="23"/>
        <v>376</v>
      </c>
      <c r="C8638">
        <v>5</v>
      </c>
      <c r="E8638" s="1">
        <v>377</v>
      </c>
    </row>
    <row r="8639" spans="1:5" x14ac:dyDescent="0.25">
      <c r="A8639">
        <v>216</v>
      </c>
      <c r="B8639">
        <f t="shared" si="23"/>
        <v>376</v>
      </c>
      <c r="C8639">
        <v>4</v>
      </c>
      <c r="E8639">
        <v>377</v>
      </c>
    </row>
    <row r="8640" spans="1:5" x14ac:dyDescent="0.25">
      <c r="A8640">
        <v>230</v>
      </c>
      <c r="B8640">
        <f t="shared" si="23"/>
        <v>376</v>
      </c>
      <c r="C8640">
        <v>5</v>
      </c>
      <c r="E8640" s="1">
        <v>377</v>
      </c>
    </row>
    <row r="8641" spans="1:5" x14ac:dyDescent="0.25">
      <c r="A8641">
        <v>236</v>
      </c>
      <c r="B8641">
        <f t="shared" si="23"/>
        <v>376</v>
      </c>
      <c r="C8641">
        <v>3</v>
      </c>
      <c r="E8641">
        <v>377</v>
      </c>
    </row>
    <row r="8642" spans="1:5" x14ac:dyDescent="0.25">
      <c r="A8642">
        <v>238</v>
      </c>
      <c r="B8642">
        <f t="shared" si="23"/>
        <v>376</v>
      </c>
      <c r="C8642">
        <v>5</v>
      </c>
      <c r="E8642" s="1">
        <v>377</v>
      </c>
    </row>
    <row r="8643" spans="1:5" x14ac:dyDescent="0.25">
      <c r="A8643">
        <v>244</v>
      </c>
      <c r="B8643">
        <f t="shared" si="23"/>
        <v>376</v>
      </c>
      <c r="C8643">
        <v>3</v>
      </c>
      <c r="E8643">
        <v>377</v>
      </c>
    </row>
    <row r="8644" spans="1:5" x14ac:dyDescent="0.25">
      <c r="A8644">
        <v>254</v>
      </c>
      <c r="B8644">
        <f t="shared" si="23"/>
        <v>376</v>
      </c>
      <c r="C8644">
        <v>2</v>
      </c>
      <c r="E8644" s="1">
        <v>377</v>
      </c>
    </row>
    <row r="8645" spans="1:5" x14ac:dyDescent="0.25">
      <c r="A8645">
        <v>260</v>
      </c>
      <c r="B8645">
        <f t="shared" si="23"/>
        <v>376</v>
      </c>
      <c r="C8645">
        <v>1</v>
      </c>
      <c r="E8645">
        <v>377</v>
      </c>
    </row>
    <row r="8646" spans="1:5" x14ac:dyDescent="0.25">
      <c r="A8646">
        <v>262</v>
      </c>
      <c r="B8646">
        <f t="shared" si="23"/>
        <v>376</v>
      </c>
      <c r="C8646">
        <v>4</v>
      </c>
      <c r="E8646" s="1">
        <v>377</v>
      </c>
    </row>
    <row r="8647" spans="1:5" x14ac:dyDescent="0.25">
      <c r="A8647">
        <v>262</v>
      </c>
      <c r="B8647">
        <f t="shared" si="23"/>
        <v>376</v>
      </c>
      <c r="C8647">
        <v>1</v>
      </c>
      <c r="E8647">
        <v>377</v>
      </c>
    </row>
    <row r="8648" spans="1:5" x14ac:dyDescent="0.25">
      <c r="A8648">
        <v>268</v>
      </c>
      <c r="B8648">
        <f t="shared" si="23"/>
        <v>376</v>
      </c>
      <c r="C8648">
        <v>5</v>
      </c>
      <c r="E8648" s="1">
        <v>377</v>
      </c>
    </row>
    <row r="8649" spans="1:5" x14ac:dyDescent="0.25">
      <c r="A8649">
        <v>285</v>
      </c>
      <c r="B8649">
        <f t="shared" si="23"/>
        <v>376</v>
      </c>
      <c r="C8649">
        <v>4</v>
      </c>
      <c r="E8649">
        <v>377</v>
      </c>
    </row>
    <row r="8650" spans="1:5" x14ac:dyDescent="0.25">
      <c r="A8650">
        <v>287</v>
      </c>
      <c r="B8650">
        <f t="shared" si="23"/>
        <v>376</v>
      </c>
      <c r="C8650">
        <v>3</v>
      </c>
      <c r="E8650" s="1">
        <v>377</v>
      </c>
    </row>
    <row r="8651" spans="1:5" x14ac:dyDescent="0.25">
      <c r="A8651">
        <v>289</v>
      </c>
      <c r="B8651">
        <f t="shared" si="23"/>
        <v>376</v>
      </c>
      <c r="C8651">
        <v>5</v>
      </c>
      <c r="E8651">
        <v>377</v>
      </c>
    </row>
    <row r="8652" spans="1:5" x14ac:dyDescent="0.25">
      <c r="A8652">
        <v>9</v>
      </c>
      <c r="B8652">
        <f t="shared" si="23"/>
        <v>377</v>
      </c>
      <c r="C8652">
        <v>5</v>
      </c>
      <c r="E8652" s="1">
        <v>378</v>
      </c>
    </row>
    <row r="8653" spans="1:5" x14ac:dyDescent="0.25">
      <c r="A8653">
        <v>11</v>
      </c>
      <c r="B8653">
        <f t="shared" si="23"/>
        <v>377</v>
      </c>
      <c r="C8653">
        <v>2</v>
      </c>
      <c r="E8653">
        <v>378</v>
      </c>
    </row>
    <row r="8654" spans="1:5" x14ac:dyDescent="0.25">
      <c r="A8654">
        <v>24</v>
      </c>
      <c r="B8654">
        <f t="shared" ref="B8654:B8717" si="24">E8654-1</f>
        <v>377</v>
      </c>
      <c r="C8654">
        <v>3</v>
      </c>
      <c r="E8654" s="1">
        <v>378</v>
      </c>
    </row>
    <row r="8655" spans="1:5" x14ac:dyDescent="0.25">
      <c r="A8655">
        <v>31</v>
      </c>
      <c r="B8655">
        <f t="shared" si="24"/>
        <v>377</v>
      </c>
      <c r="C8655">
        <v>4</v>
      </c>
      <c r="E8655">
        <v>378</v>
      </c>
    </row>
    <row r="8656" spans="1:5" x14ac:dyDescent="0.25">
      <c r="A8656">
        <v>37</v>
      </c>
      <c r="B8656">
        <f t="shared" si="24"/>
        <v>377</v>
      </c>
      <c r="C8656">
        <v>2</v>
      </c>
      <c r="E8656" s="1">
        <v>378</v>
      </c>
    </row>
    <row r="8657" spans="1:5" x14ac:dyDescent="0.25">
      <c r="A8657">
        <v>54</v>
      </c>
      <c r="B8657">
        <f t="shared" si="24"/>
        <v>377</v>
      </c>
      <c r="C8657">
        <v>5</v>
      </c>
      <c r="E8657">
        <v>378</v>
      </c>
    </row>
    <row r="8658" spans="1:5" x14ac:dyDescent="0.25">
      <c r="A8658">
        <v>69</v>
      </c>
      <c r="B8658">
        <f t="shared" si="24"/>
        <v>377</v>
      </c>
      <c r="C8658">
        <v>4</v>
      </c>
      <c r="E8658" s="1">
        <v>378</v>
      </c>
    </row>
    <row r="8659" spans="1:5" x14ac:dyDescent="0.25">
      <c r="A8659">
        <v>69</v>
      </c>
      <c r="B8659">
        <f t="shared" si="24"/>
        <v>377</v>
      </c>
      <c r="C8659">
        <v>2</v>
      </c>
      <c r="E8659">
        <v>378</v>
      </c>
    </row>
    <row r="8660" spans="1:5" x14ac:dyDescent="0.25">
      <c r="A8660">
        <v>80</v>
      </c>
      <c r="B8660">
        <f t="shared" si="24"/>
        <v>377</v>
      </c>
      <c r="C8660">
        <v>2</v>
      </c>
      <c r="E8660" s="1">
        <v>378</v>
      </c>
    </row>
    <row r="8661" spans="1:5" x14ac:dyDescent="0.25">
      <c r="A8661">
        <v>81</v>
      </c>
      <c r="B8661">
        <f t="shared" si="24"/>
        <v>377</v>
      </c>
      <c r="C8661">
        <v>5</v>
      </c>
      <c r="E8661">
        <v>378</v>
      </c>
    </row>
    <row r="8662" spans="1:5" x14ac:dyDescent="0.25">
      <c r="A8662">
        <v>95</v>
      </c>
      <c r="B8662">
        <f t="shared" si="24"/>
        <v>377</v>
      </c>
      <c r="C8662">
        <v>3</v>
      </c>
      <c r="E8662" s="1">
        <v>378</v>
      </c>
    </row>
    <row r="8663" spans="1:5" x14ac:dyDescent="0.25">
      <c r="A8663">
        <v>97</v>
      </c>
      <c r="B8663">
        <f t="shared" si="24"/>
        <v>377</v>
      </c>
      <c r="C8663">
        <v>4</v>
      </c>
      <c r="E8663">
        <v>378</v>
      </c>
    </row>
    <row r="8664" spans="1:5" x14ac:dyDescent="0.25">
      <c r="A8664">
        <v>119</v>
      </c>
      <c r="B8664">
        <f t="shared" si="24"/>
        <v>377</v>
      </c>
      <c r="C8664">
        <v>1</v>
      </c>
      <c r="E8664" s="1">
        <v>378</v>
      </c>
    </row>
    <row r="8665" spans="1:5" x14ac:dyDescent="0.25">
      <c r="A8665">
        <v>127</v>
      </c>
      <c r="B8665">
        <f t="shared" si="24"/>
        <v>377</v>
      </c>
      <c r="C8665">
        <v>2</v>
      </c>
      <c r="E8665">
        <v>378</v>
      </c>
    </row>
    <row r="8666" spans="1:5" x14ac:dyDescent="0.25">
      <c r="A8666">
        <v>143</v>
      </c>
      <c r="B8666">
        <f t="shared" si="24"/>
        <v>377</v>
      </c>
      <c r="C8666">
        <v>2</v>
      </c>
      <c r="E8666" s="1">
        <v>378</v>
      </c>
    </row>
    <row r="8667" spans="1:5" x14ac:dyDescent="0.25">
      <c r="A8667">
        <v>173</v>
      </c>
      <c r="B8667">
        <f t="shared" si="24"/>
        <v>377</v>
      </c>
      <c r="C8667">
        <v>1</v>
      </c>
      <c r="E8667">
        <v>378</v>
      </c>
    </row>
    <row r="8668" spans="1:5" x14ac:dyDescent="0.25">
      <c r="A8668">
        <v>178</v>
      </c>
      <c r="B8668">
        <f t="shared" si="24"/>
        <v>377</v>
      </c>
      <c r="C8668">
        <v>3</v>
      </c>
      <c r="E8668" s="1">
        <v>378</v>
      </c>
    </row>
    <row r="8669" spans="1:5" x14ac:dyDescent="0.25">
      <c r="A8669">
        <v>189</v>
      </c>
      <c r="B8669">
        <f t="shared" si="24"/>
        <v>377</v>
      </c>
      <c r="C8669">
        <v>3</v>
      </c>
      <c r="E8669">
        <v>378</v>
      </c>
    </row>
    <row r="8670" spans="1:5" x14ac:dyDescent="0.25">
      <c r="A8670">
        <v>225</v>
      </c>
      <c r="B8670">
        <f t="shared" si="24"/>
        <v>377</v>
      </c>
      <c r="C8670">
        <v>5</v>
      </c>
      <c r="E8670" s="1">
        <v>378</v>
      </c>
    </row>
    <row r="8671" spans="1:5" x14ac:dyDescent="0.25">
      <c r="A8671">
        <v>230</v>
      </c>
      <c r="B8671">
        <f t="shared" si="24"/>
        <v>377</v>
      </c>
      <c r="C8671">
        <v>2</v>
      </c>
      <c r="E8671">
        <v>378</v>
      </c>
    </row>
    <row r="8672" spans="1:5" x14ac:dyDescent="0.25">
      <c r="A8672">
        <v>240</v>
      </c>
      <c r="B8672">
        <f t="shared" si="24"/>
        <v>377</v>
      </c>
      <c r="C8672">
        <v>5</v>
      </c>
      <c r="E8672" s="1">
        <v>378</v>
      </c>
    </row>
    <row r="8673" spans="1:5" x14ac:dyDescent="0.25">
      <c r="A8673">
        <v>266</v>
      </c>
      <c r="B8673">
        <f t="shared" si="24"/>
        <v>377</v>
      </c>
      <c r="C8673">
        <v>1</v>
      </c>
      <c r="E8673">
        <v>378</v>
      </c>
    </row>
    <row r="8674" spans="1:5" x14ac:dyDescent="0.25">
      <c r="A8674">
        <v>272</v>
      </c>
      <c r="B8674">
        <f t="shared" si="24"/>
        <v>377</v>
      </c>
      <c r="C8674">
        <v>4</v>
      </c>
      <c r="E8674" s="1">
        <v>378</v>
      </c>
    </row>
    <row r="8675" spans="1:5" x14ac:dyDescent="0.25">
      <c r="A8675">
        <v>273</v>
      </c>
      <c r="B8675">
        <f t="shared" si="24"/>
        <v>377</v>
      </c>
      <c r="C8675">
        <v>4</v>
      </c>
      <c r="E8675">
        <v>378</v>
      </c>
    </row>
    <row r="8676" spans="1:5" x14ac:dyDescent="0.25">
      <c r="A8676">
        <v>288</v>
      </c>
      <c r="B8676">
        <f t="shared" si="24"/>
        <v>377</v>
      </c>
      <c r="C8676">
        <v>2</v>
      </c>
      <c r="E8676" s="1">
        <v>378</v>
      </c>
    </row>
    <row r="8677" spans="1:5" x14ac:dyDescent="0.25">
      <c r="A8677">
        <v>6</v>
      </c>
      <c r="B8677">
        <f t="shared" si="24"/>
        <v>378</v>
      </c>
      <c r="C8677">
        <v>4</v>
      </c>
      <c r="E8677">
        <v>379</v>
      </c>
    </row>
    <row r="8678" spans="1:5" x14ac:dyDescent="0.25">
      <c r="A8678">
        <v>12</v>
      </c>
      <c r="B8678">
        <f t="shared" si="24"/>
        <v>378</v>
      </c>
      <c r="C8678">
        <v>4</v>
      </c>
      <c r="E8678" s="1">
        <v>379</v>
      </c>
    </row>
    <row r="8679" spans="1:5" x14ac:dyDescent="0.25">
      <c r="A8679">
        <v>36</v>
      </c>
      <c r="B8679">
        <f t="shared" si="24"/>
        <v>378</v>
      </c>
      <c r="C8679">
        <v>4</v>
      </c>
      <c r="E8679">
        <v>379</v>
      </c>
    </row>
    <row r="8680" spans="1:5" x14ac:dyDescent="0.25">
      <c r="A8680">
        <v>41</v>
      </c>
      <c r="B8680">
        <f t="shared" si="24"/>
        <v>378</v>
      </c>
      <c r="C8680">
        <v>4</v>
      </c>
      <c r="E8680" s="1">
        <v>379</v>
      </c>
    </row>
    <row r="8681" spans="1:5" x14ac:dyDescent="0.25">
      <c r="A8681">
        <v>70</v>
      </c>
      <c r="B8681">
        <f t="shared" si="24"/>
        <v>378</v>
      </c>
      <c r="C8681">
        <v>2</v>
      </c>
      <c r="E8681">
        <v>379</v>
      </c>
    </row>
    <row r="8682" spans="1:5" x14ac:dyDescent="0.25">
      <c r="A8682">
        <v>83</v>
      </c>
      <c r="B8682">
        <f t="shared" si="24"/>
        <v>378</v>
      </c>
      <c r="C8682">
        <v>2</v>
      </c>
      <c r="E8682" s="1">
        <v>379</v>
      </c>
    </row>
    <row r="8683" spans="1:5" x14ac:dyDescent="0.25">
      <c r="A8683">
        <v>96</v>
      </c>
      <c r="B8683">
        <f t="shared" si="24"/>
        <v>378</v>
      </c>
      <c r="C8683">
        <v>4</v>
      </c>
      <c r="E8683">
        <v>379</v>
      </c>
    </row>
    <row r="8684" spans="1:5" x14ac:dyDescent="0.25">
      <c r="A8684">
        <v>117</v>
      </c>
      <c r="B8684">
        <f t="shared" si="24"/>
        <v>378</v>
      </c>
      <c r="C8684">
        <v>4</v>
      </c>
      <c r="E8684" s="1">
        <v>379</v>
      </c>
    </row>
    <row r="8685" spans="1:5" x14ac:dyDescent="0.25">
      <c r="A8685">
        <v>120</v>
      </c>
      <c r="B8685">
        <f t="shared" si="24"/>
        <v>378</v>
      </c>
      <c r="C8685">
        <v>5</v>
      </c>
      <c r="E8685">
        <v>379</v>
      </c>
    </row>
    <row r="8686" spans="1:5" x14ac:dyDescent="0.25">
      <c r="A8686">
        <v>133</v>
      </c>
      <c r="B8686">
        <f t="shared" si="24"/>
        <v>378</v>
      </c>
      <c r="C8686">
        <v>4</v>
      </c>
      <c r="E8686" s="1">
        <v>379</v>
      </c>
    </row>
    <row r="8687" spans="1:5" x14ac:dyDescent="0.25">
      <c r="A8687">
        <v>156</v>
      </c>
      <c r="B8687">
        <f t="shared" si="24"/>
        <v>378</v>
      </c>
      <c r="C8687">
        <v>4</v>
      </c>
      <c r="E8687">
        <v>379</v>
      </c>
    </row>
    <row r="8688" spans="1:5" x14ac:dyDescent="0.25">
      <c r="A8688">
        <v>163</v>
      </c>
      <c r="B8688">
        <f t="shared" si="24"/>
        <v>378</v>
      </c>
      <c r="C8688">
        <v>1</v>
      </c>
      <c r="E8688" s="1">
        <v>379</v>
      </c>
    </row>
    <row r="8689" spans="1:5" x14ac:dyDescent="0.25">
      <c r="A8689">
        <v>174</v>
      </c>
      <c r="B8689">
        <f t="shared" si="24"/>
        <v>378</v>
      </c>
      <c r="C8689">
        <v>2</v>
      </c>
      <c r="E8689">
        <v>379</v>
      </c>
    </row>
    <row r="8690" spans="1:5" x14ac:dyDescent="0.25">
      <c r="A8690">
        <v>179</v>
      </c>
      <c r="B8690">
        <f t="shared" si="24"/>
        <v>378</v>
      </c>
      <c r="C8690">
        <v>4</v>
      </c>
      <c r="E8690" s="1">
        <v>379</v>
      </c>
    </row>
    <row r="8691" spans="1:5" x14ac:dyDescent="0.25">
      <c r="A8691">
        <v>214</v>
      </c>
      <c r="B8691">
        <f t="shared" si="24"/>
        <v>378</v>
      </c>
      <c r="C8691">
        <v>5</v>
      </c>
      <c r="E8691">
        <v>379</v>
      </c>
    </row>
    <row r="8692" spans="1:5" x14ac:dyDescent="0.25">
      <c r="A8692">
        <v>246</v>
      </c>
      <c r="B8692">
        <f t="shared" si="24"/>
        <v>378</v>
      </c>
      <c r="C8692">
        <v>1</v>
      </c>
      <c r="E8692" s="1">
        <v>379</v>
      </c>
    </row>
    <row r="8693" spans="1:5" x14ac:dyDescent="0.25">
      <c r="A8693">
        <v>275</v>
      </c>
      <c r="B8693">
        <f t="shared" si="24"/>
        <v>378</v>
      </c>
      <c r="C8693">
        <v>3</v>
      </c>
      <c r="E8693">
        <v>379</v>
      </c>
    </row>
    <row r="8694" spans="1:5" x14ac:dyDescent="0.25">
      <c r="A8694">
        <v>290</v>
      </c>
      <c r="B8694">
        <f t="shared" si="24"/>
        <v>378</v>
      </c>
      <c r="C8694">
        <v>1</v>
      </c>
      <c r="E8694" s="1">
        <v>379</v>
      </c>
    </row>
    <row r="8695" spans="1:5" x14ac:dyDescent="0.25">
      <c r="A8695">
        <v>35</v>
      </c>
      <c r="B8695">
        <f t="shared" si="24"/>
        <v>379</v>
      </c>
      <c r="C8695">
        <v>5</v>
      </c>
      <c r="E8695">
        <v>380</v>
      </c>
    </row>
    <row r="8696" spans="1:5" x14ac:dyDescent="0.25">
      <c r="A8696">
        <v>48</v>
      </c>
      <c r="B8696">
        <f t="shared" si="24"/>
        <v>379</v>
      </c>
      <c r="C8696">
        <v>5</v>
      </c>
      <c r="E8696" s="1">
        <v>380</v>
      </c>
    </row>
    <row r="8697" spans="1:5" x14ac:dyDescent="0.25">
      <c r="A8697">
        <v>92</v>
      </c>
      <c r="B8697">
        <f t="shared" si="24"/>
        <v>379</v>
      </c>
      <c r="C8697">
        <v>3</v>
      </c>
      <c r="E8697">
        <v>380</v>
      </c>
    </row>
    <row r="8698" spans="1:5" x14ac:dyDescent="0.25">
      <c r="A8698">
        <v>120</v>
      </c>
      <c r="B8698">
        <f t="shared" si="24"/>
        <v>379</v>
      </c>
      <c r="C8698">
        <v>5</v>
      </c>
      <c r="E8698" s="1">
        <v>380</v>
      </c>
    </row>
    <row r="8699" spans="1:5" x14ac:dyDescent="0.25">
      <c r="A8699">
        <v>121</v>
      </c>
      <c r="B8699">
        <f t="shared" si="24"/>
        <v>379</v>
      </c>
      <c r="C8699">
        <v>3</v>
      </c>
      <c r="E8699">
        <v>380</v>
      </c>
    </row>
    <row r="8700" spans="1:5" x14ac:dyDescent="0.25">
      <c r="A8700">
        <v>122</v>
      </c>
      <c r="B8700">
        <f t="shared" si="24"/>
        <v>379</v>
      </c>
      <c r="C8700">
        <v>1</v>
      </c>
      <c r="E8700" s="1">
        <v>380</v>
      </c>
    </row>
    <row r="8701" spans="1:5" x14ac:dyDescent="0.25">
      <c r="A8701">
        <v>131</v>
      </c>
      <c r="B8701">
        <f t="shared" si="24"/>
        <v>379</v>
      </c>
      <c r="C8701">
        <v>3</v>
      </c>
      <c r="E8701">
        <v>380</v>
      </c>
    </row>
    <row r="8702" spans="1:5" x14ac:dyDescent="0.25">
      <c r="A8702">
        <v>138</v>
      </c>
      <c r="B8702">
        <f t="shared" si="24"/>
        <v>379</v>
      </c>
      <c r="C8702">
        <v>5</v>
      </c>
      <c r="E8702" s="1">
        <v>380</v>
      </c>
    </row>
    <row r="8703" spans="1:5" x14ac:dyDescent="0.25">
      <c r="A8703">
        <v>145</v>
      </c>
      <c r="B8703">
        <f t="shared" si="24"/>
        <v>379</v>
      </c>
      <c r="C8703">
        <v>1</v>
      </c>
      <c r="E8703">
        <v>380</v>
      </c>
    </row>
    <row r="8704" spans="1:5" x14ac:dyDescent="0.25">
      <c r="A8704">
        <v>157</v>
      </c>
      <c r="B8704">
        <f t="shared" si="24"/>
        <v>379</v>
      </c>
      <c r="C8704">
        <v>5</v>
      </c>
      <c r="E8704" s="1">
        <v>380</v>
      </c>
    </row>
    <row r="8705" spans="1:5" x14ac:dyDescent="0.25">
      <c r="A8705">
        <v>194</v>
      </c>
      <c r="B8705">
        <f t="shared" si="24"/>
        <v>379</v>
      </c>
      <c r="C8705">
        <v>2</v>
      </c>
      <c r="E8705">
        <v>380</v>
      </c>
    </row>
    <row r="8706" spans="1:5" x14ac:dyDescent="0.25">
      <c r="A8706">
        <v>196</v>
      </c>
      <c r="B8706">
        <f t="shared" si="24"/>
        <v>379</v>
      </c>
      <c r="C8706">
        <v>1</v>
      </c>
      <c r="E8706" s="1">
        <v>380</v>
      </c>
    </row>
    <row r="8707" spans="1:5" x14ac:dyDescent="0.25">
      <c r="A8707">
        <v>208</v>
      </c>
      <c r="B8707">
        <f t="shared" si="24"/>
        <v>379</v>
      </c>
      <c r="C8707">
        <v>4</v>
      </c>
      <c r="E8707">
        <v>380</v>
      </c>
    </row>
    <row r="8708" spans="1:5" x14ac:dyDescent="0.25">
      <c r="A8708">
        <v>209</v>
      </c>
      <c r="B8708">
        <f t="shared" si="24"/>
        <v>379</v>
      </c>
      <c r="C8708">
        <v>1</v>
      </c>
      <c r="E8708" s="1">
        <v>380</v>
      </c>
    </row>
    <row r="8709" spans="1:5" x14ac:dyDescent="0.25">
      <c r="A8709">
        <v>233</v>
      </c>
      <c r="B8709">
        <f t="shared" si="24"/>
        <v>379</v>
      </c>
      <c r="C8709">
        <v>1</v>
      </c>
      <c r="E8709">
        <v>380</v>
      </c>
    </row>
    <row r="8710" spans="1:5" x14ac:dyDescent="0.25">
      <c r="A8710">
        <v>258</v>
      </c>
      <c r="B8710">
        <f t="shared" si="24"/>
        <v>379</v>
      </c>
      <c r="C8710">
        <v>2</v>
      </c>
      <c r="E8710" s="1">
        <v>380</v>
      </c>
    </row>
    <row r="8711" spans="1:5" x14ac:dyDescent="0.25">
      <c r="A8711">
        <v>5</v>
      </c>
      <c r="B8711">
        <f t="shared" si="24"/>
        <v>380</v>
      </c>
      <c r="C8711">
        <v>3</v>
      </c>
      <c r="E8711">
        <v>381</v>
      </c>
    </row>
    <row r="8712" spans="1:5" x14ac:dyDescent="0.25">
      <c r="A8712">
        <v>78</v>
      </c>
      <c r="B8712">
        <f t="shared" si="24"/>
        <v>380</v>
      </c>
      <c r="C8712">
        <v>3</v>
      </c>
      <c r="E8712" s="1">
        <v>381</v>
      </c>
    </row>
    <row r="8713" spans="1:5" x14ac:dyDescent="0.25">
      <c r="A8713">
        <v>94</v>
      </c>
      <c r="B8713">
        <f t="shared" si="24"/>
        <v>380</v>
      </c>
      <c r="C8713">
        <v>2</v>
      </c>
      <c r="E8713">
        <v>381</v>
      </c>
    </row>
    <row r="8714" spans="1:5" x14ac:dyDescent="0.25">
      <c r="A8714">
        <v>97</v>
      </c>
      <c r="B8714">
        <f t="shared" si="24"/>
        <v>380</v>
      </c>
      <c r="C8714">
        <v>4</v>
      </c>
      <c r="E8714" s="1">
        <v>381</v>
      </c>
    </row>
    <row r="8715" spans="1:5" x14ac:dyDescent="0.25">
      <c r="A8715">
        <v>98</v>
      </c>
      <c r="B8715">
        <f t="shared" si="24"/>
        <v>380</v>
      </c>
      <c r="C8715">
        <v>2</v>
      </c>
      <c r="E8715">
        <v>381</v>
      </c>
    </row>
    <row r="8716" spans="1:5" x14ac:dyDescent="0.25">
      <c r="A8716">
        <v>118</v>
      </c>
      <c r="B8716">
        <f t="shared" si="24"/>
        <v>380</v>
      </c>
      <c r="C8716">
        <v>3</v>
      </c>
      <c r="E8716" s="1">
        <v>381</v>
      </c>
    </row>
    <row r="8717" spans="1:5" x14ac:dyDescent="0.25">
      <c r="A8717">
        <v>123</v>
      </c>
      <c r="B8717">
        <f t="shared" si="24"/>
        <v>380</v>
      </c>
      <c r="C8717">
        <v>1</v>
      </c>
      <c r="E8717">
        <v>381</v>
      </c>
    </row>
    <row r="8718" spans="1:5" x14ac:dyDescent="0.25">
      <c r="A8718">
        <v>125</v>
      </c>
      <c r="B8718">
        <f t="shared" ref="B8718:B8781" si="25">E8718-1</f>
        <v>380</v>
      </c>
      <c r="C8718">
        <v>5</v>
      </c>
      <c r="E8718" s="1">
        <v>381</v>
      </c>
    </row>
    <row r="8719" spans="1:5" x14ac:dyDescent="0.25">
      <c r="A8719">
        <v>132</v>
      </c>
      <c r="B8719">
        <f t="shared" si="25"/>
        <v>380</v>
      </c>
      <c r="C8719">
        <v>2</v>
      </c>
      <c r="E8719">
        <v>381</v>
      </c>
    </row>
    <row r="8720" spans="1:5" x14ac:dyDescent="0.25">
      <c r="A8720">
        <v>134</v>
      </c>
      <c r="B8720">
        <f t="shared" si="25"/>
        <v>380</v>
      </c>
      <c r="C8720">
        <v>2</v>
      </c>
      <c r="E8720" s="1">
        <v>381</v>
      </c>
    </row>
    <row r="8721" spans="1:5" x14ac:dyDescent="0.25">
      <c r="A8721">
        <v>142</v>
      </c>
      <c r="B8721">
        <f t="shared" si="25"/>
        <v>380</v>
      </c>
      <c r="C8721">
        <v>1</v>
      </c>
      <c r="E8721">
        <v>381</v>
      </c>
    </row>
    <row r="8722" spans="1:5" x14ac:dyDescent="0.25">
      <c r="A8722">
        <v>144</v>
      </c>
      <c r="B8722">
        <f t="shared" si="25"/>
        <v>380</v>
      </c>
      <c r="C8722">
        <v>1</v>
      </c>
      <c r="E8722" s="1">
        <v>381</v>
      </c>
    </row>
    <row r="8723" spans="1:5" x14ac:dyDescent="0.25">
      <c r="A8723">
        <v>151</v>
      </c>
      <c r="B8723">
        <f t="shared" si="25"/>
        <v>380</v>
      </c>
      <c r="C8723">
        <v>4</v>
      </c>
      <c r="E8723">
        <v>381</v>
      </c>
    </row>
    <row r="8724" spans="1:5" x14ac:dyDescent="0.25">
      <c r="A8724">
        <v>179</v>
      </c>
      <c r="B8724">
        <f t="shared" si="25"/>
        <v>380</v>
      </c>
      <c r="C8724">
        <v>4</v>
      </c>
      <c r="E8724" s="1">
        <v>381</v>
      </c>
    </row>
    <row r="8725" spans="1:5" x14ac:dyDescent="0.25">
      <c r="A8725">
        <v>181</v>
      </c>
      <c r="B8725">
        <f t="shared" si="25"/>
        <v>380</v>
      </c>
      <c r="C8725">
        <v>1</v>
      </c>
      <c r="E8725">
        <v>381</v>
      </c>
    </row>
    <row r="8726" spans="1:5" x14ac:dyDescent="0.25">
      <c r="A8726">
        <v>181</v>
      </c>
      <c r="B8726">
        <f t="shared" si="25"/>
        <v>380</v>
      </c>
      <c r="C8726">
        <v>5</v>
      </c>
      <c r="E8726" s="1">
        <v>381</v>
      </c>
    </row>
    <row r="8727" spans="1:5" x14ac:dyDescent="0.25">
      <c r="A8727">
        <v>198</v>
      </c>
      <c r="B8727">
        <f t="shared" si="25"/>
        <v>380</v>
      </c>
      <c r="C8727">
        <v>5</v>
      </c>
      <c r="E8727">
        <v>381</v>
      </c>
    </row>
    <row r="8728" spans="1:5" x14ac:dyDescent="0.25">
      <c r="A8728">
        <v>202</v>
      </c>
      <c r="B8728">
        <f t="shared" si="25"/>
        <v>380</v>
      </c>
      <c r="C8728">
        <v>5</v>
      </c>
      <c r="E8728" s="1">
        <v>381</v>
      </c>
    </row>
    <row r="8729" spans="1:5" x14ac:dyDescent="0.25">
      <c r="A8729">
        <v>202</v>
      </c>
      <c r="B8729">
        <f t="shared" si="25"/>
        <v>380</v>
      </c>
      <c r="C8729">
        <v>1</v>
      </c>
      <c r="E8729">
        <v>381</v>
      </c>
    </row>
    <row r="8730" spans="1:5" x14ac:dyDescent="0.25">
      <c r="A8730">
        <v>203</v>
      </c>
      <c r="B8730">
        <f t="shared" si="25"/>
        <v>380</v>
      </c>
      <c r="C8730">
        <v>3</v>
      </c>
      <c r="E8730" s="1">
        <v>381</v>
      </c>
    </row>
    <row r="8731" spans="1:5" x14ac:dyDescent="0.25">
      <c r="A8731">
        <v>209</v>
      </c>
      <c r="B8731">
        <f t="shared" si="25"/>
        <v>380</v>
      </c>
      <c r="C8731">
        <v>5</v>
      </c>
      <c r="E8731">
        <v>381</v>
      </c>
    </row>
    <row r="8732" spans="1:5" x14ac:dyDescent="0.25">
      <c r="A8732">
        <v>219</v>
      </c>
      <c r="B8732">
        <f t="shared" si="25"/>
        <v>380</v>
      </c>
      <c r="C8732">
        <v>4</v>
      </c>
      <c r="E8732" s="1">
        <v>381</v>
      </c>
    </row>
    <row r="8733" spans="1:5" x14ac:dyDescent="0.25">
      <c r="A8733">
        <v>225</v>
      </c>
      <c r="B8733">
        <f t="shared" si="25"/>
        <v>380</v>
      </c>
      <c r="C8733">
        <v>1</v>
      </c>
      <c r="E8733">
        <v>381</v>
      </c>
    </row>
    <row r="8734" spans="1:5" x14ac:dyDescent="0.25">
      <c r="A8734">
        <v>231</v>
      </c>
      <c r="B8734">
        <f t="shared" si="25"/>
        <v>380</v>
      </c>
      <c r="C8734">
        <v>1</v>
      </c>
      <c r="E8734" s="1">
        <v>381</v>
      </c>
    </row>
    <row r="8735" spans="1:5" x14ac:dyDescent="0.25">
      <c r="A8735">
        <v>237</v>
      </c>
      <c r="B8735">
        <f t="shared" si="25"/>
        <v>380</v>
      </c>
      <c r="C8735">
        <v>1</v>
      </c>
      <c r="E8735">
        <v>381</v>
      </c>
    </row>
    <row r="8736" spans="1:5" x14ac:dyDescent="0.25">
      <c r="A8736">
        <v>260</v>
      </c>
      <c r="B8736">
        <f t="shared" si="25"/>
        <v>380</v>
      </c>
      <c r="C8736">
        <v>2</v>
      </c>
      <c r="E8736" s="1">
        <v>381</v>
      </c>
    </row>
    <row r="8737" spans="1:5" x14ac:dyDescent="0.25">
      <c r="A8737">
        <v>268</v>
      </c>
      <c r="B8737">
        <f t="shared" si="25"/>
        <v>380</v>
      </c>
      <c r="C8737">
        <v>5</v>
      </c>
      <c r="E8737">
        <v>381</v>
      </c>
    </row>
    <row r="8738" spans="1:5" x14ac:dyDescent="0.25">
      <c r="A8738">
        <v>274</v>
      </c>
      <c r="B8738">
        <f t="shared" si="25"/>
        <v>380</v>
      </c>
      <c r="C8738">
        <v>5</v>
      </c>
      <c r="E8738" s="1">
        <v>381</v>
      </c>
    </row>
    <row r="8739" spans="1:5" x14ac:dyDescent="0.25">
      <c r="A8739">
        <v>276</v>
      </c>
      <c r="B8739">
        <f t="shared" si="25"/>
        <v>380</v>
      </c>
      <c r="C8739">
        <v>5</v>
      </c>
      <c r="E8739">
        <v>381</v>
      </c>
    </row>
    <row r="8740" spans="1:5" x14ac:dyDescent="0.25">
      <c r="A8740">
        <v>3</v>
      </c>
      <c r="B8740">
        <f t="shared" si="25"/>
        <v>381</v>
      </c>
      <c r="C8740">
        <v>2</v>
      </c>
      <c r="E8740" s="1">
        <v>382</v>
      </c>
    </row>
    <row r="8741" spans="1:5" x14ac:dyDescent="0.25">
      <c r="A8741">
        <v>6</v>
      </c>
      <c r="B8741">
        <f t="shared" si="25"/>
        <v>381</v>
      </c>
      <c r="C8741">
        <v>2</v>
      </c>
      <c r="E8741">
        <v>382</v>
      </c>
    </row>
    <row r="8742" spans="1:5" x14ac:dyDescent="0.25">
      <c r="A8742">
        <v>19</v>
      </c>
      <c r="B8742">
        <f t="shared" si="25"/>
        <v>381</v>
      </c>
      <c r="C8742">
        <v>4</v>
      </c>
      <c r="E8742" s="1">
        <v>382</v>
      </c>
    </row>
    <row r="8743" spans="1:5" x14ac:dyDescent="0.25">
      <c r="A8743">
        <v>28</v>
      </c>
      <c r="B8743">
        <f t="shared" si="25"/>
        <v>381</v>
      </c>
      <c r="C8743">
        <v>4</v>
      </c>
      <c r="E8743">
        <v>382</v>
      </c>
    </row>
    <row r="8744" spans="1:5" x14ac:dyDescent="0.25">
      <c r="A8744">
        <v>44</v>
      </c>
      <c r="B8744">
        <f t="shared" si="25"/>
        <v>381</v>
      </c>
      <c r="C8744">
        <v>4</v>
      </c>
      <c r="E8744" s="1">
        <v>382</v>
      </c>
    </row>
    <row r="8745" spans="1:5" x14ac:dyDescent="0.25">
      <c r="A8745">
        <v>55</v>
      </c>
      <c r="B8745">
        <f t="shared" si="25"/>
        <v>381</v>
      </c>
      <c r="C8745">
        <v>3</v>
      </c>
      <c r="E8745">
        <v>382</v>
      </c>
    </row>
    <row r="8746" spans="1:5" x14ac:dyDescent="0.25">
      <c r="A8746">
        <v>77</v>
      </c>
      <c r="B8746">
        <f t="shared" si="25"/>
        <v>381</v>
      </c>
      <c r="C8746">
        <v>5</v>
      </c>
      <c r="E8746" s="1">
        <v>382</v>
      </c>
    </row>
    <row r="8747" spans="1:5" x14ac:dyDescent="0.25">
      <c r="A8747">
        <v>80</v>
      </c>
      <c r="B8747">
        <f t="shared" si="25"/>
        <v>381</v>
      </c>
      <c r="C8747">
        <v>5</v>
      </c>
      <c r="E8747">
        <v>382</v>
      </c>
    </row>
    <row r="8748" spans="1:5" x14ac:dyDescent="0.25">
      <c r="A8748">
        <v>164</v>
      </c>
      <c r="B8748">
        <f t="shared" si="25"/>
        <v>381</v>
      </c>
      <c r="C8748">
        <v>5</v>
      </c>
      <c r="E8748" s="1">
        <v>382</v>
      </c>
    </row>
    <row r="8749" spans="1:5" x14ac:dyDescent="0.25">
      <c r="A8749">
        <v>172</v>
      </c>
      <c r="B8749">
        <f t="shared" si="25"/>
        <v>381</v>
      </c>
      <c r="C8749">
        <v>3</v>
      </c>
      <c r="E8749">
        <v>382</v>
      </c>
    </row>
    <row r="8750" spans="1:5" x14ac:dyDescent="0.25">
      <c r="A8750">
        <v>186</v>
      </c>
      <c r="B8750">
        <f t="shared" si="25"/>
        <v>381</v>
      </c>
      <c r="C8750">
        <v>3</v>
      </c>
      <c r="E8750" s="1">
        <v>382</v>
      </c>
    </row>
    <row r="8751" spans="1:5" x14ac:dyDescent="0.25">
      <c r="A8751">
        <v>190</v>
      </c>
      <c r="B8751">
        <f t="shared" si="25"/>
        <v>381</v>
      </c>
      <c r="C8751">
        <v>2</v>
      </c>
      <c r="E8751">
        <v>382</v>
      </c>
    </row>
    <row r="8752" spans="1:5" x14ac:dyDescent="0.25">
      <c r="A8752">
        <v>215</v>
      </c>
      <c r="B8752">
        <f t="shared" si="25"/>
        <v>381</v>
      </c>
      <c r="C8752">
        <v>3</v>
      </c>
      <c r="E8752" s="1">
        <v>382</v>
      </c>
    </row>
    <row r="8753" spans="1:5" x14ac:dyDescent="0.25">
      <c r="A8753">
        <v>216</v>
      </c>
      <c r="B8753">
        <f t="shared" si="25"/>
        <v>381</v>
      </c>
      <c r="C8753">
        <v>5</v>
      </c>
      <c r="E8753">
        <v>382</v>
      </c>
    </row>
    <row r="8754" spans="1:5" x14ac:dyDescent="0.25">
      <c r="A8754">
        <v>222</v>
      </c>
      <c r="B8754">
        <f t="shared" si="25"/>
        <v>381</v>
      </c>
      <c r="C8754">
        <v>2</v>
      </c>
      <c r="E8754" s="1">
        <v>382</v>
      </c>
    </row>
    <row r="8755" spans="1:5" x14ac:dyDescent="0.25">
      <c r="A8755">
        <v>231</v>
      </c>
      <c r="B8755">
        <f t="shared" si="25"/>
        <v>381</v>
      </c>
      <c r="C8755">
        <v>5</v>
      </c>
      <c r="E8755">
        <v>382</v>
      </c>
    </row>
    <row r="8756" spans="1:5" x14ac:dyDescent="0.25">
      <c r="A8756">
        <v>233</v>
      </c>
      <c r="B8756">
        <f t="shared" si="25"/>
        <v>381</v>
      </c>
      <c r="C8756">
        <v>4</v>
      </c>
      <c r="E8756" s="1">
        <v>382</v>
      </c>
    </row>
    <row r="8757" spans="1:5" x14ac:dyDescent="0.25">
      <c r="A8757">
        <v>235</v>
      </c>
      <c r="B8757">
        <f t="shared" si="25"/>
        <v>381</v>
      </c>
      <c r="C8757">
        <v>4</v>
      </c>
      <c r="E8757">
        <v>382</v>
      </c>
    </row>
    <row r="8758" spans="1:5" x14ac:dyDescent="0.25">
      <c r="A8758">
        <v>267</v>
      </c>
      <c r="B8758">
        <f t="shared" si="25"/>
        <v>381</v>
      </c>
      <c r="C8758">
        <v>1</v>
      </c>
      <c r="E8758" s="1">
        <v>382</v>
      </c>
    </row>
    <row r="8759" spans="1:5" x14ac:dyDescent="0.25">
      <c r="A8759">
        <v>272</v>
      </c>
      <c r="B8759">
        <f t="shared" si="25"/>
        <v>381</v>
      </c>
      <c r="C8759">
        <v>1</v>
      </c>
      <c r="E8759">
        <v>382</v>
      </c>
    </row>
    <row r="8760" spans="1:5" x14ac:dyDescent="0.25">
      <c r="A8760">
        <v>292</v>
      </c>
      <c r="B8760">
        <f t="shared" si="25"/>
        <v>381</v>
      </c>
      <c r="C8760">
        <v>2</v>
      </c>
      <c r="E8760" s="1">
        <v>382</v>
      </c>
    </row>
    <row r="8761" spans="1:5" x14ac:dyDescent="0.25">
      <c r="A8761">
        <v>4</v>
      </c>
      <c r="B8761">
        <f t="shared" si="25"/>
        <v>382</v>
      </c>
      <c r="C8761">
        <v>2</v>
      </c>
      <c r="E8761">
        <v>383</v>
      </c>
    </row>
    <row r="8762" spans="1:5" x14ac:dyDescent="0.25">
      <c r="A8762">
        <v>44</v>
      </c>
      <c r="B8762">
        <f t="shared" si="25"/>
        <v>382</v>
      </c>
      <c r="C8762">
        <v>3</v>
      </c>
      <c r="E8762" s="1">
        <v>383</v>
      </c>
    </row>
    <row r="8763" spans="1:5" x14ac:dyDescent="0.25">
      <c r="A8763">
        <v>60</v>
      </c>
      <c r="B8763">
        <f t="shared" si="25"/>
        <v>382</v>
      </c>
      <c r="C8763">
        <v>2</v>
      </c>
      <c r="E8763">
        <v>383</v>
      </c>
    </row>
    <row r="8764" spans="1:5" x14ac:dyDescent="0.25">
      <c r="A8764">
        <v>89</v>
      </c>
      <c r="B8764">
        <f t="shared" si="25"/>
        <v>382</v>
      </c>
      <c r="C8764">
        <v>1</v>
      </c>
      <c r="E8764" s="1">
        <v>383</v>
      </c>
    </row>
    <row r="8765" spans="1:5" x14ac:dyDescent="0.25">
      <c r="A8765">
        <v>91</v>
      </c>
      <c r="B8765">
        <f t="shared" si="25"/>
        <v>382</v>
      </c>
      <c r="C8765">
        <v>5</v>
      </c>
      <c r="E8765">
        <v>383</v>
      </c>
    </row>
    <row r="8766" spans="1:5" x14ac:dyDescent="0.25">
      <c r="A8766">
        <v>117</v>
      </c>
      <c r="B8766">
        <f t="shared" si="25"/>
        <v>382</v>
      </c>
      <c r="C8766">
        <v>3</v>
      </c>
      <c r="E8766" s="1">
        <v>383</v>
      </c>
    </row>
    <row r="8767" spans="1:5" x14ac:dyDescent="0.25">
      <c r="A8767">
        <v>121</v>
      </c>
      <c r="B8767">
        <f t="shared" si="25"/>
        <v>382</v>
      </c>
      <c r="C8767">
        <v>2</v>
      </c>
      <c r="E8767">
        <v>383</v>
      </c>
    </row>
    <row r="8768" spans="1:5" x14ac:dyDescent="0.25">
      <c r="A8768">
        <v>121</v>
      </c>
      <c r="B8768">
        <f t="shared" si="25"/>
        <v>382</v>
      </c>
      <c r="C8768">
        <v>1</v>
      </c>
      <c r="E8768" s="1">
        <v>383</v>
      </c>
    </row>
    <row r="8769" spans="1:5" x14ac:dyDescent="0.25">
      <c r="A8769">
        <v>126</v>
      </c>
      <c r="B8769">
        <f t="shared" si="25"/>
        <v>382</v>
      </c>
      <c r="C8769">
        <v>2</v>
      </c>
      <c r="E8769">
        <v>383</v>
      </c>
    </row>
    <row r="8770" spans="1:5" x14ac:dyDescent="0.25">
      <c r="A8770">
        <v>161</v>
      </c>
      <c r="B8770">
        <f t="shared" si="25"/>
        <v>382</v>
      </c>
      <c r="C8770">
        <v>5</v>
      </c>
      <c r="E8770" s="1">
        <v>383</v>
      </c>
    </row>
    <row r="8771" spans="1:5" x14ac:dyDescent="0.25">
      <c r="A8771">
        <v>163</v>
      </c>
      <c r="B8771">
        <f t="shared" si="25"/>
        <v>382</v>
      </c>
      <c r="C8771">
        <v>2</v>
      </c>
      <c r="E8771">
        <v>383</v>
      </c>
    </row>
    <row r="8772" spans="1:5" x14ac:dyDescent="0.25">
      <c r="A8772">
        <v>173</v>
      </c>
      <c r="B8772">
        <f t="shared" si="25"/>
        <v>382</v>
      </c>
      <c r="C8772">
        <v>2</v>
      </c>
      <c r="E8772" s="1">
        <v>383</v>
      </c>
    </row>
    <row r="8773" spans="1:5" x14ac:dyDescent="0.25">
      <c r="A8773">
        <v>179</v>
      </c>
      <c r="B8773">
        <f t="shared" si="25"/>
        <v>382</v>
      </c>
      <c r="C8773">
        <v>4</v>
      </c>
      <c r="E8773">
        <v>383</v>
      </c>
    </row>
    <row r="8774" spans="1:5" x14ac:dyDescent="0.25">
      <c r="A8774">
        <v>183</v>
      </c>
      <c r="B8774">
        <f t="shared" si="25"/>
        <v>382</v>
      </c>
      <c r="C8774">
        <v>1</v>
      </c>
      <c r="E8774" s="1">
        <v>383</v>
      </c>
    </row>
    <row r="8775" spans="1:5" x14ac:dyDescent="0.25">
      <c r="A8775">
        <v>185</v>
      </c>
      <c r="B8775">
        <f t="shared" si="25"/>
        <v>382</v>
      </c>
      <c r="C8775">
        <v>5</v>
      </c>
      <c r="E8775">
        <v>383</v>
      </c>
    </row>
    <row r="8776" spans="1:5" x14ac:dyDescent="0.25">
      <c r="A8776">
        <v>197</v>
      </c>
      <c r="B8776">
        <f t="shared" si="25"/>
        <v>382</v>
      </c>
      <c r="C8776">
        <v>2</v>
      </c>
      <c r="E8776" s="1">
        <v>383</v>
      </c>
    </row>
    <row r="8777" spans="1:5" x14ac:dyDescent="0.25">
      <c r="A8777">
        <v>220</v>
      </c>
      <c r="B8777">
        <f t="shared" si="25"/>
        <v>382</v>
      </c>
      <c r="C8777">
        <v>3</v>
      </c>
      <c r="E8777">
        <v>383</v>
      </c>
    </row>
    <row r="8778" spans="1:5" x14ac:dyDescent="0.25">
      <c r="A8778">
        <v>232</v>
      </c>
      <c r="B8778">
        <f t="shared" si="25"/>
        <v>382</v>
      </c>
      <c r="C8778">
        <v>1</v>
      </c>
      <c r="E8778" s="1">
        <v>383</v>
      </c>
    </row>
    <row r="8779" spans="1:5" x14ac:dyDescent="0.25">
      <c r="A8779">
        <v>234</v>
      </c>
      <c r="B8779">
        <f t="shared" si="25"/>
        <v>382</v>
      </c>
      <c r="C8779">
        <v>1</v>
      </c>
      <c r="E8779">
        <v>383</v>
      </c>
    </row>
    <row r="8780" spans="1:5" x14ac:dyDescent="0.25">
      <c r="A8780">
        <v>242</v>
      </c>
      <c r="B8780">
        <f t="shared" si="25"/>
        <v>382</v>
      </c>
      <c r="C8780">
        <v>2</v>
      </c>
      <c r="E8780" s="1">
        <v>383</v>
      </c>
    </row>
    <row r="8781" spans="1:5" x14ac:dyDescent="0.25">
      <c r="A8781">
        <v>275</v>
      </c>
      <c r="B8781">
        <f t="shared" si="25"/>
        <v>382</v>
      </c>
      <c r="C8781">
        <v>1</v>
      </c>
      <c r="E8781">
        <v>383</v>
      </c>
    </row>
    <row r="8782" spans="1:5" x14ac:dyDescent="0.25">
      <c r="A8782">
        <v>280</v>
      </c>
      <c r="B8782">
        <f t="shared" ref="B8782:B8845" si="26">E8782-1</f>
        <v>382</v>
      </c>
      <c r="C8782">
        <v>3</v>
      </c>
      <c r="E8782" s="1">
        <v>383</v>
      </c>
    </row>
    <row r="8783" spans="1:5" x14ac:dyDescent="0.25">
      <c r="A8783">
        <v>284</v>
      </c>
      <c r="B8783">
        <f t="shared" si="26"/>
        <v>382</v>
      </c>
      <c r="C8783">
        <v>1</v>
      </c>
      <c r="E8783">
        <v>383</v>
      </c>
    </row>
    <row r="8784" spans="1:5" x14ac:dyDescent="0.25">
      <c r="A8784">
        <v>299</v>
      </c>
      <c r="B8784">
        <f t="shared" si="26"/>
        <v>382</v>
      </c>
      <c r="C8784">
        <v>1</v>
      </c>
      <c r="E8784" s="1">
        <v>383</v>
      </c>
    </row>
    <row r="8785" spans="1:5" x14ac:dyDescent="0.25">
      <c r="A8785">
        <v>2</v>
      </c>
      <c r="B8785">
        <f t="shared" si="26"/>
        <v>383</v>
      </c>
      <c r="C8785">
        <v>5</v>
      </c>
      <c r="E8785">
        <v>384</v>
      </c>
    </row>
    <row r="8786" spans="1:5" x14ac:dyDescent="0.25">
      <c r="A8786">
        <v>16</v>
      </c>
      <c r="B8786">
        <f t="shared" si="26"/>
        <v>383</v>
      </c>
      <c r="C8786">
        <v>4</v>
      </c>
      <c r="E8786" s="1">
        <v>384</v>
      </c>
    </row>
    <row r="8787" spans="1:5" x14ac:dyDescent="0.25">
      <c r="A8787">
        <v>17</v>
      </c>
      <c r="B8787">
        <f t="shared" si="26"/>
        <v>383</v>
      </c>
      <c r="C8787">
        <v>5</v>
      </c>
      <c r="E8787">
        <v>384</v>
      </c>
    </row>
    <row r="8788" spans="1:5" x14ac:dyDescent="0.25">
      <c r="A8788">
        <v>23</v>
      </c>
      <c r="B8788">
        <f t="shared" si="26"/>
        <v>383</v>
      </c>
      <c r="C8788">
        <v>4</v>
      </c>
      <c r="E8788" s="1">
        <v>384</v>
      </c>
    </row>
    <row r="8789" spans="1:5" x14ac:dyDescent="0.25">
      <c r="A8789">
        <v>33</v>
      </c>
      <c r="B8789">
        <f t="shared" si="26"/>
        <v>383</v>
      </c>
      <c r="C8789">
        <v>2</v>
      </c>
      <c r="E8789">
        <v>384</v>
      </c>
    </row>
    <row r="8790" spans="1:5" x14ac:dyDescent="0.25">
      <c r="A8790">
        <v>41</v>
      </c>
      <c r="B8790">
        <f t="shared" si="26"/>
        <v>383</v>
      </c>
      <c r="C8790">
        <v>2</v>
      </c>
      <c r="E8790" s="1">
        <v>384</v>
      </c>
    </row>
    <row r="8791" spans="1:5" x14ac:dyDescent="0.25">
      <c r="A8791">
        <v>73</v>
      </c>
      <c r="B8791">
        <f t="shared" si="26"/>
        <v>383</v>
      </c>
      <c r="C8791">
        <v>4</v>
      </c>
      <c r="E8791">
        <v>384</v>
      </c>
    </row>
    <row r="8792" spans="1:5" x14ac:dyDescent="0.25">
      <c r="A8792">
        <v>108</v>
      </c>
      <c r="B8792">
        <f t="shared" si="26"/>
        <v>383</v>
      </c>
      <c r="C8792">
        <v>3</v>
      </c>
      <c r="E8792" s="1">
        <v>384</v>
      </c>
    </row>
    <row r="8793" spans="1:5" x14ac:dyDescent="0.25">
      <c r="A8793">
        <v>116</v>
      </c>
      <c r="B8793">
        <f t="shared" si="26"/>
        <v>383</v>
      </c>
      <c r="C8793">
        <v>2</v>
      </c>
      <c r="E8793">
        <v>384</v>
      </c>
    </row>
    <row r="8794" spans="1:5" x14ac:dyDescent="0.25">
      <c r="A8794">
        <v>132</v>
      </c>
      <c r="B8794">
        <f t="shared" si="26"/>
        <v>383</v>
      </c>
      <c r="C8794">
        <v>4</v>
      </c>
      <c r="E8794" s="1">
        <v>384</v>
      </c>
    </row>
    <row r="8795" spans="1:5" x14ac:dyDescent="0.25">
      <c r="A8795">
        <v>174</v>
      </c>
      <c r="B8795">
        <f t="shared" si="26"/>
        <v>383</v>
      </c>
      <c r="C8795">
        <v>5</v>
      </c>
      <c r="E8795">
        <v>384</v>
      </c>
    </row>
    <row r="8796" spans="1:5" x14ac:dyDescent="0.25">
      <c r="A8796">
        <v>176</v>
      </c>
      <c r="B8796">
        <f t="shared" si="26"/>
        <v>383</v>
      </c>
      <c r="C8796">
        <v>1</v>
      </c>
      <c r="E8796" s="1">
        <v>384</v>
      </c>
    </row>
    <row r="8797" spans="1:5" x14ac:dyDescent="0.25">
      <c r="A8797">
        <v>244</v>
      </c>
      <c r="B8797">
        <f t="shared" si="26"/>
        <v>383</v>
      </c>
      <c r="C8797">
        <v>2</v>
      </c>
      <c r="E8797">
        <v>384</v>
      </c>
    </row>
    <row r="8798" spans="1:5" x14ac:dyDescent="0.25">
      <c r="A8798">
        <v>245</v>
      </c>
      <c r="B8798">
        <f t="shared" si="26"/>
        <v>383</v>
      </c>
      <c r="C8798">
        <v>3</v>
      </c>
      <c r="E8798" s="1">
        <v>384</v>
      </c>
    </row>
    <row r="8799" spans="1:5" x14ac:dyDescent="0.25">
      <c r="A8799">
        <v>248</v>
      </c>
      <c r="B8799">
        <f t="shared" si="26"/>
        <v>383</v>
      </c>
      <c r="C8799">
        <v>1</v>
      </c>
      <c r="E8799">
        <v>384</v>
      </c>
    </row>
    <row r="8800" spans="1:5" x14ac:dyDescent="0.25">
      <c r="A8800">
        <v>259</v>
      </c>
      <c r="B8800">
        <f t="shared" si="26"/>
        <v>383</v>
      </c>
      <c r="C8800">
        <v>1</v>
      </c>
      <c r="E8800" s="1">
        <v>384</v>
      </c>
    </row>
    <row r="8801" spans="1:5" x14ac:dyDescent="0.25">
      <c r="A8801">
        <v>285</v>
      </c>
      <c r="B8801">
        <f t="shared" si="26"/>
        <v>383</v>
      </c>
      <c r="C8801">
        <v>4</v>
      </c>
      <c r="E8801">
        <v>384</v>
      </c>
    </row>
    <row r="8802" spans="1:5" x14ac:dyDescent="0.25">
      <c r="A8802">
        <v>289</v>
      </c>
      <c r="B8802">
        <f t="shared" si="26"/>
        <v>383</v>
      </c>
      <c r="C8802">
        <v>4</v>
      </c>
      <c r="E8802" s="1">
        <v>384</v>
      </c>
    </row>
    <row r="8803" spans="1:5" x14ac:dyDescent="0.25">
      <c r="A8803">
        <v>297</v>
      </c>
      <c r="B8803">
        <f t="shared" si="26"/>
        <v>383</v>
      </c>
      <c r="C8803">
        <v>2</v>
      </c>
      <c r="E8803">
        <v>384</v>
      </c>
    </row>
    <row r="8804" spans="1:5" x14ac:dyDescent="0.25">
      <c r="A8804">
        <v>299</v>
      </c>
      <c r="B8804">
        <f t="shared" si="26"/>
        <v>383</v>
      </c>
      <c r="C8804">
        <v>5</v>
      </c>
      <c r="E8804" s="1">
        <v>384</v>
      </c>
    </row>
    <row r="8805" spans="1:5" x14ac:dyDescent="0.25">
      <c r="A8805">
        <v>6</v>
      </c>
      <c r="B8805">
        <f t="shared" si="26"/>
        <v>384</v>
      </c>
      <c r="C8805">
        <v>4</v>
      </c>
      <c r="E8805">
        <v>385</v>
      </c>
    </row>
    <row r="8806" spans="1:5" x14ac:dyDescent="0.25">
      <c r="A8806">
        <v>7</v>
      </c>
      <c r="B8806">
        <f t="shared" si="26"/>
        <v>384</v>
      </c>
      <c r="C8806">
        <v>5</v>
      </c>
      <c r="E8806" s="1">
        <v>385</v>
      </c>
    </row>
    <row r="8807" spans="1:5" x14ac:dyDescent="0.25">
      <c r="A8807">
        <v>16</v>
      </c>
      <c r="B8807">
        <f t="shared" si="26"/>
        <v>384</v>
      </c>
      <c r="C8807">
        <v>2</v>
      </c>
      <c r="E8807">
        <v>385</v>
      </c>
    </row>
    <row r="8808" spans="1:5" x14ac:dyDescent="0.25">
      <c r="A8808">
        <v>31</v>
      </c>
      <c r="B8808">
        <f t="shared" si="26"/>
        <v>384</v>
      </c>
      <c r="C8808">
        <v>4</v>
      </c>
      <c r="E8808" s="1">
        <v>385</v>
      </c>
    </row>
    <row r="8809" spans="1:5" x14ac:dyDescent="0.25">
      <c r="A8809">
        <v>36</v>
      </c>
      <c r="B8809">
        <f t="shared" si="26"/>
        <v>384</v>
      </c>
      <c r="C8809">
        <v>2</v>
      </c>
      <c r="E8809">
        <v>385</v>
      </c>
    </row>
    <row r="8810" spans="1:5" x14ac:dyDescent="0.25">
      <c r="A8810">
        <v>37</v>
      </c>
      <c r="B8810">
        <f t="shared" si="26"/>
        <v>384</v>
      </c>
      <c r="C8810">
        <v>4</v>
      </c>
      <c r="E8810" s="1">
        <v>385</v>
      </c>
    </row>
    <row r="8811" spans="1:5" x14ac:dyDescent="0.25">
      <c r="A8811">
        <v>38</v>
      </c>
      <c r="B8811">
        <f t="shared" si="26"/>
        <v>384</v>
      </c>
      <c r="C8811">
        <v>2</v>
      </c>
      <c r="E8811">
        <v>385</v>
      </c>
    </row>
    <row r="8812" spans="1:5" x14ac:dyDescent="0.25">
      <c r="A8812">
        <v>49</v>
      </c>
      <c r="B8812">
        <f t="shared" si="26"/>
        <v>384</v>
      </c>
      <c r="C8812">
        <v>3</v>
      </c>
      <c r="E8812" s="1">
        <v>385</v>
      </c>
    </row>
    <row r="8813" spans="1:5" x14ac:dyDescent="0.25">
      <c r="A8813">
        <v>59</v>
      </c>
      <c r="B8813">
        <f t="shared" si="26"/>
        <v>384</v>
      </c>
      <c r="C8813">
        <v>3</v>
      </c>
      <c r="E8813">
        <v>385</v>
      </c>
    </row>
    <row r="8814" spans="1:5" x14ac:dyDescent="0.25">
      <c r="A8814">
        <v>61</v>
      </c>
      <c r="B8814">
        <f t="shared" si="26"/>
        <v>384</v>
      </c>
      <c r="C8814">
        <v>4</v>
      </c>
      <c r="E8814" s="1">
        <v>385</v>
      </c>
    </row>
    <row r="8815" spans="1:5" x14ac:dyDescent="0.25">
      <c r="A8815">
        <v>76</v>
      </c>
      <c r="B8815">
        <f t="shared" si="26"/>
        <v>384</v>
      </c>
      <c r="C8815">
        <v>4</v>
      </c>
      <c r="E8815">
        <v>385</v>
      </c>
    </row>
    <row r="8816" spans="1:5" x14ac:dyDescent="0.25">
      <c r="A8816">
        <v>92</v>
      </c>
      <c r="B8816">
        <f t="shared" si="26"/>
        <v>384</v>
      </c>
      <c r="C8816">
        <v>1</v>
      </c>
      <c r="E8816" s="1">
        <v>385</v>
      </c>
    </row>
    <row r="8817" spans="1:5" x14ac:dyDescent="0.25">
      <c r="A8817">
        <v>123</v>
      </c>
      <c r="B8817">
        <f t="shared" si="26"/>
        <v>384</v>
      </c>
      <c r="C8817">
        <v>2</v>
      </c>
      <c r="E8817">
        <v>385</v>
      </c>
    </row>
    <row r="8818" spans="1:5" x14ac:dyDescent="0.25">
      <c r="A8818">
        <v>144</v>
      </c>
      <c r="B8818">
        <f t="shared" si="26"/>
        <v>384</v>
      </c>
      <c r="C8818">
        <v>2</v>
      </c>
      <c r="E8818" s="1">
        <v>385</v>
      </c>
    </row>
    <row r="8819" spans="1:5" x14ac:dyDescent="0.25">
      <c r="A8819">
        <v>146</v>
      </c>
      <c r="B8819">
        <f t="shared" si="26"/>
        <v>384</v>
      </c>
      <c r="C8819">
        <v>5</v>
      </c>
      <c r="E8819">
        <v>385</v>
      </c>
    </row>
    <row r="8820" spans="1:5" x14ac:dyDescent="0.25">
      <c r="A8820">
        <v>152</v>
      </c>
      <c r="B8820">
        <f t="shared" si="26"/>
        <v>384</v>
      </c>
      <c r="C8820">
        <v>2</v>
      </c>
      <c r="E8820" s="1">
        <v>385</v>
      </c>
    </row>
    <row r="8821" spans="1:5" x14ac:dyDescent="0.25">
      <c r="A8821">
        <v>183</v>
      </c>
      <c r="B8821">
        <f t="shared" si="26"/>
        <v>384</v>
      </c>
      <c r="C8821">
        <v>1</v>
      </c>
      <c r="E8821">
        <v>385</v>
      </c>
    </row>
    <row r="8822" spans="1:5" x14ac:dyDescent="0.25">
      <c r="A8822">
        <v>191</v>
      </c>
      <c r="B8822">
        <f t="shared" si="26"/>
        <v>384</v>
      </c>
      <c r="C8822">
        <v>2</v>
      </c>
      <c r="E8822" s="1">
        <v>385</v>
      </c>
    </row>
    <row r="8823" spans="1:5" x14ac:dyDescent="0.25">
      <c r="A8823">
        <v>198</v>
      </c>
      <c r="B8823">
        <f t="shared" si="26"/>
        <v>384</v>
      </c>
      <c r="C8823">
        <v>3</v>
      </c>
      <c r="E8823">
        <v>385</v>
      </c>
    </row>
    <row r="8824" spans="1:5" x14ac:dyDescent="0.25">
      <c r="A8824">
        <v>203</v>
      </c>
      <c r="B8824">
        <f t="shared" si="26"/>
        <v>384</v>
      </c>
      <c r="C8824">
        <v>3</v>
      </c>
      <c r="E8824" s="1">
        <v>385</v>
      </c>
    </row>
    <row r="8825" spans="1:5" x14ac:dyDescent="0.25">
      <c r="A8825">
        <v>213</v>
      </c>
      <c r="B8825">
        <f t="shared" si="26"/>
        <v>384</v>
      </c>
      <c r="C8825">
        <v>5</v>
      </c>
      <c r="E8825">
        <v>385</v>
      </c>
    </row>
    <row r="8826" spans="1:5" x14ac:dyDescent="0.25">
      <c r="A8826">
        <v>231</v>
      </c>
      <c r="B8826">
        <f t="shared" si="26"/>
        <v>384</v>
      </c>
      <c r="C8826">
        <v>1</v>
      </c>
      <c r="E8826" s="1">
        <v>385</v>
      </c>
    </row>
    <row r="8827" spans="1:5" x14ac:dyDescent="0.25">
      <c r="A8827">
        <v>281</v>
      </c>
      <c r="B8827">
        <f t="shared" si="26"/>
        <v>384</v>
      </c>
      <c r="C8827">
        <v>4</v>
      </c>
      <c r="E8827">
        <v>385</v>
      </c>
    </row>
    <row r="8828" spans="1:5" x14ac:dyDescent="0.25">
      <c r="A8828">
        <v>25</v>
      </c>
      <c r="B8828">
        <f t="shared" si="26"/>
        <v>385</v>
      </c>
      <c r="C8828">
        <v>3</v>
      </c>
      <c r="E8828" s="1">
        <v>386</v>
      </c>
    </row>
    <row r="8829" spans="1:5" x14ac:dyDescent="0.25">
      <c r="A8829">
        <v>29</v>
      </c>
      <c r="B8829">
        <f t="shared" si="26"/>
        <v>385</v>
      </c>
      <c r="C8829">
        <v>4</v>
      </c>
      <c r="E8829">
        <v>386</v>
      </c>
    </row>
    <row r="8830" spans="1:5" x14ac:dyDescent="0.25">
      <c r="A8830">
        <v>39</v>
      </c>
      <c r="B8830">
        <f t="shared" si="26"/>
        <v>385</v>
      </c>
      <c r="C8830">
        <v>2</v>
      </c>
      <c r="E8830" s="1">
        <v>386</v>
      </c>
    </row>
    <row r="8831" spans="1:5" x14ac:dyDescent="0.25">
      <c r="A8831">
        <v>42</v>
      </c>
      <c r="B8831">
        <f t="shared" si="26"/>
        <v>385</v>
      </c>
      <c r="C8831">
        <v>2</v>
      </c>
      <c r="E8831">
        <v>386</v>
      </c>
    </row>
    <row r="8832" spans="1:5" x14ac:dyDescent="0.25">
      <c r="A8832">
        <v>67</v>
      </c>
      <c r="B8832">
        <f t="shared" si="26"/>
        <v>385</v>
      </c>
      <c r="C8832">
        <v>5</v>
      </c>
      <c r="E8832" s="1">
        <v>386</v>
      </c>
    </row>
    <row r="8833" spans="1:5" x14ac:dyDescent="0.25">
      <c r="A8833">
        <v>92</v>
      </c>
      <c r="B8833">
        <f t="shared" si="26"/>
        <v>385</v>
      </c>
      <c r="C8833">
        <v>4</v>
      </c>
      <c r="E8833">
        <v>386</v>
      </c>
    </row>
    <row r="8834" spans="1:5" x14ac:dyDescent="0.25">
      <c r="A8834">
        <v>104</v>
      </c>
      <c r="B8834">
        <f t="shared" si="26"/>
        <v>385</v>
      </c>
      <c r="C8834">
        <v>2</v>
      </c>
      <c r="E8834" s="1">
        <v>386</v>
      </c>
    </row>
    <row r="8835" spans="1:5" x14ac:dyDescent="0.25">
      <c r="A8835">
        <v>106</v>
      </c>
      <c r="B8835">
        <f t="shared" si="26"/>
        <v>385</v>
      </c>
      <c r="C8835">
        <v>3</v>
      </c>
      <c r="E8835">
        <v>386</v>
      </c>
    </row>
    <row r="8836" spans="1:5" x14ac:dyDescent="0.25">
      <c r="A8836">
        <v>153</v>
      </c>
      <c r="B8836">
        <f t="shared" si="26"/>
        <v>385</v>
      </c>
      <c r="C8836">
        <v>1</v>
      </c>
      <c r="E8836" s="1">
        <v>386</v>
      </c>
    </row>
    <row r="8837" spans="1:5" x14ac:dyDescent="0.25">
      <c r="A8837">
        <v>171</v>
      </c>
      <c r="B8837">
        <f t="shared" si="26"/>
        <v>385</v>
      </c>
      <c r="C8837">
        <v>1</v>
      </c>
      <c r="E8837">
        <v>386</v>
      </c>
    </row>
    <row r="8838" spans="1:5" x14ac:dyDescent="0.25">
      <c r="A8838">
        <v>172</v>
      </c>
      <c r="B8838">
        <f t="shared" si="26"/>
        <v>385</v>
      </c>
      <c r="C8838">
        <v>3</v>
      </c>
      <c r="E8838" s="1">
        <v>386</v>
      </c>
    </row>
    <row r="8839" spans="1:5" x14ac:dyDescent="0.25">
      <c r="A8839">
        <v>194</v>
      </c>
      <c r="B8839">
        <f t="shared" si="26"/>
        <v>385</v>
      </c>
      <c r="C8839">
        <v>1</v>
      </c>
      <c r="E8839">
        <v>386</v>
      </c>
    </row>
    <row r="8840" spans="1:5" x14ac:dyDescent="0.25">
      <c r="A8840">
        <v>201</v>
      </c>
      <c r="B8840">
        <f t="shared" si="26"/>
        <v>385</v>
      </c>
      <c r="C8840">
        <v>2</v>
      </c>
      <c r="E8840" s="1">
        <v>386</v>
      </c>
    </row>
    <row r="8841" spans="1:5" x14ac:dyDescent="0.25">
      <c r="A8841">
        <v>208</v>
      </c>
      <c r="B8841">
        <f t="shared" si="26"/>
        <v>385</v>
      </c>
      <c r="C8841">
        <v>4</v>
      </c>
      <c r="E8841">
        <v>386</v>
      </c>
    </row>
    <row r="8842" spans="1:5" x14ac:dyDescent="0.25">
      <c r="A8842">
        <v>209</v>
      </c>
      <c r="B8842">
        <f t="shared" si="26"/>
        <v>385</v>
      </c>
      <c r="C8842">
        <v>5</v>
      </c>
      <c r="E8842" s="1">
        <v>386</v>
      </c>
    </row>
    <row r="8843" spans="1:5" x14ac:dyDescent="0.25">
      <c r="A8843">
        <v>214</v>
      </c>
      <c r="B8843">
        <f t="shared" si="26"/>
        <v>385</v>
      </c>
      <c r="C8843">
        <v>4</v>
      </c>
      <c r="E8843">
        <v>386</v>
      </c>
    </row>
    <row r="8844" spans="1:5" x14ac:dyDescent="0.25">
      <c r="A8844">
        <v>215</v>
      </c>
      <c r="B8844">
        <f t="shared" si="26"/>
        <v>385</v>
      </c>
      <c r="C8844">
        <v>4</v>
      </c>
      <c r="E8844" s="1">
        <v>386</v>
      </c>
    </row>
    <row r="8845" spans="1:5" x14ac:dyDescent="0.25">
      <c r="A8845">
        <v>221</v>
      </c>
      <c r="B8845">
        <f t="shared" si="26"/>
        <v>385</v>
      </c>
      <c r="C8845">
        <v>1</v>
      </c>
      <c r="E8845">
        <v>386</v>
      </c>
    </row>
    <row r="8846" spans="1:5" x14ac:dyDescent="0.25">
      <c r="A8846">
        <v>257</v>
      </c>
      <c r="B8846">
        <f t="shared" ref="B8846:B8909" si="27">E8846-1</f>
        <v>385</v>
      </c>
      <c r="C8846">
        <v>2</v>
      </c>
      <c r="E8846" s="1">
        <v>386</v>
      </c>
    </row>
    <row r="8847" spans="1:5" x14ac:dyDescent="0.25">
      <c r="A8847">
        <v>269</v>
      </c>
      <c r="B8847">
        <f t="shared" si="27"/>
        <v>385</v>
      </c>
      <c r="C8847">
        <v>1</v>
      </c>
      <c r="E8847">
        <v>386</v>
      </c>
    </row>
    <row r="8848" spans="1:5" x14ac:dyDescent="0.25">
      <c r="A8848">
        <v>283</v>
      </c>
      <c r="B8848">
        <f t="shared" si="27"/>
        <v>385</v>
      </c>
      <c r="C8848">
        <v>1</v>
      </c>
      <c r="E8848" s="1">
        <v>386</v>
      </c>
    </row>
    <row r="8849" spans="1:5" x14ac:dyDescent="0.25">
      <c r="A8849">
        <v>285</v>
      </c>
      <c r="B8849">
        <f t="shared" si="27"/>
        <v>385</v>
      </c>
      <c r="C8849">
        <v>5</v>
      </c>
      <c r="E8849">
        <v>386</v>
      </c>
    </row>
    <row r="8850" spans="1:5" x14ac:dyDescent="0.25">
      <c r="A8850">
        <v>297</v>
      </c>
      <c r="B8850">
        <f t="shared" si="27"/>
        <v>385</v>
      </c>
      <c r="C8850">
        <v>5</v>
      </c>
      <c r="E8850" s="1">
        <v>386</v>
      </c>
    </row>
    <row r="8851" spans="1:5" x14ac:dyDescent="0.25">
      <c r="A8851">
        <v>43</v>
      </c>
      <c r="B8851">
        <f t="shared" si="27"/>
        <v>386</v>
      </c>
      <c r="C8851">
        <v>5</v>
      </c>
      <c r="E8851">
        <v>387</v>
      </c>
    </row>
    <row r="8852" spans="1:5" x14ac:dyDescent="0.25">
      <c r="A8852">
        <v>55</v>
      </c>
      <c r="B8852">
        <f t="shared" si="27"/>
        <v>386</v>
      </c>
      <c r="C8852">
        <v>2</v>
      </c>
      <c r="E8852" s="1">
        <v>387</v>
      </c>
    </row>
    <row r="8853" spans="1:5" x14ac:dyDescent="0.25">
      <c r="A8853">
        <v>62</v>
      </c>
      <c r="B8853">
        <f t="shared" si="27"/>
        <v>386</v>
      </c>
      <c r="C8853">
        <v>3</v>
      </c>
      <c r="E8853">
        <v>387</v>
      </c>
    </row>
    <row r="8854" spans="1:5" x14ac:dyDescent="0.25">
      <c r="A8854">
        <v>66</v>
      </c>
      <c r="B8854">
        <f t="shared" si="27"/>
        <v>386</v>
      </c>
      <c r="C8854">
        <v>1</v>
      </c>
      <c r="E8854" s="1">
        <v>387</v>
      </c>
    </row>
    <row r="8855" spans="1:5" x14ac:dyDescent="0.25">
      <c r="A8855">
        <v>82</v>
      </c>
      <c r="B8855">
        <f t="shared" si="27"/>
        <v>386</v>
      </c>
      <c r="C8855">
        <v>5</v>
      </c>
      <c r="E8855">
        <v>387</v>
      </c>
    </row>
    <row r="8856" spans="1:5" x14ac:dyDescent="0.25">
      <c r="A8856">
        <v>101</v>
      </c>
      <c r="B8856">
        <f t="shared" si="27"/>
        <v>386</v>
      </c>
      <c r="C8856">
        <v>3</v>
      </c>
      <c r="E8856" s="1">
        <v>387</v>
      </c>
    </row>
    <row r="8857" spans="1:5" x14ac:dyDescent="0.25">
      <c r="A8857">
        <v>102</v>
      </c>
      <c r="B8857">
        <f t="shared" si="27"/>
        <v>386</v>
      </c>
      <c r="C8857">
        <v>2</v>
      </c>
      <c r="E8857">
        <v>387</v>
      </c>
    </row>
    <row r="8858" spans="1:5" x14ac:dyDescent="0.25">
      <c r="A8858">
        <v>111</v>
      </c>
      <c r="B8858">
        <f t="shared" si="27"/>
        <v>386</v>
      </c>
      <c r="C8858">
        <v>4</v>
      </c>
      <c r="E8858" s="1">
        <v>387</v>
      </c>
    </row>
    <row r="8859" spans="1:5" x14ac:dyDescent="0.25">
      <c r="A8859">
        <v>115</v>
      </c>
      <c r="B8859">
        <f t="shared" si="27"/>
        <v>386</v>
      </c>
      <c r="C8859">
        <v>4</v>
      </c>
      <c r="E8859">
        <v>387</v>
      </c>
    </row>
    <row r="8860" spans="1:5" x14ac:dyDescent="0.25">
      <c r="A8860">
        <v>131</v>
      </c>
      <c r="B8860">
        <f t="shared" si="27"/>
        <v>386</v>
      </c>
      <c r="C8860">
        <v>5</v>
      </c>
      <c r="E8860" s="1">
        <v>387</v>
      </c>
    </row>
    <row r="8861" spans="1:5" x14ac:dyDescent="0.25">
      <c r="A8861">
        <v>151</v>
      </c>
      <c r="B8861">
        <f t="shared" si="27"/>
        <v>386</v>
      </c>
      <c r="C8861">
        <v>3</v>
      </c>
      <c r="E8861">
        <v>387</v>
      </c>
    </row>
    <row r="8862" spans="1:5" x14ac:dyDescent="0.25">
      <c r="A8862">
        <v>184</v>
      </c>
      <c r="B8862">
        <f t="shared" si="27"/>
        <v>386</v>
      </c>
      <c r="C8862">
        <v>3</v>
      </c>
      <c r="E8862" s="1">
        <v>387</v>
      </c>
    </row>
    <row r="8863" spans="1:5" x14ac:dyDescent="0.25">
      <c r="A8863">
        <v>196</v>
      </c>
      <c r="B8863">
        <f t="shared" si="27"/>
        <v>386</v>
      </c>
      <c r="C8863">
        <v>5</v>
      </c>
      <c r="E8863">
        <v>387</v>
      </c>
    </row>
    <row r="8864" spans="1:5" x14ac:dyDescent="0.25">
      <c r="A8864">
        <v>207</v>
      </c>
      <c r="B8864">
        <f t="shared" si="27"/>
        <v>386</v>
      </c>
      <c r="C8864">
        <v>5</v>
      </c>
      <c r="E8864" s="1">
        <v>387</v>
      </c>
    </row>
    <row r="8865" spans="1:5" x14ac:dyDescent="0.25">
      <c r="A8865">
        <v>221</v>
      </c>
      <c r="B8865">
        <f t="shared" si="27"/>
        <v>386</v>
      </c>
      <c r="C8865">
        <v>4</v>
      </c>
      <c r="E8865">
        <v>387</v>
      </c>
    </row>
    <row r="8866" spans="1:5" x14ac:dyDescent="0.25">
      <c r="A8866">
        <v>224</v>
      </c>
      <c r="B8866">
        <f t="shared" si="27"/>
        <v>386</v>
      </c>
      <c r="C8866">
        <v>3</v>
      </c>
      <c r="E8866" s="1">
        <v>387</v>
      </c>
    </row>
    <row r="8867" spans="1:5" x14ac:dyDescent="0.25">
      <c r="A8867">
        <v>235</v>
      </c>
      <c r="B8867">
        <f t="shared" si="27"/>
        <v>386</v>
      </c>
      <c r="C8867">
        <v>3</v>
      </c>
      <c r="E8867">
        <v>387</v>
      </c>
    </row>
    <row r="8868" spans="1:5" x14ac:dyDescent="0.25">
      <c r="A8868">
        <v>251</v>
      </c>
      <c r="B8868">
        <f t="shared" si="27"/>
        <v>386</v>
      </c>
      <c r="C8868">
        <v>4</v>
      </c>
      <c r="E8868" s="1">
        <v>387</v>
      </c>
    </row>
    <row r="8869" spans="1:5" x14ac:dyDescent="0.25">
      <c r="A8869">
        <v>33</v>
      </c>
      <c r="B8869">
        <f t="shared" si="27"/>
        <v>387</v>
      </c>
      <c r="C8869">
        <v>2</v>
      </c>
      <c r="E8869">
        <v>388</v>
      </c>
    </row>
    <row r="8870" spans="1:5" x14ac:dyDescent="0.25">
      <c r="A8870">
        <v>51</v>
      </c>
      <c r="B8870">
        <f t="shared" si="27"/>
        <v>387</v>
      </c>
      <c r="C8870">
        <v>2</v>
      </c>
      <c r="E8870" s="1">
        <v>388</v>
      </c>
    </row>
    <row r="8871" spans="1:5" x14ac:dyDescent="0.25">
      <c r="A8871">
        <v>51</v>
      </c>
      <c r="B8871">
        <f t="shared" si="27"/>
        <v>387</v>
      </c>
      <c r="C8871">
        <v>3</v>
      </c>
      <c r="E8871">
        <v>388</v>
      </c>
    </row>
    <row r="8872" spans="1:5" x14ac:dyDescent="0.25">
      <c r="A8872">
        <v>52</v>
      </c>
      <c r="B8872">
        <f t="shared" si="27"/>
        <v>387</v>
      </c>
      <c r="C8872">
        <v>5</v>
      </c>
      <c r="E8872" s="1">
        <v>388</v>
      </c>
    </row>
    <row r="8873" spans="1:5" x14ac:dyDescent="0.25">
      <c r="A8873">
        <v>58</v>
      </c>
      <c r="B8873">
        <f t="shared" si="27"/>
        <v>387</v>
      </c>
      <c r="C8873">
        <v>2</v>
      </c>
      <c r="E8873">
        <v>388</v>
      </c>
    </row>
    <row r="8874" spans="1:5" x14ac:dyDescent="0.25">
      <c r="A8874">
        <v>85</v>
      </c>
      <c r="B8874">
        <f t="shared" si="27"/>
        <v>387</v>
      </c>
      <c r="C8874">
        <v>3</v>
      </c>
      <c r="E8874" s="1">
        <v>388</v>
      </c>
    </row>
    <row r="8875" spans="1:5" x14ac:dyDescent="0.25">
      <c r="A8875">
        <v>110</v>
      </c>
      <c r="B8875">
        <f t="shared" si="27"/>
        <v>387</v>
      </c>
      <c r="C8875">
        <v>4</v>
      </c>
      <c r="E8875">
        <v>388</v>
      </c>
    </row>
    <row r="8876" spans="1:5" x14ac:dyDescent="0.25">
      <c r="A8876">
        <v>121</v>
      </c>
      <c r="B8876">
        <f t="shared" si="27"/>
        <v>387</v>
      </c>
      <c r="C8876">
        <v>1</v>
      </c>
      <c r="E8876" s="1">
        <v>388</v>
      </c>
    </row>
    <row r="8877" spans="1:5" x14ac:dyDescent="0.25">
      <c r="A8877">
        <v>145</v>
      </c>
      <c r="B8877">
        <f t="shared" si="27"/>
        <v>387</v>
      </c>
      <c r="C8877">
        <v>2</v>
      </c>
      <c r="E8877">
        <v>388</v>
      </c>
    </row>
    <row r="8878" spans="1:5" x14ac:dyDescent="0.25">
      <c r="A8878">
        <v>147</v>
      </c>
      <c r="B8878">
        <f t="shared" si="27"/>
        <v>387</v>
      </c>
      <c r="C8878">
        <v>1</v>
      </c>
      <c r="E8878" s="1">
        <v>388</v>
      </c>
    </row>
    <row r="8879" spans="1:5" x14ac:dyDescent="0.25">
      <c r="A8879">
        <v>147</v>
      </c>
      <c r="B8879">
        <f t="shared" si="27"/>
        <v>387</v>
      </c>
      <c r="C8879">
        <v>4</v>
      </c>
      <c r="E8879">
        <v>388</v>
      </c>
    </row>
    <row r="8880" spans="1:5" x14ac:dyDescent="0.25">
      <c r="A8880">
        <v>150</v>
      </c>
      <c r="B8880">
        <f t="shared" si="27"/>
        <v>387</v>
      </c>
      <c r="C8880">
        <v>2</v>
      </c>
      <c r="E8880" s="1">
        <v>388</v>
      </c>
    </row>
    <row r="8881" spans="1:5" x14ac:dyDescent="0.25">
      <c r="A8881">
        <v>172</v>
      </c>
      <c r="B8881">
        <f t="shared" si="27"/>
        <v>387</v>
      </c>
      <c r="C8881">
        <v>3</v>
      </c>
      <c r="E8881">
        <v>388</v>
      </c>
    </row>
    <row r="8882" spans="1:5" x14ac:dyDescent="0.25">
      <c r="A8882">
        <v>180</v>
      </c>
      <c r="B8882">
        <f t="shared" si="27"/>
        <v>387</v>
      </c>
      <c r="C8882">
        <v>5</v>
      </c>
      <c r="E8882" s="1">
        <v>388</v>
      </c>
    </row>
    <row r="8883" spans="1:5" x14ac:dyDescent="0.25">
      <c r="A8883">
        <v>220</v>
      </c>
      <c r="B8883">
        <f t="shared" si="27"/>
        <v>387</v>
      </c>
      <c r="C8883">
        <v>3</v>
      </c>
      <c r="E8883">
        <v>388</v>
      </c>
    </row>
    <row r="8884" spans="1:5" x14ac:dyDescent="0.25">
      <c r="A8884">
        <v>231</v>
      </c>
      <c r="B8884">
        <f t="shared" si="27"/>
        <v>387</v>
      </c>
      <c r="C8884">
        <v>1</v>
      </c>
      <c r="E8884" s="1">
        <v>388</v>
      </c>
    </row>
    <row r="8885" spans="1:5" x14ac:dyDescent="0.25">
      <c r="A8885">
        <v>247</v>
      </c>
      <c r="B8885">
        <f t="shared" si="27"/>
        <v>387</v>
      </c>
      <c r="C8885">
        <v>1</v>
      </c>
      <c r="E8885">
        <v>388</v>
      </c>
    </row>
    <row r="8886" spans="1:5" x14ac:dyDescent="0.25">
      <c r="A8886">
        <v>250</v>
      </c>
      <c r="B8886">
        <f t="shared" si="27"/>
        <v>387</v>
      </c>
      <c r="C8886">
        <v>3</v>
      </c>
      <c r="E8886" s="1">
        <v>388</v>
      </c>
    </row>
    <row r="8887" spans="1:5" x14ac:dyDescent="0.25">
      <c r="A8887">
        <v>263</v>
      </c>
      <c r="B8887">
        <f t="shared" si="27"/>
        <v>387</v>
      </c>
      <c r="C8887">
        <v>3</v>
      </c>
      <c r="E8887">
        <v>388</v>
      </c>
    </row>
    <row r="8888" spans="1:5" x14ac:dyDescent="0.25">
      <c r="A8888">
        <v>271</v>
      </c>
      <c r="B8888">
        <f t="shared" si="27"/>
        <v>387</v>
      </c>
      <c r="C8888">
        <v>4</v>
      </c>
      <c r="E8888" s="1">
        <v>388</v>
      </c>
    </row>
    <row r="8889" spans="1:5" x14ac:dyDescent="0.25">
      <c r="A8889">
        <v>285</v>
      </c>
      <c r="B8889">
        <f t="shared" si="27"/>
        <v>387</v>
      </c>
      <c r="C8889">
        <v>5</v>
      </c>
      <c r="E8889">
        <v>388</v>
      </c>
    </row>
    <row r="8890" spans="1:5" x14ac:dyDescent="0.25">
      <c r="A8890">
        <v>287</v>
      </c>
      <c r="B8890">
        <f t="shared" si="27"/>
        <v>387</v>
      </c>
      <c r="C8890">
        <v>5</v>
      </c>
      <c r="E8890" s="1">
        <v>388</v>
      </c>
    </row>
    <row r="8891" spans="1:5" x14ac:dyDescent="0.25">
      <c r="A8891">
        <v>294</v>
      </c>
      <c r="B8891">
        <f t="shared" si="27"/>
        <v>387</v>
      </c>
      <c r="C8891">
        <v>4</v>
      </c>
      <c r="E8891">
        <v>388</v>
      </c>
    </row>
    <row r="8892" spans="1:5" x14ac:dyDescent="0.25">
      <c r="A8892">
        <v>2</v>
      </c>
      <c r="B8892">
        <f t="shared" si="27"/>
        <v>388</v>
      </c>
      <c r="C8892">
        <v>2</v>
      </c>
      <c r="E8892" s="1">
        <v>389</v>
      </c>
    </row>
    <row r="8893" spans="1:5" x14ac:dyDescent="0.25">
      <c r="A8893">
        <v>27</v>
      </c>
      <c r="B8893">
        <f t="shared" si="27"/>
        <v>388</v>
      </c>
      <c r="C8893">
        <v>5</v>
      </c>
      <c r="E8893">
        <v>389</v>
      </c>
    </row>
    <row r="8894" spans="1:5" x14ac:dyDescent="0.25">
      <c r="A8894">
        <v>52</v>
      </c>
      <c r="B8894">
        <f t="shared" si="27"/>
        <v>388</v>
      </c>
      <c r="C8894">
        <v>2</v>
      </c>
      <c r="E8894" s="1">
        <v>389</v>
      </c>
    </row>
    <row r="8895" spans="1:5" x14ac:dyDescent="0.25">
      <c r="A8895">
        <v>57</v>
      </c>
      <c r="B8895">
        <f t="shared" si="27"/>
        <v>388</v>
      </c>
      <c r="C8895">
        <v>1</v>
      </c>
      <c r="E8895">
        <v>389</v>
      </c>
    </row>
    <row r="8896" spans="1:5" x14ac:dyDescent="0.25">
      <c r="A8896">
        <v>74</v>
      </c>
      <c r="B8896">
        <f t="shared" si="27"/>
        <v>388</v>
      </c>
      <c r="C8896">
        <v>2</v>
      </c>
      <c r="E8896" s="1">
        <v>389</v>
      </c>
    </row>
    <row r="8897" spans="1:5" x14ac:dyDescent="0.25">
      <c r="A8897">
        <v>87</v>
      </c>
      <c r="B8897">
        <f t="shared" si="27"/>
        <v>388</v>
      </c>
      <c r="C8897">
        <v>2</v>
      </c>
      <c r="E8897">
        <v>389</v>
      </c>
    </row>
    <row r="8898" spans="1:5" x14ac:dyDescent="0.25">
      <c r="A8898">
        <v>95</v>
      </c>
      <c r="B8898">
        <f t="shared" si="27"/>
        <v>388</v>
      </c>
      <c r="C8898">
        <v>3</v>
      </c>
      <c r="E8898" s="1">
        <v>389</v>
      </c>
    </row>
    <row r="8899" spans="1:5" x14ac:dyDescent="0.25">
      <c r="A8899">
        <v>106</v>
      </c>
      <c r="B8899">
        <f t="shared" si="27"/>
        <v>388</v>
      </c>
      <c r="C8899">
        <v>1</v>
      </c>
      <c r="E8899">
        <v>389</v>
      </c>
    </row>
    <row r="8900" spans="1:5" x14ac:dyDescent="0.25">
      <c r="A8900">
        <v>127</v>
      </c>
      <c r="B8900">
        <f t="shared" si="27"/>
        <v>388</v>
      </c>
      <c r="C8900">
        <v>2</v>
      </c>
      <c r="E8900" s="1">
        <v>389</v>
      </c>
    </row>
    <row r="8901" spans="1:5" x14ac:dyDescent="0.25">
      <c r="A8901">
        <v>131</v>
      </c>
      <c r="B8901">
        <f t="shared" si="27"/>
        <v>388</v>
      </c>
      <c r="C8901">
        <v>2</v>
      </c>
      <c r="E8901">
        <v>389</v>
      </c>
    </row>
    <row r="8902" spans="1:5" x14ac:dyDescent="0.25">
      <c r="A8902">
        <v>140</v>
      </c>
      <c r="B8902">
        <f t="shared" si="27"/>
        <v>388</v>
      </c>
      <c r="C8902">
        <v>5</v>
      </c>
      <c r="E8902" s="1">
        <v>389</v>
      </c>
    </row>
    <row r="8903" spans="1:5" x14ac:dyDescent="0.25">
      <c r="A8903">
        <v>179</v>
      </c>
      <c r="B8903">
        <f t="shared" si="27"/>
        <v>388</v>
      </c>
      <c r="C8903">
        <v>1</v>
      </c>
      <c r="E8903">
        <v>389</v>
      </c>
    </row>
    <row r="8904" spans="1:5" x14ac:dyDescent="0.25">
      <c r="A8904">
        <v>215</v>
      </c>
      <c r="B8904">
        <f t="shared" si="27"/>
        <v>388</v>
      </c>
      <c r="C8904">
        <v>2</v>
      </c>
      <c r="E8904" s="1">
        <v>389</v>
      </c>
    </row>
    <row r="8905" spans="1:5" x14ac:dyDescent="0.25">
      <c r="A8905">
        <v>233</v>
      </c>
      <c r="B8905">
        <f t="shared" si="27"/>
        <v>388</v>
      </c>
      <c r="C8905">
        <v>1</v>
      </c>
      <c r="E8905">
        <v>389</v>
      </c>
    </row>
    <row r="8906" spans="1:5" x14ac:dyDescent="0.25">
      <c r="A8906">
        <v>233</v>
      </c>
      <c r="B8906">
        <f t="shared" si="27"/>
        <v>388</v>
      </c>
      <c r="C8906">
        <v>2</v>
      </c>
      <c r="E8906" s="1">
        <v>389</v>
      </c>
    </row>
    <row r="8907" spans="1:5" x14ac:dyDescent="0.25">
      <c r="A8907">
        <v>241</v>
      </c>
      <c r="B8907">
        <f t="shared" si="27"/>
        <v>388</v>
      </c>
      <c r="C8907">
        <v>2</v>
      </c>
      <c r="E8907">
        <v>389</v>
      </c>
    </row>
    <row r="8908" spans="1:5" x14ac:dyDescent="0.25">
      <c r="A8908">
        <v>257</v>
      </c>
      <c r="B8908">
        <f t="shared" si="27"/>
        <v>388</v>
      </c>
      <c r="C8908">
        <v>1</v>
      </c>
      <c r="E8908" s="1">
        <v>389</v>
      </c>
    </row>
    <row r="8909" spans="1:5" x14ac:dyDescent="0.25">
      <c r="A8909">
        <v>260</v>
      </c>
      <c r="B8909">
        <f t="shared" si="27"/>
        <v>388</v>
      </c>
      <c r="C8909">
        <v>4</v>
      </c>
      <c r="E8909">
        <v>389</v>
      </c>
    </row>
    <row r="8910" spans="1:5" x14ac:dyDescent="0.25">
      <c r="A8910">
        <v>277</v>
      </c>
      <c r="B8910">
        <f t="shared" ref="B8910:B8973" si="28">E8910-1</f>
        <v>388</v>
      </c>
      <c r="C8910">
        <v>2</v>
      </c>
      <c r="E8910" s="1">
        <v>389</v>
      </c>
    </row>
    <row r="8911" spans="1:5" x14ac:dyDescent="0.25">
      <c r="A8911">
        <v>281</v>
      </c>
      <c r="B8911">
        <f t="shared" si="28"/>
        <v>388</v>
      </c>
      <c r="C8911">
        <v>4</v>
      </c>
      <c r="E8911">
        <v>389</v>
      </c>
    </row>
    <row r="8912" spans="1:5" x14ac:dyDescent="0.25">
      <c r="A8912">
        <v>283</v>
      </c>
      <c r="B8912">
        <f t="shared" si="28"/>
        <v>388</v>
      </c>
      <c r="C8912">
        <v>1</v>
      </c>
      <c r="E8912" s="1">
        <v>389</v>
      </c>
    </row>
    <row r="8913" spans="1:5" x14ac:dyDescent="0.25">
      <c r="A8913">
        <v>296</v>
      </c>
      <c r="B8913">
        <f t="shared" si="28"/>
        <v>388</v>
      </c>
      <c r="C8913">
        <v>4</v>
      </c>
      <c r="E8913">
        <v>389</v>
      </c>
    </row>
    <row r="8914" spans="1:5" x14ac:dyDescent="0.25">
      <c r="A8914">
        <v>2</v>
      </c>
      <c r="B8914">
        <f t="shared" si="28"/>
        <v>389</v>
      </c>
      <c r="C8914">
        <v>2</v>
      </c>
      <c r="E8914" s="1">
        <v>390</v>
      </c>
    </row>
    <row r="8915" spans="1:5" x14ac:dyDescent="0.25">
      <c r="A8915">
        <v>16</v>
      </c>
      <c r="B8915">
        <f t="shared" si="28"/>
        <v>389</v>
      </c>
      <c r="C8915">
        <v>2</v>
      </c>
      <c r="E8915">
        <v>390</v>
      </c>
    </row>
    <row r="8916" spans="1:5" x14ac:dyDescent="0.25">
      <c r="A8916">
        <v>27</v>
      </c>
      <c r="B8916">
        <f t="shared" si="28"/>
        <v>389</v>
      </c>
      <c r="C8916">
        <v>4</v>
      </c>
      <c r="E8916" s="1">
        <v>390</v>
      </c>
    </row>
    <row r="8917" spans="1:5" x14ac:dyDescent="0.25">
      <c r="A8917">
        <v>76</v>
      </c>
      <c r="B8917">
        <f t="shared" si="28"/>
        <v>389</v>
      </c>
      <c r="C8917">
        <v>4</v>
      </c>
      <c r="E8917">
        <v>390</v>
      </c>
    </row>
    <row r="8918" spans="1:5" x14ac:dyDescent="0.25">
      <c r="A8918">
        <v>77</v>
      </c>
      <c r="B8918">
        <f t="shared" si="28"/>
        <v>389</v>
      </c>
      <c r="C8918">
        <v>3</v>
      </c>
      <c r="E8918" s="1">
        <v>390</v>
      </c>
    </row>
    <row r="8919" spans="1:5" x14ac:dyDescent="0.25">
      <c r="A8919">
        <v>77</v>
      </c>
      <c r="B8919">
        <f t="shared" si="28"/>
        <v>389</v>
      </c>
      <c r="C8919">
        <v>1</v>
      </c>
      <c r="E8919">
        <v>390</v>
      </c>
    </row>
    <row r="8920" spans="1:5" x14ac:dyDescent="0.25">
      <c r="A8920">
        <v>102</v>
      </c>
      <c r="B8920">
        <f t="shared" si="28"/>
        <v>389</v>
      </c>
      <c r="C8920">
        <v>2</v>
      </c>
      <c r="E8920" s="1">
        <v>390</v>
      </c>
    </row>
    <row r="8921" spans="1:5" x14ac:dyDescent="0.25">
      <c r="A8921">
        <v>169</v>
      </c>
      <c r="B8921">
        <f t="shared" si="28"/>
        <v>389</v>
      </c>
      <c r="C8921">
        <v>4</v>
      </c>
      <c r="E8921">
        <v>390</v>
      </c>
    </row>
    <row r="8922" spans="1:5" x14ac:dyDescent="0.25">
      <c r="A8922">
        <v>263</v>
      </c>
      <c r="B8922">
        <f t="shared" si="28"/>
        <v>389</v>
      </c>
      <c r="C8922">
        <v>1</v>
      </c>
      <c r="E8922" s="1">
        <v>390</v>
      </c>
    </row>
    <row r="8923" spans="1:5" x14ac:dyDescent="0.25">
      <c r="A8923">
        <v>267</v>
      </c>
      <c r="B8923">
        <f t="shared" si="28"/>
        <v>389</v>
      </c>
      <c r="C8923">
        <v>1</v>
      </c>
      <c r="E8923">
        <v>390</v>
      </c>
    </row>
    <row r="8924" spans="1:5" x14ac:dyDescent="0.25">
      <c r="A8924">
        <v>273</v>
      </c>
      <c r="B8924">
        <f t="shared" si="28"/>
        <v>389</v>
      </c>
      <c r="C8924">
        <v>4</v>
      </c>
      <c r="E8924" s="1">
        <v>390</v>
      </c>
    </row>
    <row r="8925" spans="1:5" x14ac:dyDescent="0.25">
      <c r="A8925">
        <v>274</v>
      </c>
      <c r="B8925">
        <f t="shared" si="28"/>
        <v>389</v>
      </c>
      <c r="C8925">
        <v>4</v>
      </c>
      <c r="E8925">
        <v>390</v>
      </c>
    </row>
    <row r="8926" spans="1:5" x14ac:dyDescent="0.25">
      <c r="A8926">
        <v>285</v>
      </c>
      <c r="B8926">
        <f t="shared" si="28"/>
        <v>389</v>
      </c>
      <c r="C8926">
        <v>3</v>
      </c>
      <c r="E8926" s="1">
        <v>390</v>
      </c>
    </row>
    <row r="8927" spans="1:5" x14ac:dyDescent="0.25">
      <c r="A8927">
        <v>288</v>
      </c>
      <c r="B8927">
        <f t="shared" si="28"/>
        <v>389</v>
      </c>
      <c r="C8927">
        <v>4</v>
      </c>
      <c r="E8927">
        <v>390</v>
      </c>
    </row>
    <row r="8928" spans="1:5" x14ac:dyDescent="0.25">
      <c r="A8928">
        <v>5</v>
      </c>
      <c r="B8928">
        <f t="shared" si="28"/>
        <v>390</v>
      </c>
      <c r="C8928">
        <v>2</v>
      </c>
      <c r="E8928" s="1">
        <v>391</v>
      </c>
    </row>
    <row r="8929" spans="1:5" x14ac:dyDescent="0.25">
      <c r="A8929">
        <v>41</v>
      </c>
      <c r="B8929">
        <f t="shared" si="28"/>
        <v>390</v>
      </c>
      <c r="C8929">
        <v>5</v>
      </c>
      <c r="E8929">
        <v>391</v>
      </c>
    </row>
    <row r="8930" spans="1:5" x14ac:dyDescent="0.25">
      <c r="A8930">
        <v>42</v>
      </c>
      <c r="B8930">
        <f t="shared" si="28"/>
        <v>390</v>
      </c>
      <c r="C8930">
        <v>5</v>
      </c>
      <c r="E8930" s="1">
        <v>391</v>
      </c>
    </row>
    <row r="8931" spans="1:5" x14ac:dyDescent="0.25">
      <c r="A8931">
        <v>47</v>
      </c>
      <c r="B8931">
        <f t="shared" si="28"/>
        <v>390</v>
      </c>
      <c r="C8931">
        <v>5</v>
      </c>
      <c r="E8931">
        <v>391</v>
      </c>
    </row>
    <row r="8932" spans="1:5" x14ac:dyDescent="0.25">
      <c r="A8932">
        <v>55</v>
      </c>
      <c r="B8932">
        <f t="shared" si="28"/>
        <v>390</v>
      </c>
      <c r="C8932">
        <v>2</v>
      </c>
      <c r="E8932" s="1">
        <v>391</v>
      </c>
    </row>
    <row r="8933" spans="1:5" x14ac:dyDescent="0.25">
      <c r="A8933">
        <v>98</v>
      </c>
      <c r="B8933">
        <f t="shared" si="28"/>
        <v>390</v>
      </c>
      <c r="C8933">
        <v>5</v>
      </c>
      <c r="E8933">
        <v>391</v>
      </c>
    </row>
    <row r="8934" spans="1:5" x14ac:dyDescent="0.25">
      <c r="A8934">
        <v>101</v>
      </c>
      <c r="B8934">
        <f t="shared" si="28"/>
        <v>390</v>
      </c>
      <c r="C8934">
        <v>3</v>
      </c>
      <c r="E8934" s="1">
        <v>391</v>
      </c>
    </row>
    <row r="8935" spans="1:5" x14ac:dyDescent="0.25">
      <c r="A8935">
        <v>112</v>
      </c>
      <c r="B8935">
        <f t="shared" si="28"/>
        <v>390</v>
      </c>
      <c r="C8935">
        <v>4</v>
      </c>
      <c r="E8935">
        <v>391</v>
      </c>
    </row>
    <row r="8936" spans="1:5" x14ac:dyDescent="0.25">
      <c r="A8936">
        <v>114</v>
      </c>
      <c r="B8936">
        <f t="shared" si="28"/>
        <v>390</v>
      </c>
      <c r="C8936">
        <v>5</v>
      </c>
      <c r="E8936" s="1">
        <v>391</v>
      </c>
    </row>
    <row r="8937" spans="1:5" x14ac:dyDescent="0.25">
      <c r="A8937">
        <v>126</v>
      </c>
      <c r="B8937">
        <f t="shared" si="28"/>
        <v>390</v>
      </c>
      <c r="C8937">
        <v>4</v>
      </c>
      <c r="E8937">
        <v>391</v>
      </c>
    </row>
    <row r="8938" spans="1:5" x14ac:dyDescent="0.25">
      <c r="A8938">
        <v>129</v>
      </c>
      <c r="B8938">
        <f t="shared" si="28"/>
        <v>390</v>
      </c>
      <c r="C8938">
        <v>4</v>
      </c>
      <c r="E8938" s="1">
        <v>391</v>
      </c>
    </row>
    <row r="8939" spans="1:5" x14ac:dyDescent="0.25">
      <c r="A8939">
        <v>166</v>
      </c>
      <c r="B8939">
        <f t="shared" si="28"/>
        <v>390</v>
      </c>
      <c r="C8939">
        <v>1</v>
      </c>
      <c r="E8939">
        <v>391</v>
      </c>
    </row>
    <row r="8940" spans="1:5" x14ac:dyDescent="0.25">
      <c r="A8940">
        <v>174</v>
      </c>
      <c r="B8940">
        <f t="shared" si="28"/>
        <v>390</v>
      </c>
      <c r="C8940">
        <v>3</v>
      </c>
      <c r="E8940" s="1">
        <v>391</v>
      </c>
    </row>
    <row r="8941" spans="1:5" x14ac:dyDescent="0.25">
      <c r="A8941">
        <v>176</v>
      </c>
      <c r="B8941">
        <f t="shared" si="28"/>
        <v>390</v>
      </c>
      <c r="C8941">
        <v>2</v>
      </c>
      <c r="E8941">
        <v>391</v>
      </c>
    </row>
    <row r="8942" spans="1:5" x14ac:dyDescent="0.25">
      <c r="A8942">
        <v>182</v>
      </c>
      <c r="B8942">
        <f t="shared" si="28"/>
        <v>390</v>
      </c>
      <c r="C8942">
        <v>2</v>
      </c>
      <c r="E8942" s="1">
        <v>391</v>
      </c>
    </row>
    <row r="8943" spans="1:5" x14ac:dyDescent="0.25">
      <c r="A8943">
        <v>191</v>
      </c>
      <c r="B8943">
        <f t="shared" si="28"/>
        <v>390</v>
      </c>
      <c r="C8943">
        <v>3</v>
      </c>
      <c r="E8943">
        <v>391</v>
      </c>
    </row>
    <row r="8944" spans="1:5" x14ac:dyDescent="0.25">
      <c r="A8944">
        <v>214</v>
      </c>
      <c r="B8944">
        <f t="shared" si="28"/>
        <v>390</v>
      </c>
      <c r="C8944">
        <v>5</v>
      </c>
      <c r="E8944" s="1">
        <v>391</v>
      </c>
    </row>
    <row r="8945" spans="1:5" x14ac:dyDescent="0.25">
      <c r="A8945">
        <v>220</v>
      </c>
      <c r="B8945">
        <f t="shared" si="28"/>
        <v>390</v>
      </c>
      <c r="C8945">
        <v>1</v>
      </c>
      <c r="E8945">
        <v>391</v>
      </c>
    </row>
    <row r="8946" spans="1:5" x14ac:dyDescent="0.25">
      <c r="A8946">
        <v>235</v>
      </c>
      <c r="B8946">
        <f t="shared" si="28"/>
        <v>390</v>
      </c>
      <c r="C8946">
        <v>1</v>
      </c>
      <c r="E8946" s="1">
        <v>391</v>
      </c>
    </row>
    <row r="8947" spans="1:5" x14ac:dyDescent="0.25">
      <c r="A8947">
        <v>239</v>
      </c>
      <c r="B8947">
        <f t="shared" si="28"/>
        <v>390</v>
      </c>
      <c r="C8947">
        <v>3</v>
      </c>
      <c r="E8947">
        <v>391</v>
      </c>
    </row>
    <row r="8948" spans="1:5" x14ac:dyDescent="0.25">
      <c r="A8948">
        <v>249</v>
      </c>
      <c r="B8948">
        <f t="shared" si="28"/>
        <v>390</v>
      </c>
      <c r="C8948">
        <v>1</v>
      </c>
      <c r="E8948" s="1">
        <v>391</v>
      </c>
    </row>
    <row r="8949" spans="1:5" x14ac:dyDescent="0.25">
      <c r="A8949">
        <v>259</v>
      </c>
      <c r="B8949">
        <f t="shared" si="28"/>
        <v>390</v>
      </c>
      <c r="C8949">
        <v>1</v>
      </c>
      <c r="E8949">
        <v>391</v>
      </c>
    </row>
    <row r="8950" spans="1:5" x14ac:dyDescent="0.25">
      <c r="A8950">
        <v>271</v>
      </c>
      <c r="B8950">
        <f t="shared" si="28"/>
        <v>390</v>
      </c>
      <c r="C8950">
        <v>1</v>
      </c>
      <c r="E8950" s="1">
        <v>391</v>
      </c>
    </row>
    <row r="8951" spans="1:5" x14ac:dyDescent="0.25">
      <c r="A8951">
        <v>298</v>
      </c>
      <c r="B8951">
        <f t="shared" si="28"/>
        <v>390</v>
      </c>
      <c r="C8951">
        <v>4</v>
      </c>
      <c r="E8951">
        <v>391</v>
      </c>
    </row>
    <row r="8952" spans="1:5" x14ac:dyDescent="0.25">
      <c r="A8952">
        <v>25</v>
      </c>
      <c r="B8952">
        <f t="shared" si="28"/>
        <v>391</v>
      </c>
      <c r="C8952">
        <v>4</v>
      </c>
      <c r="E8952" s="1">
        <v>392</v>
      </c>
    </row>
    <row r="8953" spans="1:5" x14ac:dyDescent="0.25">
      <c r="A8953">
        <v>44</v>
      </c>
      <c r="B8953">
        <f t="shared" si="28"/>
        <v>391</v>
      </c>
      <c r="C8953">
        <v>3</v>
      </c>
      <c r="E8953">
        <v>392</v>
      </c>
    </row>
    <row r="8954" spans="1:5" x14ac:dyDescent="0.25">
      <c r="A8954">
        <v>108</v>
      </c>
      <c r="B8954">
        <f t="shared" si="28"/>
        <v>391</v>
      </c>
      <c r="C8954">
        <v>5</v>
      </c>
      <c r="E8954" s="1">
        <v>392</v>
      </c>
    </row>
    <row r="8955" spans="1:5" x14ac:dyDescent="0.25">
      <c r="A8955">
        <v>119</v>
      </c>
      <c r="B8955">
        <f t="shared" si="28"/>
        <v>391</v>
      </c>
      <c r="C8955">
        <v>3</v>
      </c>
      <c r="E8955">
        <v>392</v>
      </c>
    </row>
    <row r="8956" spans="1:5" x14ac:dyDescent="0.25">
      <c r="A8956">
        <v>125</v>
      </c>
      <c r="B8956">
        <f t="shared" si="28"/>
        <v>391</v>
      </c>
      <c r="C8956">
        <v>5</v>
      </c>
      <c r="E8956" s="1">
        <v>392</v>
      </c>
    </row>
    <row r="8957" spans="1:5" x14ac:dyDescent="0.25">
      <c r="A8957">
        <v>132</v>
      </c>
      <c r="B8957">
        <f t="shared" si="28"/>
        <v>391</v>
      </c>
      <c r="C8957">
        <v>2</v>
      </c>
      <c r="E8957">
        <v>392</v>
      </c>
    </row>
    <row r="8958" spans="1:5" x14ac:dyDescent="0.25">
      <c r="A8958">
        <v>133</v>
      </c>
      <c r="B8958">
        <f t="shared" si="28"/>
        <v>391</v>
      </c>
      <c r="C8958">
        <v>3</v>
      </c>
      <c r="E8958" s="1">
        <v>392</v>
      </c>
    </row>
    <row r="8959" spans="1:5" x14ac:dyDescent="0.25">
      <c r="A8959">
        <v>135</v>
      </c>
      <c r="B8959">
        <f t="shared" si="28"/>
        <v>391</v>
      </c>
      <c r="C8959">
        <v>5</v>
      </c>
      <c r="E8959">
        <v>392</v>
      </c>
    </row>
    <row r="8960" spans="1:5" x14ac:dyDescent="0.25">
      <c r="A8960">
        <v>151</v>
      </c>
      <c r="B8960">
        <f t="shared" si="28"/>
        <v>391</v>
      </c>
      <c r="C8960">
        <v>2</v>
      </c>
      <c r="E8960" s="1">
        <v>392</v>
      </c>
    </row>
    <row r="8961" spans="1:5" x14ac:dyDescent="0.25">
      <c r="A8961">
        <v>179</v>
      </c>
      <c r="B8961">
        <f t="shared" si="28"/>
        <v>391</v>
      </c>
      <c r="C8961">
        <v>2</v>
      </c>
      <c r="E8961">
        <v>392</v>
      </c>
    </row>
    <row r="8962" spans="1:5" x14ac:dyDescent="0.25">
      <c r="A8962">
        <v>182</v>
      </c>
      <c r="B8962">
        <f t="shared" si="28"/>
        <v>391</v>
      </c>
      <c r="C8962">
        <v>3</v>
      </c>
      <c r="E8962" s="1">
        <v>392</v>
      </c>
    </row>
    <row r="8963" spans="1:5" x14ac:dyDescent="0.25">
      <c r="A8963">
        <v>224</v>
      </c>
      <c r="B8963">
        <f t="shared" si="28"/>
        <v>391</v>
      </c>
      <c r="C8963">
        <v>2</v>
      </c>
      <c r="E8963">
        <v>392</v>
      </c>
    </row>
    <row r="8964" spans="1:5" x14ac:dyDescent="0.25">
      <c r="A8964">
        <v>232</v>
      </c>
      <c r="B8964">
        <f t="shared" si="28"/>
        <v>391</v>
      </c>
      <c r="C8964">
        <v>5</v>
      </c>
      <c r="E8964" s="1">
        <v>392</v>
      </c>
    </row>
    <row r="8965" spans="1:5" x14ac:dyDescent="0.25">
      <c r="A8965">
        <v>251</v>
      </c>
      <c r="B8965">
        <f t="shared" si="28"/>
        <v>391</v>
      </c>
      <c r="C8965">
        <v>5</v>
      </c>
      <c r="E8965">
        <v>392</v>
      </c>
    </row>
    <row r="8966" spans="1:5" x14ac:dyDescent="0.25">
      <c r="A8966">
        <v>297</v>
      </c>
      <c r="B8966">
        <f t="shared" si="28"/>
        <v>391</v>
      </c>
      <c r="C8966">
        <v>1</v>
      </c>
      <c r="E8966" s="1">
        <v>392</v>
      </c>
    </row>
    <row r="8967" spans="1:5" x14ac:dyDescent="0.25">
      <c r="A8967">
        <v>298</v>
      </c>
      <c r="B8967">
        <f t="shared" si="28"/>
        <v>391</v>
      </c>
      <c r="C8967">
        <v>3</v>
      </c>
      <c r="E8967">
        <v>392</v>
      </c>
    </row>
    <row r="8968" spans="1:5" x14ac:dyDescent="0.25">
      <c r="A8968">
        <v>1</v>
      </c>
      <c r="B8968">
        <f t="shared" si="28"/>
        <v>392</v>
      </c>
      <c r="C8968">
        <v>5</v>
      </c>
      <c r="E8968" s="1">
        <v>393</v>
      </c>
    </row>
    <row r="8969" spans="1:5" x14ac:dyDescent="0.25">
      <c r="A8969">
        <v>6</v>
      </c>
      <c r="B8969">
        <f t="shared" si="28"/>
        <v>392</v>
      </c>
      <c r="C8969">
        <v>2</v>
      </c>
      <c r="E8969">
        <v>393</v>
      </c>
    </row>
    <row r="8970" spans="1:5" x14ac:dyDescent="0.25">
      <c r="A8970">
        <v>8</v>
      </c>
      <c r="B8970">
        <f t="shared" si="28"/>
        <v>392</v>
      </c>
      <c r="C8970">
        <v>5</v>
      </c>
      <c r="E8970" s="1">
        <v>393</v>
      </c>
    </row>
    <row r="8971" spans="1:5" x14ac:dyDescent="0.25">
      <c r="A8971">
        <v>19</v>
      </c>
      <c r="B8971">
        <f t="shared" si="28"/>
        <v>392</v>
      </c>
      <c r="C8971">
        <v>3</v>
      </c>
      <c r="E8971">
        <v>393</v>
      </c>
    </row>
    <row r="8972" spans="1:5" x14ac:dyDescent="0.25">
      <c r="A8972">
        <v>27</v>
      </c>
      <c r="B8972">
        <f t="shared" si="28"/>
        <v>392</v>
      </c>
      <c r="C8972">
        <v>3</v>
      </c>
      <c r="E8972" s="1">
        <v>393</v>
      </c>
    </row>
    <row r="8973" spans="1:5" x14ac:dyDescent="0.25">
      <c r="A8973">
        <v>59</v>
      </c>
      <c r="B8973">
        <f t="shared" si="28"/>
        <v>392</v>
      </c>
      <c r="C8973">
        <v>3</v>
      </c>
      <c r="E8973">
        <v>393</v>
      </c>
    </row>
    <row r="8974" spans="1:5" x14ac:dyDescent="0.25">
      <c r="A8974">
        <v>69</v>
      </c>
      <c r="B8974">
        <f t="shared" ref="B8974:B9037" si="29">E8974-1</f>
        <v>392</v>
      </c>
      <c r="C8974">
        <v>1</v>
      </c>
      <c r="E8974" s="1">
        <v>393</v>
      </c>
    </row>
    <row r="8975" spans="1:5" x14ac:dyDescent="0.25">
      <c r="A8975">
        <v>73</v>
      </c>
      <c r="B8975">
        <f t="shared" si="29"/>
        <v>392</v>
      </c>
      <c r="C8975">
        <v>4</v>
      </c>
      <c r="E8975">
        <v>393</v>
      </c>
    </row>
    <row r="8976" spans="1:5" x14ac:dyDescent="0.25">
      <c r="A8976">
        <v>82</v>
      </c>
      <c r="B8976">
        <f t="shared" si="29"/>
        <v>392</v>
      </c>
      <c r="C8976">
        <v>5</v>
      </c>
      <c r="E8976" s="1">
        <v>393</v>
      </c>
    </row>
    <row r="8977" spans="1:5" x14ac:dyDescent="0.25">
      <c r="A8977">
        <v>104</v>
      </c>
      <c r="B8977">
        <f t="shared" si="29"/>
        <v>392</v>
      </c>
      <c r="C8977">
        <v>2</v>
      </c>
      <c r="E8977">
        <v>393</v>
      </c>
    </row>
    <row r="8978" spans="1:5" x14ac:dyDescent="0.25">
      <c r="A8978">
        <v>120</v>
      </c>
      <c r="B8978">
        <f t="shared" si="29"/>
        <v>392</v>
      </c>
      <c r="C8978">
        <v>3</v>
      </c>
      <c r="E8978" s="1">
        <v>393</v>
      </c>
    </row>
    <row r="8979" spans="1:5" x14ac:dyDescent="0.25">
      <c r="A8979">
        <v>131</v>
      </c>
      <c r="B8979">
        <f t="shared" si="29"/>
        <v>392</v>
      </c>
      <c r="C8979">
        <v>3</v>
      </c>
      <c r="E8979">
        <v>393</v>
      </c>
    </row>
    <row r="8980" spans="1:5" x14ac:dyDescent="0.25">
      <c r="A8980">
        <v>131</v>
      </c>
      <c r="B8980">
        <f t="shared" si="29"/>
        <v>392</v>
      </c>
      <c r="C8980">
        <v>4</v>
      </c>
      <c r="E8980" s="1">
        <v>393</v>
      </c>
    </row>
    <row r="8981" spans="1:5" x14ac:dyDescent="0.25">
      <c r="A8981">
        <v>137</v>
      </c>
      <c r="B8981">
        <f t="shared" si="29"/>
        <v>392</v>
      </c>
      <c r="C8981">
        <v>1</v>
      </c>
      <c r="E8981">
        <v>393</v>
      </c>
    </row>
    <row r="8982" spans="1:5" x14ac:dyDescent="0.25">
      <c r="A8982">
        <v>174</v>
      </c>
      <c r="B8982">
        <f t="shared" si="29"/>
        <v>392</v>
      </c>
      <c r="C8982">
        <v>2</v>
      </c>
      <c r="E8982" s="1">
        <v>393</v>
      </c>
    </row>
    <row r="8983" spans="1:5" x14ac:dyDescent="0.25">
      <c r="A8983">
        <v>180</v>
      </c>
      <c r="B8983">
        <f t="shared" si="29"/>
        <v>392</v>
      </c>
      <c r="C8983">
        <v>3</v>
      </c>
      <c r="E8983">
        <v>393</v>
      </c>
    </row>
    <row r="8984" spans="1:5" x14ac:dyDescent="0.25">
      <c r="A8984">
        <v>184</v>
      </c>
      <c r="B8984">
        <f t="shared" si="29"/>
        <v>392</v>
      </c>
      <c r="C8984">
        <v>3</v>
      </c>
      <c r="E8984" s="1">
        <v>393</v>
      </c>
    </row>
    <row r="8985" spans="1:5" x14ac:dyDescent="0.25">
      <c r="A8985">
        <v>255</v>
      </c>
      <c r="B8985">
        <f t="shared" si="29"/>
        <v>392</v>
      </c>
      <c r="C8985">
        <v>3</v>
      </c>
      <c r="E8985">
        <v>393</v>
      </c>
    </row>
    <row r="8986" spans="1:5" x14ac:dyDescent="0.25">
      <c r="A8986">
        <v>261</v>
      </c>
      <c r="B8986">
        <f t="shared" si="29"/>
        <v>392</v>
      </c>
      <c r="C8986">
        <v>1</v>
      </c>
      <c r="E8986" s="1">
        <v>393</v>
      </c>
    </row>
    <row r="8987" spans="1:5" x14ac:dyDescent="0.25">
      <c r="A8987">
        <v>261</v>
      </c>
      <c r="B8987">
        <f t="shared" si="29"/>
        <v>392</v>
      </c>
      <c r="C8987">
        <v>4</v>
      </c>
      <c r="E8987">
        <v>393</v>
      </c>
    </row>
    <row r="8988" spans="1:5" x14ac:dyDescent="0.25">
      <c r="A8988">
        <v>271</v>
      </c>
      <c r="B8988">
        <f t="shared" si="29"/>
        <v>392</v>
      </c>
      <c r="C8988">
        <v>4</v>
      </c>
      <c r="E8988" s="1">
        <v>393</v>
      </c>
    </row>
    <row r="8989" spans="1:5" x14ac:dyDescent="0.25">
      <c r="A8989">
        <v>43</v>
      </c>
      <c r="B8989">
        <f t="shared" si="29"/>
        <v>393</v>
      </c>
      <c r="C8989">
        <v>2</v>
      </c>
      <c r="E8989">
        <v>394</v>
      </c>
    </row>
    <row r="8990" spans="1:5" x14ac:dyDescent="0.25">
      <c r="A8990">
        <v>65</v>
      </c>
      <c r="B8990">
        <f t="shared" si="29"/>
        <v>393</v>
      </c>
      <c r="C8990">
        <v>4</v>
      </c>
      <c r="E8990" s="1">
        <v>394</v>
      </c>
    </row>
    <row r="8991" spans="1:5" x14ac:dyDescent="0.25">
      <c r="A8991">
        <v>83</v>
      </c>
      <c r="B8991">
        <f t="shared" si="29"/>
        <v>393</v>
      </c>
      <c r="C8991">
        <v>1</v>
      </c>
      <c r="E8991">
        <v>394</v>
      </c>
    </row>
    <row r="8992" spans="1:5" x14ac:dyDescent="0.25">
      <c r="A8992">
        <v>97</v>
      </c>
      <c r="B8992">
        <f t="shared" si="29"/>
        <v>393</v>
      </c>
      <c r="C8992">
        <v>4</v>
      </c>
      <c r="E8992" s="1">
        <v>394</v>
      </c>
    </row>
    <row r="8993" spans="1:5" x14ac:dyDescent="0.25">
      <c r="A8993">
        <v>99</v>
      </c>
      <c r="B8993">
        <f t="shared" si="29"/>
        <v>393</v>
      </c>
      <c r="C8993">
        <v>3</v>
      </c>
      <c r="E8993">
        <v>394</v>
      </c>
    </row>
    <row r="8994" spans="1:5" x14ac:dyDescent="0.25">
      <c r="A8994">
        <v>149</v>
      </c>
      <c r="B8994">
        <f t="shared" si="29"/>
        <v>393</v>
      </c>
      <c r="C8994">
        <v>4</v>
      </c>
      <c r="E8994" s="1">
        <v>394</v>
      </c>
    </row>
    <row r="8995" spans="1:5" x14ac:dyDescent="0.25">
      <c r="A8995">
        <v>154</v>
      </c>
      <c r="B8995">
        <f t="shared" si="29"/>
        <v>393</v>
      </c>
      <c r="C8995">
        <v>3</v>
      </c>
      <c r="E8995">
        <v>394</v>
      </c>
    </row>
    <row r="8996" spans="1:5" x14ac:dyDescent="0.25">
      <c r="A8996">
        <v>159</v>
      </c>
      <c r="B8996">
        <f t="shared" si="29"/>
        <v>393</v>
      </c>
      <c r="C8996">
        <v>1</v>
      </c>
      <c r="E8996" s="1">
        <v>394</v>
      </c>
    </row>
    <row r="8997" spans="1:5" x14ac:dyDescent="0.25">
      <c r="A8997">
        <v>188</v>
      </c>
      <c r="B8997">
        <f t="shared" si="29"/>
        <v>393</v>
      </c>
      <c r="C8997">
        <v>4</v>
      </c>
      <c r="E8997">
        <v>394</v>
      </c>
    </row>
    <row r="8998" spans="1:5" x14ac:dyDescent="0.25">
      <c r="A8998">
        <v>210</v>
      </c>
      <c r="B8998">
        <f t="shared" si="29"/>
        <v>393</v>
      </c>
      <c r="C8998">
        <v>1</v>
      </c>
      <c r="E8998" s="1">
        <v>394</v>
      </c>
    </row>
    <row r="8999" spans="1:5" x14ac:dyDescent="0.25">
      <c r="A8999">
        <v>217</v>
      </c>
      <c r="B8999">
        <f t="shared" si="29"/>
        <v>393</v>
      </c>
      <c r="C8999">
        <v>3</v>
      </c>
      <c r="E8999">
        <v>394</v>
      </c>
    </row>
    <row r="9000" spans="1:5" x14ac:dyDescent="0.25">
      <c r="A9000">
        <v>267</v>
      </c>
      <c r="B9000">
        <f t="shared" si="29"/>
        <v>393</v>
      </c>
      <c r="C9000">
        <v>3</v>
      </c>
      <c r="E9000" s="1">
        <v>394</v>
      </c>
    </row>
    <row r="9001" spans="1:5" x14ac:dyDescent="0.25">
      <c r="A9001">
        <v>286</v>
      </c>
      <c r="B9001">
        <f t="shared" si="29"/>
        <v>393</v>
      </c>
      <c r="C9001">
        <v>3</v>
      </c>
      <c r="E9001">
        <v>394</v>
      </c>
    </row>
    <row r="9002" spans="1:5" x14ac:dyDescent="0.25">
      <c r="A9002">
        <v>5</v>
      </c>
      <c r="B9002">
        <f t="shared" si="29"/>
        <v>394</v>
      </c>
      <c r="C9002">
        <v>2</v>
      </c>
      <c r="E9002" s="1">
        <v>395</v>
      </c>
    </row>
    <row r="9003" spans="1:5" x14ac:dyDescent="0.25">
      <c r="A9003">
        <v>8</v>
      </c>
      <c r="B9003">
        <f t="shared" si="29"/>
        <v>394</v>
      </c>
      <c r="C9003">
        <v>5</v>
      </c>
      <c r="E9003">
        <v>395</v>
      </c>
    </row>
    <row r="9004" spans="1:5" x14ac:dyDescent="0.25">
      <c r="A9004">
        <v>19</v>
      </c>
      <c r="B9004">
        <f t="shared" si="29"/>
        <v>394</v>
      </c>
      <c r="C9004">
        <v>2</v>
      </c>
      <c r="E9004" s="1">
        <v>395</v>
      </c>
    </row>
    <row r="9005" spans="1:5" x14ac:dyDescent="0.25">
      <c r="A9005">
        <v>35</v>
      </c>
      <c r="B9005">
        <f t="shared" si="29"/>
        <v>394</v>
      </c>
      <c r="C9005">
        <v>2</v>
      </c>
      <c r="E9005">
        <v>395</v>
      </c>
    </row>
    <row r="9006" spans="1:5" x14ac:dyDescent="0.25">
      <c r="A9006">
        <v>46</v>
      </c>
      <c r="B9006">
        <f t="shared" si="29"/>
        <v>394</v>
      </c>
      <c r="C9006">
        <v>2</v>
      </c>
      <c r="E9006" s="1">
        <v>395</v>
      </c>
    </row>
    <row r="9007" spans="1:5" x14ac:dyDescent="0.25">
      <c r="A9007">
        <v>49</v>
      </c>
      <c r="B9007">
        <f t="shared" si="29"/>
        <v>394</v>
      </c>
      <c r="C9007">
        <v>2</v>
      </c>
      <c r="E9007">
        <v>395</v>
      </c>
    </row>
    <row r="9008" spans="1:5" x14ac:dyDescent="0.25">
      <c r="A9008">
        <v>79</v>
      </c>
      <c r="B9008">
        <f t="shared" si="29"/>
        <v>394</v>
      </c>
      <c r="C9008">
        <v>3</v>
      </c>
      <c r="E9008" s="1">
        <v>395</v>
      </c>
    </row>
    <row r="9009" spans="1:5" x14ac:dyDescent="0.25">
      <c r="A9009">
        <v>106</v>
      </c>
      <c r="B9009">
        <f t="shared" si="29"/>
        <v>394</v>
      </c>
      <c r="C9009">
        <v>4</v>
      </c>
      <c r="E9009">
        <v>395</v>
      </c>
    </row>
    <row r="9010" spans="1:5" x14ac:dyDescent="0.25">
      <c r="A9010">
        <v>108</v>
      </c>
      <c r="B9010">
        <f t="shared" si="29"/>
        <v>394</v>
      </c>
      <c r="C9010">
        <v>5</v>
      </c>
      <c r="E9010" s="1">
        <v>395</v>
      </c>
    </row>
    <row r="9011" spans="1:5" x14ac:dyDescent="0.25">
      <c r="A9011">
        <v>129</v>
      </c>
      <c r="B9011">
        <f t="shared" si="29"/>
        <v>394</v>
      </c>
      <c r="C9011">
        <v>2</v>
      </c>
      <c r="E9011">
        <v>395</v>
      </c>
    </row>
    <row r="9012" spans="1:5" x14ac:dyDescent="0.25">
      <c r="A9012">
        <v>178</v>
      </c>
      <c r="B9012">
        <f t="shared" si="29"/>
        <v>394</v>
      </c>
      <c r="C9012">
        <v>3</v>
      </c>
      <c r="E9012" s="1">
        <v>395</v>
      </c>
    </row>
    <row r="9013" spans="1:5" x14ac:dyDescent="0.25">
      <c r="A9013">
        <v>180</v>
      </c>
      <c r="B9013">
        <f t="shared" si="29"/>
        <v>394</v>
      </c>
      <c r="C9013">
        <v>3</v>
      </c>
      <c r="E9013">
        <v>395</v>
      </c>
    </row>
    <row r="9014" spans="1:5" x14ac:dyDescent="0.25">
      <c r="A9014">
        <v>184</v>
      </c>
      <c r="B9014">
        <f t="shared" si="29"/>
        <v>394</v>
      </c>
      <c r="C9014">
        <v>2</v>
      </c>
      <c r="E9014" s="1">
        <v>395</v>
      </c>
    </row>
    <row r="9015" spans="1:5" x14ac:dyDescent="0.25">
      <c r="A9015">
        <v>188</v>
      </c>
      <c r="B9015">
        <f t="shared" si="29"/>
        <v>394</v>
      </c>
      <c r="C9015">
        <v>3</v>
      </c>
      <c r="E9015">
        <v>395</v>
      </c>
    </row>
    <row r="9016" spans="1:5" x14ac:dyDescent="0.25">
      <c r="A9016">
        <v>193</v>
      </c>
      <c r="B9016">
        <f t="shared" si="29"/>
        <v>394</v>
      </c>
      <c r="C9016">
        <v>4</v>
      </c>
      <c r="E9016" s="1">
        <v>395</v>
      </c>
    </row>
    <row r="9017" spans="1:5" x14ac:dyDescent="0.25">
      <c r="A9017">
        <v>209</v>
      </c>
      <c r="B9017">
        <f t="shared" si="29"/>
        <v>394</v>
      </c>
      <c r="C9017">
        <v>5</v>
      </c>
      <c r="E9017">
        <v>395</v>
      </c>
    </row>
    <row r="9018" spans="1:5" x14ac:dyDescent="0.25">
      <c r="A9018">
        <v>209</v>
      </c>
      <c r="B9018">
        <f t="shared" si="29"/>
        <v>394</v>
      </c>
      <c r="C9018">
        <v>3</v>
      </c>
      <c r="E9018" s="1">
        <v>395</v>
      </c>
    </row>
    <row r="9019" spans="1:5" x14ac:dyDescent="0.25">
      <c r="A9019">
        <v>216</v>
      </c>
      <c r="B9019">
        <f t="shared" si="29"/>
        <v>394</v>
      </c>
      <c r="C9019">
        <v>2</v>
      </c>
      <c r="E9019">
        <v>395</v>
      </c>
    </row>
    <row r="9020" spans="1:5" x14ac:dyDescent="0.25">
      <c r="A9020">
        <v>220</v>
      </c>
      <c r="B9020">
        <f t="shared" si="29"/>
        <v>394</v>
      </c>
      <c r="C9020">
        <v>2</v>
      </c>
      <c r="E9020" s="1">
        <v>395</v>
      </c>
    </row>
    <row r="9021" spans="1:5" x14ac:dyDescent="0.25">
      <c r="A9021">
        <v>237</v>
      </c>
      <c r="B9021">
        <f t="shared" si="29"/>
        <v>394</v>
      </c>
      <c r="C9021">
        <v>5</v>
      </c>
      <c r="E9021">
        <v>395</v>
      </c>
    </row>
    <row r="9022" spans="1:5" x14ac:dyDescent="0.25">
      <c r="A9022">
        <v>256</v>
      </c>
      <c r="B9022">
        <f t="shared" si="29"/>
        <v>394</v>
      </c>
      <c r="C9022">
        <v>5</v>
      </c>
      <c r="E9022" s="1">
        <v>395</v>
      </c>
    </row>
    <row r="9023" spans="1:5" x14ac:dyDescent="0.25">
      <c r="A9023">
        <v>262</v>
      </c>
      <c r="B9023">
        <f t="shared" si="29"/>
        <v>394</v>
      </c>
      <c r="C9023">
        <v>5</v>
      </c>
      <c r="E9023">
        <v>395</v>
      </c>
    </row>
    <row r="9024" spans="1:5" x14ac:dyDescent="0.25">
      <c r="A9024">
        <v>286</v>
      </c>
      <c r="B9024">
        <f t="shared" si="29"/>
        <v>394</v>
      </c>
      <c r="C9024">
        <v>5</v>
      </c>
      <c r="E9024" s="1">
        <v>395</v>
      </c>
    </row>
    <row r="9025" spans="1:5" x14ac:dyDescent="0.25">
      <c r="A9025">
        <v>14</v>
      </c>
      <c r="B9025">
        <f t="shared" si="29"/>
        <v>395</v>
      </c>
      <c r="C9025">
        <v>2</v>
      </c>
      <c r="E9025">
        <v>396</v>
      </c>
    </row>
    <row r="9026" spans="1:5" x14ac:dyDescent="0.25">
      <c r="A9026">
        <v>37</v>
      </c>
      <c r="B9026">
        <f t="shared" si="29"/>
        <v>395</v>
      </c>
      <c r="C9026">
        <v>3</v>
      </c>
      <c r="E9026" s="1">
        <v>396</v>
      </c>
    </row>
    <row r="9027" spans="1:5" x14ac:dyDescent="0.25">
      <c r="A9027">
        <v>41</v>
      </c>
      <c r="B9027">
        <f t="shared" si="29"/>
        <v>395</v>
      </c>
      <c r="C9027">
        <v>3</v>
      </c>
      <c r="E9027">
        <v>396</v>
      </c>
    </row>
    <row r="9028" spans="1:5" x14ac:dyDescent="0.25">
      <c r="A9028">
        <v>43</v>
      </c>
      <c r="B9028">
        <f t="shared" si="29"/>
        <v>395</v>
      </c>
      <c r="C9028">
        <v>4</v>
      </c>
      <c r="E9028" s="1">
        <v>396</v>
      </c>
    </row>
    <row r="9029" spans="1:5" x14ac:dyDescent="0.25">
      <c r="A9029">
        <v>68</v>
      </c>
      <c r="B9029">
        <f t="shared" si="29"/>
        <v>395</v>
      </c>
      <c r="C9029">
        <v>5</v>
      </c>
      <c r="E9029">
        <v>396</v>
      </c>
    </row>
    <row r="9030" spans="1:5" x14ac:dyDescent="0.25">
      <c r="A9030">
        <v>121</v>
      </c>
      <c r="B9030">
        <f t="shared" si="29"/>
        <v>395</v>
      </c>
      <c r="C9030">
        <v>3</v>
      </c>
      <c r="E9030" s="1">
        <v>396</v>
      </c>
    </row>
    <row r="9031" spans="1:5" x14ac:dyDescent="0.25">
      <c r="A9031">
        <v>128</v>
      </c>
      <c r="B9031">
        <f t="shared" si="29"/>
        <v>395</v>
      </c>
      <c r="C9031">
        <v>4</v>
      </c>
      <c r="E9031">
        <v>396</v>
      </c>
    </row>
    <row r="9032" spans="1:5" x14ac:dyDescent="0.25">
      <c r="A9032">
        <v>155</v>
      </c>
      <c r="B9032">
        <f t="shared" si="29"/>
        <v>395</v>
      </c>
      <c r="C9032">
        <v>2</v>
      </c>
      <c r="E9032" s="1">
        <v>396</v>
      </c>
    </row>
    <row r="9033" spans="1:5" x14ac:dyDescent="0.25">
      <c r="A9033">
        <v>175</v>
      </c>
      <c r="B9033">
        <f t="shared" si="29"/>
        <v>395</v>
      </c>
      <c r="C9033">
        <v>5</v>
      </c>
      <c r="E9033">
        <v>396</v>
      </c>
    </row>
    <row r="9034" spans="1:5" x14ac:dyDescent="0.25">
      <c r="A9034">
        <v>176</v>
      </c>
      <c r="B9034">
        <f t="shared" si="29"/>
        <v>395</v>
      </c>
      <c r="C9034">
        <v>5</v>
      </c>
      <c r="E9034" s="1">
        <v>396</v>
      </c>
    </row>
    <row r="9035" spans="1:5" x14ac:dyDescent="0.25">
      <c r="A9035">
        <v>203</v>
      </c>
      <c r="B9035">
        <f t="shared" si="29"/>
        <v>395</v>
      </c>
      <c r="C9035">
        <v>2</v>
      </c>
      <c r="E9035">
        <v>396</v>
      </c>
    </row>
    <row r="9036" spans="1:5" x14ac:dyDescent="0.25">
      <c r="A9036">
        <v>226</v>
      </c>
      <c r="B9036">
        <f t="shared" si="29"/>
        <v>395</v>
      </c>
      <c r="C9036">
        <v>4</v>
      </c>
      <c r="E9036" s="1">
        <v>396</v>
      </c>
    </row>
    <row r="9037" spans="1:5" x14ac:dyDescent="0.25">
      <c r="A9037">
        <v>230</v>
      </c>
      <c r="B9037">
        <f t="shared" si="29"/>
        <v>395</v>
      </c>
      <c r="C9037">
        <v>5</v>
      </c>
      <c r="E9037">
        <v>396</v>
      </c>
    </row>
    <row r="9038" spans="1:5" x14ac:dyDescent="0.25">
      <c r="A9038">
        <v>230</v>
      </c>
      <c r="B9038">
        <f t="shared" ref="B9038:B9101" si="30">E9038-1</f>
        <v>395</v>
      </c>
      <c r="C9038">
        <v>5</v>
      </c>
      <c r="E9038" s="1">
        <v>396</v>
      </c>
    </row>
    <row r="9039" spans="1:5" x14ac:dyDescent="0.25">
      <c r="A9039">
        <v>235</v>
      </c>
      <c r="B9039">
        <f t="shared" si="30"/>
        <v>395</v>
      </c>
      <c r="C9039">
        <v>4</v>
      </c>
      <c r="E9039">
        <v>396</v>
      </c>
    </row>
    <row r="9040" spans="1:5" x14ac:dyDescent="0.25">
      <c r="A9040">
        <v>262</v>
      </c>
      <c r="B9040">
        <f t="shared" si="30"/>
        <v>395</v>
      </c>
      <c r="C9040">
        <v>3</v>
      </c>
      <c r="E9040" s="1">
        <v>396</v>
      </c>
    </row>
    <row r="9041" spans="1:5" x14ac:dyDescent="0.25">
      <c r="A9041">
        <v>262</v>
      </c>
      <c r="B9041">
        <f t="shared" si="30"/>
        <v>395</v>
      </c>
      <c r="C9041">
        <v>2</v>
      </c>
      <c r="E9041">
        <v>396</v>
      </c>
    </row>
    <row r="9042" spans="1:5" x14ac:dyDescent="0.25">
      <c r="A9042">
        <v>265</v>
      </c>
      <c r="B9042">
        <f t="shared" si="30"/>
        <v>395</v>
      </c>
      <c r="C9042">
        <v>5</v>
      </c>
      <c r="E9042" s="1">
        <v>396</v>
      </c>
    </row>
    <row r="9043" spans="1:5" x14ac:dyDescent="0.25">
      <c r="A9043">
        <v>272</v>
      </c>
      <c r="B9043">
        <f t="shared" si="30"/>
        <v>395</v>
      </c>
      <c r="C9043">
        <v>1</v>
      </c>
      <c r="E9043">
        <v>396</v>
      </c>
    </row>
    <row r="9044" spans="1:5" x14ac:dyDescent="0.25">
      <c r="A9044">
        <v>286</v>
      </c>
      <c r="B9044">
        <f t="shared" si="30"/>
        <v>395</v>
      </c>
      <c r="C9044">
        <v>2</v>
      </c>
      <c r="E9044" s="1">
        <v>396</v>
      </c>
    </row>
    <row r="9045" spans="1:5" x14ac:dyDescent="0.25">
      <c r="A9045">
        <v>5</v>
      </c>
      <c r="B9045">
        <f t="shared" si="30"/>
        <v>396</v>
      </c>
      <c r="C9045">
        <v>5</v>
      </c>
      <c r="E9045">
        <v>397</v>
      </c>
    </row>
    <row r="9046" spans="1:5" x14ac:dyDescent="0.25">
      <c r="A9046">
        <v>28</v>
      </c>
      <c r="B9046">
        <f t="shared" si="30"/>
        <v>396</v>
      </c>
      <c r="C9046">
        <v>5</v>
      </c>
      <c r="E9046" s="1">
        <v>397</v>
      </c>
    </row>
    <row r="9047" spans="1:5" x14ac:dyDescent="0.25">
      <c r="A9047">
        <v>29</v>
      </c>
      <c r="B9047">
        <f t="shared" si="30"/>
        <v>396</v>
      </c>
      <c r="C9047">
        <v>4</v>
      </c>
      <c r="E9047">
        <v>397</v>
      </c>
    </row>
    <row r="9048" spans="1:5" x14ac:dyDescent="0.25">
      <c r="A9048">
        <v>31</v>
      </c>
      <c r="B9048">
        <f t="shared" si="30"/>
        <v>396</v>
      </c>
      <c r="C9048">
        <v>4</v>
      </c>
      <c r="E9048" s="1">
        <v>397</v>
      </c>
    </row>
    <row r="9049" spans="1:5" x14ac:dyDescent="0.25">
      <c r="A9049">
        <v>40</v>
      </c>
      <c r="B9049">
        <f t="shared" si="30"/>
        <v>396</v>
      </c>
      <c r="C9049">
        <v>3</v>
      </c>
      <c r="E9049">
        <v>397</v>
      </c>
    </row>
    <row r="9050" spans="1:5" x14ac:dyDescent="0.25">
      <c r="A9050">
        <v>46</v>
      </c>
      <c r="B9050">
        <f t="shared" si="30"/>
        <v>396</v>
      </c>
      <c r="C9050">
        <v>3</v>
      </c>
      <c r="E9050" s="1">
        <v>397</v>
      </c>
    </row>
    <row r="9051" spans="1:5" x14ac:dyDescent="0.25">
      <c r="A9051">
        <v>74</v>
      </c>
      <c r="B9051">
        <f t="shared" si="30"/>
        <v>396</v>
      </c>
      <c r="C9051">
        <v>2</v>
      </c>
      <c r="E9051">
        <v>397</v>
      </c>
    </row>
    <row r="9052" spans="1:5" x14ac:dyDescent="0.25">
      <c r="A9052">
        <v>121</v>
      </c>
      <c r="B9052">
        <f t="shared" si="30"/>
        <v>396</v>
      </c>
      <c r="C9052">
        <v>3</v>
      </c>
      <c r="E9052" s="1">
        <v>397</v>
      </c>
    </row>
    <row r="9053" spans="1:5" x14ac:dyDescent="0.25">
      <c r="A9053">
        <v>129</v>
      </c>
      <c r="B9053">
        <f t="shared" si="30"/>
        <v>396</v>
      </c>
      <c r="C9053">
        <v>5</v>
      </c>
      <c r="E9053">
        <v>397</v>
      </c>
    </row>
    <row r="9054" spans="1:5" x14ac:dyDescent="0.25">
      <c r="A9054">
        <v>133</v>
      </c>
      <c r="B9054">
        <f t="shared" si="30"/>
        <v>396</v>
      </c>
      <c r="C9054">
        <v>2</v>
      </c>
      <c r="E9054" s="1">
        <v>397</v>
      </c>
    </row>
    <row r="9055" spans="1:5" x14ac:dyDescent="0.25">
      <c r="A9055">
        <v>140</v>
      </c>
      <c r="B9055">
        <f t="shared" si="30"/>
        <v>396</v>
      </c>
      <c r="C9055">
        <v>2</v>
      </c>
      <c r="E9055">
        <v>397</v>
      </c>
    </row>
    <row r="9056" spans="1:5" x14ac:dyDescent="0.25">
      <c r="A9056">
        <v>151</v>
      </c>
      <c r="B9056">
        <f t="shared" si="30"/>
        <v>396</v>
      </c>
      <c r="C9056">
        <v>4</v>
      </c>
      <c r="E9056" s="1">
        <v>397</v>
      </c>
    </row>
    <row r="9057" spans="1:5" x14ac:dyDescent="0.25">
      <c r="A9057">
        <v>179</v>
      </c>
      <c r="B9057">
        <f t="shared" si="30"/>
        <v>396</v>
      </c>
      <c r="C9057">
        <v>4</v>
      </c>
      <c r="E9057">
        <v>397</v>
      </c>
    </row>
    <row r="9058" spans="1:5" x14ac:dyDescent="0.25">
      <c r="A9058">
        <v>202</v>
      </c>
      <c r="B9058">
        <f t="shared" si="30"/>
        <v>396</v>
      </c>
      <c r="C9058">
        <v>1</v>
      </c>
      <c r="E9058" s="1">
        <v>397</v>
      </c>
    </row>
    <row r="9059" spans="1:5" x14ac:dyDescent="0.25">
      <c r="A9059">
        <v>216</v>
      </c>
      <c r="B9059">
        <f t="shared" si="30"/>
        <v>396</v>
      </c>
      <c r="C9059">
        <v>5</v>
      </c>
      <c r="E9059">
        <v>397</v>
      </c>
    </row>
    <row r="9060" spans="1:5" x14ac:dyDescent="0.25">
      <c r="A9060">
        <v>258</v>
      </c>
      <c r="B9060">
        <f t="shared" si="30"/>
        <v>396</v>
      </c>
      <c r="C9060">
        <v>2</v>
      </c>
      <c r="E9060" s="1">
        <v>397</v>
      </c>
    </row>
    <row r="9061" spans="1:5" x14ac:dyDescent="0.25">
      <c r="A9061">
        <v>268</v>
      </c>
      <c r="B9061">
        <f t="shared" si="30"/>
        <v>396</v>
      </c>
      <c r="C9061">
        <v>2</v>
      </c>
      <c r="E9061">
        <v>397</v>
      </c>
    </row>
    <row r="9062" spans="1:5" x14ac:dyDescent="0.25">
      <c r="A9062">
        <v>276</v>
      </c>
      <c r="B9062">
        <f t="shared" si="30"/>
        <v>396</v>
      </c>
      <c r="C9062">
        <v>1</v>
      </c>
      <c r="E9062" s="1">
        <v>397</v>
      </c>
    </row>
    <row r="9063" spans="1:5" x14ac:dyDescent="0.25">
      <c r="A9063">
        <v>287</v>
      </c>
      <c r="B9063">
        <f t="shared" si="30"/>
        <v>396</v>
      </c>
      <c r="C9063">
        <v>2</v>
      </c>
      <c r="E9063">
        <v>397</v>
      </c>
    </row>
    <row r="9064" spans="1:5" x14ac:dyDescent="0.25">
      <c r="A9064">
        <v>291</v>
      </c>
      <c r="B9064">
        <f t="shared" si="30"/>
        <v>396</v>
      </c>
      <c r="C9064">
        <v>4</v>
      </c>
      <c r="E9064" s="1">
        <v>397</v>
      </c>
    </row>
    <row r="9065" spans="1:5" x14ac:dyDescent="0.25">
      <c r="A9065">
        <v>300</v>
      </c>
      <c r="B9065">
        <f t="shared" si="30"/>
        <v>396</v>
      </c>
      <c r="C9065">
        <v>2</v>
      </c>
      <c r="E9065">
        <v>397</v>
      </c>
    </row>
    <row r="9066" spans="1:5" x14ac:dyDescent="0.25">
      <c r="A9066">
        <v>6</v>
      </c>
      <c r="B9066">
        <f t="shared" si="30"/>
        <v>397</v>
      </c>
      <c r="C9066">
        <v>5</v>
      </c>
      <c r="E9066" s="1">
        <v>398</v>
      </c>
    </row>
    <row r="9067" spans="1:5" x14ac:dyDescent="0.25">
      <c r="A9067">
        <v>13</v>
      </c>
      <c r="B9067">
        <f t="shared" si="30"/>
        <v>397</v>
      </c>
      <c r="C9067">
        <v>2</v>
      </c>
      <c r="E9067">
        <v>398</v>
      </c>
    </row>
    <row r="9068" spans="1:5" x14ac:dyDescent="0.25">
      <c r="A9068">
        <v>13</v>
      </c>
      <c r="B9068">
        <f t="shared" si="30"/>
        <v>397</v>
      </c>
      <c r="C9068">
        <v>2</v>
      </c>
      <c r="E9068" s="1">
        <v>398</v>
      </c>
    </row>
    <row r="9069" spans="1:5" x14ac:dyDescent="0.25">
      <c r="A9069">
        <v>17</v>
      </c>
      <c r="B9069">
        <f t="shared" si="30"/>
        <v>397</v>
      </c>
      <c r="C9069">
        <v>3</v>
      </c>
      <c r="E9069">
        <v>398</v>
      </c>
    </row>
    <row r="9070" spans="1:5" x14ac:dyDescent="0.25">
      <c r="A9070">
        <v>17</v>
      </c>
      <c r="B9070">
        <f t="shared" si="30"/>
        <v>397</v>
      </c>
      <c r="C9070">
        <v>4</v>
      </c>
      <c r="E9070" s="1">
        <v>398</v>
      </c>
    </row>
    <row r="9071" spans="1:5" x14ac:dyDescent="0.25">
      <c r="A9071">
        <v>23</v>
      </c>
      <c r="B9071">
        <f t="shared" si="30"/>
        <v>397</v>
      </c>
      <c r="C9071">
        <v>4</v>
      </c>
      <c r="E9071">
        <v>398</v>
      </c>
    </row>
    <row r="9072" spans="1:5" x14ac:dyDescent="0.25">
      <c r="A9072">
        <v>28</v>
      </c>
      <c r="B9072">
        <f t="shared" si="30"/>
        <v>397</v>
      </c>
      <c r="C9072">
        <v>2</v>
      </c>
      <c r="E9072" s="1">
        <v>398</v>
      </c>
    </row>
    <row r="9073" spans="1:5" x14ac:dyDescent="0.25">
      <c r="A9073">
        <v>53</v>
      </c>
      <c r="B9073">
        <f t="shared" si="30"/>
        <v>397</v>
      </c>
      <c r="C9073">
        <v>3</v>
      </c>
      <c r="E9073">
        <v>398</v>
      </c>
    </row>
    <row r="9074" spans="1:5" x14ac:dyDescent="0.25">
      <c r="A9074">
        <v>58</v>
      </c>
      <c r="B9074">
        <f t="shared" si="30"/>
        <v>397</v>
      </c>
      <c r="C9074">
        <v>3</v>
      </c>
      <c r="E9074" s="1">
        <v>398</v>
      </c>
    </row>
    <row r="9075" spans="1:5" x14ac:dyDescent="0.25">
      <c r="A9075">
        <v>74</v>
      </c>
      <c r="B9075">
        <f t="shared" si="30"/>
        <v>397</v>
      </c>
      <c r="C9075">
        <v>3</v>
      </c>
      <c r="E9075">
        <v>398</v>
      </c>
    </row>
    <row r="9076" spans="1:5" x14ac:dyDescent="0.25">
      <c r="A9076">
        <v>85</v>
      </c>
      <c r="B9076">
        <f t="shared" si="30"/>
        <v>397</v>
      </c>
      <c r="C9076">
        <v>4</v>
      </c>
      <c r="E9076" s="1">
        <v>398</v>
      </c>
    </row>
    <row r="9077" spans="1:5" x14ac:dyDescent="0.25">
      <c r="A9077">
        <v>102</v>
      </c>
      <c r="B9077">
        <f t="shared" si="30"/>
        <v>397</v>
      </c>
      <c r="C9077">
        <v>3</v>
      </c>
      <c r="E9077">
        <v>398</v>
      </c>
    </row>
    <row r="9078" spans="1:5" x14ac:dyDescent="0.25">
      <c r="A9078">
        <v>119</v>
      </c>
      <c r="B9078">
        <f t="shared" si="30"/>
        <v>397</v>
      </c>
      <c r="C9078">
        <v>3</v>
      </c>
      <c r="E9078" s="1">
        <v>398</v>
      </c>
    </row>
    <row r="9079" spans="1:5" x14ac:dyDescent="0.25">
      <c r="A9079">
        <v>154</v>
      </c>
      <c r="B9079">
        <f t="shared" si="30"/>
        <v>397</v>
      </c>
      <c r="C9079">
        <v>1</v>
      </c>
      <c r="E9079">
        <v>398</v>
      </c>
    </row>
    <row r="9080" spans="1:5" x14ac:dyDescent="0.25">
      <c r="A9080">
        <v>160</v>
      </c>
      <c r="B9080">
        <f t="shared" si="30"/>
        <v>397</v>
      </c>
      <c r="C9080">
        <v>3</v>
      </c>
      <c r="E9080" s="1">
        <v>398</v>
      </c>
    </row>
    <row r="9081" spans="1:5" x14ac:dyDescent="0.25">
      <c r="A9081">
        <v>166</v>
      </c>
      <c r="B9081">
        <f t="shared" si="30"/>
        <v>397</v>
      </c>
      <c r="C9081">
        <v>4</v>
      </c>
      <c r="E9081">
        <v>398</v>
      </c>
    </row>
    <row r="9082" spans="1:5" x14ac:dyDescent="0.25">
      <c r="A9082">
        <v>170</v>
      </c>
      <c r="B9082">
        <f t="shared" si="30"/>
        <v>397</v>
      </c>
      <c r="C9082">
        <v>2</v>
      </c>
      <c r="E9082" s="1">
        <v>398</v>
      </c>
    </row>
    <row r="9083" spans="1:5" x14ac:dyDescent="0.25">
      <c r="A9083">
        <v>174</v>
      </c>
      <c r="B9083">
        <f t="shared" si="30"/>
        <v>397</v>
      </c>
      <c r="C9083">
        <v>3</v>
      </c>
      <c r="E9083">
        <v>398</v>
      </c>
    </row>
    <row r="9084" spans="1:5" x14ac:dyDescent="0.25">
      <c r="A9084">
        <v>190</v>
      </c>
      <c r="B9084">
        <f t="shared" si="30"/>
        <v>397</v>
      </c>
      <c r="C9084">
        <v>4</v>
      </c>
      <c r="E9084" s="1">
        <v>398</v>
      </c>
    </row>
    <row r="9085" spans="1:5" x14ac:dyDescent="0.25">
      <c r="A9085">
        <v>191</v>
      </c>
      <c r="B9085">
        <f t="shared" si="30"/>
        <v>397</v>
      </c>
      <c r="C9085">
        <v>2</v>
      </c>
      <c r="E9085">
        <v>398</v>
      </c>
    </row>
    <row r="9086" spans="1:5" x14ac:dyDescent="0.25">
      <c r="A9086">
        <v>196</v>
      </c>
      <c r="B9086">
        <f t="shared" si="30"/>
        <v>397</v>
      </c>
      <c r="C9086">
        <v>2</v>
      </c>
      <c r="E9086" s="1">
        <v>398</v>
      </c>
    </row>
    <row r="9087" spans="1:5" x14ac:dyDescent="0.25">
      <c r="A9087">
        <v>198</v>
      </c>
      <c r="B9087">
        <f t="shared" si="30"/>
        <v>397</v>
      </c>
      <c r="C9087">
        <v>4</v>
      </c>
      <c r="E9087">
        <v>398</v>
      </c>
    </row>
    <row r="9088" spans="1:5" x14ac:dyDescent="0.25">
      <c r="A9088">
        <v>202</v>
      </c>
      <c r="B9088">
        <f t="shared" si="30"/>
        <v>397</v>
      </c>
      <c r="C9088">
        <v>5</v>
      </c>
      <c r="E9088" s="1">
        <v>398</v>
      </c>
    </row>
    <row r="9089" spans="1:5" x14ac:dyDescent="0.25">
      <c r="A9089">
        <v>209</v>
      </c>
      <c r="B9089">
        <f t="shared" si="30"/>
        <v>397</v>
      </c>
      <c r="C9089">
        <v>5</v>
      </c>
      <c r="E9089">
        <v>398</v>
      </c>
    </row>
    <row r="9090" spans="1:5" x14ac:dyDescent="0.25">
      <c r="A9090">
        <v>257</v>
      </c>
      <c r="B9090">
        <f t="shared" si="30"/>
        <v>397</v>
      </c>
      <c r="C9090">
        <v>1</v>
      </c>
      <c r="E9090" s="1">
        <v>398</v>
      </c>
    </row>
    <row r="9091" spans="1:5" x14ac:dyDescent="0.25">
      <c r="A9091">
        <v>259</v>
      </c>
      <c r="B9091">
        <f t="shared" si="30"/>
        <v>397</v>
      </c>
      <c r="C9091">
        <v>5</v>
      </c>
      <c r="E9091">
        <v>398</v>
      </c>
    </row>
    <row r="9092" spans="1:5" x14ac:dyDescent="0.25">
      <c r="A9092">
        <v>285</v>
      </c>
      <c r="B9092">
        <f t="shared" si="30"/>
        <v>397</v>
      </c>
      <c r="C9092">
        <v>2</v>
      </c>
      <c r="E9092" s="1">
        <v>398</v>
      </c>
    </row>
    <row r="9093" spans="1:5" x14ac:dyDescent="0.25">
      <c r="A9093">
        <v>287</v>
      </c>
      <c r="B9093">
        <f t="shared" si="30"/>
        <v>397</v>
      </c>
      <c r="C9093">
        <v>1</v>
      </c>
      <c r="E9093">
        <v>398</v>
      </c>
    </row>
    <row r="9094" spans="1:5" x14ac:dyDescent="0.25">
      <c r="A9094">
        <v>18</v>
      </c>
      <c r="B9094">
        <f t="shared" si="30"/>
        <v>398</v>
      </c>
      <c r="C9094">
        <v>3</v>
      </c>
      <c r="E9094" s="1">
        <v>399</v>
      </c>
    </row>
    <row r="9095" spans="1:5" x14ac:dyDescent="0.25">
      <c r="A9095">
        <v>28</v>
      </c>
      <c r="B9095">
        <f t="shared" si="30"/>
        <v>398</v>
      </c>
      <c r="C9095">
        <v>5</v>
      </c>
      <c r="E9095">
        <v>399</v>
      </c>
    </row>
    <row r="9096" spans="1:5" x14ac:dyDescent="0.25">
      <c r="A9096">
        <v>61</v>
      </c>
      <c r="B9096">
        <f t="shared" si="30"/>
        <v>398</v>
      </c>
      <c r="C9096">
        <v>5</v>
      </c>
      <c r="E9096" s="1">
        <v>399</v>
      </c>
    </row>
    <row r="9097" spans="1:5" x14ac:dyDescent="0.25">
      <c r="A9097">
        <v>73</v>
      </c>
      <c r="B9097">
        <f t="shared" si="30"/>
        <v>398</v>
      </c>
      <c r="C9097">
        <v>1</v>
      </c>
      <c r="E9097">
        <v>399</v>
      </c>
    </row>
    <row r="9098" spans="1:5" x14ac:dyDescent="0.25">
      <c r="A9098">
        <v>100</v>
      </c>
      <c r="B9098">
        <f t="shared" si="30"/>
        <v>398</v>
      </c>
      <c r="C9098">
        <v>3</v>
      </c>
      <c r="E9098" s="1">
        <v>399</v>
      </c>
    </row>
    <row r="9099" spans="1:5" x14ac:dyDescent="0.25">
      <c r="A9099">
        <v>128</v>
      </c>
      <c r="B9099">
        <f t="shared" si="30"/>
        <v>398</v>
      </c>
      <c r="C9099">
        <v>5</v>
      </c>
      <c r="E9099">
        <v>399</v>
      </c>
    </row>
    <row r="9100" spans="1:5" x14ac:dyDescent="0.25">
      <c r="A9100">
        <v>141</v>
      </c>
      <c r="B9100">
        <f t="shared" si="30"/>
        <v>398</v>
      </c>
      <c r="C9100">
        <v>5</v>
      </c>
      <c r="E9100" s="1">
        <v>399</v>
      </c>
    </row>
    <row r="9101" spans="1:5" x14ac:dyDescent="0.25">
      <c r="A9101">
        <v>185</v>
      </c>
      <c r="B9101">
        <f t="shared" si="30"/>
        <v>398</v>
      </c>
      <c r="C9101">
        <v>4</v>
      </c>
      <c r="E9101">
        <v>399</v>
      </c>
    </row>
    <row r="9102" spans="1:5" x14ac:dyDescent="0.25">
      <c r="A9102">
        <v>187</v>
      </c>
      <c r="B9102">
        <f t="shared" ref="B9102:B9165" si="31">E9102-1</f>
        <v>398</v>
      </c>
      <c r="C9102">
        <v>2</v>
      </c>
      <c r="E9102" s="1">
        <v>399</v>
      </c>
    </row>
    <row r="9103" spans="1:5" x14ac:dyDescent="0.25">
      <c r="A9103">
        <v>195</v>
      </c>
      <c r="B9103">
        <f t="shared" si="31"/>
        <v>398</v>
      </c>
      <c r="C9103">
        <v>4</v>
      </c>
      <c r="E9103">
        <v>399</v>
      </c>
    </row>
    <row r="9104" spans="1:5" x14ac:dyDescent="0.25">
      <c r="A9104">
        <v>198</v>
      </c>
      <c r="B9104">
        <f t="shared" si="31"/>
        <v>398</v>
      </c>
      <c r="C9104">
        <v>4</v>
      </c>
      <c r="E9104" s="1">
        <v>399</v>
      </c>
    </row>
    <row r="9105" spans="1:5" x14ac:dyDescent="0.25">
      <c r="A9105">
        <v>209</v>
      </c>
      <c r="B9105">
        <f t="shared" si="31"/>
        <v>398</v>
      </c>
      <c r="C9105">
        <v>2</v>
      </c>
      <c r="E9105">
        <v>399</v>
      </c>
    </row>
    <row r="9106" spans="1:5" x14ac:dyDescent="0.25">
      <c r="A9106">
        <v>212</v>
      </c>
      <c r="B9106">
        <f t="shared" si="31"/>
        <v>398</v>
      </c>
      <c r="C9106">
        <v>4</v>
      </c>
      <c r="E9106" s="1">
        <v>399</v>
      </c>
    </row>
    <row r="9107" spans="1:5" x14ac:dyDescent="0.25">
      <c r="A9107">
        <v>221</v>
      </c>
      <c r="B9107">
        <f t="shared" si="31"/>
        <v>398</v>
      </c>
      <c r="C9107">
        <v>3</v>
      </c>
      <c r="E9107">
        <v>399</v>
      </c>
    </row>
    <row r="9108" spans="1:5" x14ac:dyDescent="0.25">
      <c r="A9108">
        <v>245</v>
      </c>
      <c r="B9108">
        <f t="shared" si="31"/>
        <v>398</v>
      </c>
      <c r="C9108">
        <v>4</v>
      </c>
      <c r="E9108" s="1">
        <v>399</v>
      </c>
    </row>
    <row r="9109" spans="1:5" x14ac:dyDescent="0.25">
      <c r="A9109">
        <v>267</v>
      </c>
      <c r="B9109">
        <f t="shared" si="31"/>
        <v>398</v>
      </c>
      <c r="C9109">
        <v>2</v>
      </c>
      <c r="E9109">
        <v>399</v>
      </c>
    </row>
    <row r="9110" spans="1:5" x14ac:dyDescent="0.25">
      <c r="A9110">
        <v>293</v>
      </c>
      <c r="B9110">
        <f t="shared" si="31"/>
        <v>398</v>
      </c>
      <c r="C9110">
        <v>5</v>
      </c>
      <c r="E9110" s="1">
        <v>399</v>
      </c>
    </row>
    <row r="9111" spans="1:5" x14ac:dyDescent="0.25">
      <c r="A9111">
        <v>19</v>
      </c>
      <c r="B9111">
        <f t="shared" si="31"/>
        <v>399</v>
      </c>
      <c r="C9111">
        <v>2</v>
      </c>
      <c r="E9111">
        <v>400</v>
      </c>
    </row>
    <row r="9112" spans="1:5" x14ac:dyDescent="0.25">
      <c r="A9112">
        <v>30</v>
      </c>
      <c r="B9112">
        <f t="shared" si="31"/>
        <v>399</v>
      </c>
      <c r="C9112">
        <v>4</v>
      </c>
      <c r="E9112" s="1">
        <v>400</v>
      </c>
    </row>
    <row r="9113" spans="1:5" x14ac:dyDescent="0.25">
      <c r="A9113">
        <v>65</v>
      </c>
      <c r="B9113">
        <f t="shared" si="31"/>
        <v>399</v>
      </c>
      <c r="C9113">
        <v>1</v>
      </c>
      <c r="E9113">
        <v>400</v>
      </c>
    </row>
    <row r="9114" spans="1:5" x14ac:dyDescent="0.25">
      <c r="A9114">
        <v>72</v>
      </c>
      <c r="B9114">
        <f t="shared" si="31"/>
        <v>399</v>
      </c>
      <c r="C9114">
        <v>1</v>
      </c>
      <c r="E9114" s="1">
        <v>400</v>
      </c>
    </row>
    <row r="9115" spans="1:5" x14ac:dyDescent="0.25">
      <c r="A9115">
        <v>94</v>
      </c>
      <c r="B9115">
        <f t="shared" si="31"/>
        <v>399</v>
      </c>
      <c r="C9115">
        <v>5</v>
      </c>
      <c r="E9115">
        <v>400</v>
      </c>
    </row>
    <row r="9116" spans="1:5" x14ac:dyDescent="0.25">
      <c r="A9116">
        <v>103</v>
      </c>
      <c r="B9116">
        <f t="shared" si="31"/>
        <v>399</v>
      </c>
      <c r="C9116">
        <v>4</v>
      </c>
      <c r="E9116" s="1">
        <v>400</v>
      </c>
    </row>
    <row r="9117" spans="1:5" x14ac:dyDescent="0.25">
      <c r="A9117">
        <v>116</v>
      </c>
      <c r="B9117">
        <f t="shared" si="31"/>
        <v>399</v>
      </c>
      <c r="C9117">
        <v>4</v>
      </c>
      <c r="E9117">
        <v>400</v>
      </c>
    </row>
    <row r="9118" spans="1:5" x14ac:dyDescent="0.25">
      <c r="A9118">
        <v>118</v>
      </c>
      <c r="B9118">
        <f t="shared" si="31"/>
        <v>399</v>
      </c>
      <c r="C9118">
        <v>4</v>
      </c>
      <c r="E9118" s="1">
        <v>400</v>
      </c>
    </row>
    <row r="9119" spans="1:5" x14ac:dyDescent="0.25">
      <c r="A9119">
        <v>133</v>
      </c>
      <c r="B9119">
        <f t="shared" si="31"/>
        <v>399</v>
      </c>
      <c r="C9119">
        <v>2</v>
      </c>
      <c r="E9119">
        <v>400</v>
      </c>
    </row>
    <row r="9120" spans="1:5" x14ac:dyDescent="0.25">
      <c r="A9120">
        <v>146</v>
      </c>
      <c r="B9120">
        <f t="shared" si="31"/>
        <v>399</v>
      </c>
      <c r="C9120">
        <v>2</v>
      </c>
      <c r="E9120" s="1">
        <v>400</v>
      </c>
    </row>
    <row r="9121" spans="1:5" x14ac:dyDescent="0.25">
      <c r="A9121">
        <v>147</v>
      </c>
      <c r="B9121">
        <f t="shared" si="31"/>
        <v>399</v>
      </c>
      <c r="C9121">
        <v>2</v>
      </c>
      <c r="E9121">
        <v>400</v>
      </c>
    </row>
    <row r="9122" spans="1:5" x14ac:dyDescent="0.25">
      <c r="A9122">
        <v>150</v>
      </c>
      <c r="B9122">
        <f t="shared" si="31"/>
        <v>399</v>
      </c>
      <c r="C9122">
        <v>2</v>
      </c>
      <c r="E9122" s="1">
        <v>400</v>
      </c>
    </row>
    <row r="9123" spans="1:5" x14ac:dyDescent="0.25">
      <c r="A9123">
        <v>157</v>
      </c>
      <c r="B9123">
        <f t="shared" si="31"/>
        <v>399</v>
      </c>
      <c r="C9123">
        <v>3</v>
      </c>
      <c r="E9123">
        <v>400</v>
      </c>
    </row>
    <row r="9124" spans="1:5" x14ac:dyDescent="0.25">
      <c r="A9124">
        <v>167</v>
      </c>
      <c r="B9124">
        <f t="shared" si="31"/>
        <v>399</v>
      </c>
      <c r="C9124">
        <v>3</v>
      </c>
      <c r="E9124" s="1">
        <v>400</v>
      </c>
    </row>
    <row r="9125" spans="1:5" x14ac:dyDescent="0.25">
      <c r="A9125">
        <v>175</v>
      </c>
      <c r="B9125">
        <f t="shared" si="31"/>
        <v>399</v>
      </c>
      <c r="C9125">
        <v>2</v>
      </c>
      <c r="E9125">
        <v>400</v>
      </c>
    </row>
    <row r="9126" spans="1:5" x14ac:dyDescent="0.25">
      <c r="A9126">
        <v>183</v>
      </c>
      <c r="B9126">
        <f t="shared" si="31"/>
        <v>399</v>
      </c>
      <c r="C9126">
        <v>1</v>
      </c>
      <c r="E9126" s="1">
        <v>400</v>
      </c>
    </row>
    <row r="9127" spans="1:5" x14ac:dyDescent="0.25">
      <c r="A9127">
        <v>191</v>
      </c>
      <c r="B9127">
        <f t="shared" si="31"/>
        <v>399</v>
      </c>
      <c r="C9127">
        <v>1</v>
      </c>
      <c r="E9127">
        <v>400</v>
      </c>
    </row>
    <row r="9128" spans="1:5" x14ac:dyDescent="0.25">
      <c r="A9128">
        <v>193</v>
      </c>
      <c r="B9128">
        <f t="shared" si="31"/>
        <v>399</v>
      </c>
      <c r="C9128">
        <v>5</v>
      </c>
      <c r="E9128" s="1">
        <v>400</v>
      </c>
    </row>
    <row r="9129" spans="1:5" x14ac:dyDescent="0.25">
      <c r="A9129">
        <v>206</v>
      </c>
      <c r="B9129">
        <f t="shared" si="31"/>
        <v>399</v>
      </c>
      <c r="C9129">
        <v>3</v>
      </c>
      <c r="E9129">
        <v>400</v>
      </c>
    </row>
    <row r="9130" spans="1:5" x14ac:dyDescent="0.25">
      <c r="A9130">
        <v>220</v>
      </c>
      <c r="B9130">
        <f t="shared" si="31"/>
        <v>399</v>
      </c>
      <c r="C9130">
        <v>1</v>
      </c>
      <c r="E9130" s="1">
        <v>400</v>
      </c>
    </row>
    <row r="9131" spans="1:5" x14ac:dyDescent="0.25">
      <c r="A9131">
        <v>266</v>
      </c>
      <c r="B9131">
        <f t="shared" si="31"/>
        <v>399</v>
      </c>
      <c r="C9131">
        <v>1</v>
      </c>
      <c r="E9131">
        <v>400</v>
      </c>
    </row>
    <row r="9132" spans="1:5" x14ac:dyDescent="0.25">
      <c r="A9132">
        <v>267</v>
      </c>
      <c r="B9132">
        <f t="shared" si="31"/>
        <v>399</v>
      </c>
      <c r="C9132">
        <v>1</v>
      </c>
      <c r="E9132" s="1">
        <v>400</v>
      </c>
    </row>
    <row r="9133" spans="1:5" x14ac:dyDescent="0.25">
      <c r="A9133">
        <v>283</v>
      </c>
      <c r="B9133">
        <f t="shared" si="31"/>
        <v>399</v>
      </c>
      <c r="C9133">
        <v>4</v>
      </c>
      <c r="E9133">
        <v>400</v>
      </c>
    </row>
    <row r="9134" spans="1:5" x14ac:dyDescent="0.25">
      <c r="A9134">
        <v>28</v>
      </c>
      <c r="B9134">
        <f t="shared" si="31"/>
        <v>400</v>
      </c>
      <c r="C9134">
        <v>4</v>
      </c>
      <c r="E9134" s="1">
        <v>401</v>
      </c>
    </row>
    <row r="9135" spans="1:5" x14ac:dyDescent="0.25">
      <c r="A9135">
        <v>38</v>
      </c>
      <c r="B9135">
        <f t="shared" si="31"/>
        <v>400</v>
      </c>
      <c r="C9135">
        <v>5</v>
      </c>
      <c r="E9135">
        <v>401</v>
      </c>
    </row>
    <row r="9136" spans="1:5" x14ac:dyDescent="0.25">
      <c r="A9136">
        <v>44</v>
      </c>
      <c r="B9136">
        <f t="shared" si="31"/>
        <v>400</v>
      </c>
      <c r="C9136">
        <v>2</v>
      </c>
      <c r="E9136" s="1">
        <v>401</v>
      </c>
    </row>
    <row r="9137" spans="1:5" x14ac:dyDescent="0.25">
      <c r="A9137">
        <v>49</v>
      </c>
      <c r="B9137">
        <f t="shared" si="31"/>
        <v>400</v>
      </c>
      <c r="C9137">
        <v>1</v>
      </c>
      <c r="E9137">
        <v>401</v>
      </c>
    </row>
    <row r="9138" spans="1:5" x14ac:dyDescent="0.25">
      <c r="A9138">
        <v>50</v>
      </c>
      <c r="B9138">
        <f t="shared" si="31"/>
        <v>400</v>
      </c>
      <c r="C9138">
        <v>5</v>
      </c>
      <c r="E9138" s="1">
        <v>401</v>
      </c>
    </row>
    <row r="9139" spans="1:5" x14ac:dyDescent="0.25">
      <c r="A9139">
        <v>62</v>
      </c>
      <c r="B9139">
        <f t="shared" si="31"/>
        <v>400</v>
      </c>
      <c r="C9139">
        <v>5</v>
      </c>
      <c r="E9139">
        <v>401</v>
      </c>
    </row>
    <row r="9140" spans="1:5" x14ac:dyDescent="0.25">
      <c r="A9140">
        <v>68</v>
      </c>
      <c r="B9140">
        <f t="shared" si="31"/>
        <v>400</v>
      </c>
      <c r="C9140">
        <v>5</v>
      </c>
      <c r="E9140" s="1">
        <v>401</v>
      </c>
    </row>
    <row r="9141" spans="1:5" x14ac:dyDescent="0.25">
      <c r="A9141">
        <v>72</v>
      </c>
      <c r="B9141">
        <f t="shared" si="31"/>
        <v>400</v>
      </c>
      <c r="C9141">
        <v>2</v>
      </c>
      <c r="E9141">
        <v>401</v>
      </c>
    </row>
    <row r="9142" spans="1:5" x14ac:dyDescent="0.25">
      <c r="A9142">
        <v>78</v>
      </c>
      <c r="B9142">
        <f t="shared" si="31"/>
        <v>400</v>
      </c>
      <c r="C9142">
        <v>3</v>
      </c>
      <c r="E9142" s="1">
        <v>401</v>
      </c>
    </row>
    <row r="9143" spans="1:5" x14ac:dyDescent="0.25">
      <c r="A9143">
        <v>90</v>
      </c>
      <c r="B9143">
        <f t="shared" si="31"/>
        <v>400</v>
      </c>
      <c r="C9143">
        <v>3</v>
      </c>
      <c r="E9143">
        <v>401</v>
      </c>
    </row>
    <row r="9144" spans="1:5" x14ac:dyDescent="0.25">
      <c r="A9144">
        <v>107</v>
      </c>
      <c r="B9144">
        <f t="shared" si="31"/>
        <v>400</v>
      </c>
      <c r="C9144">
        <v>3</v>
      </c>
      <c r="E9144" s="1">
        <v>401</v>
      </c>
    </row>
    <row r="9145" spans="1:5" x14ac:dyDescent="0.25">
      <c r="A9145">
        <v>113</v>
      </c>
      <c r="B9145">
        <f t="shared" si="31"/>
        <v>400</v>
      </c>
      <c r="C9145">
        <v>4</v>
      </c>
      <c r="E9145">
        <v>401</v>
      </c>
    </row>
    <row r="9146" spans="1:5" x14ac:dyDescent="0.25">
      <c r="A9146">
        <v>136</v>
      </c>
      <c r="B9146">
        <f t="shared" si="31"/>
        <v>400</v>
      </c>
      <c r="C9146">
        <v>4</v>
      </c>
      <c r="E9146" s="1">
        <v>401</v>
      </c>
    </row>
    <row r="9147" spans="1:5" x14ac:dyDescent="0.25">
      <c r="A9147">
        <v>142</v>
      </c>
      <c r="B9147">
        <f t="shared" si="31"/>
        <v>400</v>
      </c>
      <c r="C9147">
        <v>3</v>
      </c>
      <c r="E9147">
        <v>401</v>
      </c>
    </row>
    <row r="9148" spans="1:5" x14ac:dyDescent="0.25">
      <c r="A9148">
        <v>152</v>
      </c>
      <c r="B9148">
        <f t="shared" si="31"/>
        <v>400</v>
      </c>
      <c r="C9148">
        <v>2</v>
      </c>
      <c r="E9148" s="1">
        <v>401</v>
      </c>
    </row>
    <row r="9149" spans="1:5" x14ac:dyDescent="0.25">
      <c r="A9149">
        <v>185</v>
      </c>
      <c r="B9149">
        <f t="shared" si="31"/>
        <v>400</v>
      </c>
      <c r="C9149">
        <v>4</v>
      </c>
      <c r="E9149">
        <v>401</v>
      </c>
    </row>
    <row r="9150" spans="1:5" x14ac:dyDescent="0.25">
      <c r="A9150">
        <v>199</v>
      </c>
      <c r="B9150">
        <f t="shared" si="31"/>
        <v>400</v>
      </c>
      <c r="C9150">
        <v>4</v>
      </c>
      <c r="E9150" s="1">
        <v>401</v>
      </c>
    </row>
    <row r="9151" spans="1:5" x14ac:dyDescent="0.25">
      <c r="A9151">
        <v>200</v>
      </c>
      <c r="B9151">
        <f t="shared" si="31"/>
        <v>400</v>
      </c>
      <c r="C9151">
        <v>3</v>
      </c>
      <c r="E9151">
        <v>401</v>
      </c>
    </row>
    <row r="9152" spans="1:5" x14ac:dyDescent="0.25">
      <c r="A9152">
        <v>203</v>
      </c>
      <c r="B9152">
        <f t="shared" si="31"/>
        <v>400</v>
      </c>
      <c r="C9152">
        <v>4</v>
      </c>
      <c r="E9152" s="1">
        <v>401</v>
      </c>
    </row>
    <row r="9153" spans="1:5" x14ac:dyDescent="0.25">
      <c r="A9153">
        <v>209</v>
      </c>
      <c r="B9153">
        <f t="shared" si="31"/>
        <v>400</v>
      </c>
      <c r="C9153">
        <v>4</v>
      </c>
      <c r="E9153">
        <v>401</v>
      </c>
    </row>
    <row r="9154" spans="1:5" x14ac:dyDescent="0.25">
      <c r="A9154">
        <v>213</v>
      </c>
      <c r="B9154">
        <f t="shared" si="31"/>
        <v>400</v>
      </c>
      <c r="C9154">
        <v>4</v>
      </c>
      <c r="E9154" s="1">
        <v>401</v>
      </c>
    </row>
    <row r="9155" spans="1:5" x14ac:dyDescent="0.25">
      <c r="A9155">
        <v>226</v>
      </c>
      <c r="B9155">
        <f t="shared" si="31"/>
        <v>400</v>
      </c>
      <c r="C9155">
        <v>5</v>
      </c>
      <c r="E9155">
        <v>401</v>
      </c>
    </row>
    <row r="9156" spans="1:5" x14ac:dyDescent="0.25">
      <c r="A9156">
        <v>228</v>
      </c>
      <c r="B9156">
        <f t="shared" si="31"/>
        <v>400</v>
      </c>
      <c r="C9156">
        <v>5</v>
      </c>
      <c r="E9156" s="1">
        <v>401</v>
      </c>
    </row>
    <row r="9157" spans="1:5" x14ac:dyDescent="0.25">
      <c r="A9157">
        <v>246</v>
      </c>
      <c r="B9157">
        <f t="shared" si="31"/>
        <v>400</v>
      </c>
      <c r="C9157">
        <v>3</v>
      </c>
      <c r="E9157">
        <v>401</v>
      </c>
    </row>
    <row r="9158" spans="1:5" x14ac:dyDescent="0.25">
      <c r="A9158">
        <v>253</v>
      </c>
      <c r="B9158">
        <f t="shared" si="31"/>
        <v>400</v>
      </c>
      <c r="C9158">
        <v>1</v>
      </c>
      <c r="E9158" s="1">
        <v>401</v>
      </c>
    </row>
    <row r="9159" spans="1:5" x14ac:dyDescent="0.25">
      <c r="A9159">
        <v>297</v>
      </c>
      <c r="B9159">
        <f t="shared" si="31"/>
        <v>400</v>
      </c>
      <c r="C9159">
        <v>5</v>
      </c>
      <c r="E9159">
        <v>401</v>
      </c>
    </row>
    <row r="9160" spans="1:5" x14ac:dyDescent="0.25">
      <c r="A9160">
        <v>9</v>
      </c>
      <c r="B9160">
        <f t="shared" si="31"/>
        <v>401</v>
      </c>
      <c r="C9160">
        <v>3</v>
      </c>
      <c r="E9160" s="1">
        <v>402</v>
      </c>
    </row>
    <row r="9161" spans="1:5" x14ac:dyDescent="0.25">
      <c r="A9161">
        <v>9</v>
      </c>
      <c r="B9161">
        <f t="shared" si="31"/>
        <v>401</v>
      </c>
      <c r="C9161">
        <v>3</v>
      </c>
      <c r="E9161">
        <v>402</v>
      </c>
    </row>
    <row r="9162" spans="1:5" x14ac:dyDescent="0.25">
      <c r="A9162">
        <v>12</v>
      </c>
      <c r="B9162">
        <f t="shared" si="31"/>
        <v>401</v>
      </c>
      <c r="C9162">
        <v>3</v>
      </c>
      <c r="E9162" s="1">
        <v>402</v>
      </c>
    </row>
    <row r="9163" spans="1:5" x14ac:dyDescent="0.25">
      <c r="A9163">
        <v>29</v>
      </c>
      <c r="B9163">
        <f t="shared" si="31"/>
        <v>401</v>
      </c>
      <c r="C9163">
        <v>5</v>
      </c>
      <c r="E9163">
        <v>402</v>
      </c>
    </row>
    <row r="9164" spans="1:5" x14ac:dyDescent="0.25">
      <c r="A9164">
        <v>31</v>
      </c>
      <c r="B9164">
        <f t="shared" si="31"/>
        <v>401</v>
      </c>
      <c r="C9164">
        <v>2</v>
      </c>
      <c r="E9164" s="1">
        <v>402</v>
      </c>
    </row>
    <row r="9165" spans="1:5" x14ac:dyDescent="0.25">
      <c r="A9165">
        <v>32</v>
      </c>
      <c r="B9165">
        <f t="shared" si="31"/>
        <v>401</v>
      </c>
      <c r="C9165">
        <v>5</v>
      </c>
      <c r="E9165">
        <v>402</v>
      </c>
    </row>
    <row r="9166" spans="1:5" x14ac:dyDescent="0.25">
      <c r="A9166">
        <v>35</v>
      </c>
      <c r="B9166">
        <f t="shared" ref="B9166:B9229" si="32">E9166-1</f>
        <v>401</v>
      </c>
      <c r="C9166">
        <v>5</v>
      </c>
      <c r="E9166" s="1">
        <v>402</v>
      </c>
    </row>
    <row r="9167" spans="1:5" x14ac:dyDescent="0.25">
      <c r="A9167">
        <v>40</v>
      </c>
      <c r="B9167">
        <f t="shared" si="32"/>
        <v>401</v>
      </c>
      <c r="C9167">
        <v>4</v>
      </c>
      <c r="E9167">
        <v>402</v>
      </c>
    </row>
    <row r="9168" spans="1:5" x14ac:dyDescent="0.25">
      <c r="A9168">
        <v>63</v>
      </c>
      <c r="B9168">
        <f t="shared" si="32"/>
        <v>401</v>
      </c>
      <c r="C9168">
        <v>4</v>
      </c>
      <c r="E9168" s="1">
        <v>402</v>
      </c>
    </row>
    <row r="9169" spans="1:5" x14ac:dyDescent="0.25">
      <c r="A9169">
        <v>64</v>
      </c>
      <c r="B9169">
        <f t="shared" si="32"/>
        <v>401</v>
      </c>
      <c r="C9169">
        <v>4</v>
      </c>
      <c r="E9169">
        <v>402</v>
      </c>
    </row>
    <row r="9170" spans="1:5" x14ac:dyDescent="0.25">
      <c r="A9170">
        <v>71</v>
      </c>
      <c r="B9170">
        <f t="shared" si="32"/>
        <v>401</v>
      </c>
      <c r="C9170">
        <v>4</v>
      </c>
      <c r="E9170" s="1">
        <v>402</v>
      </c>
    </row>
    <row r="9171" spans="1:5" x14ac:dyDescent="0.25">
      <c r="A9171">
        <v>76</v>
      </c>
      <c r="B9171">
        <f t="shared" si="32"/>
        <v>401</v>
      </c>
      <c r="C9171">
        <v>4</v>
      </c>
      <c r="E9171">
        <v>402</v>
      </c>
    </row>
    <row r="9172" spans="1:5" x14ac:dyDescent="0.25">
      <c r="A9172">
        <v>82</v>
      </c>
      <c r="B9172">
        <f t="shared" si="32"/>
        <v>401</v>
      </c>
      <c r="C9172">
        <v>5</v>
      </c>
      <c r="E9172" s="1">
        <v>402</v>
      </c>
    </row>
    <row r="9173" spans="1:5" x14ac:dyDescent="0.25">
      <c r="A9173">
        <v>84</v>
      </c>
      <c r="B9173">
        <f t="shared" si="32"/>
        <v>401</v>
      </c>
      <c r="C9173">
        <v>1</v>
      </c>
      <c r="E9173">
        <v>402</v>
      </c>
    </row>
    <row r="9174" spans="1:5" x14ac:dyDescent="0.25">
      <c r="A9174">
        <v>89</v>
      </c>
      <c r="B9174">
        <f t="shared" si="32"/>
        <v>401</v>
      </c>
      <c r="C9174">
        <v>4</v>
      </c>
      <c r="E9174" s="1">
        <v>402</v>
      </c>
    </row>
    <row r="9175" spans="1:5" x14ac:dyDescent="0.25">
      <c r="A9175">
        <v>96</v>
      </c>
      <c r="B9175">
        <f t="shared" si="32"/>
        <v>401</v>
      </c>
      <c r="C9175">
        <v>2</v>
      </c>
      <c r="E9175">
        <v>402</v>
      </c>
    </row>
    <row r="9176" spans="1:5" x14ac:dyDescent="0.25">
      <c r="A9176">
        <v>116</v>
      </c>
      <c r="B9176">
        <f t="shared" si="32"/>
        <v>401</v>
      </c>
      <c r="C9176">
        <v>5</v>
      </c>
      <c r="E9176" s="1">
        <v>402</v>
      </c>
    </row>
    <row r="9177" spans="1:5" x14ac:dyDescent="0.25">
      <c r="A9177">
        <v>120</v>
      </c>
      <c r="B9177">
        <f t="shared" si="32"/>
        <v>401</v>
      </c>
      <c r="C9177">
        <v>4</v>
      </c>
      <c r="E9177">
        <v>402</v>
      </c>
    </row>
    <row r="9178" spans="1:5" x14ac:dyDescent="0.25">
      <c r="A9178">
        <v>126</v>
      </c>
      <c r="B9178">
        <f t="shared" si="32"/>
        <v>401</v>
      </c>
      <c r="C9178">
        <v>1</v>
      </c>
      <c r="E9178" s="1">
        <v>402</v>
      </c>
    </row>
    <row r="9179" spans="1:5" x14ac:dyDescent="0.25">
      <c r="A9179">
        <v>144</v>
      </c>
      <c r="B9179">
        <f t="shared" si="32"/>
        <v>401</v>
      </c>
      <c r="C9179">
        <v>4</v>
      </c>
      <c r="E9179">
        <v>402</v>
      </c>
    </row>
    <row r="9180" spans="1:5" x14ac:dyDescent="0.25">
      <c r="A9180">
        <v>154</v>
      </c>
      <c r="B9180">
        <f t="shared" si="32"/>
        <v>401</v>
      </c>
      <c r="C9180">
        <v>1</v>
      </c>
      <c r="E9180" s="1">
        <v>402</v>
      </c>
    </row>
    <row r="9181" spans="1:5" x14ac:dyDescent="0.25">
      <c r="A9181">
        <v>173</v>
      </c>
      <c r="B9181">
        <f t="shared" si="32"/>
        <v>401</v>
      </c>
      <c r="C9181">
        <v>5</v>
      </c>
      <c r="E9181">
        <v>402</v>
      </c>
    </row>
    <row r="9182" spans="1:5" x14ac:dyDescent="0.25">
      <c r="A9182">
        <v>186</v>
      </c>
      <c r="B9182">
        <f t="shared" si="32"/>
        <v>401</v>
      </c>
      <c r="C9182">
        <v>3</v>
      </c>
      <c r="E9182" s="1">
        <v>402</v>
      </c>
    </row>
    <row r="9183" spans="1:5" x14ac:dyDescent="0.25">
      <c r="A9183">
        <v>196</v>
      </c>
      <c r="B9183">
        <f t="shared" si="32"/>
        <v>401</v>
      </c>
      <c r="C9183">
        <v>5</v>
      </c>
      <c r="E9183">
        <v>402</v>
      </c>
    </row>
    <row r="9184" spans="1:5" x14ac:dyDescent="0.25">
      <c r="A9184">
        <v>198</v>
      </c>
      <c r="B9184">
        <f t="shared" si="32"/>
        <v>401</v>
      </c>
      <c r="C9184">
        <v>2</v>
      </c>
      <c r="E9184" s="1">
        <v>402</v>
      </c>
    </row>
    <row r="9185" spans="1:5" x14ac:dyDescent="0.25">
      <c r="A9185">
        <v>220</v>
      </c>
      <c r="B9185">
        <f t="shared" si="32"/>
        <v>401</v>
      </c>
      <c r="C9185">
        <v>3</v>
      </c>
      <c r="E9185">
        <v>402</v>
      </c>
    </row>
    <row r="9186" spans="1:5" x14ac:dyDescent="0.25">
      <c r="A9186">
        <v>225</v>
      </c>
      <c r="B9186">
        <f t="shared" si="32"/>
        <v>401</v>
      </c>
      <c r="C9186">
        <v>5</v>
      </c>
      <c r="E9186" s="1">
        <v>402</v>
      </c>
    </row>
    <row r="9187" spans="1:5" x14ac:dyDescent="0.25">
      <c r="A9187">
        <v>234</v>
      </c>
      <c r="B9187">
        <f t="shared" si="32"/>
        <v>401</v>
      </c>
      <c r="C9187">
        <v>1</v>
      </c>
      <c r="E9187">
        <v>402</v>
      </c>
    </row>
    <row r="9188" spans="1:5" x14ac:dyDescent="0.25">
      <c r="A9188">
        <v>259</v>
      </c>
      <c r="B9188">
        <f t="shared" si="32"/>
        <v>401</v>
      </c>
      <c r="C9188">
        <v>3</v>
      </c>
      <c r="E9188" s="1">
        <v>402</v>
      </c>
    </row>
    <row r="9189" spans="1:5" x14ac:dyDescent="0.25">
      <c r="A9189">
        <v>264</v>
      </c>
      <c r="B9189">
        <f t="shared" si="32"/>
        <v>401</v>
      </c>
      <c r="C9189">
        <v>1</v>
      </c>
      <c r="E9189">
        <v>402</v>
      </c>
    </row>
    <row r="9190" spans="1:5" x14ac:dyDescent="0.25">
      <c r="A9190">
        <v>279</v>
      </c>
      <c r="B9190">
        <f t="shared" si="32"/>
        <v>401</v>
      </c>
      <c r="C9190">
        <v>1</v>
      </c>
      <c r="E9190" s="1">
        <v>402</v>
      </c>
    </row>
    <row r="9191" spans="1:5" x14ac:dyDescent="0.25">
      <c r="A9191">
        <v>285</v>
      </c>
      <c r="B9191">
        <f t="shared" si="32"/>
        <v>401</v>
      </c>
      <c r="C9191">
        <v>1</v>
      </c>
      <c r="E9191">
        <v>402</v>
      </c>
    </row>
    <row r="9192" spans="1:5" x14ac:dyDescent="0.25">
      <c r="A9192">
        <v>299</v>
      </c>
      <c r="B9192">
        <f t="shared" si="32"/>
        <v>401</v>
      </c>
      <c r="C9192">
        <v>3</v>
      </c>
      <c r="E9192" s="1">
        <v>402</v>
      </c>
    </row>
    <row r="9193" spans="1:5" x14ac:dyDescent="0.25">
      <c r="A9193">
        <v>9</v>
      </c>
      <c r="B9193">
        <f t="shared" si="32"/>
        <v>402</v>
      </c>
      <c r="C9193">
        <v>3</v>
      </c>
      <c r="E9193">
        <v>403</v>
      </c>
    </row>
    <row r="9194" spans="1:5" x14ac:dyDescent="0.25">
      <c r="A9194">
        <v>47</v>
      </c>
      <c r="B9194">
        <f t="shared" si="32"/>
        <v>402</v>
      </c>
      <c r="C9194">
        <v>3</v>
      </c>
      <c r="E9194" s="1">
        <v>403</v>
      </c>
    </row>
    <row r="9195" spans="1:5" x14ac:dyDescent="0.25">
      <c r="A9195">
        <v>58</v>
      </c>
      <c r="B9195">
        <f t="shared" si="32"/>
        <v>402</v>
      </c>
      <c r="C9195">
        <v>1</v>
      </c>
      <c r="E9195">
        <v>403</v>
      </c>
    </row>
    <row r="9196" spans="1:5" x14ac:dyDescent="0.25">
      <c r="A9196">
        <v>88</v>
      </c>
      <c r="B9196">
        <f t="shared" si="32"/>
        <v>402</v>
      </c>
      <c r="C9196">
        <v>1</v>
      </c>
      <c r="E9196" s="1">
        <v>403</v>
      </c>
    </row>
    <row r="9197" spans="1:5" x14ac:dyDescent="0.25">
      <c r="A9197">
        <v>96</v>
      </c>
      <c r="B9197">
        <f t="shared" si="32"/>
        <v>402</v>
      </c>
      <c r="C9197">
        <v>1</v>
      </c>
      <c r="E9197">
        <v>403</v>
      </c>
    </row>
    <row r="9198" spans="1:5" x14ac:dyDescent="0.25">
      <c r="A9198">
        <v>103</v>
      </c>
      <c r="B9198">
        <f t="shared" si="32"/>
        <v>402</v>
      </c>
      <c r="C9198">
        <v>1</v>
      </c>
      <c r="E9198" s="1">
        <v>403</v>
      </c>
    </row>
    <row r="9199" spans="1:5" x14ac:dyDescent="0.25">
      <c r="A9199">
        <v>191</v>
      </c>
      <c r="B9199">
        <f t="shared" si="32"/>
        <v>402</v>
      </c>
      <c r="C9199">
        <v>2</v>
      </c>
      <c r="E9199">
        <v>403</v>
      </c>
    </row>
    <row r="9200" spans="1:5" x14ac:dyDescent="0.25">
      <c r="A9200">
        <v>192</v>
      </c>
      <c r="B9200">
        <f t="shared" si="32"/>
        <v>402</v>
      </c>
      <c r="C9200">
        <v>1</v>
      </c>
      <c r="E9200" s="1">
        <v>403</v>
      </c>
    </row>
    <row r="9201" spans="1:5" x14ac:dyDescent="0.25">
      <c r="A9201">
        <v>202</v>
      </c>
      <c r="B9201">
        <f t="shared" si="32"/>
        <v>402</v>
      </c>
      <c r="C9201">
        <v>5</v>
      </c>
      <c r="E9201">
        <v>403</v>
      </c>
    </row>
    <row r="9202" spans="1:5" x14ac:dyDescent="0.25">
      <c r="A9202">
        <v>226</v>
      </c>
      <c r="B9202">
        <f t="shared" si="32"/>
        <v>402</v>
      </c>
      <c r="C9202">
        <v>2</v>
      </c>
      <c r="E9202" s="1">
        <v>403</v>
      </c>
    </row>
    <row r="9203" spans="1:5" x14ac:dyDescent="0.25">
      <c r="A9203">
        <v>246</v>
      </c>
      <c r="B9203">
        <f t="shared" si="32"/>
        <v>402</v>
      </c>
      <c r="C9203">
        <v>2</v>
      </c>
      <c r="E9203">
        <v>403</v>
      </c>
    </row>
    <row r="9204" spans="1:5" x14ac:dyDescent="0.25">
      <c r="A9204">
        <v>255</v>
      </c>
      <c r="B9204">
        <f t="shared" si="32"/>
        <v>402</v>
      </c>
      <c r="C9204">
        <v>3</v>
      </c>
      <c r="E9204" s="1">
        <v>403</v>
      </c>
    </row>
    <row r="9205" spans="1:5" x14ac:dyDescent="0.25">
      <c r="A9205">
        <v>258</v>
      </c>
      <c r="B9205">
        <f t="shared" si="32"/>
        <v>402</v>
      </c>
      <c r="C9205">
        <v>1</v>
      </c>
      <c r="E9205">
        <v>403</v>
      </c>
    </row>
    <row r="9206" spans="1:5" x14ac:dyDescent="0.25">
      <c r="A9206">
        <v>274</v>
      </c>
      <c r="B9206">
        <f t="shared" si="32"/>
        <v>402</v>
      </c>
      <c r="C9206">
        <v>3</v>
      </c>
      <c r="E9206" s="1">
        <v>403</v>
      </c>
    </row>
    <row r="9207" spans="1:5" x14ac:dyDescent="0.25">
      <c r="A9207">
        <v>277</v>
      </c>
      <c r="B9207">
        <f t="shared" si="32"/>
        <v>402</v>
      </c>
      <c r="C9207">
        <v>3</v>
      </c>
      <c r="E9207">
        <v>403</v>
      </c>
    </row>
    <row r="9208" spans="1:5" x14ac:dyDescent="0.25">
      <c r="A9208">
        <v>295</v>
      </c>
      <c r="B9208">
        <f t="shared" si="32"/>
        <v>402</v>
      </c>
      <c r="C9208">
        <v>1</v>
      </c>
      <c r="E9208" s="1">
        <v>403</v>
      </c>
    </row>
    <row r="9209" spans="1:5" x14ac:dyDescent="0.25">
      <c r="A9209">
        <v>295</v>
      </c>
      <c r="B9209">
        <f t="shared" si="32"/>
        <v>402</v>
      </c>
      <c r="C9209">
        <v>1</v>
      </c>
      <c r="E9209">
        <v>403</v>
      </c>
    </row>
    <row r="9210" spans="1:5" x14ac:dyDescent="0.25">
      <c r="A9210">
        <v>20</v>
      </c>
      <c r="B9210">
        <f t="shared" si="32"/>
        <v>403</v>
      </c>
      <c r="C9210">
        <v>2</v>
      </c>
      <c r="E9210" s="1">
        <v>404</v>
      </c>
    </row>
    <row r="9211" spans="1:5" x14ac:dyDescent="0.25">
      <c r="A9211">
        <v>37</v>
      </c>
      <c r="B9211">
        <f t="shared" si="32"/>
        <v>403</v>
      </c>
      <c r="C9211">
        <v>3</v>
      </c>
      <c r="E9211">
        <v>404</v>
      </c>
    </row>
    <row r="9212" spans="1:5" x14ac:dyDescent="0.25">
      <c r="A9212">
        <v>49</v>
      </c>
      <c r="B9212">
        <f t="shared" si="32"/>
        <v>403</v>
      </c>
      <c r="C9212">
        <v>4</v>
      </c>
      <c r="E9212" s="1">
        <v>404</v>
      </c>
    </row>
    <row r="9213" spans="1:5" x14ac:dyDescent="0.25">
      <c r="A9213">
        <v>71</v>
      </c>
      <c r="B9213">
        <f t="shared" si="32"/>
        <v>403</v>
      </c>
      <c r="C9213">
        <v>2</v>
      </c>
      <c r="E9213">
        <v>404</v>
      </c>
    </row>
    <row r="9214" spans="1:5" x14ac:dyDescent="0.25">
      <c r="A9214">
        <v>72</v>
      </c>
      <c r="B9214">
        <f t="shared" si="32"/>
        <v>403</v>
      </c>
      <c r="C9214">
        <v>4</v>
      </c>
      <c r="E9214" s="1">
        <v>404</v>
      </c>
    </row>
    <row r="9215" spans="1:5" x14ac:dyDescent="0.25">
      <c r="A9215">
        <v>98</v>
      </c>
      <c r="B9215">
        <f t="shared" si="32"/>
        <v>403</v>
      </c>
      <c r="C9215">
        <v>2</v>
      </c>
      <c r="E9215">
        <v>404</v>
      </c>
    </row>
    <row r="9216" spans="1:5" x14ac:dyDescent="0.25">
      <c r="A9216">
        <v>122</v>
      </c>
      <c r="B9216">
        <f t="shared" si="32"/>
        <v>403</v>
      </c>
      <c r="C9216">
        <v>4</v>
      </c>
      <c r="E9216" s="1">
        <v>404</v>
      </c>
    </row>
    <row r="9217" spans="1:5" x14ac:dyDescent="0.25">
      <c r="A9217">
        <v>141</v>
      </c>
      <c r="B9217">
        <f t="shared" si="32"/>
        <v>403</v>
      </c>
      <c r="C9217">
        <v>2</v>
      </c>
      <c r="E9217">
        <v>404</v>
      </c>
    </row>
    <row r="9218" spans="1:5" x14ac:dyDescent="0.25">
      <c r="A9218">
        <v>142</v>
      </c>
      <c r="B9218">
        <f t="shared" si="32"/>
        <v>403</v>
      </c>
      <c r="C9218">
        <v>4</v>
      </c>
      <c r="E9218" s="1">
        <v>404</v>
      </c>
    </row>
    <row r="9219" spans="1:5" x14ac:dyDescent="0.25">
      <c r="A9219">
        <v>157</v>
      </c>
      <c r="B9219">
        <f t="shared" si="32"/>
        <v>403</v>
      </c>
      <c r="C9219">
        <v>3</v>
      </c>
      <c r="E9219">
        <v>404</v>
      </c>
    </row>
    <row r="9220" spans="1:5" x14ac:dyDescent="0.25">
      <c r="A9220">
        <v>175</v>
      </c>
      <c r="B9220">
        <f t="shared" si="32"/>
        <v>403</v>
      </c>
      <c r="C9220">
        <v>5</v>
      </c>
      <c r="E9220" s="1">
        <v>404</v>
      </c>
    </row>
    <row r="9221" spans="1:5" x14ac:dyDescent="0.25">
      <c r="A9221">
        <v>182</v>
      </c>
      <c r="B9221">
        <f t="shared" si="32"/>
        <v>403</v>
      </c>
      <c r="C9221">
        <v>4</v>
      </c>
      <c r="E9221">
        <v>404</v>
      </c>
    </row>
    <row r="9222" spans="1:5" x14ac:dyDescent="0.25">
      <c r="A9222">
        <v>194</v>
      </c>
      <c r="B9222">
        <f t="shared" si="32"/>
        <v>403</v>
      </c>
      <c r="C9222">
        <v>1</v>
      </c>
      <c r="E9222" s="1">
        <v>404</v>
      </c>
    </row>
    <row r="9223" spans="1:5" x14ac:dyDescent="0.25">
      <c r="A9223">
        <v>270</v>
      </c>
      <c r="B9223">
        <f t="shared" si="32"/>
        <v>403</v>
      </c>
      <c r="C9223">
        <v>3</v>
      </c>
      <c r="E9223">
        <v>404</v>
      </c>
    </row>
    <row r="9224" spans="1:5" x14ac:dyDescent="0.25">
      <c r="A9224">
        <v>280</v>
      </c>
      <c r="B9224">
        <f t="shared" si="32"/>
        <v>403</v>
      </c>
      <c r="C9224">
        <v>2</v>
      </c>
      <c r="E9224" s="1">
        <v>404</v>
      </c>
    </row>
    <row r="9225" spans="1:5" x14ac:dyDescent="0.25">
      <c r="A9225">
        <v>282</v>
      </c>
      <c r="B9225">
        <f t="shared" si="32"/>
        <v>403</v>
      </c>
      <c r="C9225">
        <v>5</v>
      </c>
      <c r="E9225">
        <v>404</v>
      </c>
    </row>
    <row r="9226" spans="1:5" x14ac:dyDescent="0.25">
      <c r="A9226">
        <v>283</v>
      </c>
      <c r="B9226">
        <f t="shared" si="32"/>
        <v>403</v>
      </c>
      <c r="C9226">
        <v>1</v>
      </c>
      <c r="E9226" s="1">
        <v>404</v>
      </c>
    </row>
    <row r="9227" spans="1:5" x14ac:dyDescent="0.25">
      <c r="A9227">
        <v>286</v>
      </c>
      <c r="B9227">
        <f t="shared" si="32"/>
        <v>403</v>
      </c>
      <c r="C9227">
        <v>1</v>
      </c>
      <c r="E9227">
        <v>404</v>
      </c>
    </row>
    <row r="9228" spans="1:5" x14ac:dyDescent="0.25">
      <c r="A9228">
        <v>292</v>
      </c>
      <c r="B9228">
        <f t="shared" si="32"/>
        <v>403</v>
      </c>
      <c r="C9228">
        <v>1</v>
      </c>
      <c r="E9228" s="1">
        <v>404</v>
      </c>
    </row>
    <row r="9229" spans="1:5" x14ac:dyDescent="0.25">
      <c r="A9229">
        <v>293</v>
      </c>
      <c r="B9229">
        <f t="shared" si="32"/>
        <v>403</v>
      </c>
      <c r="C9229">
        <v>1</v>
      </c>
      <c r="E9229">
        <v>404</v>
      </c>
    </row>
    <row r="9230" spans="1:5" x14ac:dyDescent="0.25">
      <c r="A9230">
        <v>1</v>
      </c>
      <c r="B9230">
        <f t="shared" ref="B9230:B9293" si="33">E9230-1</f>
        <v>404</v>
      </c>
      <c r="C9230">
        <v>5</v>
      </c>
      <c r="E9230" s="1">
        <v>405</v>
      </c>
    </row>
    <row r="9231" spans="1:5" x14ac:dyDescent="0.25">
      <c r="A9231">
        <v>10</v>
      </c>
      <c r="B9231">
        <f t="shared" si="33"/>
        <v>404</v>
      </c>
      <c r="C9231">
        <v>3</v>
      </c>
      <c r="E9231">
        <v>405</v>
      </c>
    </row>
    <row r="9232" spans="1:5" x14ac:dyDescent="0.25">
      <c r="A9232">
        <v>18</v>
      </c>
      <c r="B9232">
        <f t="shared" si="33"/>
        <v>404</v>
      </c>
      <c r="C9232">
        <v>5</v>
      </c>
      <c r="E9232" s="1">
        <v>405</v>
      </c>
    </row>
    <row r="9233" spans="1:5" x14ac:dyDescent="0.25">
      <c r="A9233">
        <v>44</v>
      </c>
      <c r="B9233">
        <f t="shared" si="33"/>
        <v>404</v>
      </c>
      <c r="C9233">
        <v>3</v>
      </c>
      <c r="E9233">
        <v>405</v>
      </c>
    </row>
    <row r="9234" spans="1:5" x14ac:dyDescent="0.25">
      <c r="A9234">
        <v>58</v>
      </c>
      <c r="B9234">
        <f t="shared" si="33"/>
        <v>404</v>
      </c>
      <c r="C9234">
        <v>2</v>
      </c>
      <c r="E9234" s="1">
        <v>405</v>
      </c>
    </row>
    <row r="9235" spans="1:5" x14ac:dyDescent="0.25">
      <c r="A9235">
        <v>82</v>
      </c>
      <c r="B9235">
        <f t="shared" si="33"/>
        <v>404</v>
      </c>
      <c r="C9235">
        <v>2</v>
      </c>
      <c r="E9235">
        <v>405</v>
      </c>
    </row>
    <row r="9236" spans="1:5" x14ac:dyDescent="0.25">
      <c r="A9236">
        <v>84</v>
      </c>
      <c r="B9236">
        <f t="shared" si="33"/>
        <v>404</v>
      </c>
      <c r="C9236">
        <v>4</v>
      </c>
      <c r="E9236" s="1">
        <v>405</v>
      </c>
    </row>
    <row r="9237" spans="1:5" x14ac:dyDescent="0.25">
      <c r="A9237">
        <v>91</v>
      </c>
      <c r="B9237">
        <f t="shared" si="33"/>
        <v>404</v>
      </c>
      <c r="C9237">
        <v>2</v>
      </c>
      <c r="E9237">
        <v>405</v>
      </c>
    </row>
    <row r="9238" spans="1:5" x14ac:dyDescent="0.25">
      <c r="A9238">
        <v>91</v>
      </c>
      <c r="B9238">
        <f t="shared" si="33"/>
        <v>404</v>
      </c>
      <c r="C9238">
        <v>1</v>
      </c>
      <c r="E9238" s="1">
        <v>405</v>
      </c>
    </row>
    <row r="9239" spans="1:5" x14ac:dyDescent="0.25">
      <c r="A9239">
        <v>92</v>
      </c>
      <c r="B9239">
        <f t="shared" si="33"/>
        <v>404</v>
      </c>
      <c r="C9239">
        <v>5</v>
      </c>
      <c r="E9239">
        <v>405</v>
      </c>
    </row>
    <row r="9240" spans="1:5" x14ac:dyDescent="0.25">
      <c r="A9240">
        <v>119</v>
      </c>
      <c r="B9240">
        <f t="shared" si="33"/>
        <v>404</v>
      </c>
      <c r="C9240">
        <v>2</v>
      </c>
      <c r="E9240" s="1">
        <v>405</v>
      </c>
    </row>
    <row r="9241" spans="1:5" x14ac:dyDescent="0.25">
      <c r="A9241">
        <v>146</v>
      </c>
      <c r="B9241">
        <f t="shared" si="33"/>
        <v>404</v>
      </c>
      <c r="C9241">
        <v>2</v>
      </c>
      <c r="E9241">
        <v>405</v>
      </c>
    </row>
    <row r="9242" spans="1:5" x14ac:dyDescent="0.25">
      <c r="A9242">
        <v>147</v>
      </c>
      <c r="B9242">
        <f t="shared" si="33"/>
        <v>404</v>
      </c>
      <c r="C9242">
        <v>1</v>
      </c>
      <c r="E9242" s="1">
        <v>405</v>
      </c>
    </row>
    <row r="9243" spans="1:5" x14ac:dyDescent="0.25">
      <c r="A9243">
        <v>157</v>
      </c>
      <c r="B9243">
        <f t="shared" si="33"/>
        <v>404</v>
      </c>
      <c r="C9243">
        <v>3</v>
      </c>
      <c r="E9243">
        <v>405</v>
      </c>
    </row>
    <row r="9244" spans="1:5" x14ac:dyDescent="0.25">
      <c r="A9244">
        <v>163</v>
      </c>
      <c r="B9244">
        <f t="shared" si="33"/>
        <v>404</v>
      </c>
      <c r="C9244">
        <v>5</v>
      </c>
      <c r="E9244" s="1">
        <v>405</v>
      </c>
    </row>
    <row r="9245" spans="1:5" x14ac:dyDescent="0.25">
      <c r="A9245">
        <v>163</v>
      </c>
      <c r="B9245">
        <f t="shared" si="33"/>
        <v>404</v>
      </c>
      <c r="C9245">
        <v>1</v>
      </c>
      <c r="E9245">
        <v>405</v>
      </c>
    </row>
    <row r="9246" spans="1:5" x14ac:dyDescent="0.25">
      <c r="A9246">
        <v>167</v>
      </c>
      <c r="B9246">
        <f t="shared" si="33"/>
        <v>404</v>
      </c>
      <c r="C9246">
        <v>5</v>
      </c>
      <c r="E9246" s="1">
        <v>405</v>
      </c>
    </row>
    <row r="9247" spans="1:5" x14ac:dyDescent="0.25">
      <c r="A9247">
        <v>182</v>
      </c>
      <c r="B9247">
        <f t="shared" si="33"/>
        <v>404</v>
      </c>
      <c r="C9247">
        <v>5</v>
      </c>
      <c r="E9247">
        <v>405</v>
      </c>
    </row>
    <row r="9248" spans="1:5" x14ac:dyDescent="0.25">
      <c r="A9248">
        <v>199</v>
      </c>
      <c r="B9248">
        <f t="shared" si="33"/>
        <v>404</v>
      </c>
      <c r="C9248">
        <v>2</v>
      </c>
      <c r="E9248" s="1">
        <v>405</v>
      </c>
    </row>
    <row r="9249" spans="1:5" x14ac:dyDescent="0.25">
      <c r="A9249">
        <v>200</v>
      </c>
      <c r="B9249">
        <f t="shared" si="33"/>
        <v>404</v>
      </c>
      <c r="C9249">
        <v>5</v>
      </c>
      <c r="E9249">
        <v>405</v>
      </c>
    </row>
    <row r="9250" spans="1:5" x14ac:dyDescent="0.25">
      <c r="A9250">
        <v>204</v>
      </c>
      <c r="B9250">
        <f t="shared" si="33"/>
        <v>404</v>
      </c>
      <c r="C9250">
        <v>3</v>
      </c>
      <c r="E9250" s="1">
        <v>405</v>
      </c>
    </row>
    <row r="9251" spans="1:5" x14ac:dyDescent="0.25">
      <c r="A9251">
        <v>228</v>
      </c>
      <c r="B9251">
        <f t="shared" si="33"/>
        <v>404</v>
      </c>
      <c r="C9251">
        <v>5</v>
      </c>
      <c r="E9251">
        <v>405</v>
      </c>
    </row>
    <row r="9252" spans="1:5" x14ac:dyDescent="0.25">
      <c r="A9252">
        <v>239</v>
      </c>
      <c r="B9252">
        <f t="shared" si="33"/>
        <v>404</v>
      </c>
      <c r="C9252">
        <v>3</v>
      </c>
      <c r="E9252" s="1">
        <v>405</v>
      </c>
    </row>
    <row r="9253" spans="1:5" x14ac:dyDescent="0.25">
      <c r="A9253">
        <v>243</v>
      </c>
      <c r="B9253">
        <f t="shared" si="33"/>
        <v>404</v>
      </c>
      <c r="C9253">
        <v>2</v>
      </c>
      <c r="E9253">
        <v>405</v>
      </c>
    </row>
    <row r="9254" spans="1:5" x14ac:dyDescent="0.25">
      <c r="A9254">
        <v>265</v>
      </c>
      <c r="B9254">
        <f t="shared" si="33"/>
        <v>404</v>
      </c>
      <c r="C9254">
        <v>3</v>
      </c>
      <c r="E9254" s="1">
        <v>405</v>
      </c>
    </row>
    <row r="9255" spans="1:5" x14ac:dyDescent="0.25">
      <c r="A9255">
        <v>265</v>
      </c>
      <c r="B9255">
        <f t="shared" si="33"/>
        <v>404</v>
      </c>
      <c r="C9255">
        <v>1</v>
      </c>
      <c r="E9255">
        <v>405</v>
      </c>
    </row>
    <row r="9256" spans="1:5" x14ac:dyDescent="0.25">
      <c r="A9256">
        <v>278</v>
      </c>
      <c r="B9256">
        <f t="shared" si="33"/>
        <v>404</v>
      </c>
      <c r="C9256">
        <v>1</v>
      </c>
      <c r="E9256" s="1">
        <v>405</v>
      </c>
    </row>
    <row r="9257" spans="1:5" x14ac:dyDescent="0.25">
      <c r="A9257">
        <v>4</v>
      </c>
      <c r="B9257">
        <f t="shared" si="33"/>
        <v>405</v>
      </c>
      <c r="C9257">
        <v>3</v>
      </c>
      <c r="E9257">
        <v>406</v>
      </c>
    </row>
    <row r="9258" spans="1:5" x14ac:dyDescent="0.25">
      <c r="A9258">
        <v>9</v>
      </c>
      <c r="B9258">
        <f t="shared" si="33"/>
        <v>405</v>
      </c>
      <c r="C9258">
        <v>4</v>
      </c>
      <c r="E9258" s="1">
        <v>406</v>
      </c>
    </row>
    <row r="9259" spans="1:5" x14ac:dyDescent="0.25">
      <c r="A9259">
        <v>11</v>
      </c>
      <c r="B9259">
        <f t="shared" si="33"/>
        <v>405</v>
      </c>
      <c r="C9259">
        <v>4</v>
      </c>
      <c r="E9259">
        <v>406</v>
      </c>
    </row>
    <row r="9260" spans="1:5" x14ac:dyDescent="0.25">
      <c r="A9260">
        <v>13</v>
      </c>
      <c r="B9260">
        <f t="shared" si="33"/>
        <v>405</v>
      </c>
      <c r="C9260">
        <v>2</v>
      </c>
      <c r="E9260" s="1">
        <v>406</v>
      </c>
    </row>
    <row r="9261" spans="1:5" x14ac:dyDescent="0.25">
      <c r="A9261">
        <v>17</v>
      </c>
      <c r="B9261">
        <f t="shared" si="33"/>
        <v>405</v>
      </c>
      <c r="C9261">
        <v>5</v>
      </c>
      <c r="E9261">
        <v>406</v>
      </c>
    </row>
    <row r="9262" spans="1:5" x14ac:dyDescent="0.25">
      <c r="A9262">
        <v>25</v>
      </c>
      <c r="B9262">
        <f t="shared" si="33"/>
        <v>405</v>
      </c>
      <c r="C9262">
        <v>5</v>
      </c>
      <c r="E9262" s="1">
        <v>406</v>
      </c>
    </row>
    <row r="9263" spans="1:5" x14ac:dyDescent="0.25">
      <c r="A9263">
        <v>26</v>
      </c>
      <c r="B9263">
        <f t="shared" si="33"/>
        <v>405</v>
      </c>
      <c r="C9263">
        <v>5</v>
      </c>
      <c r="E9263">
        <v>406</v>
      </c>
    </row>
    <row r="9264" spans="1:5" x14ac:dyDescent="0.25">
      <c r="A9264">
        <v>43</v>
      </c>
      <c r="B9264">
        <f t="shared" si="33"/>
        <v>405</v>
      </c>
      <c r="C9264">
        <v>3</v>
      </c>
      <c r="E9264" s="1">
        <v>406</v>
      </c>
    </row>
    <row r="9265" spans="1:5" x14ac:dyDescent="0.25">
      <c r="A9265">
        <v>48</v>
      </c>
      <c r="B9265">
        <f t="shared" si="33"/>
        <v>405</v>
      </c>
      <c r="C9265">
        <v>3</v>
      </c>
      <c r="E9265">
        <v>406</v>
      </c>
    </row>
    <row r="9266" spans="1:5" x14ac:dyDescent="0.25">
      <c r="A9266">
        <v>55</v>
      </c>
      <c r="B9266">
        <f t="shared" si="33"/>
        <v>405</v>
      </c>
      <c r="C9266">
        <v>3</v>
      </c>
      <c r="E9266" s="1">
        <v>406</v>
      </c>
    </row>
    <row r="9267" spans="1:5" x14ac:dyDescent="0.25">
      <c r="A9267">
        <v>72</v>
      </c>
      <c r="B9267">
        <f t="shared" si="33"/>
        <v>405</v>
      </c>
      <c r="C9267">
        <v>1</v>
      </c>
      <c r="E9267">
        <v>406</v>
      </c>
    </row>
    <row r="9268" spans="1:5" x14ac:dyDescent="0.25">
      <c r="A9268">
        <v>83</v>
      </c>
      <c r="B9268">
        <f t="shared" si="33"/>
        <v>405</v>
      </c>
      <c r="C9268">
        <v>1</v>
      </c>
      <c r="E9268" s="1">
        <v>406</v>
      </c>
    </row>
    <row r="9269" spans="1:5" x14ac:dyDescent="0.25">
      <c r="A9269">
        <v>90</v>
      </c>
      <c r="B9269">
        <f t="shared" si="33"/>
        <v>405</v>
      </c>
      <c r="C9269">
        <v>1</v>
      </c>
      <c r="E9269">
        <v>406</v>
      </c>
    </row>
    <row r="9270" spans="1:5" x14ac:dyDescent="0.25">
      <c r="A9270">
        <v>116</v>
      </c>
      <c r="B9270">
        <f t="shared" si="33"/>
        <v>405</v>
      </c>
      <c r="C9270">
        <v>2</v>
      </c>
      <c r="E9270" s="1">
        <v>406</v>
      </c>
    </row>
    <row r="9271" spans="1:5" x14ac:dyDescent="0.25">
      <c r="A9271">
        <v>120</v>
      </c>
      <c r="B9271">
        <f t="shared" si="33"/>
        <v>405</v>
      </c>
      <c r="C9271">
        <v>4</v>
      </c>
      <c r="E9271">
        <v>406</v>
      </c>
    </row>
    <row r="9272" spans="1:5" x14ac:dyDescent="0.25">
      <c r="A9272">
        <v>142</v>
      </c>
      <c r="B9272">
        <f t="shared" si="33"/>
        <v>405</v>
      </c>
      <c r="C9272">
        <v>1</v>
      </c>
      <c r="E9272" s="1">
        <v>406</v>
      </c>
    </row>
    <row r="9273" spans="1:5" x14ac:dyDescent="0.25">
      <c r="A9273">
        <v>167</v>
      </c>
      <c r="B9273">
        <f t="shared" si="33"/>
        <v>405</v>
      </c>
      <c r="C9273">
        <v>3</v>
      </c>
      <c r="E9273">
        <v>406</v>
      </c>
    </row>
    <row r="9274" spans="1:5" x14ac:dyDescent="0.25">
      <c r="A9274">
        <v>172</v>
      </c>
      <c r="B9274">
        <f t="shared" si="33"/>
        <v>405</v>
      </c>
      <c r="C9274">
        <v>3</v>
      </c>
      <c r="E9274" s="1">
        <v>406</v>
      </c>
    </row>
    <row r="9275" spans="1:5" x14ac:dyDescent="0.25">
      <c r="A9275">
        <v>175</v>
      </c>
      <c r="B9275">
        <f t="shared" si="33"/>
        <v>405</v>
      </c>
      <c r="C9275">
        <v>5</v>
      </c>
      <c r="E9275">
        <v>406</v>
      </c>
    </row>
    <row r="9276" spans="1:5" x14ac:dyDescent="0.25">
      <c r="A9276">
        <v>179</v>
      </c>
      <c r="B9276">
        <f t="shared" si="33"/>
        <v>405</v>
      </c>
      <c r="C9276">
        <v>3</v>
      </c>
      <c r="E9276" s="1">
        <v>406</v>
      </c>
    </row>
    <row r="9277" spans="1:5" x14ac:dyDescent="0.25">
      <c r="A9277">
        <v>187</v>
      </c>
      <c r="B9277">
        <f t="shared" si="33"/>
        <v>405</v>
      </c>
      <c r="C9277">
        <v>3</v>
      </c>
      <c r="E9277">
        <v>406</v>
      </c>
    </row>
    <row r="9278" spans="1:5" x14ac:dyDescent="0.25">
      <c r="A9278">
        <v>210</v>
      </c>
      <c r="B9278">
        <f t="shared" si="33"/>
        <v>405</v>
      </c>
      <c r="C9278">
        <v>2</v>
      </c>
      <c r="E9278" s="1">
        <v>406</v>
      </c>
    </row>
    <row r="9279" spans="1:5" x14ac:dyDescent="0.25">
      <c r="A9279">
        <v>212</v>
      </c>
      <c r="B9279">
        <f t="shared" si="33"/>
        <v>405</v>
      </c>
      <c r="C9279">
        <v>4</v>
      </c>
      <c r="E9279">
        <v>406</v>
      </c>
    </row>
    <row r="9280" spans="1:5" x14ac:dyDescent="0.25">
      <c r="A9280">
        <v>218</v>
      </c>
      <c r="B9280">
        <f t="shared" si="33"/>
        <v>405</v>
      </c>
      <c r="C9280">
        <v>1</v>
      </c>
      <c r="E9280" s="1">
        <v>406</v>
      </c>
    </row>
    <row r="9281" spans="1:5" x14ac:dyDescent="0.25">
      <c r="A9281">
        <v>221</v>
      </c>
      <c r="B9281">
        <f t="shared" si="33"/>
        <v>405</v>
      </c>
      <c r="C9281">
        <v>3</v>
      </c>
      <c r="E9281">
        <v>406</v>
      </c>
    </row>
    <row r="9282" spans="1:5" x14ac:dyDescent="0.25">
      <c r="A9282">
        <v>262</v>
      </c>
      <c r="B9282">
        <f t="shared" si="33"/>
        <v>405</v>
      </c>
      <c r="C9282">
        <v>1</v>
      </c>
      <c r="E9282" s="1">
        <v>406</v>
      </c>
    </row>
    <row r="9283" spans="1:5" x14ac:dyDescent="0.25">
      <c r="A9283">
        <v>283</v>
      </c>
      <c r="B9283">
        <f t="shared" si="33"/>
        <v>405</v>
      </c>
      <c r="C9283">
        <v>1</v>
      </c>
      <c r="E9283">
        <v>406</v>
      </c>
    </row>
    <row r="9284" spans="1:5" x14ac:dyDescent="0.25">
      <c r="A9284">
        <v>295</v>
      </c>
      <c r="B9284">
        <f t="shared" si="33"/>
        <v>405</v>
      </c>
      <c r="C9284">
        <v>3</v>
      </c>
      <c r="E9284" s="1">
        <v>406</v>
      </c>
    </row>
    <row r="9285" spans="1:5" x14ac:dyDescent="0.25">
      <c r="A9285">
        <v>296</v>
      </c>
      <c r="B9285">
        <f t="shared" si="33"/>
        <v>405</v>
      </c>
      <c r="C9285">
        <v>4</v>
      </c>
      <c r="E9285">
        <v>406</v>
      </c>
    </row>
    <row r="9286" spans="1:5" x14ac:dyDescent="0.25">
      <c r="A9286">
        <v>2</v>
      </c>
      <c r="B9286">
        <f t="shared" si="33"/>
        <v>406</v>
      </c>
      <c r="C9286">
        <v>5</v>
      </c>
      <c r="E9286" s="1">
        <v>407</v>
      </c>
    </row>
    <row r="9287" spans="1:5" x14ac:dyDescent="0.25">
      <c r="A9287">
        <v>5</v>
      </c>
      <c r="B9287">
        <f t="shared" si="33"/>
        <v>406</v>
      </c>
      <c r="C9287">
        <v>3</v>
      </c>
      <c r="E9287">
        <v>407</v>
      </c>
    </row>
    <row r="9288" spans="1:5" x14ac:dyDescent="0.25">
      <c r="A9288">
        <v>32</v>
      </c>
      <c r="B9288">
        <f t="shared" si="33"/>
        <v>406</v>
      </c>
      <c r="C9288">
        <v>3</v>
      </c>
      <c r="E9288" s="1">
        <v>407</v>
      </c>
    </row>
    <row r="9289" spans="1:5" x14ac:dyDescent="0.25">
      <c r="A9289">
        <v>66</v>
      </c>
      <c r="B9289">
        <f t="shared" si="33"/>
        <v>406</v>
      </c>
      <c r="C9289">
        <v>5</v>
      </c>
      <c r="E9289">
        <v>407</v>
      </c>
    </row>
    <row r="9290" spans="1:5" x14ac:dyDescent="0.25">
      <c r="A9290">
        <v>78</v>
      </c>
      <c r="B9290">
        <f t="shared" si="33"/>
        <v>406</v>
      </c>
      <c r="C9290">
        <v>5</v>
      </c>
      <c r="E9290" s="1">
        <v>407</v>
      </c>
    </row>
    <row r="9291" spans="1:5" x14ac:dyDescent="0.25">
      <c r="A9291">
        <v>78</v>
      </c>
      <c r="B9291">
        <f t="shared" si="33"/>
        <v>406</v>
      </c>
      <c r="C9291">
        <v>4</v>
      </c>
      <c r="E9291">
        <v>407</v>
      </c>
    </row>
    <row r="9292" spans="1:5" x14ac:dyDescent="0.25">
      <c r="A9292">
        <v>107</v>
      </c>
      <c r="B9292">
        <f t="shared" si="33"/>
        <v>406</v>
      </c>
      <c r="C9292">
        <v>2</v>
      </c>
      <c r="E9292" s="1">
        <v>407</v>
      </c>
    </row>
    <row r="9293" spans="1:5" x14ac:dyDescent="0.25">
      <c r="A9293">
        <v>107</v>
      </c>
      <c r="B9293">
        <f t="shared" si="33"/>
        <v>406</v>
      </c>
      <c r="C9293">
        <v>4</v>
      </c>
      <c r="E9293">
        <v>407</v>
      </c>
    </row>
    <row r="9294" spans="1:5" x14ac:dyDescent="0.25">
      <c r="A9294">
        <v>131</v>
      </c>
      <c r="B9294">
        <f t="shared" ref="B9294:B9357" si="34">E9294-1</f>
        <v>406</v>
      </c>
      <c r="C9294">
        <v>5</v>
      </c>
      <c r="E9294" s="1">
        <v>407</v>
      </c>
    </row>
    <row r="9295" spans="1:5" x14ac:dyDescent="0.25">
      <c r="A9295">
        <v>156</v>
      </c>
      <c r="B9295">
        <f t="shared" si="34"/>
        <v>406</v>
      </c>
      <c r="C9295">
        <v>1</v>
      </c>
      <c r="E9295">
        <v>407</v>
      </c>
    </row>
    <row r="9296" spans="1:5" x14ac:dyDescent="0.25">
      <c r="A9296">
        <v>169</v>
      </c>
      <c r="B9296">
        <f t="shared" si="34"/>
        <v>406</v>
      </c>
      <c r="C9296">
        <v>1</v>
      </c>
      <c r="E9296" s="1">
        <v>407</v>
      </c>
    </row>
    <row r="9297" spans="1:5" x14ac:dyDescent="0.25">
      <c r="A9297">
        <v>171</v>
      </c>
      <c r="B9297">
        <f t="shared" si="34"/>
        <v>406</v>
      </c>
      <c r="C9297">
        <v>4</v>
      </c>
      <c r="E9297">
        <v>407</v>
      </c>
    </row>
    <row r="9298" spans="1:5" x14ac:dyDescent="0.25">
      <c r="A9298">
        <v>172</v>
      </c>
      <c r="B9298">
        <f t="shared" si="34"/>
        <v>406</v>
      </c>
      <c r="C9298">
        <v>5</v>
      </c>
      <c r="E9298" s="1">
        <v>407</v>
      </c>
    </row>
    <row r="9299" spans="1:5" x14ac:dyDescent="0.25">
      <c r="A9299">
        <v>179</v>
      </c>
      <c r="B9299">
        <f t="shared" si="34"/>
        <v>406</v>
      </c>
      <c r="C9299">
        <v>5</v>
      </c>
      <c r="E9299">
        <v>407</v>
      </c>
    </row>
    <row r="9300" spans="1:5" x14ac:dyDescent="0.25">
      <c r="A9300">
        <v>189</v>
      </c>
      <c r="B9300">
        <f t="shared" si="34"/>
        <v>406</v>
      </c>
      <c r="C9300">
        <v>5</v>
      </c>
      <c r="E9300" s="1">
        <v>407</v>
      </c>
    </row>
    <row r="9301" spans="1:5" x14ac:dyDescent="0.25">
      <c r="A9301">
        <v>210</v>
      </c>
      <c r="B9301">
        <f t="shared" si="34"/>
        <v>406</v>
      </c>
      <c r="C9301">
        <v>3</v>
      </c>
      <c r="E9301">
        <v>407</v>
      </c>
    </row>
    <row r="9302" spans="1:5" x14ac:dyDescent="0.25">
      <c r="A9302">
        <v>226</v>
      </c>
      <c r="B9302">
        <f t="shared" si="34"/>
        <v>406</v>
      </c>
      <c r="C9302">
        <v>4</v>
      </c>
      <c r="E9302" s="1">
        <v>407</v>
      </c>
    </row>
    <row r="9303" spans="1:5" x14ac:dyDescent="0.25">
      <c r="A9303">
        <v>259</v>
      </c>
      <c r="B9303">
        <f t="shared" si="34"/>
        <v>406</v>
      </c>
      <c r="C9303">
        <v>4</v>
      </c>
      <c r="E9303">
        <v>407</v>
      </c>
    </row>
    <row r="9304" spans="1:5" x14ac:dyDescent="0.25">
      <c r="A9304">
        <v>268</v>
      </c>
      <c r="B9304">
        <f t="shared" si="34"/>
        <v>406</v>
      </c>
      <c r="C9304">
        <v>2</v>
      </c>
      <c r="E9304" s="1">
        <v>407</v>
      </c>
    </row>
    <row r="9305" spans="1:5" x14ac:dyDescent="0.25">
      <c r="A9305">
        <v>272</v>
      </c>
      <c r="B9305">
        <f t="shared" si="34"/>
        <v>406</v>
      </c>
      <c r="C9305">
        <v>1</v>
      </c>
      <c r="E9305">
        <v>407</v>
      </c>
    </row>
    <row r="9306" spans="1:5" x14ac:dyDescent="0.25">
      <c r="A9306">
        <v>279</v>
      </c>
      <c r="B9306">
        <f t="shared" si="34"/>
        <v>406</v>
      </c>
      <c r="C9306">
        <v>3</v>
      </c>
      <c r="E9306" s="1">
        <v>407</v>
      </c>
    </row>
    <row r="9307" spans="1:5" x14ac:dyDescent="0.25">
      <c r="A9307">
        <v>285</v>
      </c>
      <c r="B9307">
        <f t="shared" si="34"/>
        <v>406</v>
      </c>
      <c r="C9307">
        <v>1</v>
      </c>
      <c r="E9307">
        <v>407</v>
      </c>
    </row>
    <row r="9308" spans="1:5" x14ac:dyDescent="0.25">
      <c r="A9308">
        <v>288</v>
      </c>
      <c r="B9308">
        <f t="shared" si="34"/>
        <v>406</v>
      </c>
      <c r="C9308">
        <v>5</v>
      </c>
      <c r="E9308" s="1">
        <v>407</v>
      </c>
    </row>
    <row r="9309" spans="1:5" x14ac:dyDescent="0.25">
      <c r="A9309">
        <v>296</v>
      </c>
      <c r="B9309">
        <f t="shared" si="34"/>
        <v>406</v>
      </c>
      <c r="C9309">
        <v>3</v>
      </c>
      <c r="E9309">
        <v>407</v>
      </c>
    </row>
    <row r="9310" spans="1:5" x14ac:dyDescent="0.25">
      <c r="A9310">
        <v>299</v>
      </c>
      <c r="B9310">
        <f t="shared" si="34"/>
        <v>406</v>
      </c>
      <c r="C9310">
        <v>1</v>
      </c>
      <c r="E9310" s="1">
        <v>407</v>
      </c>
    </row>
    <row r="9311" spans="1:5" x14ac:dyDescent="0.25">
      <c r="A9311">
        <v>299</v>
      </c>
      <c r="B9311">
        <f t="shared" si="34"/>
        <v>406</v>
      </c>
      <c r="C9311">
        <v>5</v>
      </c>
      <c r="E9311">
        <v>407</v>
      </c>
    </row>
    <row r="9312" spans="1:5" x14ac:dyDescent="0.25">
      <c r="A9312">
        <v>27</v>
      </c>
      <c r="B9312">
        <f t="shared" si="34"/>
        <v>407</v>
      </c>
      <c r="C9312">
        <v>2</v>
      </c>
      <c r="E9312" s="1">
        <v>408</v>
      </c>
    </row>
    <row r="9313" spans="1:5" x14ac:dyDescent="0.25">
      <c r="A9313">
        <v>39</v>
      </c>
      <c r="B9313">
        <f t="shared" si="34"/>
        <v>407</v>
      </c>
      <c r="C9313">
        <v>4</v>
      </c>
      <c r="E9313">
        <v>408</v>
      </c>
    </row>
    <row r="9314" spans="1:5" x14ac:dyDescent="0.25">
      <c r="A9314">
        <v>58</v>
      </c>
      <c r="B9314">
        <f t="shared" si="34"/>
        <v>407</v>
      </c>
      <c r="C9314">
        <v>5</v>
      </c>
      <c r="E9314" s="1">
        <v>408</v>
      </c>
    </row>
    <row r="9315" spans="1:5" x14ac:dyDescent="0.25">
      <c r="A9315">
        <v>67</v>
      </c>
      <c r="B9315">
        <f t="shared" si="34"/>
        <v>407</v>
      </c>
      <c r="C9315">
        <v>1</v>
      </c>
      <c r="E9315">
        <v>408</v>
      </c>
    </row>
    <row r="9316" spans="1:5" x14ac:dyDescent="0.25">
      <c r="A9316">
        <v>74</v>
      </c>
      <c r="B9316">
        <f t="shared" si="34"/>
        <v>407</v>
      </c>
      <c r="C9316">
        <v>2</v>
      </c>
      <c r="E9316" s="1">
        <v>408</v>
      </c>
    </row>
    <row r="9317" spans="1:5" x14ac:dyDescent="0.25">
      <c r="A9317">
        <v>89</v>
      </c>
      <c r="B9317">
        <f t="shared" si="34"/>
        <v>407</v>
      </c>
      <c r="C9317">
        <v>1</v>
      </c>
      <c r="E9317">
        <v>408</v>
      </c>
    </row>
    <row r="9318" spans="1:5" x14ac:dyDescent="0.25">
      <c r="A9318">
        <v>109</v>
      </c>
      <c r="B9318">
        <f t="shared" si="34"/>
        <v>407</v>
      </c>
      <c r="C9318">
        <v>1</v>
      </c>
      <c r="E9318" s="1">
        <v>408</v>
      </c>
    </row>
    <row r="9319" spans="1:5" x14ac:dyDescent="0.25">
      <c r="A9319">
        <v>116</v>
      </c>
      <c r="B9319">
        <f t="shared" si="34"/>
        <v>407</v>
      </c>
      <c r="C9319">
        <v>2</v>
      </c>
      <c r="E9319">
        <v>408</v>
      </c>
    </row>
    <row r="9320" spans="1:5" x14ac:dyDescent="0.25">
      <c r="A9320">
        <v>131</v>
      </c>
      <c r="B9320">
        <f t="shared" si="34"/>
        <v>407</v>
      </c>
      <c r="C9320">
        <v>2</v>
      </c>
      <c r="E9320" s="1">
        <v>408</v>
      </c>
    </row>
    <row r="9321" spans="1:5" x14ac:dyDescent="0.25">
      <c r="A9321">
        <v>146</v>
      </c>
      <c r="B9321">
        <f t="shared" si="34"/>
        <v>407</v>
      </c>
      <c r="C9321">
        <v>3</v>
      </c>
      <c r="E9321">
        <v>408</v>
      </c>
    </row>
    <row r="9322" spans="1:5" x14ac:dyDescent="0.25">
      <c r="A9322">
        <v>155</v>
      </c>
      <c r="B9322">
        <f t="shared" si="34"/>
        <v>407</v>
      </c>
      <c r="C9322">
        <v>1</v>
      </c>
      <c r="E9322" s="1">
        <v>408</v>
      </c>
    </row>
    <row r="9323" spans="1:5" x14ac:dyDescent="0.25">
      <c r="A9323">
        <v>177</v>
      </c>
      <c r="B9323">
        <f t="shared" si="34"/>
        <v>407</v>
      </c>
      <c r="C9323">
        <v>3</v>
      </c>
      <c r="E9323">
        <v>408</v>
      </c>
    </row>
    <row r="9324" spans="1:5" x14ac:dyDescent="0.25">
      <c r="A9324">
        <v>181</v>
      </c>
      <c r="B9324">
        <f t="shared" si="34"/>
        <v>407</v>
      </c>
      <c r="C9324">
        <v>4</v>
      </c>
      <c r="E9324" s="1">
        <v>408</v>
      </c>
    </row>
    <row r="9325" spans="1:5" x14ac:dyDescent="0.25">
      <c r="A9325">
        <v>195</v>
      </c>
      <c r="B9325">
        <f t="shared" si="34"/>
        <v>407</v>
      </c>
      <c r="C9325">
        <v>3</v>
      </c>
      <c r="E9325">
        <v>408</v>
      </c>
    </row>
    <row r="9326" spans="1:5" x14ac:dyDescent="0.25">
      <c r="A9326">
        <v>198</v>
      </c>
      <c r="B9326">
        <f t="shared" si="34"/>
        <v>407</v>
      </c>
      <c r="C9326">
        <v>3</v>
      </c>
      <c r="E9326" s="1">
        <v>408</v>
      </c>
    </row>
    <row r="9327" spans="1:5" x14ac:dyDescent="0.25">
      <c r="A9327">
        <v>235</v>
      </c>
      <c r="B9327">
        <f t="shared" si="34"/>
        <v>407</v>
      </c>
      <c r="C9327">
        <v>5</v>
      </c>
      <c r="E9327">
        <v>408</v>
      </c>
    </row>
    <row r="9328" spans="1:5" x14ac:dyDescent="0.25">
      <c r="A9328">
        <v>235</v>
      </c>
      <c r="B9328">
        <f t="shared" si="34"/>
        <v>407</v>
      </c>
      <c r="C9328">
        <v>4</v>
      </c>
      <c r="E9328" s="1">
        <v>408</v>
      </c>
    </row>
    <row r="9329" spans="1:5" x14ac:dyDescent="0.25">
      <c r="A9329">
        <v>245</v>
      </c>
      <c r="B9329">
        <f t="shared" si="34"/>
        <v>407</v>
      </c>
      <c r="C9329">
        <v>4</v>
      </c>
      <c r="E9329">
        <v>408</v>
      </c>
    </row>
    <row r="9330" spans="1:5" x14ac:dyDescent="0.25">
      <c r="A9330">
        <v>250</v>
      </c>
      <c r="B9330">
        <f t="shared" si="34"/>
        <v>407</v>
      </c>
      <c r="C9330">
        <v>5</v>
      </c>
      <c r="E9330" s="1">
        <v>408</v>
      </c>
    </row>
    <row r="9331" spans="1:5" x14ac:dyDescent="0.25">
      <c r="A9331">
        <v>263</v>
      </c>
      <c r="B9331">
        <f t="shared" si="34"/>
        <v>407</v>
      </c>
      <c r="C9331">
        <v>1</v>
      </c>
      <c r="E9331">
        <v>408</v>
      </c>
    </row>
    <row r="9332" spans="1:5" x14ac:dyDescent="0.25">
      <c r="A9332">
        <v>275</v>
      </c>
      <c r="B9332">
        <f t="shared" si="34"/>
        <v>407</v>
      </c>
      <c r="C9332">
        <v>4</v>
      </c>
      <c r="E9332" s="1">
        <v>408</v>
      </c>
    </row>
    <row r="9333" spans="1:5" x14ac:dyDescent="0.25">
      <c r="A9333">
        <v>283</v>
      </c>
      <c r="B9333">
        <f t="shared" si="34"/>
        <v>407</v>
      </c>
      <c r="C9333">
        <v>2</v>
      </c>
      <c r="E9333">
        <v>408</v>
      </c>
    </row>
    <row r="9334" spans="1:5" x14ac:dyDescent="0.25">
      <c r="A9334">
        <v>4</v>
      </c>
      <c r="B9334">
        <f t="shared" si="34"/>
        <v>408</v>
      </c>
      <c r="C9334">
        <v>3</v>
      </c>
      <c r="E9334" s="1">
        <v>409</v>
      </c>
    </row>
    <row r="9335" spans="1:5" x14ac:dyDescent="0.25">
      <c r="A9335">
        <v>31</v>
      </c>
      <c r="B9335">
        <f t="shared" si="34"/>
        <v>408</v>
      </c>
      <c r="C9335">
        <v>2</v>
      </c>
      <c r="E9335">
        <v>409</v>
      </c>
    </row>
    <row r="9336" spans="1:5" x14ac:dyDescent="0.25">
      <c r="A9336">
        <v>54</v>
      </c>
      <c r="B9336">
        <f t="shared" si="34"/>
        <v>408</v>
      </c>
      <c r="C9336">
        <v>5</v>
      </c>
      <c r="E9336" s="1">
        <v>409</v>
      </c>
    </row>
    <row r="9337" spans="1:5" x14ac:dyDescent="0.25">
      <c r="A9337">
        <v>54</v>
      </c>
      <c r="B9337">
        <f t="shared" si="34"/>
        <v>408</v>
      </c>
      <c r="C9337">
        <v>2</v>
      </c>
      <c r="E9337">
        <v>409</v>
      </c>
    </row>
    <row r="9338" spans="1:5" x14ac:dyDescent="0.25">
      <c r="A9338">
        <v>66</v>
      </c>
      <c r="B9338">
        <f t="shared" si="34"/>
        <v>408</v>
      </c>
      <c r="C9338">
        <v>1</v>
      </c>
      <c r="E9338" s="1">
        <v>409</v>
      </c>
    </row>
    <row r="9339" spans="1:5" x14ac:dyDescent="0.25">
      <c r="A9339">
        <v>94</v>
      </c>
      <c r="B9339">
        <f t="shared" si="34"/>
        <v>408</v>
      </c>
      <c r="C9339">
        <v>3</v>
      </c>
      <c r="E9339">
        <v>409</v>
      </c>
    </row>
    <row r="9340" spans="1:5" x14ac:dyDescent="0.25">
      <c r="A9340">
        <v>160</v>
      </c>
      <c r="B9340">
        <f t="shared" si="34"/>
        <v>408</v>
      </c>
      <c r="C9340">
        <v>2</v>
      </c>
      <c r="E9340" s="1">
        <v>409</v>
      </c>
    </row>
    <row r="9341" spans="1:5" x14ac:dyDescent="0.25">
      <c r="A9341">
        <v>164</v>
      </c>
      <c r="B9341">
        <f t="shared" si="34"/>
        <v>408</v>
      </c>
      <c r="C9341">
        <v>3</v>
      </c>
      <c r="E9341">
        <v>409</v>
      </c>
    </row>
    <row r="9342" spans="1:5" x14ac:dyDescent="0.25">
      <c r="A9342">
        <v>208</v>
      </c>
      <c r="B9342">
        <f t="shared" si="34"/>
        <v>408</v>
      </c>
      <c r="C9342">
        <v>5</v>
      </c>
      <c r="E9342" s="1">
        <v>409</v>
      </c>
    </row>
    <row r="9343" spans="1:5" x14ac:dyDescent="0.25">
      <c r="A9343">
        <v>218</v>
      </c>
      <c r="B9343">
        <f t="shared" si="34"/>
        <v>408</v>
      </c>
      <c r="C9343">
        <v>1</v>
      </c>
      <c r="E9343">
        <v>409</v>
      </c>
    </row>
    <row r="9344" spans="1:5" x14ac:dyDescent="0.25">
      <c r="A9344">
        <v>236</v>
      </c>
      <c r="B9344">
        <f t="shared" si="34"/>
        <v>408</v>
      </c>
      <c r="C9344">
        <v>4</v>
      </c>
      <c r="E9344" s="1">
        <v>409</v>
      </c>
    </row>
    <row r="9345" spans="1:5" x14ac:dyDescent="0.25">
      <c r="A9345">
        <v>237</v>
      </c>
      <c r="B9345">
        <f t="shared" si="34"/>
        <v>408</v>
      </c>
      <c r="C9345">
        <v>3</v>
      </c>
      <c r="E9345">
        <v>409</v>
      </c>
    </row>
    <row r="9346" spans="1:5" x14ac:dyDescent="0.25">
      <c r="A9346">
        <v>243</v>
      </c>
      <c r="B9346">
        <f t="shared" si="34"/>
        <v>408</v>
      </c>
      <c r="C9346">
        <v>4</v>
      </c>
      <c r="E9346" s="1">
        <v>409</v>
      </c>
    </row>
    <row r="9347" spans="1:5" x14ac:dyDescent="0.25">
      <c r="A9347">
        <v>263</v>
      </c>
      <c r="B9347">
        <f t="shared" si="34"/>
        <v>408</v>
      </c>
      <c r="C9347">
        <v>5</v>
      </c>
      <c r="E9347">
        <v>409</v>
      </c>
    </row>
    <row r="9348" spans="1:5" x14ac:dyDescent="0.25">
      <c r="A9348">
        <v>289</v>
      </c>
      <c r="B9348">
        <f t="shared" si="34"/>
        <v>408</v>
      </c>
      <c r="C9348">
        <v>3</v>
      </c>
      <c r="E9348" s="1">
        <v>409</v>
      </c>
    </row>
    <row r="9349" spans="1:5" x14ac:dyDescent="0.25">
      <c r="A9349">
        <v>299</v>
      </c>
      <c r="B9349">
        <f t="shared" si="34"/>
        <v>408</v>
      </c>
      <c r="C9349">
        <v>3</v>
      </c>
      <c r="E9349">
        <v>409</v>
      </c>
    </row>
    <row r="9350" spans="1:5" x14ac:dyDescent="0.25">
      <c r="A9350">
        <v>6</v>
      </c>
      <c r="B9350">
        <f t="shared" si="34"/>
        <v>409</v>
      </c>
      <c r="C9350">
        <v>2</v>
      </c>
      <c r="E9350" s="1">
        <v>410</v>
      </c>
    </row>
    <row r="9351" spans="1:5" x14ac:dyDescent="0.25">
      <c r="A9351">
        <v>17</v>
      </c>
      <c r="B9351">
        <f t="shared" si="34"/>
        <v>409</v>
      </c>
      <c r="C9351">
        <v>4</v>
      </c>
      <c r="E9351">
        <v>410</v>
      </c>
    </row>
    <row r="9352" spans="1:5" x14ac:dyDescent="0.25">
      <c r="A9352">
        <v>40</v>
      </c>
      <c r="B9352">
        <f t="shared" si="34"/>
        <v>409</v>
      </c>
      <c r="C9352">
        <v>5</v>
      </c>
      <c r="E9352" s="1">
        <v>410</v>
      </c>
    </row>
    <row r="9353" spans="1:5" x14ac:dyDescent="0.25">
      <c r="A9353">
        <v>43</v>
      </c>
      <c r="B9353">
        <f t="shared" si="34"/>
        <v>409</v>
      </c>
      <c r="C9353">
        <v>3</v>
      </c>
      <c r="E9353">
        <v>410</v>
      </c>
    </row>
    <row r="9354" spans="1:5" x14ac:dyDescent="0.25">
      <c r="A9354">
        <v>56</v>
      </c>
      <c r="B9354">
        <f t="shared" si="34"/>
        <v>409</v>
      </c>
      <c r="C9354">
        <v>2</v>
      </c>
      <c r="E9354" s="1">
        <v>410</v>
      </c>
    </row>
    <row r="9355" spans="1:5" x14ac:dyDescent="0.25">
      <c r="A9355">
        <v>61</v>
      </c>
      <c r="B9355">
        <f t="shared" si="34"/>
        <v>409</v>
      </c>
      <c r="C9355">
        <v>3</v>
      </c>
      <c r="E9355">
        <v>410</v>
      </c>
    </row>
    <row r="9356" spans="1:5" x14ac:dyDescent="0.25">
      <c r="A9356">
        <v>76</v>
      </c>
      <c r="B9356">
        <f t="shared" si="34"/>
        <v>409</v>
      </c>
      <c r="C9356">
        <v>4</v>
      </c>
      <c r="E9356" s="1">
        <v>410</v>
      </c>
    </row>
    <row r="9357" spans="1:5" x14ac:dyDescent="0.25">
      <c r="A9357">
        <v>84</v>
      </c>
      <c r="B9357">
        <f t="shared" si="34"/>
        <v>409</v>
      </c>
      <c r="C9357">
        <v>1</v>
      </c>
      <c r="E9357">
        <v>410</v>
      </c>
    </row>
    <row r="9358" spans="1:5" x14ac:dyDescent="0.25">
      <c r="A9358">
        <v>110</v>
      </c>
      <c r="B9358">
        <f t="shared" ref="B9358:B9421" si="35">E9358-1</f>
        <v>409</v>
      </c>
      <c r="C9358">
        <v>1</v>
      </c>
      <c r="E9358" s="1">
        <v>410</v>
      </c>
    </row>
    <row r="9359" spans="1:5" x14ac:dyDescent="0.25">
      <c r="A9359">
        <v>124</v>
      </c>
      <c r="B9359">
        <f t="shared" si="35"/>
        <v>409</v>
      </c>
      <c r="C9359">
        <v>5</v>
      </c>
      <c r="E9359">
        <v>410</v>
      </c>
    </row>
    <row r="9360" spans="1:5" x14ac:dyDescent="0.25">
      <c r="A9360">
        <v>132</v>
      </c>
      <c r="B9360">
        <f t="shared" si="35"/>
        <v>409</v>
      </c>
      <c r="C9360">
        <v>5</v>
      </c>
      <c r="E9360" s="1">
        <v>410</v>
      </c>
    </row>
    <row r="9361" spans="1:5" x14ac:dyDescent="0.25">
      <c r="A9361">
        <v>161</v>
      </c>
      <c r="B9361">
        <f t="shared" si="35"/>
        <v>409</v>
      </c>
      <c r="C9361">
        <v>1</v>
      </c>
      <c r="E9361">
        <v>410</v>
      </c>
    </row>
    <row r="9362" spans="1:5" x14ac:dyDescent="0.25">
      <c r="A9362">
        <v>178</v>
      </c>
      <c r="B9362">
        <f t="shared" si="35"/>
        <v>409</v>
      </c>
      <c r="C9362">
        <v>4</v>
      </c>
      <c r="E9362" s="1">
        <v>410</v>
      </c>
    </row>
    <row r="9363" spans="1:5" x14ac:dyDescent="0.25">
      <c r="A9363">
        <v>199</v>
      </c>
      <c r="B9363">
        <f t="shared" si="35"/>
        <v>409</v>
      </c>
      <c r="C9363">
        <v>4</v>
      </c>
      <c r="E9363">
        <v>410</v>
      </c>
    </row>
    <row r="9364" spans="1:5" x14ac:dyDescent="0.25">
      <c r="A9364">
        <v>228</v>
      </c>
      <c r="B9364">
        <f t="shared" si="35"/>
        <v>409</v>
      </c>
      <c r="C9364">
        <v>3</v>
      </c>
      <c r="E9364" s="1">
        <v>410</v>
      </c>
    </row>
    <row r="9365" spans="1:5" x14ac:dyDescent="0.25">
      <c r="A9365">
        <v>242</v>
      </c>
      <c r="B9365">
        <f t="shared" si="35"/>
        <v>409</v>
      </c>
      <c r="C9365">
        <v>3</v>
      </c>
      <c r="E9365">
        <v>410</v>
      </c>
    </row>
    <row r="9366" spans="1:5" x14ac:dyDescent="0.25">
      <c r="A9366">
        <v>248</v>
      </c>
      <c r="B9366">
        <f t="shared" si="35"/>
        <v>409</v>
      </c>
      <c r="C9366">
        <v>3</v>
      </c>
      <c r="E9366" s="1">
        <v>410</v>
      </c>
    </row>
    <row r="9367" spans="1:5" x14ac:dyDescent="0.25">
      <c r="A9367">
        <v>250</v>
      </c>
      <c r="B9367">
        <f t="shared" si="35"/>
        <v>409</v>
      </c>
      <c r="C9367">
        <v>3</v>
      </c>
      <c r="E9367">
        <v>410</v>
      </c>
    </row>
    <row r="9368" spans="1:5" x14ac:dyDescent="0.25">
      <c r="A9368">
        <v>260</v>
      </c>
      <c r="B9368">
        <f t="shared" si="35"/>
        <v>409</v>
      </c>
      <c r="C9368">
        <v>3</v>
      </c>
      <c r="E9368" s="1">
        <v>410</v>
      </c>
    </row>
    <row r="9369" spans="1:5" x14ac:dyDescent="0.25">
      <c r="A9369">
        <v>284</v>
      </c>
      <c r="B9369">
        <f t="shared" si="35"/>
        <v>409</v>
      </c>
      <c r="C9369">
        <v>2</v>
      </c>
      <c r="E9369">
        <v>410</v>
      </c>
    </row>
    <row r="9370" spans="1:5" x14ac:dyDescent="0.25">
      <c r="A9370">
        <v>284</v>
      </c>
      <c r="B9370">
        <f t="shared" si="35"/>
        <v>409</v>
      </c>
      <c r="C9370">
        <v>1</v>
      </c>
      <c r="E9370" s="1">
        <v>410</v>
      </c>
    </row>
    <row r="9371" spans="1:5" x14ac:dyDescent="0.25">
      <c r="A9371">
        <v>21</v>
      </c>
      <c r="B9371">
        <f t="shared" si="35"/>
        <v>410</v>
      </c>
      <c r="C9371">
        <v>4</v>
      </c>
      <c r="E9371">
        <v>411</v>
      </c>
    </row>
    <row r="9372" spans="1:5" x14ac:dyDescent="0.25">
      <c r="A9372">
        <v>38</v>
      </c>
      <c r="B9372">
        <f t="shared" si="35"/>
        <v>410</v>
      </c>
      <c r="C9372">
        <v>5</v>
      </c>
      <c r="E9372" s="1">
        <v>411</v>
      </c>
    </row>
    <row r="9373" spans="1:5" x14ac:dyDescent="0.25">
      <c r="A9373">
        <v>76</v>
      </c>
      <c r="B9373">
        <f t="shared" si="35"/>
        <v>410</v>
      </c>
      <c r="C9373">
        <v>2</v>
      </c>
      <c r="E9373">
        <v>411</v>
      </c>
    </row>
    <row r="9374" spans="1:5" x14ac:dyDescent="0.25">
      <c r="A9374">
        <v>77</v>
      </c>
      <c r="B9374">
        <f t="shared" si="35"/>
        <v>410</v>
      </c>
      <c r="C9374">
        <v>3</v>
      </c>
      <c r="E9374" s="1">
        <v>411</v>
      </c>
    </row>
    <row r="9375" spans="1:5" x14ac:dyDescent="0.25">
      <c r="A9375">
        <v>87</v>
      </c>
      <c r="B9375">
        <f t="shared" si="35"/>
        <v>410</v>
      </c>
      <c r="C9375">
        <v>5</v>
      </c>
      <c r="E9375">
        <v>411</v>
      </c>
    </row>
    <row r="9376" spans="1:5" x14ac:dyDescent="0.25">
      <c r="A9376">
        <v>93</v>
      </c>
      <c r="B9376">
        <f t="shared" si="35"/>
        <v>410</v>
      </c>
      <c r="C9376">
        <v>1</v>
      </c>
      <c r="E9376" s="1">
        <v>411</v>
      </c>
    </row>
    <row r="9377" spans="1:5" x14ac:dyDescent="0.25">
      <c r="A9377">
        <v>93</v>
      </c>
      <c r="B9377">
        <f t="shared" si="35"/>
        <v>410</v>
      </c>
      <c r="C9377">
        <v>1</v>
      </c>
      <c r="E9377">
        <v>411</v>
      </c>
    </row>
    <row r="9378" spans="1:5" x14ac:dyDescent="0.25">
      <c r="A9378">
        <v>112</v>
      </c>
      <c r="B9378">
        <f t="shared" si="35"/>
        <v>410</v>
      </c>
      <c r="C9378">
        <v>2</v>
      </c>
      <c r="E9378" s="1">
        <v>411</v>
      </c>
    </row>
    <row r="9379" spans="1:5" x14ac:dyDescent="0.25">
      <c r="A9379">
        <v>125</v>
      </c>
      <c r="B9379">
        <f t="shared" si="35"/>
        <v>410</v>
      </c>
      <c r="C9379">
        <v>1</v>
      </c>
      <c r="E9379">
        <v>411</v>
      </c>
    </row>
    <row r="9380" spans="1:5" x14ac:dyDescent="0.25">
      <c r="A9380">
        <v>134</v>
      </c>
      <c r="B9380">
        <f t="shared" si="35"/>
        <v>410</v>
      </c>
      <c r="C9380">
        <v>5</v>
      </c>
      <c r="E9380" s="1">
        <v>411</v>
      </c>
    </row>
    <row r="9381" spans="1:5" x14ac:dyDescent="0.25">
      <c r="A9381">
        <v>136</v>
      </c>
      <c r="B9381">
        <f t="shared" si="35"/>
        <v>410</v>
      </c>
      <c r="C9381">
        <v>1</v>
      </c>
      <c r="E9381">
        <v>411</v>
      </c>
    </row>
    <row r="9382" spans="1:5" x14ac:dyDescent="0.25">
      <c r="A9382">
        <v>149</v>
      </c>
      <c r="B9382">
        <f t="shared" si="35"/>
        <v>410</v>
      </c>
      <c r="C9382">
        <v>2</v>
      </c>
      <c r="E9382" s="1">
        <v>411</v>
      </c>
    </row>
    <row r="9383" spans="1:5" x14ac:dyDescent="0.25">
      <c r="A9383">
        <v>150</v>
      </c>
      <c r="B9383">
        <f t="shared" si="35"/>
        <v>410</v>
      </c>
      <c r="C9383">
        <v>4</v>
      </c>
      <c r="E9383">
        <v>411</v>
      </c>
    </row>
    <row r="9384" spans="1:5" x14ac:dyDescent="0.25">
      <c r="A9384">
        <v>165</v>
      </c>
      <c r="B9384">
        <f t="shared" si="35"/>
        <v>410</v>
      </c>
      <c r="C9384">
        <v>5</v>
      </c>
      <c r="E9384" s="1">
        <v>411</v>
      </c>
    </row>
    <row r="9385" spans="1:5" x14ac:dyDescent="0.25">
      <c r="A9385">
        <v>178</v>
      </c>
      <c r="B9385">
        <f t="shared" si="35"/>
        <v>410</v>
      </c>
      <c r="C9385">
        <v>4</v>
      </c>
      <c r="E9385">
        <v>411</v>
      </c>
    </row>
    <row r="9386" spans="1:5" x14ac:dyDescent="0.25">
      <c r="A9386">
        <v>198</v>
      </c>
      <c r="B9386">
        <f t="shared" si="35"/>
        <v>410</v>
      </c>
      <c r="C9386">
        <v>2</v>
      </c>
      <c r="E9386" s="1">
        <v>411</v>
      </c>
    </row>
    <row r="9387" spans="1:5" x14ac:dyDescent="0.25">
      <c r="A9387">
        <v>268</v>
      </c>
      <c r="B9387">
        <f t="shared" si="35"/>
        <v>410</v>
      </c>
      <c r="C9387">
        <v>4</v>
      </c>
      <c r="E9387">
        <v>411</v>
      </c>
    </row>
    <row r="9388" spans="1:5" x14ac:dyDescent="0.25">
      <c r="A9388">
        <v>269</v>
      </c>
      <c r="B9388">
        <f t="shared" si="35"/>
        <v>410</v>
      </c>
      <c r="C9388">
        <v>3</v>
      </c>
      <c r="E9388" s="1">
        <v>411</v>
      </c>
    </row>
    <row r="9389" spans="1:5" x14ac:dyDescent="0.25">
      <c r="A9389">
        <v>284</v>
      </c>
      <c r="B9389">
        <f t="shared" si="35"/>
        <v>410</v>
      </c>
      <c r="C9389">
        <v>5</v>
      </c>
      <c r="E9389">
        <v>411</v>
      </c>
    </row>
    <row r="9390" spans="1:5" x14ac:dyDescent="0.25">
      <c r="A9390">
        <v>287</v>
      </c>
      <c r="B9390">
        <f t="shared" si="35"/>
        <v>410</v>
      </c>
      <c r="C9390">
        <v>3</v>
      </c>
      <c r="E9390" s="1">
        <v>411</v>
      </c>
    </row>
    <row r="9391" spans="1:5" x14ac:dyDescent="0.25">
      <c r="A9391">
        <v>18</v>
      </c>
      <c r="B9391">
        <f t="shared" si="35"/>
        <v>411</v>
      </c>
      <c r="C9391">
        <v>2</v>
      </c>
      <c r="E9391">
        <v>412</v>
      </c>
    </row>
    <row r="9392" spans="1:5" x14ac:dyDescent="0.25">
      <c r="A9392">
        <v>21</v>
      </c>
      <c r="B9392">
        <f t="shared" si="35"/>
        <v>411</v>
      </c>
      <c r="C9392">
        <v>5</v>
      </c>
      <c r="E9392" s="1">
        <v>412</v>
      </c>
    </row>
    <row r="9393" spans="1:5" x14ac:dyDescent="0.25">
      <c r="A9393">
        <v>82</v>
      </c>
      <c r="B9393">
        <f t="shared" si="35"/>
        <v>411</v>
      </c>
      <c r="C9393">
        <v>1</v>
      </c>
      <c r="E9393">
        <v>412</v>
      </c>
    </row>
    <row r="9394" spans="1:5" x14ac:dyDescent="0.25">
      <c r="A9394">
        <v>91</v>
      </c>
      <c r="B9394">
        <f t="shared" si="35"/>
        <v>411</v>
      </c>
      <c r="C9394">
        <v>4</v>
      </c>
      <c r="E9394" s="1">
        <v>412</v>
      </c>
    </row>
    <row r="9395" spans="1:5" x14ac:dyDescent="0.25">
      <c r="A9395">
        <v>115</v>
      </c>
      <c r="B9395">
        <f t="shared" si="35"/>
        <v>411</v>
      </c>
      <c r="C9395">
        <v>4</v>
      </c>
      <c r="E9395">
        <v>412</v>
      </c>
    </row>
    <row r="9396" spans="1:5" x14ac:dyDescent="0.25">
      <c r="A9396">
        <v>118</v>
      </c>
      <c r="B9396">
        <f t="shared" si="35"/>
        <v>411</v>
      </c>
      <c r="C9396">
        <v>4</v>
      </c>
      <c r="E9396" s="1">
        <v>412</v>
      </c>
    </row>
    <row r="9397" spans="1:5" x14ac:dyDescent="0.25">
      <c r="A9397">
        <v>136</v>
      </c>
      <c r="B9397">
        <f t="shared" si="35"/>
        <v>411</v>
      </c>
      <c r="C9397">
        <v>5</v>
      </c>
      <c r="E9397">
        <v>412</v>
      </c>
    </row>
    <row r="9398" spans="1:5" x14ac:dyDescent="0.25">
      <c r="A9398">
        <v>139</v>
      </c>
      <c r="B9398">
        <f t="shared" si="35"/>
        <v>411</v>
      </c>
      <c r="C9398">
        <v>3</v>
      </c>
      <c r="E9398" s="1">
        <v>412</v>
      </c>
    </row>
    <row r="9399" spans="1:5" x14ac:dyDescent="0.25">
      <c r="A9399">
        <v>147</v>
      </c>
      <c r="B9399">
        <f t="shared" si="35"/>
        <v>411</v>
      </c>
      <c r="C9399">
        <v>4</v>
      </c>
      <c r="E9399">
        <v>412</v>
      </c>
    </row>
    <row r="9400" spans="1:5" x14ac:dyDescent="0.25">
      <c r="A9400">
        <v>157</v>
      </c>
      <c r="B9400">
        <f t="shared" si="35"/>
        <v>411</v>
      </c>
      <c r="C9400">
        <v>1</v>
      </c>
      <c r="E9400" s="1">
        <v>412</v>
      </c>
    </row>
    <row r="9401" spans="1:5" x14ac:dyDescent="0.25">
      <c r="A9401">
        <v>191</v>
      </c>
      <c r="B9401">
        <f t="shared" si="35"/>
        <v>411</v>
      </c>
      <c r="C9401">
        <v>3</v>
      </c>
      <c r="E9401">
        <v>412</v>
      </c>
    </row>
    <row r="9402" spans="1:5" x14ac:dyDescent="0.25">
      <c r="A9402">
        <v>221</v>
      </c>
      <c r="B9402">
        <f t="shared" si="35"/>
        <v>411</v>
      </c>
      <c r="C9402">
        <v>4</v>
      </c>
      <c r="E9402" s="1">
        <v>412</v>
      </c>
    </row>
    <row r="9403" spans="1:5" x14ac:dyDescent="0.25">
      <c r="A9403">
        <v>226</v>
      </c>
      <c r="B9403">
        <f t="shared" si="35"/>
        <v>411</v>
      </c>
      <c r="C9403">
        <v>5</v>
      </c>
      <c r="E9403">
        <v>412</v>
      </c>
    </row>
    <row r="9404" spans="1:5" x14ac:dyDescent="0.25">
      <c r="A9404">
        <v>227</v>
      </c>
      <c r="B9404">
        <f t="shared" si="35"/>
        <v>411</v>
      </c>
      <c r="C9404">
        <v>4</v>
      </c>
      <c r="E9404" s="1">
        <v>412</v>
      </c>
    </row>
    <row r="9405" spans="1:5" x14ac:dyDescent="0.25">
      <c r="A9405">
        <v>262</v>
      </c>
      <c r="B9405">
        <f t="shared" si="35"/>
        <v>411</v>
      </c>
      <c r="C9405">
        <v>1</v>
      </c>
      <c r="E9405">
        <v>412</v>
      </c>
    </row>
    <row r="9406" spans="1:5" x14ac:dyDescent="0.25">
      <c r="A9406">
        <v>2</v>
      </c>
      <c r="B9406">
        <f t="shared" si="35"/>
        <v>412</v>
      </c>
      <c r="C9406">
        <v>3</v>
      </c>
      <c r="E9406" s="1">
        <v>413</v>
      </c>
    </row>
    <row r="9407" spans="1:5" x14ac:dyDescent="0.25">
      <c r="A9407">
        <v>16</v>
      </c>
      <c r="B9407">
        <f t="shared" si="35"/>
        <v>412</v>
      </c>
      <c r="C9407">
        <v>4</v>
      </c>
      <c r="E9407">
        <v>413</v>
      </c>
    </row>
    <row r="9408" spans="1:5" x14ac:dyDescent="0.25">
      <c r="A9408">
        <v>18</v>
      </c>
      <c r="B9408">
        <f t="shared" si="35"/>
        <v>412</v>
      </c>
      <c r="C9408">
        <v>2</v>
      </c>
      <c r="E9408" s="1">
        <v>413</v>
      </c>
    </row>
    <row r="9409" spans="1:5" x14ac:dyDescent="0.25">
      <c r="A9409">
        <v>21</v>
      </c>
      <c r="B9409">
        <f t="shared" si="35"/>
        <v>412</v>
      </c>
      <c r="C9409">
        <v>5</v>
      </c>
      <c r="E9409">
        <v>413</v>
      </c>
    </row>
    <row r="9410" spans="1:5" x14ac:dyDescent="0.25">
      <c r="A9410">
        <v>37</v>
      </c>
      <c r="B9410">
        <f t="shared" si="35"/>
        <v>412</v>
      </c>
      <c r="C9410">
        <v>3</v>
      </c>
      <c r="E9410" s="1">
        <v>413</v>
      </c>
    </row>
    <row r="9411" spans="1:5" x14ac:dyDescent="0.25">
      <c r="A9411">
        <v>57</v>
      </c>
      <c r="B9411">
        <f t="shared" si="35"/>
        <v>412</v>
      </c>
      <c r="C9411">
        <v>3</v>
      </c>
      <c r="E9411">
        <v>413</v>
      </c>
    </row>
    <row r="9412" spans="1:5" x14ac:dyDescent="0.25">
      <c r="A9412">
        <v>57</v>
      </c>
      <c r="B9412">
        <f t="shared" si="35"/>
        <v>412</v>
      </c>
      <c r="C9412">
        <v>3</v>
      </c>
      <c r="E9412" s="1">
        <v>413</v>
      </c>
    </row>
    <row r="9413" spans="1:5" x14ac:dyDescent="0.25">
      <c r="A9413">
        <v>70</v>
      </c>
      <c r="B9413">
        <f t="shared" si="35"/>
        <v>412</v>
      </c>
      <c r="C9413">
        <v>5</v>
      </c>
      <c r="E9413">
        <v>413</v>
      </c>
    </row>
    <row r="9414" spans="1:5" x14ac:dyDescent="0.25">
      <c r="A9414">
        <v>94</v>
      </c>
      <c r="B9414">
        <f t="shared" si="35"/>
        <v>412</v>
      </c>
      <c r="C9414">
        <v>2</v>
      </c>
      <c r="E9414" s="1">
        <v>413</v>
      </c>
    </row>
    <row r="9415" spans="1:5" x14ac:dyDescent="0.25">
      <c r="A9415">
        <v>100</v>
      </c>
      <c r="B9415">
        <f t="shared" si="35"/>
        <v>412</v>
      </c>
      <c r="C9415">
        <v>2</v>
      </c>
      <c r="E9415">
        <v>413</v>
      </c>
    </row>
    <row r="9416" spans="1:5" x14ac:dyDescent="0.25">
      <c r="A9416">
        <v>115</v>
      </c>
      <c r="B9416">
        <f t="shared" si="35"/>
        <v>412</v>
      </c>
      <c r="C9416">
        <v>3</v>
      </c>
      <c r="E9416" s="1">
        <v>413</v>
      </c>
    </row>
    <row r="9417" spans="1:5" x14ac:dyDescent="0.25">
      <c r="A9417">
        <v>117</v>
      </c>
      <c r="B9417">
        <f t="shared" si="35"/>
        <v>412</v>
      </c>
      <c r="C9417">
        <v>5</v>
      </c>
      <c r="E9417">
        <v>413</v>
      </c>
    </row>
    <row r="9418" spans="1:5" x14ac:dyDescent="0.25">
      <c r="A9418">
        <v>118</v>
      </c>
      <c r="B9418">
        <f t="shared" si="35"/>
        <v>412</v>
      </c>
      <c r="C9418">
        <v>2</v>
      </c>
      <c r="E9418" s="1">
        <v>413</v>
      </c>
    </row>
    <row r="9419" spans="1:5" x14ac:dyDescent="0.25">
      <c r="A9419">
        <v>124</v>
      </c>
      <c r="B9419">
        <f t="shared" si="35"/>
        <v>412</v>
      </c>
      <c r="C9419">
        <v>3</v>
      </c>
      <c r="E9419">
        <v>413</v>
      </c>
    </row>
    <row r="9420" spans="1:5" x14ac:dyDescent="0.25">
      <c r="A9420">
        <v>127</v>
      </c>
      <c r="B9420">
        <f t="shared" si="35"/>
        <v>412</v>
      </c>
      <c r="C9420">
        <v>4</v>
      </c>
      <c r="E9420" s="1">
        <v>413</v>
      </c>
    </row>
    <row r="9421" spans="1:5" x14ac:dyDescent="0.25">
      <c r="A9421">
        <v>145</v>
      </c>
      <c r="B9421">
        <f t="shared" si="35"/>
        <v>412</v>
      </c>
      <c r="C9421">
        <v>3</v>
      </c>
      <c r="E9421">
        <v>413</v>
      </c>
    </row>
    <row r="9422" spans="1:5" x14ac:dyDescent="0.25">
      <c r="A9422">
        <v>186</v>
      </c>
      <c r="B9422">
        <f t="shared" ref="B9422:B9485" si="36">E9422-1</f>
        <v>412</v>
      </c>
      <c r="C9422">
        <v>4</v>
      </c>
      <c r="E9422" s="1">
        <v>413</v>
      </c>
    </row>
    <row r="9423" spans="1:5" x14ac:dyDescent="0.25">
      <c r="A9423">
        <v>186</v>
      </c>
      <c r="B9423">
        <f t="shared" si="36"/>
        <v>412</v>
      </c>
      <c r="C9423">
        <v>1</v>
      </c>
      <c r="E9423">
        <v>413</v>
      </c>
    </row>
    <row r="9424" spans="1:5" x14ac:dyDescent="0.25">
      <c r="A9424">
        <v>208</v>
      </c>
      <c r="B9424">
        <f t="shared" si="36"/>
        <v>412</v>
      </c>
      <c r="C9424">
        <v>1</v>
      </c>
      <c r="E9424" s="1">
        <v>413</v>
      </c>
    </row>
    <row r="9425" spans="1:5" x14ac:dyDescent="0.25">
      <c r="A9425">
        <v>215</v>
      </c>
      <c r="B9425">
        <f t="shared" si="36"/>
        <v>412</v>
      </c>
      <c r="C9425">
        <v>2</v>
      </c>
      <c r="E9425">
        <v>413</v>
      </c>
    </row>
    <row r="9426" spans="1:5" x14ac:dyDescent="0.25">
      <c r="A9426">
        <v>216</v>
      </c>
      <c r="B9426">
        <f t="shared" si="36"/>
        <v>412</v>
      </c>
      <c r="C9426">
        <v>4</v>
      </c>
      <c r="E9426" s="1">
        <v>413</v>
      </c>
    </row>
    <row r="9427" spans="1:5" x14ac:dyDescent="0.25">
      <c r="A9427">
        <v>236</v>
      </c>
      <c r="B9427">
        <f t="shared" si="36"/>
        <v>412</v>
      </c>
      <c r="C9427">
        <v>1</v>
      </c>
      <c r="E9427">
        <v>413</v>
      </c>
    </row>
    <row r="9428" spans="1:5" x14ac:dyDescent="0.25">
      <c r="A9428">
        <v>245</v>
      </c>
      <c r="B9428">
        <f t="shared" si="36"/>
        <v>412</v>
      </c>
      <c r="C9428">
        <v>3</v>
      </c>
      <c r="E9428" s="1">
        <v>413</v>
      </c>
    </row>
    <row r="9429" spans="1:5" x14ac:dyDescent="0.25">
      <c r="A9429">
        <v>248</v>
      </c>
      <c r="B9429">
        <f t="shared" si="36"/>
        <v>412</v>
      </c>
      <c r="C9429">
        <v>5</v>
      </c>
      <c r="E9429">
        <v>413</v>
      </c>
    </row>
    <row r="9430" spans="1:5" x14ac:dyDescent="0.25">
      <c r="A9430">
        <v>273</v>
      </c>
      <c r="B9430">
        <f t="shared" si="36"/>
        <v>412</v>
      </c>
      <c r="C9430">
        <v>5</v>
      </c>
      <c r="E9430" s="1">
        <v>413</v>
      </c>
    </row>
    <row r="9431" spans="1:5" x14ac:dyDescent="0.25">
      <c r="A9431">
        <v>278</v>
      </c>
      <c r="B9431">
        <f t="shared" si="36"/>
        <v>412</v>
      </c>
      <c r="C9431">
        <v>4</v>
      </c>
      <c r="E9431">
        <v>413</v>
      </c>
    </row>
    <row r="9432" spans="1:5" x14ac:dyDescent="0.25">
      <c r="A9432">
        <v>289</v>
      </c>
      <c r="B9432">
        <f t="shared" si="36"/>
        <v>412</v>
      </c>
      <c r="C9432">
        <v>1</v>
      </c>
      <c r="E9432" s="1">
        <v>413</v>
      </c>
    </row>
    <row r="9433" spans="1:5" x14ac:dyDescent="0.25">
      <c r="A9433">
        <v>289</v>
      </c>
      <c r="B9433">
        <f t="shared" si="36"/>
        <v>412</v>
      </c>
      <c r="C9433">
        <v>1</v>
      </c>
      <c r="E9433">
        <v>413</v>
      </c>
    </row>
    <row r="9434" spans="1:5" x14ac:dyDescent="0.25">
      <c r="A9434">
        <v>16</v>
      </c>
      <c r="B9434">
        <f t="shared" si="36"/>
        <v>413</v>
      </c>
      <c r="C9434">
        <v>5</v>
      </c>
      <c r="E9434" s="1">
        <v>414</v>
      </c>
    </row>
    <row r="9435" spans="1:5" x14ac:dyDescent="0.25">
      <c r="A9435">
        <v>17</v>
      </c>
      <c r="B9435">
        <f t="shared" si="36"/>
        <v>413</v>
      </c>
      <c r="C9435">
        <v>4</v>
      </c>
      <c r="E9435">
        <v>414</v>
      </c>
    </row>
    <row r="9436" spans="1:5" x14ac:dyDescent="0.25">
      <c r="A9436">
        <v>36</v>
      </c>
      <c r="B9436">
        <f t="shared" si="36"/>
        <v>413</v>
      </c>
      <c r="C9436">
        <v>4</v>
      </c>
      <c r="E9436" s="1">
        <v>414</v>
      </c>
    </row>
    <row r="9437" spans="1:5" x14ac:dyDescent="0.25">
      <c r="A9437">
        <v>46</v>
      </c>
      <c r="B9437">
        <f t="shared" si="36"/>
        <v>413</v>
      </c>
      <c r="C9437">
        <v>5</v>
      </c>
      <c r="E9437">
        <v>414</v>
      </c>
    </row>
    <row r="9438" spans="1:5" x14ac:dyDescent="0.25">
      <c r="A9438">
        <v>74</v>
      </c>
      <c r="B9438">
        <f t="shared" si="36"/>
        <v>413</v>
      </c>
      <c r="C9438">
        <v>4</v>
      </c>
      <c r="E9438" s="1">
        <v>414</v>
      </c>
    </row>
    <row r="9439" spans="1:5" x14ac:dyDescent="0.25">
      <c r="A9439">
        <v>105</v>
      </c>
      <c r="B9439">
        <f t="shared" si="36"/>
        <v>413</v>
      </c>
      <c r="C9439">
        <v>3</v>
      </c>
      <c r="E9439">
        <v>414</v>
      </c>
    </row>
    <row r="9440" spans="1:5" x14ac:dyDescent="0.25">
      <c r="A9440">
        <v>114</v>
      </c>
      <c r="B9440">
        <f t="shared" si="36"/>
        <v>413</v>
      </c>
      <c r="C9440">
        <v>1</v>
      </c>
      <c r="E9440" s="1">
        <v>414</v>
      </c>
    </row>
    <row r="9441" spans="1:5" x14ac:dyDescent="0.25">
      <c r="A9441">
        <v>118</v>
      </c>
      <c r="B9441">
        <f t="shared" si="36"/>
        <v>413</v>
      </c>
      <c r="C9441">
        <v>2</v>
      </c>
      <c r="E9441">
        <v>414</v>
      </c>
    </row>
    <row r="9442" spans="1:5" x14ac:dyDescent="0.25">
      <c r="A9442">
        <v>149</v>
      </c>
      <c r="B9442">
        <f t="shared" si="36"/>
        <v>413</v>
      </c>
      <c r="C9442">
        <v>1</v>
      </c>
      <c r="E9442" s="1">
        <v>414</v>
      </c>
    </row>
    <row r="9443" spans="1:5" x14ac:dyDescent="0.25">
      <c r="A9443">
        <v>158</v>
      </c>
      <c r="B9443">
        <f t="shared" si="36"/>
        <v>413</v>
      </c>
      <c r="C9443">
        <v>3</v>
      </c>
      <c r="E9443">
        <v>414</v>
      </c>
    </row>
    <row r="9444" spans="1:5" x14ac:dyDescent="0.25">
      <c r="A9444">
        <v>182</v>
      </c>
      <c r="B9444">
        <f t="shared" si="36"/>
        <v>413</v>
      </c>
      <c r="C9444">
        <v>1</v>
      </c>
      <c r="E9444" s="1">
        <v>414</v>
      </c>
    </row>
    <row r="9445" spans="1:5" x14ac:dyDescent="0.25">
      <c r="A9445">
        <v>209</v>
      </c>
      <c r="B9445">
        <f t="shared" si="36"/>
        <v>413</v>
      </c>
      <c r="C9445">
        <v>1</v>
      </c>
      <c r="E9445">
        <v>414</v>
      </c>
    </row>
    <row r="9446" spans="1:5" x14ac:dyDescent="0.25">
      <c r="A9446">
        <v>216</v>
      </c>
      <c r="B9446">
        <f t="shared" si="36"/>
        <v>413</v>
      </c>
      <c r="C9446">
        <v>1</v>
      </c>
      <c r="E9446" s="1">
        <v>414</v>
      </c>
    </row>
    <row r="9447" spans="1:5" x14ac:dyDescent="0.25">
      <c r="A9447">
        <v>219</v>
      </c>
      <c r="B9447">
        <f t="shared" si="36"/>
        <v>413</v>
      </c>
      <c r="C9447">
        <v>3</v>
      </c>
      <c r="E9447">
        <v>414</v>
      </c>
    </row>
    <row r="9448" spans="1:5" x14ac:dyDescent="0.25">
      <c r="A9448">
        <v>224</v>
      </c>
      <c r="B9448">
        <f t="shared" si="36"/>
        <v>413</v>
      </c>
      <c r="C9448">
        <v>3</v>
      </c>
      <c r="E9448" s="1">
        <v>414</v>
      </c>
    </row>
    <row r="9449" spans="1:5" x14ac:dyDescent="0.25">
      <c r="A9449">
        <v>253</v>
      </c>
      <c r="B9449">
        <f t="shared" si="36"/>
        <v>413</v>
      </c>
      <c r="C9449">
        <v>2</v>
      </c>
      <c r="E9449">
        <v>414</v>
      </c>
    </row>
    <row r="9450" spans="1:5" x14ac:dyDescent="0.25">
      <c r="A9450">
        <v>272</v>
      </c>
      <c r="B9450">
        <f t="shared" si="36"/>
        <v>413</v>
      </c>
      <c r="C9450">
        <v>2</v>
      </c>
      <c r="E9450" s="1">
        <v>414</v>
      </c>
    </row>
    <row r="9451" spans="1:5" x14ac:dyDescent="0.25">
      <c r="A9451">
        <v>272</v>
      </c>
      <c r="B9451">
        <f t="shared" si="36"/>
        <v>413</v>
      </c>
      <c r="C9451">
        <v>5</v>
      </c>
      <c r="E9451">
        <v>414</v>
      </c>
    </row>
    <row r="9452" spans="1:5" x14ac:dyDescent="0.25">
      <c r="A9452">
        <v>274</v>
      </c>
      <c r="B9452">
        <f t="shared" si="36"/>
        <v>413</v>
      </c>
      <c r="C9452">
        <v>4</v>
      </c>
      <c r="E9452" s="1">
        <v>414</v>
      </c>
    </row>
    <row r="9453" spans="1:5" x14ac:dyDescent="0.25">
      <c r="A9453">
        <v>281</v>
      </c>
      <c r="B9453">
        <f t="shared" si="36"/>
        <v>413</v>
      </c>
      <c r="C9453">
        <v>1</v>
      </c>
      <c r="E9453">
        <v>414</v>
      </c>
    </row>
    <row r="9454" spans="1:5" x14ac:dyDescent="0.25">
      <c r="A9454">
        <v>282</v>
      </c>
      <c r="B9454">
        <f t="shared" si="36"/>
        <v>413</v>
      </c>
      <c r="C9454">
        <v>4</v>
      </c>
      <c r="E9454" s="1">
        <v>414</v>
      </c>
    </row>
    <row r="9455" spans="1:5" x14ac:dyDescent="0.25">
      <c r="A9455">
        <v>43</v>
      </c>
      <c r="B9455">
        <f t="shared" si="36"/>
        <v>414</v>
      </c>
      <c r="C9455">
        <v>2</v>
      </c>
      <c r="E9455">
        <v>415</v>
      </c>
    </row>
    <row r="9456" spans="1:5" x14ac:dyDescent="0.25">
      <c r="A9456">
        <v>54</v>
      </c>
      <c r="B9456">
        <f t="shared" si="36"/>
        <v>414</v>
      </c>
      <c r="C9456">
        <v>3</v>
      </c>
      <c r="E9456" s="1">
        <v>415</v>
      </c>
    </row>
    <row r="9457" spans="1:5" x14ac:dyDescent="0.25">
      <c r="A9457">
        <v>83</v>
      </c>
      <c r="B9457">
        <f t="shared" si="36"/>
        <v>414</v>
      </c>
      <c r="C9457">
        <v>1</v>
      </c>
      <c r="E9457">
        <v>415</v>
      </c>
    </row>
    <row r="9458" spans="1:5" x14ac:dyDescent="0.25">
      <c r="A9458">
        <v>94</v>
      </c>
      <c r="B9458">
        <f t="shared" si="36"/>
        <v>414</v>
      </c>
      <c r="C9458">
        <v>1</v>
      </c>
      <c r="E9458" s="1">
        <v>415</v>
      </c>
    </row>
    <row r="9459" spans="1:5" x14ac:dyDescent="0.25">
      <c r="A9459">
        <v>99</v>
      </c>
      <c r="B9459">
        <f t="shared" si="36"/>
        <v>414</v>
      </c>
      <c r="C9459">
        <v>4</v>
      </c>
      <c r="E9459">
        <v>415</v>
      </c>
    </row>
    <row r="9460" spans="1:5" x14ac:dyDescent="0.25">
      <c r="A9460">
        <v>100</v>
      </c>
      <c r="B9460">
        <f t="shared" si="36"/>
        <v>414</v>
      </c>
      <c r="C9460">
        <v>1</v>
      </c>
      <c r="E9460" s="1">
        <v>415</v>
      </c>
    </row>
    <row r="9461" spans="1:5" x14ac:dyDescent="0.25">
      <c r="A9461">
        <v>114</v>
      </c>
      <c r="B9461">
        <f t="shared" si="36"/>
        <v>414</v>
      </c>
      <c r="C9461">
        <v>2</v>
      </c>
      <c r="E9461">
        <v>415</v>
      </c>
    </row>
    <row r="9462" spans="1:5" x14ac:dyDescent="0.25">
      <c r="A9462">
        <v>122</v>
      </c>
      <c r="B9462">
        <f t="shared" si="36"/>
        <v>414</v>
      </c>
      <c r="C9462">
        <v>1</v>
      </c>
      <c r="E9462" s="1">
        <v>415</v>
      </c>
    </row>
    <row r="9463" spans="1:5" x14ac:dyDescent="0.25">
      <c r="A9463">
        <v>164</v>
      </c>
      <c r="B9463">
        <f t="shared" si="36"/>
        <v>414</v>
      </c>
      <c r="C9463">
        <v>1</v>
      </c>
      <c r="E9463">
        <v>415</v>
      </c>
    </row>
    <row r="9464" spans="1:5" x14ac:dyDescent="0.25">
      <c r="A9464">
        <v>171</v>
      </c>
      <c r="B9464">
        <f t="shared" si="36"/>
        <v>414</v>
      </c>
      <c r="C9464">
        <v>2</v>
      </c>
      <c r="E9464" s="1">
        <v>415</v>
      </c>
    </row>
    <row r="9465" spans="1:5" x14ac:dyDescent="0.25">
      <c r="A9465">
        <v>180</v>
      </c>
      <c r="B9465">
        <f t="shared" si="36"/>
        <v>414</v>
      </c>
      <c r="C9465">
        <v>1</v>
      </c>
      <c r="E9465">
        <v>415</v>
      </c>
    </row>
    <row r="9466" spans="1:5" x14ac:dyDescent="0.25">
      <c r="A9466">
        <v>202</v>
      </c>
      <c r="B9466">
        <f t="shared" si="36"/>
        <v>414</v>
      </c>
      <c r="C9466">
        <v>2</v>
      </c>
      <c r="E9466" s="1">
        <v>415</v>
      </c>
    </row>
    <row r="9467" spans="1:5" x14ac:dyDescent="0.25">
      <c r="A9467">
        <v>227</v>
      </c>
      <c r="B9467">
        <f t="shared" si="36"/>
        <v>414</v>
      </c>
      <c r="C9467">
        <v>4</v>
      </c>
      <c r="E9467">
        <v>415</v>
      </c>
    </row>
    <row r="9468" spans="1:5" x14ac:dyDescent="0.25">
      <c r="A9468">
        <v>229</v>
      </c>
      <c r="B9468">
        <f t="shared" si="36"/>
        <v>414</v>
      </c>
      <c r="C9468">
        <v>3</v>
      </c>
      <c r="E9468" s="1">
        <v>415</v>
      </c>
    </row>
    <row r="9469" spans="1:5" x14ac:dyDescent="0.25">
      <c r="A9469">
        <v>239</v>
      </c>
      <c r="B9469">
        <f t="shared" si="36"/>
        <v>414</v>
      </c>
      <c r="C9469">
        <v>2</v>
      </c>
      <c r="E9469">
        <v>415</v>
      </c>
    </row>
    <row r="9470" spans="1:5" x14ac:dyDescent="0.25">
      <c r="A9470">
        <v>267</v>
      </c>
      <c r="B9470">
        <f t="shared" si="36"/>
        <v>414</v>
      </c>
      <c r="C9470">
        <v>5</v>
      </c>
      <c r="E9470" s="1">
        <v>415</v>
      </c>
    </row>
    <row r="9471" spans="1:5" x14ac:dyDescent="0.25">
      <c r="A9471">
        <v>274</v>
      </c>
      <c r="B9471">
        <f t="shared" si="36"/>
        <v>414</v>
      </c>
      <c r="C9471">
        <v>4</v>
      </c>
      <c r="E9471">
        <v>415</v>
      </c>
    </row>
    <row r="9472" spans="1:5" x14ac:dyDescent="0.25">
      <c r="A9472">
        <v>9</v>
      </c>
      <c r="B9472">
        <f t="shared" si="36"/>
        <v>415</v>
      </c>
      <c r="C9472">
        <v>4</v>
      </c>
      <c r="E9472" s="1">
        <v>416</v>
      </c>
    </row>
    <row r="9473" spans="1:5" x14ac:dyDescent="0.25">
      <c r="A9473">
        <v>25</v>
      </c>
      <c r="B9473">
        <f t="shared" si="36"/>
        <v>415</v>
      </c>
      <c r="C9473">
        <v>5</v>
      </c>
      <c r="E9473">
        <v>416</v>
      </c>
    </row>
    <row r="9474" spans="1:5" x14ac:dyDescent="0.25">
      <c r="A9474">
        <v>28</v>
      </c>
      <c r="B9474">
        <f t="shared" si="36"/>
        <v>415</v>
      </c>
      <c r="C9474">
        <v>4</v>
      </c>
      <c r="E9474" s="1">
        <v>416</v>
      </c>
    </row>
    <row r="9475" spans="1:5" x14ac:dyDescent="0.25">
      <c r="A9475">
        <v>33</v>
      </c>
      <c r="B9475">
        <f t="shared" si="36"/>
        <v>415</v>
      </c>
      <c r="C9475">
        <v>3</v>
      </c>
      <c r="E9475">
        <v>416</v>
      </c>
    </row>
    <row r="9476" spans="1:5" x14ac:dyDescent="0.25">
      <c r="A9476">
        <v>33</v>
      </c>
      <c r="B9476">
        <f t="shared" si="36"/>
        <v>415</v>
      </c>
      <c r="C9476">
        <v>5</v>
      </c>
      <c r="E9476" s="1">
        <v>416</v>
      </c>
    </row>
    <row r="9477" spans="1:5" x14ac:dyDescent="0.25">
      <c r="A9477">
        <v>33</v>
      </c>
      <c r="B9477">
        <f t="shared" si="36"/>
        <v>415</v>
      </c>
      <c r="C9477">
        <v>5</v>
      </c>
      <c r="E9477">
        <v>416</v>
      </c>
    </row>
    <row r="9478" spans="1:5" x14ac:dyDescent="0.25">
      <c r="A9478">
        <v>45</v>
      </c>
      <c r="B9478">
        <f t="shared" si="36"/>
        <v>415</v>
      </c>
      <c r="C9478">
        <v>4</v>
      </c>
      <c r="E9478" s="1">
        <v>416</v>
      </c>
    </row>
    <row r="9479" spans="1:5" x14ac:dyDescent="0.25">
      <c r="A9479">
        <v>53</v>
      </c>
      <c r="B9479">
        <f t="shared" si="36"/>
        <v>415</v>
      </c>
      <c r="C9479">
        <v>5</v>
      </c>
      <c r="E9479">
        <v>416</v>
      </c>
    </row>
    <row r="9480" spans="1:5" x14ac:dyDescent="0.25">
      <c r="A9480">
        <v>54</v>
      </c>
      <c r="B9480">
        <f t="shared" si="36"/>
        <v>415</v>
      </c>
      <c r="C9480">
        <v>5</v>
      </c>
      <c r="E9480" s="1">
        <v>416</v>
      </c>
    </row>
    <row r="9481" spans="1:5" x14ac:dyDescent="0.25">
      <c r="A9481">
        <v>67</v>
      </c>
      <c r="B9481">
        <f t="shared" si="36"/>
        <v>415</v>
      </c>
      <c r="C9481">
        <v>5</v>
      </c>
      <c r="E9481">
        <v>416</v>
      </c>
    </row>
    <row r="9482" spans="1:5" x14ac:dyDescent="0.25">
      <c r="A9482">
        <v>78</v>
      </c>
      <c r="B9482">
        <f t="shared" si="36"/>
        <v>415</v>
      </c>
      <c r="C9482">
        <v>3</v>
      </c>
      <c r="E9482" s="1">
        <v>416</v>
      </c>
    </row>
    <row r="9483" spans="1:5" x14ac:dyDescent="0.25">
      <c r="A9483">
        <v>79</v>
      </c>
      <c r="B9483">
        <f t="shared" si="36"/>
        <v>415</v>
      </c>
      <c r="C9483">
        <v>1</v>
      </c>
      <c r="E9483">
        <v>416</v>
      </c>
    </row>
    <row r="9484" spans="1:5" x14ac:dyDescent="0.25">
      <c r="A9484">
        <v>94</v>
      </c>
      <c r="B9484">
        <f t="shared" si="36"/>
        <v>415</v>
      </c>
      <c r="C9484">
        <v>5</v>
      </c>
      <c r="E9484" s="1">
        <v>416</v>
      </c>
    </row>
    <row r="9485" spans="1:5" x14ac:dyDescent="0.25">
      <c r="A9485">
        <v>96</v>
      </c>
      <c r="B9485">
        <f t="shared" si="36"/>
        <v>415</v>
      </c>
      <c r="C9485">
        <v>5</v>
      </c>
      <c r="E9485">
        <v>416</v>
      </c>
    </row>
    <row r="9486" spans="1:5" x14ac:dyDescent="0.25">
      <c r="A9486">
        <v>108</v>
      </c>
      <c r="B9486">
        <f t="shared" ref="B9486:B9549" si="37">E9486-1</f>
        <v>415</v>
      </c>
      <c r="C9486">
        <v>5</v>
      </c>
      <c r="E9486" s="1">
        <v>416</v>
      </c>
    </row>
    <row r="9487" spans="1:5" x14ac:dyDescent="0.25">
      <c r="A9487">
        <v>145</v>
      </c>
      <c r="B9487">
        <f t="shared" si="37"/>
        <v>415</v>
      </c>
      <c r="C9487">
        <v>5</v>
      </c>
      <c r="E9487">
        <v>416</v>
      </c>
    </row>
    <row r="9488" spans="1:5" x14ac:dyDescent="0.25">
      <c r="A9488">
        <v>157</v>
      </c>
      <c r="B9488">
        <f t="shared" si="37"/>
        <v>415</v>
      </c>
      <c r="C9488">
        <v>5</v>
      </c>
      <c r="E9488" s="1">
        <v>416</v>
      </c>
    </row>
    <row r="9489" spans="1:5" x14ac:dyDescent="0.25">
      <c r="A9489">
        <v>178</v>
      </c>
      <c r="B9489">
        <f t="shared" si="37"/>
        <v>415</v>
      </c>
      <c r="C9489">
        <v>5</v>
      </c>
      <c r="E9489">
        <v>416</v>
      </c>
    </row>
    <row r="9490" spans="1:5" x14ac:dyDescent="0.25">
      <c r="A9490">
        <v>206</v>
      </c>
      <c r="B9490">
        <f t="shared" si="37"/>
        <v>415</v>
      </c>
      <c r="C9490">
        <v>2</v>
      </c>
      <c r="E9490" s="1">
        <v>416</v>
      </c>
    </row>
    <row r="9491" spans="1:5" x14ac:dyDescent="0.25">
      <c r="A9491">
        <v>214</v>
      </c>
      <c r="B9491">
        <f t="shared" si="37"/>
        <v>415</v>
      </c>
      <c r="C9491">
        <v>3</v>
      </c>
      <c r="E9491">
        <v>416</v>
      </c>
    </row>
    <row r="9492" spans="1:5" x14ac:dyDescent="0.25">
      <c r="A9492">
        <v>220</v>
      </c>
      <c r="B9492">
        <f t="shared" si="37"/>
        <v>415</v>
      </c>
      <c r="C9492">
        <v>1</v>
      </c>
      <c r="E9492" s="1">
        <v>416</v>
      </c>
    </row>
    <row r="9493" spans="1:5" x14ac:dyDescent="0.25">
      <c r="A9493">
        <v>225</v>
      </c>
      <c r="B9493">
        <f t="shared" si="37"/>
        <v>415</v>
      </c>
      <c r="C9493">
        <v>4</v>
      </c>
      <c r="E9493">
        <v>416</v>
      </c>
    </row>
    <row r="9494" spans="1:5" x14ac:dyDescent="0.25">
      <c r="A9494">
        <v>231</v>
      </c>
      <c r="B9494">
        <f t="shared" si="37"/>
        <v>415</v>
      </c>
      <c r="C9494">
        <v>3</v>
      </c>
      <c r="E9494" s="1">
        <v>416</v>
      </c>
    </row>
    <row r="9495" spans="1:5" x14ac:dyDescent="0.25">
      <c r="A9495">
        <v>240</v>
      </c>
      <c r="B9495">
        <f t="shared" si="37"/>
        <v>415</v>
      </c>
      <c r="C9495">
        <v>4</v>
      </c>
      <c r="E9495">
        <v>416</v>
      </c>
    </row>
    <row r="9496" spans="1:5" x14ac:dyDescent="0.25">
      <c r="A9496">
        <v>243</v>
      </c>
      <c r="B9496">
        <f t="shared" si="37"/>
        <v>415</v>
      </c>
      <c r="C9496">
        <v>5</v>
      </c>
      <c r="E9496" s="1">
        <v>416</v>
      </c>
    </row>
    <row r="9497" spans="1:5" x14ac:dyDescent="0.25">
      <c r="A9497">
        <v>256</v>
      </c>
      <c r="B9497">
        <f t="shared" si="37"/>
        <v>415</v>
      </c>
      <c r="C9497">
        <v>3</v>
      </c>
      <c r="E9497">
        <v>416</v>
      </c>
    </row>
    <row r="9498" spans="1:5" x14ac:dyDescent="0.25">
      <c r="A9498">
        <v>256</v>
      </c>
      <c r="B9498">
        <f t="shared" si="37"/>
        <v>415</v>
      </c>
      <c r="C9498">
        <v>5</v>
      </c>
      <c r="E9498" s="1">
        <v>416</v>
      </c>
    </row>
    <row r="9499" spans="1:5" x14ac:dyDescent="0.25">
      <c r="A9499">
        <v>263</v>
      </c>
      <c r="B9499">
        <f t="shared" si="37"/>
        <v>415</v>
      </c>
      <c r="C9499">
        <v>2</v>
      </c>
      <c r="E9499">
        <v>416</v>
      </c>
    </row>
    <row r="9500" spans="1:5" x14ac:dyDescent="0.25">
      <c r="A9500">
        <v>267</v>
      </c>
      <c r="B9500">
        <f t="shared" si="37"/>
        <v>415</v>
      </c>
      <c r="C9500">
        <v>5</v>
      </c>
      <c r="E9500" s="1">
        <v>416</v>
      </c>
    </row>
    <row r="9501" spans="1:5" x14ac:dyDescent="0.25">
      <c r="A9501">
        <v>278</v>
      </c>
      <c r="B9501">
        <f t="shared" si="37"/>
        <v>415</v>
      </c>
      <c r="C9501">
        <v>3</v>
      </c>
      <c r="E9501">
        <v>416</v>
      </c>
    </row>
    <row r="9502" spans="1:5" x14ac:dyDescent="0.25">
      <c r="A9502">
        <v>300</v>
      </c>
      <c r="B9502">
        <f t="shared" si="37"/>
        <v>415</v>
      </c>
      <c r="C9502">
        <v>4</v>
      </c>
      <c r="E9502" s="1">
        <v>416</v>
      </c>
    </row>
    <row r="9503" spans="1:5" x14ac:dyDescent="0.25">
      <c r="A9503">
        <v>9</v>
      </c>
      <c r="B9503">
        <f t="shared" si="37"/>
        <v>416</v>
      </c>
      <c r="C9503">
        <v>4</v>
      </c>
      <c r="E9503">
        <v>417</v>
      </c>
    </row>
    <row r="9504" spans="1:5" x14ac:dyDescent="0.25">
      <c r="A9504">
        <v>15</v>
      </c>
      <c r="B9504">
        <f t="shared" si="37"/>
        <v>416</v>
      </c>
      <c r="C9504">
        <v>3</v>
      </c>
      <c r="E9504" s="1">
        <v>417</v>
      </c>
    </row>
    <row r="9505" spans="1:5" x14ac:dyDescent="0.25">
      <c r="A9505">
        <v>19</v>
      </c>
      <c r="B9505">
        <f t="shared" si="37"/>
        <v>416</v>
      </c>
      <c r="C9505">
        <v>3</v>
      </c>
      <c r="E9505">
        <v>417</v>
      </c>
    </row>
    <row r="9506" spans="1:5" x14ac:dyDescent="0.25">
      <c r="A9506">
        <v>28</v>
      </c>
      <c r="B9506">
        <f t="shared" si="37"/>
        <v>416</v>
      </c>
      <c r="C9506">
        <v>4</v>
      </c>
      <c r="E9506" s="1">
        <v>417</v>
      </c>
    </row>
    <row r="9507" spans="1:5" x14ac:dyDescent="0.25">
      <c r="A9507">
        <v>51</v>
      </c>
      <c r="B9507">
        <f t="shared" si="37"/>
        <v>416</v>
      </c>
      <c r="C9507">
        <v>4</v>
      </c>
      <c r="E9507">
        <v>417</v>
      </c>
    </row>
    <row r="9508" spans="1:5" x14ac:dyDescent="0.25">
      <c r="A9508">
        <v>52</v>
      </c>
      <c r="B9508">
        <f t="shared" si="37"/>
        <v>416</v>
      </c>
      <c r="C9508">
        <v>1</v>
      </c>
      <c r="E9508" s="1">
        <v>417</v>
      </c>
    </row>
    <row r="9509" spans="1:5" x14ac:dyDescent="0.25">
      <c r="A9509">
        <v>65</v>
      </c>
      <c r="B9509">
        <f t="shared" si="37"/>
        <v>416</v>
      </c>
      <c r="C9509">
        <v>2</v>
      </c>
      <c r="E9509">
        <v>417</v>
      </c>
    </row>
    <row r="9510" spans="1:5" x14ac:dyDescent="0.25">
      <c r="A9510">
        <v>90</v>
      </c>
      <c r="B9510">
        <f t="shared" si="37"/>
        <v>416</v>
      </c>
      <c r="C9510">
        <v>2</v>
      </c>
      <c r="E9510" s="1">
        <v>417</v>
      </c>
    </row>
    <row r="9511" spans="1:5" x14ac:dyDescent="0.25">
      <c r="A9511">
        <v>118</v>
      </c>
      <c r="B9511">
        <f t="shared" si="37"/>
        <v>416</v>
      </c>
      <c r="C9511">
        <v>1</v>
      </c>
      <c r="E9511">
        <v>417</v>
      </c>
    </row>
    <row r="9512" spans="1:5" x14ac:dyDescent="0.25">
      <c r="A9512">
        <v>130</v>
      </c>
      <c r="B9512">
        <f t="shared" si="37"/>
        <v>416</v>
      </c>
      <c r="C9512">
        <v>4</v>
      </c>
      <c r="E9512" s="1">
        <v>417</v>
      </c>
    </row>
    <row r="9513" spans="1:5" x14ac:dyDescent="0.25">
      <c r="A9513">
        <v>154</v>
      </c>
      <c r="B9513">
        <f t="shared" si="37"/>
        <v>416</v>
      </c>
      <c r="C9513">
        <v>4</v>
      </c>
      <c r="E9513">
        <v>417</v>
      </c>
    </row>
    <row r="9514" spans="1:5" x14ac:dyDescent="0.25">
      <c r="A9514">
        <v>163</v>
      </c>
      <c r="B9514">
        <f t="shared" si="37"/>
        <v>416</v>
      </c>
      <c r="C9514">
        <v>3</v>
      </c>
      <c r="E9514" s="1">
        <v>417</v>
      </c>
    </row>
    <row r="9515" spans="1:5" x14ac:dyDescent="0.25">
      <c r="A9515">
        <v>166</v>
      </c>
      <c r="B9515">
        <f t="shared" si="37"/>
        <v>416</v>
      </c>
      <c r="C9515">
        <v>1</v>
      </c>
      <c r="E9515">
        <v>417</v>
      </c>
    </row>
    <row r="9516" spans="1:5" x14ac:dyDescent="0.25">
      <c r="A9516">
        <v>176</v>
      </c>
      <c r="B9516">
        <f t="shared" si="37"/>
        <v>416</v>
      </c>
      <c r="C9516">
        <v>1</v>
      </c>
      <c r="E9516" s="1">
        <v>417</v>
      </c>
    </row>
    <row r="9517" spans="1:5" x14ac:dyDescent="0.25">
      <c r="A9517">
        <v>187</v>
      </c>
      <c r="B9517">
        <f t="shared" si="37"/>
        <v>416</v>
      </c>
      <c r="C9517">
        <v>2</v>
      </c>
      <c r="E9517">
        <v>417</v>
      </c>
    </row>
    <row r="9518" spans="1:5" x14ac:dyDescent="0.25">
      <c r="A9518">
        <v>200</v>
      </c>
      <c r="B9518">
        <f t="shared" si="37"/>
        <v>416</v>
      </c>
      <c r="C9518">
        <v>2</v>
      </c>
      <c r="E9518" s="1">
        <v>417</v>
      </c>
    </row>
    <row r="9519" spans="1:5" x14ac:dyDescent="0.25">
      <c r="A9519">
        <v>210</v>
      </c>
      <c r="B9519">
        <f t="shared" si="37"/>
        <v>416</v>
      </c>
      <c r="C9519">
        <v>3</v>
      </c>
      <c r="E9519">
        <v>417</v>
      </c>
    </row>
    <row r="9520" spans="1:5" x14ac:dyDescent="0.25">
      <c r="A9520">
        <v>233</v>
      </c>
      <c r="B9520">
        <f t="shared" si="37"/>
        <v>416</v>
      </c>
      <c r="C9520">
        <v>5</v>
      </c>
      <c r="E9520" s="1">
        <v>417</v>
      </c>
    </row>
    <row r="9521" spans="1:5" x14ac:dyDescent="0.25">
      <c r="A9521">
        <v>240</v>
      </c>
      <c r="B9521">
        <f t="shared" si="37"/>
        <v>416</v>
      </c>
      <c r="C9521">
        <v>5</v>
      </c>
      <c r="E9521">
        <v>417</v>
      </c>
    </row>
    <row r="9522" spans="1:5" x14ac:dyDescent="0.25">
      <c r="A9522">
        <v>245</v>
      </c>
      <c r="B9522">
        <f t="shared" si="37"/>
        <v>416</v>
      </c>
      <c r="C9522">
        <v>2</v>
      </c>
      <c r="E9522" s="1">
        <v>417</v>
      </c>
    </row>
    <row r="9523" spans="1:5" x14ac:dyDescent="0.25">
      <c r="A9523">
        <v>251</v>
      </c>
      <c r="B9523">
        <f t="shared" si="37"/>
        <v>416</v>
      </c>
      <c r="C9523">
        <v>3</v>
      </c>
      <c r="E9523">
        <v>417</v>
      </c>
    </row>
    <row r="9524" spans="1:5" x14ac:dyDescent="0.25">
      <c r="A9524">
        <v>258</v>
      </c>
      <c r="B9524">
        <f t="shared" si="37"/>
        <v>416</v>
      </c>
      <c r="C9524">
        <v>3</v>
      </c>
      <c r="E9524" s="1">
        <v>417</v>
      </c>
    </row>
    <row r="9525" spans="1:5" x14ac:dyDescent="0.25">
      <c r="A9525">
        <v>263</v>
      </c>
      <c r="B9525">
        <f t="shared" si="37"/>
        <v>416</v>
      </c>
      <c r="C9525">
        <v>5</v>
      </c>
      <c r="E9525">
        <v>417</v>
      </c>
    </row>
    <row r="9526" spans="1:5" x14ac:dyDescent="0.25">
      <c r="A9526">
        <v>274</v>
      </c>
      <c r="B9526">
        <f t="shared" si="37"/>
        <v>416</v>
      </c>
      <c r="C9526">
        <v>1</v>
      </c>
      <c r="E9526" s="1">
        <v>417</v>
      </c>
    </row>
    <row r="9527" spans="1:5" x14ac:dyDescent="0.25">
      <c r="A9527">
        <v>278</v>
      </c>
      <c r="B9527">
        <f t="shared" si="37"/>
        <v>416</v>
      </c>
      <c r="C9527">
        <v>1</v>
      </c>
      <c r="E9527">
        <v>417</v>
      </c>
    </row>
    <row r="9528" spans="1:5" x14ac:dyDescent="0.25">
      <c r="A9528">
        <v>297</v>
      </c>
      <c r="B9528">
        <f t="shared" si="37"/>
        <v>416</v>
      </c>
      <c r="C9528">
        <v>2</v>
      </c>
      <c r="E9528" s="1">
        <v>417</v>
      </c>
    </row>
    <row r="9529" spans="1:5" x14ac:dyDescent="0.25">
      <c r="A9529">
        <v>19</v>
      </c>
      <c r="B9529">
        <f t="shared" si="37"/>
        <v>417</v>
      </c>
      <c r="C9529">
        <v>4</v>
      </c>
      <c r="E9529">
        <v>418</v>
      </c>
    </row>
    <row r="9530" spans="1:5" x14ac:dyDescent="0.25">
      <c r="A9530">
        <v>29</v>
      </c>
      <c r="B9530">
        <f t="shared" si="37"/>
        <v>417</v>
      </c>
      <c r="C9530">
        <v>4</v>
      </c>
      <c r="E9530" s="1">
        <v>418</v>
      </c>
    </row>
    <row r="9531" spans="1:5" x14ac:dyDescent="0.25">
      <c r="A9531">
        <v>32</v>
      </c>
      <c r="B9531">
        <f t="shared" si="37"/>
        <v>417</v>
      </c>
      <c r="C9531">
        <v>2</v>
      </c>
      <c r="E9531">
        <v>418</v>
      </c>
    </row>
    <row r="9532" spans="1:5" x14ac:dyDescent="0.25">
      <c r="A9532">
        <v>48</v>
      </c>
      <c r="B9532">
        <f t="shared" si="37"/>
        <v>417</v>
      </c>
      <c r="C9532">
        <v>2</v>
      </c>
      <c r="E9532" s="1">
        <v>418</v>
      </c>
    </row>
    <row r="9533" spans="1:5" x14ac:dyDescent="0.25">
      <c r="A9533">
        <v>54</v>
      </c>
      <c r="B9533">
        <f t="shared" si="37"/>
        <v>417</v>
      </c>
      <c r="C9533">
        <v>1</v>
      </c>
      <c r="E9533">
        <v>418</v>
      </c>
    </row>
    <row r="9534" spans="1:5" x14ac:dyDescent="0.25">
      <c r="A9534">
        <v>108</v>
      </c>
      <c r="B9534">
        <f t="shared" si="37"/>
        <v>417</v>
      </c>
      <c r="C9534">
        <v>1</v>
      </c>
      <c r="E9534" s="1">
        <v>418</v>
      </c>
    </row>
    <row r="9535" spans="1:5" x14ac:dyDescent="0.25">
      <c r="A9535">
        <v>111</v>
      </c>
      <c r="B9535">
        <f t="shared" si="37"/>
        <v>417</v>
      </c>
      <c r="C9535">
        <v>1</v>
      </c>
      <c r="E9535">
        <v>418</v>
      </c>
    </row>
    <row r="9536" spans="1:5" x14ac:dyDescent="0.25">
      <c r="A9536">
        <v>127</v>
      </c>
      <c r="B9536">
        <f t="shared" si="37"/>
        <v>417</v>
      </c>
      <c r="C9536">
        <v>2</v>
      </c>
      <c r="E9536" s="1">
        <v>418</v>
      </c>
    </row>
    <row r="9537" spans="1:5" x14ac:dyDescent="0.25">
      <c r="A9537">
        <v>130</v>
      </c>
      <c r="B9537">
        <f t="shared" si="37"/>
        <v>417</v>
      </c>
      <c r="C9537">
        <v>4</v>
      </c>
      <c r="E9537">
        <v>418</v>
      </c>
    </row>
    <row r="9538" spans="1:5" x14ac:dyDescent="0.25">
      <c r="A9538">
        <v>131</v>
      </c>
      <c r="B9538">
        <f t="shared" si="37"/>
        <v>417</v>
      </c>
      <c r="C9538">
        <v>4</v>
      </c>
      <c r="E9538" s="1">
        <v>418</v>
      </c>
    </row>
    <row r="9539" spans="1:5" x14ac:dyDescent="0.25">
      <c r="A9539">
        <v>143</v>
      </c>
      <c r="B9539">
        <f t="shared" si="37"/>
        <v>417</v>
      </c>
      <c r="C9539">
        <v>5</v>
      </c>
      <c r="E9539">
        <v>418</v>
      </c>
    </row>
    <row r="9540" spans="1:5" x14ac:dyDescent="0.25">
      <c r="A9540">
        <v>147</v>
      </c>
      <c r="B9540">
        <f t="shared" si="37"/>
        <v>417</v>
      </c>
      <c r="C9540">
        <v>1</v>
      </c>
      <c r="E9540" s="1">
        <v>418</v>
      </c>
    </row>
    <row r="9541" spans="1:5" x14ac:dyDescent="0.25">
      <c r="A9541">
        <v>159</v>
      </c>
      <c r="B9541">
        <f t="shared" si="37"/>
        <v>417</v>
      </c>
      <c r="C9541">
        <v>3</v>
      </c>
      <c r="E9541">
        <v>418</v>
      </c>
    </row>
    <row r="9542" spans="1:5" x14ac:dyDescent="0.25">
      <c r="A9542">
        <v>167</v>
      </c>
      <c r="B9542">
        <f t="shared" si="37"/>
        <v>417</v>
      </c>
      <c r="C9542">
        <v>4</v>
      </c>
      <c r="E9542" s="1">
        <v>418</v>
      </c>
    </row>
    <row r="9543" spans="1:5" x14ac:dyDescent="0.25">
      <c r="A9543">
        <v>167</v>
      </c>
      <c r="B9543">
        <f t="shared" si="37"/>
        <v>417</v>
      </c>
      <c r="C9543">
        <v>3</v>
      </c>
      <c r="E9543">
        <v>418</v>
      </c>
    </row>
    <row r="9544" spans="1:5" x14ac:dyDescent="0.25">
      <c r="A9544">
        <v>190</v>
      </c>
      <c r="B9544">
        <f t="shared" si="37"/>
        <v>417</v>
      </c>
      <c r="C9544">
        <v>1</v>
      </c>
      <c r="E9544" s="1">
        <v>418</v>
      </c>
    </row>
    <row r="9545" spans="1:5" x14ac:dyDescent="0.25">
      <c r="A9545">
        <v>190</v>
      </c>
      <c r="B9545">
        <f t="shared" si="37"/>
        <v>417</v>
      </c>
      <c r="C9545">
        <v>3</v>
      </c>
      <c r="E9545">
        <v>418</v>
      </c>
    </row>
    <row r="9546" spans="1:5" x14ac:dyDescent="0.25">
      <c r="A9546">
        <v>201</v>
      </c>
      <c r="B9546">
        <f t="shared" si="37"/>
        <v>417</v>
      </c>
      <c r="C9546">
        <v>5</v>
      </c>
      <c r="E9546" s="1">
        <v>418</v>
      </c>
    </row>
    <row r="9547" spans="1:5" x14ac:dyDescent="0.25">
      <c r="A9547">
        <v>207</v>
      </c>
      <c r="B9547">
        <f t="shared" si="37"/>
        <v>417</v>
      </c>
      <c r="C9547">
        <v>3</v>
      </c>
      <c r="E9547">
        <v>418</v>
      </c>
    </row>
    <row r="9548" spans="1:5" x14ac:dyDescent="0.25">
      <c r="A9548">
        <v>213</v>
      </c>
      <c r="B9548">
        <f t="shared" si="37"/>
        <v>417</v>
      </c>
      <c r="C9548">
        <v>2</v>
      </c>
      <c r="E9548" s="1">
        <v>418</v>
      </c>
    </row>
    <row r="9549" spans="1:5" x14ac:dyDescent="0.25">
      <c r="A9549">
        <v>213</v>
      </c>
      <c r="B9549">
        <f t="shared" si="37"/>
        <v>417</v>
      </c>
      <c r="C9549">
        <v>2</v>
      </c>
      <c r="E9549">
        <v>418</v>
      </c>
    </row>
    <row r="9550" spans="1:5" x14ac:dyDescent="0.25">
      <c r="A9550">
        <v>239</v>
      </c>
      <c r="B9550">
        <f t="shared" ref="B9550:B9613" si="38">E9550-1</f>
        <v>417</v>
      </c>
      <c r="C9550">
        <v>3</v>
      </c>
      <c r="E9550" s="1">
        <v>418</v>
      </c>
    </row>
    <row r="9551" spans="1:5" x14ac:dyDescent="0.25">
      <c r="A9551">
        <v>240</v>
      </c>
      <c r="B9551">
        <f t="shared" si="38"/>
        <v>417</v>
      </c>
      <c r="C9551">
        <v>4</v>
      </c>
      <c r="E9551">
        <v>418</v>
      </c>
    </row>
    <row r="9552" spans="1:5" x14ac:dyDescent="0.25">
      <c r="A9552">
        <v>265</v>
      </c>
      <c r="B9552">
        <f t="shared" si="38"/>
        <v>417</v>
      </c>
      <c r="C9552">
        <v>5</v>
      </c>
      <c r="E9552" s="1">
        <v>418</v>
      </c>
    </row>
    <row r="9553" spans="1:5" x14ac:dyDescent="0.25">
      <c r="A9553">
        <v>267</v>
      </c>
      <c r="B9553">
        <f t="shared" si="38"/>
        <v>417</v>
      </c>
      <c r="C9553">
        <v>2</v>
      </c>
      <c r="E9553">
        <v>418</v>
      </c>
    </row>
    <row r="9554" spans="1:5" x14ac:dyDescent="0.25">
      <c r="A9554">
        <v>297</v>
      </c>
      <c r="B9554">
        <f t="shared" si="38"/>
        <v>417</v>
      </c>
      <c r="C9554">
        <v>5</v>
      </c>
      <c r="E9554" s="1">
        <v>418</v>
      </c>
    </row>
    <row r="9555" spans="1:5" x14ac:dyDescent="0.25">
      <c r="A9555">
        <v>297</v>
      </c>
      <c r="B9555">
        <f t="shared" si="38"/>
        <v>417</v>
      </c>
      <c r="C9555">
        <v>2</v>
      </c>
      <c r="E9555">
        <v>418</v>
      </c>
    </row>
    <row r="9556" spans="1:5" x14ac:dyDescent="0.25">
      <c r="A9556">
        <v>55</v>
      </c>
      <c r="B9556">
        <f t="shared" si="38"/>
        <v>418</v>
      </c>
      <c r="C9556">
        <v>2</v>
      </c>
      <c r="E9556" s="1">
        <v>419</v>
      </c>
    </row>
    <row r="9557" spans="1:5" x14ac:dyDescent="0.25">
      <c r="A9557">
        <v>74</v>
      </c>
      <c r="B9557">
        <f t="shared" si="38"/>
        <v>418</v>
      </c>
      <c r="C9557">
        <v>3</v>
      </c>
      <c r="E9557">
        <v>419</v>
      </c>
    </row>
    <row r="9558" spans="1:5" x14ac:dyDescent="0.25">
      <c r="A9558">
        <v>77</v>
      </c>
      <c r="B9558">
        <f t="shared" si="38"/>
        <v>418</v>
      </c>
      <c r="C9558">
        <v>3</v>
      </c>
      <c r="E9558" s="1">
        <v>419</v>
      </c>
    </row>
    <row r="9559" spans="1:5" x14ac:dyDescent="0.25">
      <c r="A9559">
        <v>81</v>
      </c>
      <c r="B9559">
        <f t="shared" si="38"/>
        <v>418</v>
      </c>
      <c r="C9559">
        <v>1</v>
      </c>
      <c r="E9559">
        <v>419</v>
      </c>
    </row>
    <row r="9560" spans="1:5" x14ac:dyDescent="0.25">
      <c r="A9560">
        <v>91</v>
      </c>
      <c r="B9560">
        <f t="shared" si="38"/>
        <v>418</v>
      </c>
      <c r="C9560">
        <v>2</v>
      </c>
      <c r="E9560" s="1">
        <v>419</v>
      </c>
    </row>
    <row r="9561" spans="1:5" x14ac:dyDescent="0.25">
      <c r="A9561">
        <v>98</v>
      </c>
      <c r="B9561">
        <f t="shared" si="38"/>
        <v>418</v>
      </c>
      <c r="C9561">
        <v>5</v>
      </c>
      <c r="E9561">
        <v>419</v>
      </c>
    </row>
    <row r="9562" spans="1:5" x14ac:dyDescent="0.25">
      <c r="A9562">
        <v>105</v>
      </c>
      <c r="B9562">
        <f t="shared" si="38"/>
        <v>418</v>
      </c>
      <c r="C9562">
        <v>5</v>
      </c>
      <c r="E9562" s="1">
        <v>419</v>
      </c>
    </row>
    <row r="9563" spans="1:5" x14ac:dyDescent="0.25">
      <c r="A9563">
        <v>118</v>
      </c>
      <c r="B9563">
        <f t="shared" si="38"/>
        <v>418</v>
      </c>
      <c r="C9563">
        <v>5</v>
      </c>
      <c r="E9563">
        <v>419</v>
      </c>
    </row>
    <row r="9564" spans="1:5" x14ac:dyDescent="0.25">
      <c r="A9564">
        <v>121</v>
      </c>
      <c r="B9564">
        <f t="shared" si="38"/>
        <v>418</v>
      </c>
      <c r="C9564">
        <v>2</v>
      </c>
      <c r="E9564" s="1">
        <v>419</v>
      </c>
    </row>
    <row r="9565" spans="1:5" x14ac:dyDescent="0.25">
      <c r="A9565">
        <v>129</v>
      </c>
      <c r="B9565">
        <f t="shared" si="38"/>
        <v>418</v>
      </c>
      <c r="C9565">
        <v>5</v>
      </c>
      <c r="E9565">
        <v>419</v>
      </c>
    </row>
    <row r="9566" spans="1:5" x14ac:dyDescent="0.25">
      <c r="A9566">
        <v>153</v>
      </c>
      <c r="B9566">
        <f t="shared" si="38"/>
        <v>418</v>
      </c>
      <c r="C9566">
        <v>1</v>
      </c>
      <c r="E9566" s="1">
        <v>419</v>
      </c>
    </row>
    <row r="9567" spans="1:5" x14ac:dyDescent="0.25">
      <c r="A9567">
        <v>179</v>
      </c>
      <c r="B9567">
        <f t="shared" si="38"/>
        <v>418</v>
      </c>
      <c r="C9567">
        <v>5</v>
      </c>
      <c r="E9567">
        <v>419</v>
      </c>
    </row>
    <row r="9568" spans="1:5" x14ac:dyDescent="0.25">
      <c r="A9568">
        <v>202</v>
      </c>
      <c r="B9568">
        <f t="shared" si="38"/>
        <v>418</v>
      </c>
      <c r="C9568">
        <v>1</v>
      </c>
      <c r="E9568" s="1">
        <v>419</v>
      </c>
    </row>
    <row r="9569" spans="1:5" x14ac:dyDescent="0.25">
      <c r="A9569">
        <v>204</v>
      </c>
      <c r="B9569">
        <f t="shared" si="38"/>
        <v>418</v>
      </c>
      <c r="C9569">
        <v>5</v>
      </c>
      <c r="E9569">
        <v>419</v>
      </c>
    </row>
    <row r="9570" spans="1:5" x14ac:dyDescent="0.25">
      <c r="A9570">
        <v>226</v>
      </c>
      <c r="B9570">
        <f t="shared" si="38"/>
        <v>418</v>
      </c>
      <c r="C9570">
        <v>5</v>
      </c>
      <c r="E9570" s="1">
        <v>419</v>
      </c>
    </row>
    <row r="9571" spans="1:5" x14ac:dyDescent="0.25">
      <c r="A9571">
        <v>248</v>
      </c>
      <c r="B9571">
        <f t="shared" si="38"/>
        <v>418</v>
      </c>
      <c r="C9571">
        <v>3</v>
      </c>
      <c r="E9571">
        <v>419</v>
      </c>
    </row>
    <row r="9572" spans="1:5" x14ac:dyDescent="0.25">
      <c r="A9572">
        <v>259</v>
      </c>
      <c r="B9572">
        <f t="shared" si="38"/>
        <v>418</v>
      </c>
      <c r="C9572">
        <v>4</v>
      </c>
      <c r="E9572" s="1">
        <v>419</v>
      </c>
    </row>
    <row r="9573" spans="1:5" x14ac:dyDescent="0.25">
      <c r="A9573">
        <v>262</v>
      </c>
      <c r="B9573">
        <f t="shared" si="38"/>
        <v>418</v>
      </c>
      <c r="C9573">
        <v>3</v>
      </c>
      <c r="E9573">
        <v>419</v>
      </c>
    </row>
    <row r="9574" spans="1:5" x14ac:dyDescent="0.25">
      <c r="A9574">
        <v>268</v>
      </c>
      <c r="B9574">
        <f t="shared" si="38"/>
        <v>418</v>
      </c>
      <c r="C9574">
        <v>2</v>
      </c>
      <c r="E9574" s="1">
        <v>419</v>
      </c>
    </row>
    <row r="9575" spans="1:5" x14ac:dyDescent="0.25">
      <c r="A9575">
        <v>5</v>
      </c>
      <c r="B9575">
        <f t="shared" si="38"/>
        <v>419</v>
      </c>
      <c r="C9575">
        <v>3</v>
      </c>
      <c r="E9575">
        <v>420</v>
      </c>
    </row>
    <row r="9576" spans="1:5" x14ac:dyDescent="0.25">
      <c r="A9576">
        <v>9</v>
      </c>
      <c r="B9576">
        <f t="shared" si="38"/>
        <v>419</v>
      </c>
      <c r="C9576">
        <v>5</v>
      </c>
      <c r="E9576" s="1">
        <v>420</v>
      </c>
    </row>
    <row r="9577" spans="1:5" x14ac:dyDescent="0.25">
      <c r="A9577">
        <v>22</v>
      </c>
      <c r="B9577">
        <f t="shared" si="38"/>
        <v>419</v>
      </c>
      <c r="C9577">
        <v>5</v>
      </c>
      <c r="E9577">
        <v>420</v>
      </c>
    </row>
    <row r="9578" spans="1:5" x14ac:dyDescent="0.25">
      <c r="A9578">
        <v>49</v>
      </c>
      <c r="B9578">
        <f t="shared" si="38"/>
        <v>419</v>
      </c>
      <c r="C9578">
        <v>2</v>
      </c>
      <c r="E9578" s="1">
        <v>420</v>
      </c>
    </row>
    <row r="9579" spans="1:5" x14ac:dyDescent="0.25">
      <c r="A9579">
        <v>68</v>
      </c>
      <c r="B9579">
        <f t="shared" si="38"/>
        <v>419</v>
      </c>
      <c r="C9579">
        <v>4</v>
      </c>
      <c r="E9579">
        <v>420</v>
      </c>
    </row>
    <row r="9580" spans="1:5" x14ac:dyDescent="0.25">
      <c r="A9580">
        <v>86</v>
      </c>
      <c r="B9580">
        <f t="shared" si="38"/>
        <v>419</v>
      </c>
      <c r="C9580">
        <v>3</v>
      </c>
      <c r="E9580" s="1">
        <v>420</v>
      </c>
    </row>
    <row r="9581" spans="1:5" x14ac:dyDescent="0.25">
      <c r="A9581">
        <v>92</v>
      </c>
      <c r="B9581">
        <f t="shared" si="38"/>
        <v>419</v>
      </c>
      <c r="C9581">
        <v>5</v>
      </c>
      <c r="E9581">
        <v>420</v>
      </c>
    </row>
    <row r="9582" spans="1:5" x14ac:dyDescent="0.25">
      <c r="A9582">
        <v>101</v>
      </c>
      <c r="B9582">
        <f t="shared" si="38"/>
        <v>419</v>
      </c>
      <c r="C9582">
        <v>3</v>
      </c>
      <c r="E9582" s="1">
        <v>420</v>
      </c>
    </row>
    <row r="9583" spans="1:5" x14ac:dyDescent="0.25">
      <c r="A9583">
        <v>138</v>
      </c>
      <c r="B9583">
        <f t="shared" si="38"/>
        <v>419</v>
      </c>
      <c r="C9583">
        <v>2</v>
      </c>
      <c r="E9583">
        <v>420</v>
      </c>
    </row>
    <row r="9584" spans="1:5" x14ac:dyDescent="0.25">
      <c r="A9584">
        <v>153</v>
      </c>
      <c r="B9584">
        <f t="shared" si="38"/>
        <v>419</v>
      </c>
      <c r="C9584">
        <v>4</v>
      </c>
      <c r="E9584" s="1">
        <v>420</v>
      </c>
    </row>
    <row r="9585" spans="1:5" x14ac:dyDescent="0.25">
      <c r="A9585">
        <v>194</v>
      </c>
      <c r="B9585">
        <f t="shared" si="38"/>
        <v>419</v>
      </c>
      <c r="C9585">
        <v>4</v>
      </c>
      <c r="E9585">
        <v>420</v>
      </c>
    </row>
    <row r="9586" spans="1:5" x14ac:dyDescent="0.25">
      <c r="A9586">
        <v>217</v>
      </c>
      <c r="B9586">
        <f t="shared" si="38"/>
        <v>419</v>
      </c>
      <c r="C9586">
        <v>4</v>
      </c>
      <c r="E9586" s="1">
        <v>420</v>
      </c>
    </row>
    <row r="9587" spans="1:5" x14ac:dyDescent="0.25">
      <c r="A9587">
        <v>222</v>
      </c>
      <c r="B9587">
        <f t="shared" si="38"/>
        <v>419</v>
      </c>
      <c r="C9587">
        <v>1</v>
      </c>
      <c r="E9587">
        <v>420</v>
      </c>
    </row>
    <row r="9588" spans="1:5" x14ac:dyDescent="0.25">
      <c r="A9588">
        <v>241</v>
      </c>
      <c r="B9588">
        <f t="shared" si="38"/>
        <v>419</v>
      </c>
      <c r="C9588">
        <v>3</v>
      </c>
      <c r="E9588" s="1">
        <v>420</v>
      </c>
    </row>
    <row r="9589" spans="1:5" x14ac:dyDescent="0.25">
      <c r="A9589">
        <v>264</v>
      </c>
      <c r="B9589">
        <f t="shared" si="38"/>
        <v>419</v>
      </c>
      <c r="C9589">
        <v>5</v>
      </c>
      <c r="E9589">
        <v>420</v>
      </c>
    </row>
    <row r="9590" spans="1:5" x14ac:dyDescent="0.25">
      <c r="A9590">
        <v>265</v>
      </c>
      <c r="B9590">
        <f t="shared" si="38"/>
        <v>419</v>
      </c>
      <c r="C9590">
        <v>1</v>
      </c>
      <c r="E9590" s="1">
        <v>420</v>
      </c>
    </row>
    <row r="9591" spans="1:5" x14ac:dyDescent="0.25">
      <c r="A9591">
        <v>294</v>
      </c>
      <c r="B9591">
        <f t="shared" si="38"/>
        <v>419</v>
      </c>
      <c r="C9591">
        <v>4</v>
      </c>
      <c r="E9591">
        <v>420</v>
      </c>
    </row>
    <row r="9592" spans="1:5" x14ac:dyDescent="0.25">
      <c r="A9592">
        <v>299</v>
      </c>
      <c r="B9592">
        <f t="shared" si="38"/>
        <v>419</v>
      </c>
      <c r="C9592">
        <v>2</v>
      </c>
      <c r="E9592" s="1">
        <v>420</v>
      </c>
    </row>
    <row r="9593" spans="1:5" x14ac:dyDescent="0.25">
      <c r="A9593">
        <v>3</v>
      </c>
      <c r="B9593">
        <f t="shared" si="38"/>
        <v>420</v>
      </c>
      <c r="C9593">
        <v>3</v>
      </c>
      <c r="E9593">
        <v>421</v>
      </c>
    </row>
    <row r="9594" spans="1:5" x14ac:dyDescent="0.25">
      <c r="A9594">
        <v>5</v>
      </c>
      <c r="B9594">
        <f t="shared" si="38"/>
        <v>420</v>
      </c>
      <c r="C9594">
        <v>4</v>
      </c>
      <c r="E9594" s="1">
        <v>421</v>
      </c>
    </row>
    <row r="9595" spans="1:5" x14ac:dyDescent="0.25">
      <c r="A9595">
        <v>26</v>
      </c>
      <c r="B9595">
        <f t="shared" si="38"/>
        <v>420</v>
      </c>
      <c r="C9595">
        <v>5</v>
      </c>
      <c r="E9595">
        <v>421</v>
      </c>
    </row>
    <row r="9596" spans="1:5" x14ac:dyDescent="0.25">
      <c r="A9596">
        <v>42</v>
      </c>
      <c r="B9596">
        <f t="shared" si="38"/>
        <v>420</v>
      </c>
      <c r="C9596">
        <v>3</v>
      </c>
      <c r="E9596" s="1">
        <v>421</v>
      </c>
    </row>
    <row r="9597" spans="1:5" x14ac:dyDescent="0.25">
      <c r="A9597">
        <v>51</v>
      </c>
      <c r="B9597">
        <f t="shared" si="38"/>
        <v>420</v>
      </c>
      <c r="C9597">
        <v>5</v>
      </c>
      <c r="E9597">
        <v>421</v>
      </c>
    </row>
    <row r="9598" spans="1:5" x14ac:dyDescent="0.25">
      <c r="A9598">
        <v>83</v>
      </c>
      <c r="B9598">
        <f t="shared" si="38"/>
        <v>420</v>
      </c>
      <c r="C9598">
        <v>4</v>
      </c>
      <c r="E9598" s="1">
        <v>421</v>
      </c>
    </row>
    <row r="9599" spans="1:5" x14ac:dyDescent="0.25">
      <c r="A9599">
        <v>87</v>
      </c>
      <c r="B9599">
        <f t="shared" si="38"/>
        <v>420</v>
      </c>
      <c r="C9599">
        <v>2</v>
      </c>
      <c r="E9599">
        <v>421</v>
      </c>
    </row>
    <row r="9600" spans="1:5" x14ac:dyDescent="0.25">
      <c r="A9600">
        <v>94</v>
      </c>
      <c r="B9600">
        <f t="shared" si="38"/>
        <v>420</v>
      </c>
      <c r="C9600">
        <v>2</v>
      </c>
      <c r="E9600" s="1">
        <v>421</v>
      </c>
    </row>
    <row r="9601" spans="1:5" x14ac:dyDescent="0.25">
      <c r="A9601">
        <v>123</v>
      </c>
      <c r="B9601">
        <f t="shared" si="38"/>
        <v>420</v>
      </c>
      <c r="C9601">
        <v>1</v>
      </c>
      <c r="E9601">
        <v>421</v>
      </c>
    </row>
    <row r="9602" spans="1:5" x14ac:dyDescent="0.25">
      <c r="A9602">
        <v>123</v>
      </c>
      <c r="B9602">
        <f t="shared" si="38"/>
        <v>420</v>
      </c>
      <c r="C9602">
        <v>1</v>
      </c>
      <c r="E9602" s="1">
        <v>421</v>
      </c>
    </row>
    <row r="9603" spans="1:5" x14ac:dyDescent="0.25">
      <c r="A9603">
        <v>140</v>
      </c>
      <c r="B9603">
        <f t="shared" si="38"/>
        <v>420</v>
      </c>
      <c r="C9603">
        <v>4</v>
      </c>
      <c r="E9603">
        <v>421</v>
      </c>
    </row>
    <row r="9604" spans="1:5" x14ac:dyDescent="0.25">
      <c r="A9604">
        <v>146</v>
      </c>
      <c r="B9604">
        <f t="shared" si="38"/>
        <v>420</v>
      </c>
      <c r="C9604">
        <v>3</v>
      </c>
      <c r="E9604" s="1">
        <v>421</v>
      </c>
    </row>
    <row r="9605" spans="1:5" x14ac:dyDescent="0.25">
      <c r="A9605">
        <v>165</v>
      </c>
      <c r="B9605">
        <f t="shared" si="38"/>
        <v>420</v>
      </c>
      <c r="C9605">
        <v>5</v>
      </c>
      <c r="E9605">
        <v>421</v>
      </c>
    </row>
    <row r="9606" spans="1:5" x14ac:dyDescent="0.25">
      <c r="A9606">
        <v>183</v>
      </c>
      <c r="B9606">
        <f t="shared" si="38"/>
        <v>420</v>
      </c>
      <c r="C9606">
        <v>1</v>
      </c>
      <c r="E9606" s="1">
        <v>421</v>
      </c>
    </row>
    <row r="9607" spans="1:5" x14ac:dyDescent="0.25">
      <c r="A9607">
        <v>217</v>
      </c>
      <c r="B9607">
        <f t="shared" si="38"/>
        <v>420</v>
      </c>
      <c r="C9607">
        <v>1</v>
      </c>
      <c r="E9607">
        <v>421</v>
      </c>
    </row>
    <row r="9608" spans="1:5" x14ac:dyDescent="0.25">
      <c r="A9608">
        <v>224</v>
      </c>
      <c r="B9608">
        <f t="shared" si="38"/>
        <v>420</v>
      </c>
      <c r="C9608">
        <v>3</v>
      </c>
      <c r="E9608" s="1">
        <v>421</v>
      </c>
    </row>
    <row r="9609" spans="1:5" x14ac:dyDescent="0.25">
      <c r="A9609">
        <v>233</v>
      </c>
      <c r="B9609">
        <f t="shared" si="38"/>
        <v>420</v>
      </c>
      <c r="C9609">
        <v>1</v>
      </c>
      <c r="E9609">
        <v>421</v>
      </c>
    </row>
    <row r="9610" spans="1:5" x14ac:dyDescent="0.25">
      <c r="A9610">
        <v>277</v>
      </c>
      <c r="B9610">
        <f t="shared" si="38"/>
        <v>420</v>
      </c>
      <c r="C9610">
        <v>4</v>
      </c>
      <c r="E9610" s="1">
        <v>421</v>
      </c>
    </row>
    <row r="9611" spans="1:5" x14ac:dyDescent="0.25">
      <c r="A9611">
        <v>282</v>
      </c>
      <c r="B9611">
        <f t="shared" si="38"/>
        <v>420</v>
      </c>
      <c r="C9611">
        <v>1</v>
      </c>
      <c r="E9611">
        <v>421</v>
      </c>
    </row>
    <row r="9612" spans="1:5" x14ac:dyDescent="0.25">
      <c r="A9612">
        <v>283</v>
      </c>
      <c r="B9612">
        <f t="shared" si="38"/>
        <v>420</v>
      </c>
      <c r="C9612">
        <v>2</v>
      </c>
      <c r="E9612" s="1">
        <v>421</v>
      </c>
    </row>
    <row r="9613" spans="1:5" x14ac:dyDescent="0.25">
      <c r="A9613">
        <v>288</v>
      </c>
      <c r="B9613">
        <f t="shared" si="38"/>
        <v>420</v>
      </c>
      <c r="C9613">
        <v>5</v>
      </c>
      <c r="E9613">
        <v>421</v>
      </c>
    </row>
    <row r="9614" spans="1:5" x14ac:dyDescent="0.25">
      <c r="A9614">
        <v>13</v>
      </c>
      <c r="B9614">
        <f t="shared" ref="B9614:B9677" si="39">E9614-1</f>
        <v>421</v>
      </c>
      <c r="C9614">
        <v>4</v>
      </c>
      <c r="E9614" s="1">
        <v>422</v>
      </c>
    </row>
    <row r="9615" spans="1:5" x14ac:dyDescent="0.25">
      <c r="A9615">
        <v>14</v>
      </c>
      <c r="B9615">
        <f t="shared" si="39"/>
        <v>421</v>
      </c>
      <c r="C9615">
        <v>4</v>
      </c>
      <c r="E9615">
        <v>422</v>
      </c>
    </row>
    <row r="9616" spans="1:5" x14ac:dyDescent="0.25">
      <c r="A9616">
        <v>26</v>
      </c>
      <c r="B9616">
        <f t="shared" si="39"/>
        <v>421</v>
      </c>
      <c r="C9616">
        <v>3</v>
      </c>
      <c r="E9616" s="1">
        <v>422</v>
      </c>
    </row>
    <row r="9617" spans="1:5" x14ac:dyDescent="0.25">
      <c r="A9617">
        <v>54</v>
      </c>
      <c r="B9617">
        <f t="shared" si="39"/>
        <v>421</v>
      </c>
      <c r="C9617">
        <v>3</v>
      </c>
      <c r="E9617">
        <v>422</v>
      </c>
    </row>
    <row r="9618" spans="1:5" x14ac:dyDescent="0.25">
      <c r="A9618">
        <v>55</v>
      </c>
      <c r="B9618">
        <f t="shared" si="39"/>
        <v>421</v>
      </c>
      <c r="C9618">
        <v>5</v>
      </c>
      <c r="E9618" s="1">
        <v>422</v>
      </c>
    </row>
    <row r="9619" spans="1:5" x14ac:dyDescent="0.25">
      <c r="A9619">
        <v>58</v>
      </c>
      <c r="B9619">
        <f t="shared" si="39"/>
        <v>421</v>
      </c>
      <c r="C9619">
        <v>5</v>
      </c>
      <c r="E9619">
        <v>422</v>
      </c>
    </row>
    <row r="9620" spans="1:5" x14ac:dyDescent="0.25">
      <c r="A9620">
        <v>60</v>
      </c>
      <c r="B9620">
        <f t="shared" si="39"/>
        <v>421</v>
      </c>
      <c r="C9620">
        <v>5</v>
      </c>
      <c r="E9620" s="1">
        <v>422</v>
      </c>
    </row>
    <row r="9621" spans="1:5" x14ac:dyDescent="0.25">
      <c r="A9621">
        <v>74</v>
      </c>
      <c r="B9621">
        <f t="shared" si="39"/>
        <v>421</v>
      </c>
      <c r="C9621">
        <v>1</v>
      </c>
      <c r="E9621">
        <v>422</v>
      </c>
    </row>
    <row r="9622" spans="1:5" x14ac:dyDescent="0.25">
      <c r="A9622">
        <v>76</v>
      </c>
      <c r="B9622">
        <f t="shared" si="39"/>
        <v>421</v>
      </c>
      <c r="C9622">
        <v>3</v>
      </c>
      <c r="E9622" s="1">
        <v>422</v>
      </c>
    </row>
    <row r="9623" spans="1:5" x14ac:dyDescent="0.25">
      <c r="A9623">
        <v>124</v>
      </c>
      <c r="B9623">
        <f t="shared" si="39"/>
        <v>421</v>
      </c>
      <c r="C9623">
        <v>1</v>
      </c>
      <c r="E9623">
        <v>422</v>
      </c>
    </row>
    <row r="9624" spans="1:5" x14ac:dyDescent="0.25">
      <c r="A9624">
        <v>124</v>
      </c>
      <c r="B9624">
        <f t="shared" si="39"/>
        <v>421</v>
      </c>
      <c r="C9624">
        <v>5</v>
      </c>
      <c r="E9624" s="1">
        <v>422</v>
      </c>
    </row>
    <row r="9625" spans="1:5" x14ac:dyDescent="0.25">
      <c r="A9625">
        <v>128</v>
      </c>
      <c r="B9625">
        <f t="shared" si="39"/>
        <v>421</v>
      </c>
      <c r="C9625">
        <v>5</v>
      </c>
      <c r="E9625">
        <v>422</v>
      </c>
    </row>
    <row r="9626" spans="1:5" x14ac:dyDescent="0.25">
      <c r="A9626">
        <v>130</v>
      </c>
      <c r="B9626">
        <f t="shared" si="39"/>
        <v>421</v>
      </c>
      <c r="C9626">
        <v>5</v>
      </c>
      <c r="E9626" s="1">
        <v>422</v>
      </c>
    </row>
    <row r="9627" spans="1:5" x14ac:dyDescent="0.25">
      <c r="A9627">
        <v>136</v>
      </c>
      <c r="B9627">
        <f t="shared" si="39"/>
        <v>421</v>
      </c>
      <c r="C9627">
        <v>2</v>
      </c>
      <c r="E9627">
        <v>422</v>
      </c>
    </row>
    <row r="9628" spans="1:5" x14ac:dyDescent="0.25">
      <c r="A9628">
        <v>136</v>
      </c>
      <c r="B9628">
        <f t="shared" si="39"/>
        <v>421</v>
      </c>
      <c r="C9628">
        <v>1</v>
      </c>
      <c r="E9628" s="1">
        <v>422</v>
      </c>
    </row>
    <row r="9629" spans="1:5" x14ac:dyDescent="0.25">
      <c r="A9629">
        <v>179</v>
      </c>
      <c r="B9629">
        <f t="shared" si="39"/>
        <v>421</v>
      </c>
      <c r="C9629">
        <v>2</v>
      </c>
      <c r="E9629">
        <v>422</v>
      </c>
    </row>
    <row r="9630" spans="1:5" x14ac:dyDescent="0.25">
      <c r="A9630">
        <v>219</v>
      </c>
      <c r="B9630">
        <f t="shared" si="39"/>
        <v>421</v>
      </c>
      <c r="C9630">
        <v>4</v>
      </c>
      <c r="E9630" s="1">
        <v>422</v>
      </c>
    </row>
    <row r="9631" spans="1:5" x14ac:dyDescent="0.25">
      <c r="A9631">
        <v>221</v>
      </c>
      <c r="B9631">
        <f t="shared" si="39"/>
        <v>421</v>
      </c>
      <c r="C9631">
        <v>4</v>
      </c>
      <c r="E9631">
        <v>422</v>
      </c>
    </row>
    <row r="9632" spans="1:5" x14ac:dyDescent="0.25">
      <c r="A9632">
        <v>242</v>
      </c>
      <c r="B9632">
        <f t="shared" si="39"/>
        <v>421</v>
      </c>
      <c r="C9632">
        <v>2</v>
      </c>
      <c r="E9632" s="1">
        <v>422</v>
      </c>
    </row>
    <row r="9633" spans="1:5" x14ac:dyDescent="0.25">
      <c r="A9633">
        <v>270</v>
      </c>
      <c r="B9633">
        <f t="shared" si="39"/>
        <v>421</v>
      </c>
      <c r="C9633">
        <v>4</v>
      </c>
      <c r="E9633">
        <v>422</v>
      </c>
    </row>
    <row r="9634" spans="1:5" x14ac:dyDescent="0.25">
      <c r="A9634">
        <v>274</v>
      </c>
      <c r="B9634">
        <f t="shared" si="39"/>
        <v>421</v>
      </c>
      <c r="C9634">
        <v>4</v>
      </c>
      <c r="E9634" s="1">
        <v>422</v>
      </c>
    </row>
    <row r="9635" spans="1:5" x14ac:dyDescent="0.25">
      <c r="A9635">
        <v>295</v>
      </c>
      <c r="B9635">
        <f t="shared" si="39"/>
        <v>421</v>
      </c>
      <c r="C9635">
        <v>5</v>
      </c>
      <c r="E9635">
        <v>422</v>
      </c>
    </row>
    <row r="9636" spans="1:5" x14ac:dyDescent="0.25">
      <c r="A9636">
        <v>25</v>
      </c>
      <c r="B9636">
        <f t="shared" si="39"/>
        <v>422</v>
      </c>
      <c r="C9636">
        <v>3</v>
      </c>
      <c r="E9636" s="1">
        <v>423</v>
      </c>
    </row>
    <row r="9637" spans="1:5" x14ac:dyDescent="0.25">
      <c r="A9637">
        <v>34</v>
      </c>
      <c r="B9637">
        <f t="shared" si="39"/>
        <v>422</v>
      </c>
      <c r="C9637">
        <v>3</v>
      </c>
      <c r="E9637">
        <v>423</v>
      </c>
    </row>
    <row r="9638" spans="1:5" x14ac:dyDescent="0.25">
      <c r="A9638">
        <v>42</v>
      </c>
      <c r="B9638">
        <f t="shared" si="39"/>
        <v>422</v>
      </c>
      <c r="C9638">
        <v>3</v>
      </c>
      <c r="E9638" s="1">
        <v>423</v>
      </c>
    </row>
    <row r="9639" spans="1:5" x14ac:dyDescent="0.25">
      <c r="A9639">
        <v>60</v>
      </c>
      <c r="B9639">
        <f t="shared" si="39"/>
        <v>422</v>
      </c>
      <c r="C9639">
        <v>2</v>
      </c>
      <c r="E9639">
        <v>423</v>
      </c>
    </row>
    <row r="9640" spans="1:5" x14ac:dyDescent="0.25">
      <c r="A9640">
        <v>65</v>
      </c>
      <c r="B9640">
        <f t="shared" si="39"/>
        <v>422</v>
      </c>
      <c r="C9640">
        <v>2</v>
      </c>
      <c r="E9640" s="1">
        <v>423</v>
      </c>
    </row>
    <row r="9641" spans="1:5" x14ac:dyDescent="0.25">
      <c r="A9641">
        <v>75</v>
      </c>
      <c r="B9641">
        <f t="shared" si="39"/>
        <v>422</v>
      </c>
      <c r="C9641">
        <v>1</v>
      </c>
      <c r="E9641">
        <v>423</v>
      </c>
    </row>
    <row r="9642" spans="1:5" x14ac:dyDescent="0.25">
      <c r="A9642">
        <v>84</v>
      </c>
      <c r="B9642">
        <f t="shared" si="39"/>
        <v>422</v>
      </c>
      <c r="C9642">
        <v>4</v>
      </c>
      <c r="E9642" s="1">
        <v>423</v>
      </c>
    </row>
    <row r="9643" spans="1:5" x14ac:dyDescent="0.25">
      <c r="A9643">
        <v>101</v>
      </c>
      <c r="B9643">
        <f t="shared" si="39"/>
        <v>422</v>
      </c>
      <c r="C9643">
        <v>3</v>
      </c>
      <c r="E9643">
        <v>423</v>
      </c>
    </row>
    <row r="9644" spans="1:5" x14ac:dyDescent="0.25">
      <c r="A9644">
        <v>102</v>
      </c>
      <c r="B9644">
        <f t="shared" si="39"/>
        <v>422</v>
      </c>
      <c r="C9644">
        <v>1</v>
      </c>
      <c r="E9644" s="1">
        <v>423</v>
      </c>
    </row>
    <row r="9645" spans="1:5" x14ac:dyDescent="0.25">
      <c r="A9645">
        <v>110</v>
      </c>
      <c r="B9645">
        <f t="shared" si="39"/>
        <v>422</v>
      </c>
      <c r="C9645">
        <v>1</v>
      </c>
      <c r="E9645">
        <v>423</v>
      </c>
    </row>
    <row r="9646" spans="1:5" x14ac:dyDescent="0.25">
      <c r="A9646">
        <v>146</v>
      </c>
      <c r="B9646">
        <f t="shared" si="39"/>
        <v>422</v>
      </c>
      <c r="C9646">
        <v>1</v>
      </c>
      <c r="E9646" s="1">
        <v>423</v>
      </c>
    </row>
    <row r="9647" spans="1:5" x14ac:dyDescent="0.25">
      <c r="A9647">
        <v>177</v>
      </c>
      <c r="B9647">
        <f t="shared" si="39"/>
        <v>422</v>
      </c>
      <c r="C9647">
        <v>1</v>
      </c>
      <c r="E9647">
        <v>423</v>
      </c>
    </row>
    <row r="9648" spans="1:5" x14ac:dyDescent="0.25">
      <c r="A9648">
        <v>197</v>
      </c>
      <c r="B9648">
        <f t="shared" si="39"/>
        <v>422</v>
      </c>
      <c r="C9648">
        <v>5</v>
      </c>
      <c r="E9648" s="1">
        <v>423</v>
      </c>
    </row>
    <row r="9649" spans="1:5" x14ac:dyDescent="0.25">
      <c r="A9649">
        <v>206</v>
      </c>
      <c r="B9649">
        <f t="shared" si="39"/>
        <v>422</v>
      </c>
      <c r="C9649">
        <v>2</v>
      </c>
      <c r="E9649">
        <v>423</v>
      </c>
    </row>
    <row r="9650" spans="1:5" x14ac:dyDescent="0.25">
      <c r="A9650">
        <v>220</v>
      </c>
      <c r="B9650">
        <f t="shared" si="39"/>
        <v>422</v>
      </c>
      <c r="C9650">
        <v>2</v>
      </c>
      <c r="E9650" s="1">
        <v>423</v>
      </c>
    </row>
    <row r="9651" spans="1:5" x14ac:dyDescent="0.25">
      <c r="A9651">
        <v>227</v>
      </c>
      <c r="B9651">
        <f t="shared" si="39"/>
        <v>422</v>
      </c>
      <c r="C9651">
        <v>1</v>
      </c>
      <c r="E9651">
        <v>423</v>
      </c>
    </row>
    <row r="9652" spans="1:5" x14ac:dyDescent="0.25">
      <c r="A9652">
        <v>228</v>
      </c>
      <c r="B9652">
        <f t="shared" si="39"/>
        <v>422</v>
      </c>
      <c r="C9652">
        <v>3</v>
      </c>
      <c r="E9652" s="1">
        <v>423</v>
      </c>
    </row>
    <row r="9653" spans="1:5" x14ac:dyDescent="0.25">
      <c r="A9653">
        <v>229</v>
      </c>
      <c r="B9653">
        <f t="shared" si="39"/>
        <v>422</v>
      </c>
      <c r="C9653">
        <v>2</v>
      </c>
      <c r="E9653">
        <v>423</v>
      </c>
    </row>
    <row r="9654" spans="1:5" x14ac:dyDescent="0.25">
      <c r="A9654">
        <v>255</v>
      </c>
      <c r="B9654">
        <f t="shared" si="39"/>
        <v>422</v>
      </c>
      <c r="C9654">
        <v>2</v>
      </c>
      <c r="E9654" s="1">
        <v>423</v>
      </c>
    </row>
    <row r="9655" spans="1:5" x14ac:dyDescent="0.25">
      <c r="A9655">
        <v>265</v>
      </c>
      <c r="B9655">
        <f t="shared" si="39"/>
        <v>422</v>
      </c>
      <c r="C9655">
        <v>1</v>
      </c>
      <c r="E9655">
        <v>423</v>
      </c>
    </row>
    <row r="9656" spans="1:5" x14ac:dyDescent="0.25">
      <c r="A9656">
        <v>268</v>
      </c>
      <c r="B9656">
        <f t="shared" si="39"/>
        <v>422</v>
      </c>
      <c r="C9656">
        <v>2</v>
      </c>
      <c r="E9656" s="1">
        <v>423</v>
      </c>
    </row>
    <row r="9657" spans="1:5" x14ac:dyDescent="0.25">
      <c r="A9657">
        <v>269</v>
      </c>
      <c r="B9657">
        <f t="shared" si="39"/>
        <v>422</v>
      </c>
      <c r="C9657">
        <v>2</v>
      </c>
      <c r="E9657">
        <v>423</v>
      </c>
    </row>
    <row r="9658" spans="1:5" x14ac:dyDescent="0.25">
      <c r="A9658">
        <v>277</v>
      </c>
      <c r="B9658">
        <f t="shared" si="39"/>
        <v>422</v>
      </c>
      <c r="C9658">
        <v>4</v>
      </c>
      <c r="E9658" s="1">
        <v>423</v>
      </c>
    </row>
    <row r="9659" spans="1:5" x14ac:dyDescent="0.25">
      <c r="A9659">
        <v>287</v>
      </c>
      <c r="B9659">
        <f t="shared" si="39"/>
        <v>422</v>
      </c>
      <c r="C9659">
        <v>3</v>
      </c>
      <c r="E9659">
        <v>423</v>
      </c>
    </row>
    <row r="9660" spans="1:5" x14ac:dyDescent="0.25">
      <c r="A9660">
        <v>44</v>
      </c>
      <c r="B9660">
        <f t="shared" si="39"/>
        <v>423</v>
      </c>
      <c r="C9660">
        <v>5</v>
      </c>
      <c r="E9660" s="1">
        <v>424</v>
      </c>
    </row>
    <row r="9661" spans="1:5" x14ac:dyDescent="0.25">
      <c r="A9661">
        <v>49</v>
      </c>
      <c r="B9661">
        <f t="shared" si="39"/>
        <v>423</v>
      </c>
      <c r="C9661">
        <v>4</v>
      </c>
      <c r="E9661">
        <v>424</v>
      </c>
    </row>
    <row r="9662" spans="1:5" x14ac:dyDescent="0.25">
      <c r="A9662">
        <v>80</v>
      </c>
      <c r="B9662">
        <f t="shared" si="39"/>
        <v>423</v>
      </c>
      <c r="C9662">
        <v>1</v>
      </c>
      <c r="E9662" s="1">
        <v>424</v>
      </c>
    </row>
    <row r="9663" spans="1:5" x14ac:dyDescent="0.25">
      <c r="A9663">
        <v>99</v>
      </c>
      <c r="B9663">
        <f t="shared" si="39"/>
        <v>423</v>
      </c>
      <c r="C9663">
        <v>1</v>
      </c>
      <c r="E9663">
        <v>424</v>
      </c>
    </row>
    <row r="9664" spans="1:5" x14ac:dyDescent="0.25">
      <c r="A9664">
        <v>106</v>
      </c>
      <c r="B9664">
        <f t="shared" si="39"/>
        <v>423</v>
      </c>
      <c r="C9664">
        <v>2</v>
      </c>
      <c r="E9664" s="1">
        <v>424</v>
      </c>
    </row>
    <row r="9665" spans="1:5" x14ac:dyDescent="0.25">
      <c r="A9665">
        <v>108</v>
      </c>
      <c r="B9665">
        <f t="shared" si="39"/>
        <v>423</v>
      </c>
      <c r="C9665">
        <v>4</v>
      </c>
      <c r="E9665">
        <v>424</v>
      </c>
    </row>
    <row r="9666" spans="1:5" x14ac:dyDescent="0.25">
      <c r="A9666">
        <v>112</v>
      </c>
      <c r="B9666">
        <f t="shared" si="39"/>
        <v>423</v>
      </c>
      <c r="C9666">
        <v>5</v>
      </c>
      <c r="E9666" s="1">
        <v>424</v>
      </c>
    </row>
    <row r="9667" spans="1:5" x14ac:dyDescent="0.25">
      <c r="A9667">
        <v>118</v>
      </c>
      <c r="B9667">
        <f t="shared" si="39"/>
        <v>423</v>
      </c>
      <c r="C9667">
        <v>4</v>
      </c>
      <c r="E9667">
        <v>424</v>
      </c>
    </row>
    <row r="9668" spans="1:5" x14ac:dyDescent="0.25">
      <c r="A9668">
        <v>134</v>
      </c>
      <c r="B9668">
        <f t="shared" si="39"/>
        <v>423</v>
      </c>
      <c r="C9668">
        <v>3</v>
      </c>
      <c r="E9668" s="1">
        <v>424</v>
      </c>
    </row>
    <row r="9669" spans="1:5" x14ac:dyDescent="0.25">
      <c r="A9669">
        <v>137</v>
      </c>
      <c r="B9669">
        <f t="shared" si="39"/>
        <v>423</v>
      </c>
      <c r="C9669">
        <v>3</v>
      </c>
      <c r="E9669">
        <v>424</v>
      </c>
    </row>
    <row r="9670" spans="1:5" x14ac:dyDescent="0.25">
      <c r="A9670">
        <v>143</v>
      </c>
      <c r="B9670">
        <f t="shared" si="39"/>
        <v>423</v>
      </c>
      <c r="C9670">
        <v>2</v>
      </c>
      <c r="E9670" s="1">
        <v>424</v>
      </c>
    </row>
    <row r="9671" spans="1:5" x14ac:dyDescent="0.25">
      <c r="A9671">
        <v>148</v>
      </c>
      <c r="B9671">
        <f t="shared" si="39"/>
        <v>423</v>
      </c>
      <c r="C9671">
        <v>3</v>
      </c>
      <c r="E9671">
        <v>424</v>
      </c>
    </row>
    <row r="9672" spans="1:5" x14ac:dyDescent="0.25">
      <c r="A9672">
        <v>155</v>
      </c>
      <c r="B9672">
        <f t="shared" si="39"/>
        <v>423</v>
      </c>
      <c r="C9672">
        <v>4</v>
      </c>
      <c r="E9672" s="1">
        <v>424</v>
      </c>
    </row>
    <row r="9673" spans="1:5" x14ac:dyDescent="0.25">
      <c r="A9673">
        <v>172</v>
      </c>
      <c r="B9673">
        <f t="shared" si="39"/>
        <v>423</v>
      </c>
      <c r="C9673">
        <v>2</v>
      </c>
      <c r="E9673">
        <v>424</v>
      </c>
    </row>
    <row r="9674" spans="1:5" x14ac:dyDescent="0.25">
      <c r="A9674">
        <v>173</v>
      </c>
      <c r="B9674">
        <f t="shared" si="39"/>
        <v>423</v>
      </c>
      <c r="C9674">
        <v>3</v>
      </c>
      <c r="E9674" s="1">
        <v>424</v>
      </c>
    </row>
    <row r="9675" spans="1:5" x14ac:dyDescent="0.25">
      <c r="A9675">
        <v>188</v>
      </c>
      <c r="B9675">
        <f t="shared" si="39"/>
        <v>423</v>
      </c>
      <c r="C9675">
        <v>4</v>
      </c>
      <c r="E9675">
        <v>424</v>
      </c>
    </row>
    <row r="9676" spans="1:5" x14ac:dyDescent="0.25">
      <c r="A9676">
        <v>203</v>
      </c>
      <c r="B9676">
        <f t="shared" si="39"/>
        <v>423</v>
      </c>
      <c r="C9676">
        <v>1</v>
      </c>
      <c r="E9676" s="1">
        <v>424</v>
      </c>
    </row>
    <row r="9677" spans="1:5" x14ac:dyDescent="0.25">
      <c r="A9677">
        <v>203</v>
      </c>
      <c r="B9677">
        <f t="shared" si="39"/>
        <v>423</v>
      </c>
      <c r="C9677">
        <v>5</v>
      </c>
      <c r="E9677">
        <v>424</v>
      </c>
    </row>
    <row r="9678" spans="1:5" x14ac:dyDescent="0.25">
      <c r="A9678">
        <v>210</v>
      </c>
      <c r="B9678">
        <f t="shared" ref="B9678:B9741" si="40">E9678-1</f>
        <v>423</v>
      </c>
      <c r="C9678">
        <v>5</v>
      </c>
      <c r="E9678" s="1">
        <v>424</v>
      </c>
    </row>
    <row r="9679" spans="1:5" x14ac:dyDescent="0.25">
      <c r="A9679">
        <v>219</v>
      </c>
      <c r="B9679">
        <f t="shared" si="40"/>
        <v>423</v>
      </c>
      <c r="C9679">
        <v>1</v>
      </c>
      <c r="E9679">
        <v>424</v>
      </c>
    </row>
    <row r="9680" spans="1:5" x14ac:dyDescent="0.25">
      <c r="A9680">
        <v>249</v>
      </c>
      <c r="B9680">
        <f t="shared" si="40"/>
        <v>423</v>
      </c>
      <c r="C9680">
        <v>3</v>
      </c>
      <c r="E9680" s="1">
        <v>424</v>
      </c>
    </row>
    <row r="9681" spans="1:5" x14ac:dyDescent="0.25">
      <c r="A9681">
        <v>265</v>
      </c>
      <c r="B9681">
        <f t="shared" si="40"/>
        <v>423</v>
      </c>
      <c r="C9681">
        <v>3</v>
      </c>
      <c r="E9681">
        <v>424</v>
      </c>
    </row>
    <row r="9682" spans="1:5" x14ac:dyDescent="0.25">
      <c r="A9682">
        <v>272</v>
      </c>
      <c r="B9682">
        <f t="shared" si="40"/>
        <v>423</v>
      </c>
      <c r="C9682">
        <v>3</v>
      </c>
      <c r="E9682" s="1">
        <v>424</v>
      </c>
    </row>
    <row r="9683" spans="1:5" x14ac:dyDescent="0.25">
      <c r="A9683">
        <v>284</v>
      </c>
      <c r="B9683">
        <f t="shared" si="40"/>
        <v>423</v>
      </c>
      <c r="C9683">
        <v>2</v>
      </c>
      <c r="E9683">
        <v>424</v>
      </c>
    </row>
    <row r="9684" spans="1:5" x14ac:dyDescent="0.25">
      <c r="A9684">
        <v>297</v>
      </c>
      <c r="B9684">
        <f t="shared" si="40"/>
        <v>423</v>
      </c>
      <c r="C9684">
        <v>2</v>
      </c>
      <c r="E9684" s="1">
        <v>424</v>
      </c>
    </row>
    <row r="9685" spans="1:5" x14ac:dyDescent="0.25">
      <c r="A9685">
        <v>298</v>
      </c>
      <c r="B9685">
        <f t="shared" si="40"/>
        <v>423</v>
      </c>
      <c r="C9685">
        <v>1</v>
      </c>
      <c r="E9685">
        <v>424</v>
      </c>
    </row>
    <row r="9686" spans="1:5" x14ac:dyDescent="0.25">
      <c r="A9686">
        <v>20</v>
      </c>
      <c r="B9686">
        <f t="shared" si="40"/>
        <v>424</v>
      </c>
      <c r="C9686">
        <v>4</v>
      </c>
      <c r="E9686" s="1">
        <v>425</v>
      </c>
    </row>
    <row r="9687" spans="1:5" x14ac:dyDescent="0.25">
      <c r="A9687">
        <v>20</v>
      </c>
      <c r="B9687">
        <f t="shared" si="40"/>
        <v>424</v>
      </c>
      <c r="C9687">
        <v>3</v>
      </c>
      <c r="E9687">
        <v>425</v>
      </c>
    </row>
    <row r="9688" spans="1:5" x14ac:dyDescent="0.25">
      <c r="A9688">
        <v>49</v>
      </c>
      <c r="B9688">
        <f t="shared" si="40"/>
        <v>424</v>
      </c>
      <c r="C9688">
        <v>4</v>
      </c>
      <c r="E9688" s="1">
        <v>425</v>
      </c>
    </row>
    <row r="9689" spans="1:5" x14ac:dyDescent="0.25">
      <c r="A9689">
        <v>50</v>
      </c>
      <c r="B9689">
        <f t="shared" si="40"/>
        <v>424</v>
      </c>
      <c r="C9689">
        <v>2</v>
      </c>
      <c r="E9689">
        <v>425</v>
      </c>
    </row>
    <row r="9690" spans="1:5" x14ac:dyDescent="0.25">
      <c r="A9690">
        <v>67</v>
      </c>
      <c r="B9690">
        <f t="shared" si="40"/>
        <v>424</v>
      </c>
      <c r="C9690">
        <v>2</v>
      </c>
      <c r="E9690" s="1">
        <v>425</v>
      </c>
    </row>
    <row r="9691" spans="1:5" x14ac:dyDescent="0.25">
      <c r="A9691">
        <v>68</v>
      </c>
      <c r="B9691">
        <f t="shared" si="40"/>
        <v>424</v>
      </c>
      <c r="C9691">
        <v>5</v>
      </c>
      <c r="E9691">
        <v>425</v>
      </c>
    </row>
    <row r="9692" spans="1:5" x14ac:dyDescent="0.25">
      <c r="A9692">
        <v>75</v>
      </c>
      <c r="B9692">
        <f t="shared" si="40"/>
        <v>424</v>
      </c>
      <c r="C9692">
        <v>5</v>
      </c>
      <c r="E9692" s="1">
        <v>425</v>
      </c>
    </row>
    <row r="9693" spans="1:5" x14ac:dyDescent="0.25">
      <c r="A9693">
        <v>82</v>
      </c>
      <c r="B9693">
        <f t="shared" si="40"/>
        <v>424</v>
      </c>
      <c r="C9693">
        <v>5</v>
      </c>
      <c r="E9693">
        <v>425</v>
      </c>
    </row>
    <row r="9694" spans="1:5" x14ac:dyDescent="0.25">
      <c r="A9694">
        <v>86</v>
      </c>
      <c r="B9694">
        <f t="shared" si="40"/>
        <v>424</v>
      </c>
      <c r="C9694">
        <v>3</v>
      </c>
      <c r="E9694" s="1">
        <v>425</v>
      </c>
    </row>
    <row r="9695" spans="1:5" x14ac:dyDescent="0.25">
      <c r="A9695">
        <v>91</v>
      </c>
      <c r="B9695">
        <f t="shared" si="40"/>
        <v>424</v>
      </c>
      <c r="C9695">
        <v>1</v>
      </c>
      <c r="E9695">
        <v>425</v>
      </c>
    </row>
    <row r="9696" spans="1:5" x14ac:dyDescent="0.25">
      <c r="A9696">
        <v>100</v>
      </c>
      <c r="B9696">
        <f t="shared" si="40"/>
        <v>424</v>
      </c>
      <c r="C9696">
        <v>5</v>
      </c>
      <c r="E9696" s="1">
        <v>425</v>
      </c>
    </row>
    <row r="9697" spans="1:5" x14ac:dyDescent="0.25">
      <c r="A9697">
        <v>132</v>
      </c>
      <c r="B9697">
        <f t="shared" si="40"/>
        <v>424</v>
      </c>
      <c r="C9697">
        <v>5</v>
      </c>
      <c r="E9697">
        <v>425</v>
      </c>
    </row>
    <row r="9698" spans="1:5" x14ac:dyDescent="0.25">
      <c r="A9698">
        <v>133</v>
      </c>
      <c r="B9698">
        <f t="shared" si="40"/>
        <v>424</v>
      </c>
      <c r="C9698">
        <v>4</v>
      </c>
      <c r="E9698" s="1">
        <v>425</v>
      </c>
    </row>
    <row r="9699" spans="1:5" x14ac:dyDescent="0.25">
      <c r="A9699">
        <v>149</v>
      </c>
      <c r="B9699">
        <f t="shared" si="40"/>
        <v>424</v>
      </c>
      <c r="C9699">
        <v>2</v>
      </c>
      <c r="E9699">
        <v>425</v>
      </c>
    </row>
    <row r="9700" spans="1:5" x14ac:dyDescent="0.25">
      <c r="A9700">
        <v>167</v>
      </c>
      <c r="B9700">
        <f t="shared" si="40"/>
        <v>424</v>
      </c>
      <c r="C9700">
        <v>4</v>
      </c>
      <c r="E9700" s="1">
        <v>425</v>
      </c>
    </row>
    <row r="9701" spans="1:5" x14ac:dyDescent="0.25">
      <c r="A9701">
        <v>174</v>
      </c>
      <c r="B9701">
        <f t="shared" si="40"/>
        <v>424</v>
      </c>
      <c r="C9701">
        <v>3</v>
      </c>
      <c r="E9701">
        <v>425</v>
      </c>
    </row>
    <row r="9702" spans="1:5" x14ac:dyDescent="0.25">
      <c r="A9702">
        <v>181</v>
      </c>
      <c r="B9702">
        <f t="shared" si="40"/>
        <v>424</v>
      </c>
      <c r="C9702">
        <v>2</v>
      </c>
      <c r="E9702" s="1">
        <v>425</v>
      </c>
    </row>
    <row r="9703" spans="1:5" x14ac:dyDescent="0.25">
      <c r="A9703">
        <v>193</v>
      </c>
      <c r="B9703">
        <f t="shared" si="40"/>
        <v>424</v>
      </c>
      <c r="C9703">
        <v>2</v>
      </c>
      <c r="E9703">
        <v>425</v>
      </c>
    </row>
    <row r="9704" spans="1:5" x14ac:dyDescent="0.25">
      <c r="A9704">
        <v>193</v>
      </c>
      <c r="B9704">
        <f t="shared" si="40"/>
        <v>424</v>
      </c>
      <c r="C9704">
        <v>3</v>
      </c>
      <c r="E9704" s="1">
        <v>425</v>
      </c>
    </row>
    <row r="9705" spans="1:5" x14ac:dyDescent="0.25">
      <c r="A9705">
        <v>212</v>
      </c>
      <c r="B9705">
        <f t="shared" si="40"/>
        <v>424</v>
      </c>
      <c r="C9705">
        <v>1</v>
      </c>
      <c r="E9705">
        <v>425</v>
      </c>
    </row>
    <row r="9706" spans="1:5" x14ac:dyDescent="0.25">
      <c r="A9706">
        <v>214</v>
      </c>
      <c r="B9706">
        <f t="shared" si="40"/>
        <v>424</v>
      </c>
      <c r="C9706">
        <v>3</v>
      </c>
      <c r="E9706" s="1">
        <v>425</v>
      </c>
    </row>
    <row r="9707" spans="1:5" x14ac:dyDescent="0.25">
      <c r="A9707">
        <v>233</v>
      </c>
      <c r="B9707">
        <f t="shared" si="40"/>
        <v>424</v>
      </c>
      <c r="C9707">
        <v>5</v>
      </c>
      <c r="E9707">
        <v>425</v>
      </c>
    </row>
    <row r="9708" spans="1:5" x14ac:dyDescent="0.25">
      <c r="A9708">
        <v>255</v>
      </c>
      <c r="B9708">
        <f t="shared" si="40"/>
        <v>424</v>
      </c>
      <c r="C9708">
        <v>3</v>
      </c>
      <c r="E9708" s="1">
        <v>425</v>
      </c>
    </row>
    <row r="9709" spans="1:5" x14ac:dyDescent="0.25">
      <c r="A9709">
        <v>256</v>
      </c>
      <c r="B9709">
        <f t="shared" si="40"/>
        <v>424</v>
      </c>
      <c r="C9709">
        <v>5</v>
      </c>
      <c r="E9709">
        <v>425</v>
      </c>
    </row>
    <row r="9710" spans="1:5" x14ac:dyDescent="0.25">
      <c r="A9710">
        <v>300</v>
      </c>
      <c r="B9710">
        <f t="shared" si="40"/>
        <v>424</v>
      </c>
      <c r="C9710">
        <v>2</v>
      </c>
      <c r="E9710" s="1">
        <v>425</v>
      </c>
    </row>
    <row r="9711" spans="1:5" x14ac:dyDescent="0.25">
      <c r="A9711">
        <v>2</v>
      </c>
      <c r="B9711">
        <f t="shared" si="40"/>
        <v>425</v>
      </c>
      <c r="C9711">
        <v>4</v>
      </c>
      <c r="E9711">
        <v>426</v>
      </c>
    </row>
    <row r="9712" spans="1:5" x14ac:dyDescent="0.25">
      <c r="A9712">
        <v>18</v>
      </c>
      <c r="B9712">
        <f t="shared" si="40"/>
        <v>425</v>
      </c>
      <c r="C9712">
        <v>2</v>
      </c>
      <c r="E9712" s="1">
        <v>426</v>
      </c>
    </row>
    <row r="9713" spans="1:5" x14ac:dyDescent="0.25">
      <c r="A9713">
        <v>19</v>
      </c>
      <c r="B9713">
        <f t="shared" si="40"/>
        <v>425</v>
      </c>
      <c r="C9713">
        <v>5</v>
      </c>
      <c r="E9713">
        <v>426</v>
      </c>
    </row>
    <row r="9714" spans="1:5" x14ac:dyDescent="0.25">
      <c r="A9714">
        <v>35</v>
      </c>
      <c r="B9714">
        <f t="shared" si="40"/>
        <v>425</v>
      </c>
      <c r="C9714">
        <v>2</v>
      </c>
      <c r="E9714" s="1">
        <v>426</v>
      </c>
    </row>
    <row r="9715" spans="1:5" x14ac:dyDescent="0.25">
      <c r="A9715">
        <v>48</v>
      </c>
      <c r="B9715">
        <f t="shared" si="40"/>
        <v>425</v>
      </c>
      <c r="C9715">
        <v>4</v>
      </c>
      <c r="E9715">
        <v>426</v>
      </c>
    </row>
    <row r="9716" spans="1:5" x14ac:dyDescent="0.25">
      <c r="A9716">
        <v>93</v>
      </c>
      <c r="B9716">
        <f t="shared" si="40"/>
        <v>425</v>
      </c>
      <c r="C9716">
        <v>5</v>
      </c>
      <c r="E9716" s="1">
        <v>426</v>
      </c>
    </row>
    <row r="9717" spans="1:5" x14ac:dyDescent="0.25">
      <c r="A9717">
        <v>112</v>
      </c>
      <c r="B9717">
        <f t="shared" si="40"/>
        <v>425</v>
      </c>
      <c r="C9717">
        <v>5</v>
      </c>
      <c r="E9717">
        <v>426</v>
      </c>
    </row>
    <row r="9718" spans="1:5" x14ac:dyDescent="0.25">
      <c r="A9718">
        <v>118</v>
      </c>
      <c r="B9718">
        <f t="shared" si="40"/>
        <v>425</v>
      </c>
      <c r="C9718">
        <v>3</v>
      </c>
      <c r="E9718" s="1">
        <v>426</v>
      </c>
    </row>
    <row r="9719" spans="1:5" x14ac:dyDescent="0.25">
      <c r="A9719">
        <v>131</v>
      </c>
      <c r="B9719">
        <f t="shared" si="40"/>
        <v>425</v>
      </c>
      <c r="C9719">
        <v>1</v>
      </c>
      <c r="E9719">
        <v>426</v>
      </c>
    </row>
    <row r="9720" spans="1:5" x14ac:dyDescent="0.25">
      <c r="A9720">
        <v>143</v>
      </c>
      <c r="B9720">
        <f t="shared" si="40"/>
        <v>425</v>
      </c>
      <c r="C9720">
        <v>3</v>
      </c>
      <c r="E9720" s="1">
        <v>426</v>
      </c>
    </row>
    <row r="9721" spans="1:5" x14ac:dyDescent="0.25">
      <c r="A9721">
        <v>166</v>
      </c>
      <c r="B9721">
        <f t="shared" si="40"/>
        <v>425</v>
      </c>
      <c r="C9721">
        <v>4</v>
      </c>
      <c r="E9721">
        <v>426</v>
      </c>
    </row>
    <row r="9722" spans="1:5" x14ac:dyDescent="0.25">
      <c r="A9722">
        <v>179</v>
      </c>
      <c r="B9722">
        <f t="shared" si="40"/>
        <v>425</v>
      </c>
      <c r="C9722">
        <v>1</v>
      </c>
      <c r="E9722" s="1">
        <v>426</v>
      </c>
    </row>
    <row r="9723" spans="1:5" x14ac:dyDescent="0.25">
      <c r="A9723">
        <v>187</v>
      </c>
      <c r="B9723">
        <f t="shared" si="40"/>
        <v>425</v>
      </c>
      <c r="C9723">
        <v>2</v>
      </c>
      <c r="E9723">
        <v>426</v>
      </c>
    </row>
    <row r="9724" spans="1:5" x14ac:dyDescent="0.25">
      <c r="A9724">
        <v>192</v>
      </c>
      <c r="B9724">
        <f t="shared" si="40"/>
        <v>425</v>
      </c>
      <c r="C9724">
        <v>4</v>
      </c>
      <c r="E9724" s="1">
        <v>426</v>
      </c>
    </row>
    <row r="9725" spans="1:5" x14ac:dyDescent="0.25">
      <c r="A9725">
        <v>194</v>
      </c>
      <c r="B9725">
        <f t="shared" si="40"/>
        <v>425</v>
      </c>
      <c r="C9725">
        <v>2</v>
      </c>
      <c r="E9725">
        <v>426</v>
      </c>
    </row>
    <row r="9726" spans="1:5" x14ac:dyDescent="0.25">
      <c r="A9726">
        <v>200</v>
      </c>
      <c r="B9726">
        <f t="shared" si="40"/>
        <v>425</v>
      </c>
      <c r="C9726">
        <v>2</v>
      </c>
      <c r="E9726" s="1">
        <v>426</v>
      </c>
    </row>
    <row r="9727" spans="1:5" x14ac:dyDescent="0.25">
      <c r="A9727">
        <v>212</v>
      </c>
      <c r="B9727">
        <f t="shared" si="40"/>
        <v>425</v>
      </c>
      <c r="C9727">
        <v>5</v>
      </c>
      <c r="E9727">
        <v>426</v>
      </c>
    </row>
    <row r="9728" spans="1:5" x14ac:dyDescent="0.25">
      <c r="A9728">
        <v>215</v>
      </c>
      <c r="B9728">
        <f t="shared" si="40"/>
        <v>425</v>
      </c>
      <c r="C9728">
        <v>1</v>
      </c>
      <c r="E9728" s="1">
        <v>426</v>
      </c>
    </row>
    <row r="9729" spans="1:5" x14ac:dyDescent="0.25">
      <c r="A9729">
        <v>223</v>
      </c>
      <c r="B9729">
        <f t="shared" si="40"/>
        <v>425</v>
      </c>
      <c r="C9729">
        <v>3</v>
      </c>
      <c r="E9729">
        <v>426</v>
      </c>
    </row>
    <row r="9730" spans="1:5" x14ac:dyDescent="0.25">
      <c r="A9730">
        <v>240</v>
      </c>
      <c r="B9730">
        <f t="shared" si="40"/>
        <v>425</v>
      </c>
      <c r="C9730">
        <v>2</v>
      </c>
      <c r="E9730" s="1">
        <v>426</v>
      </c>
    </row>
    <row r="9731" spans="1:5" x14ac:dyDescent="0.25">
      <c r="A9731">
        <v>261</v>
      </c>
      <c r="B9731">
        <f t="shared" si="40"/>
        <v>425</v>
      </c>
      <c r="C9731">
        <v>2</v>
      </c>
      <c r="E9731">
        <v>426</v>
      </c>
    </row>
    <row r="9732" spans="1:5" x14ac:dyDescent="0.25">
      <c r="A9732">
        <v>278</v>
      </c>
      <c r="B9732">
        <f t="shared" si="40"/>
        <v>425</v>
      </c>
      <c r="C9732">
        <v>3</v>
      </c>
      <c r="E9732" s="1">
        <v>426</v>
      </c>
    </row>
    <row r="9733" spans="1:5" x14ac:dyDescent="0.25">
      <c r="A9733">
        <v>21</v>
      </c>
      <c r="B9733">
        <f t="shared" si="40"/>
        <v>426</v>
      </c>
      <c r="C9733">
        <v>4</v>
      </c>
      <c r="E9733">
        <v>427</v>
      </c>
    </row>
    <row r="9734" spans="1:5" x14ac:dyDescent="0.25">
      <c r="A9734">
        <v>24</v>
      </c>
      <c r="B9734">
        <f t="shared" si="40"/>
        <v>426</v>
      </c>
      <c r="C9734">
        <v>5</v>
      </c>
      <c r="E9734" s="1">
        <v>427</v>
      </c>
    </row>
    <row r="9735" spans="1:5" x14ac:dyDescent="0.25">
      <c r="A9735">
        <v>41</v>
      </c>
      <c r="B9735">
        <f t="shared" si="40"/>
        <v>426</v>
      </c>
      <c r="C9735">
        <v>4</v>
      </c>
      <c r="E9735">
        <v>427</v>
      </c>
    </row>
    <row r="9736" spans="1:5" x14ac:dyDescent="0.25">
      <c r="A9736">
        <v>60</v>
      </c>
      <c r="B9736">
        <f t="shared" si="40"/>
        <v>426</v>
      </c>
      <c r="C9736">
        <v>5</v>
      </c>
      <c r="E9736" s="1">
        <v>427</v>
      </c>
    </row>
    <row r="9737" spans="1:5" x14ac:dyDescent="0.25">
      <c r="A9737">
        <v>68</v>
      </c>
      <c r="B9737">
        <f t="shared" si="40"/>
        <v>426</v>
      </c>
      <c r="C9737">
        <v>3</v>
      </c>
      <c r="E9737">
        <v>427</v>
      </c>
    </row>
    <row r="9738" spans="1:5" x14ac:dyDescent="0.25">
      <c r="A9738">
        <v>81</v>
      </c>
      <c r="B9738">
        <f t="shared" si="40"/>
        <v>426</v>
      </c>
      <c r="C9738">
        <v>4</v>
      </c>
      <c r="E9738" s="1">
        <v>427</v>
      </c>
    </row>
    <row r="9739" spans="1:5" x14ac:dyDescent="0.25">
      <c r="A9739">
        <v>94</v>
      </c>
      <c r="B9739">
        <f t="shared" si="40"/>
        <v>426</v>
      </c>
      <c r="C9739">
        <v>4</v>
      </c>
      <c r="E9739">
        <v>427</v>
      </c>
    </row>
    <row r="9740" spans="1:5" x14ac:dyDescent="0.25">
      <c r="A9740">
        <v>113</v>
      </c>
      <c r="B9740">
        <f t="shared" si="40"/>
        <v>426</v>
      </c>
      <c r="C9740">
        <v>5</v>
      </c>
      <c r="E9740" s="1">
        <v>427</v>
      </c>
    </row>
    <row r="9741" spans="1:5" x14ac:dyDescent="0.25">
      <c r="A9741">
        <v>116</v>
      </c>
      <c r="B9741">
        <f t="shared" si="40"/>
        <v>426</v>
      </c>
      <c r="C9741">
        <v>1</v>
      </c>
      <c r="E9741">
        <v>427</v>
      </c>
    </row>
    <row r="9742" spans="1:5" x14ac:dyDescent="0.25">
      <c r="A9742">
        <v>134</v>
      </c>
      <c r="B9742">
        <f t="shared" ref="B9742:B9805" si="41">E9742-1</f>
        <v>426</v>
      </c>
      <c r="C9742">
        <v>4</v>
      </c>
      <c r="E9742" s="1">
        <v>427</v>
      </c>
    </row>
    <row r="9743" spans="1:5" x14ac:dyDescent="0.25">
      <c r="A9743">
        <v>150</v>
      </c>
      <c r="B9743">
        <f t="shared" si="41"/>
        <v>426</v>
      </c>
      <c r="C9743">
        <v>5</v>
      </c>
      <c r="E9743">
        <v>427</v>
      </c>
    </row>
    <row r="9744" spans="1:5" x14ac:dyDescent="0.25">
      <c r="A9744">
        <v>153</v>
      </c>
      <c r="B9744">
        <f t="shared" si="41"/>
        <v>426</v>
      </c>
      <c r="C9744">
        <v>1</v>
      </c>
      <c r="E9744" s="1">
        <v>427</v>
      </c>
    </row>
    <row r="9745" spans="1:5" x14ac:dyDescent="0.25">
      <c r="A9745">
        <v>170</v>
      </c>
      <c r="B9745">
        <f t="shared" si="41"/>
        <v>426</v>
      </c>
      <c r="C9745">
        <v>3</v>
      </c>
      <c r="E9745">
        <v>427</v>
      </c>
    </row>
    <row r="9746" spans="1:5" x14ac:dyDescent="0.25">
      <c r="A9746">
        <v>175</v>
      </c>
      <c r="B9746">
        <f t="shared" si="41"/>
        <v>426</v>
      </c>
      <c r="C9746">
        <v>3</v>
      </c>
      <c r="E9746" s="1">
        <v>427</v>
      </c>
    </row>
    <row r="9747" spans="1:5" x14ac:dyDescent="0.25">
      <c r="A9747">
        <v>181</v>
      </c>
      <c r="B9747">
        <f t="shared" si="41"/>
        <v>426</v>
      </c>
      <c r="C9747">
        <v>2</v>
      </c>
      <c r="E9747">
        <v>427</v>
      </c>
    </row>
    <row r="9748" spans="1:5" x14ac:dyDescent="0.25">
      <c r="A9748">
        <v>185</v>
      </c>
      <c r="B9748">
        <f t="shared" si="41"/>
        <v>426</v>
      </c>
      <c r="C9748">
        <v>4</v>
      </c>
      <c r="E9748" s="1">
        <v>427</v>
      </c>
    </row>
    <row r="9749" spans="1:5" x14ac:dyDescent="0.25">
      <c r="A9749">
        <v>199</v>
      </c>
      <c r="B9749">
        <f t="shared" si="41"/>
        <v>426</v>
      </c>
      <c r="C9749">
        <v>2</v>
      </c>
      <c r="E9749">
        <v>427</v>
      </c>
    </row>
    <row r="9750" spans="1:5" x14ac:dyDescent="0.25">
      <c r="A9750">
        <v>227</v>
      </c>
      <c r="B9750">
        <f t="shared" si="41"/>
        <v>426</v>
      </c>
      <c r="C9750">
        <v>1</v>
      </c>
      <c r="E9750" s="1">
        <v>427</v>
      </c>
    </row>
    <row r="9751" spans="1:5" x14ac:dyDescent="0.25">
      <c r="A9751">
        <v>227</v>
      </c>
      <c r="B9751">
        <f t="shared" si="41"/>
        <v>426</v>
      </c>
      <c r="C9751">
        <v>4</v>
      </c>
      <c r="E9751">
        <v>427</v>
      </c>
    </row>
    <row r="9752" spans="1:5" x14ac:dyDescent="0.25">
      <c r="A9752">
        <v>234</v>
      </c>
      <c r="B9752">
        <f t="shared" si="41"/>
        <v>426</v>
      </c>
      <c r="C9752">
        <v>2</v>
      </c>
      <c r="E9752" s="1">
        <v>427</v>
      </c>
    </row>
    <row r="9753" spans="1:5" x14ac:dyDescent="0.25">
      <c r="A9753">
        <v>246</v>
      </c>
      <c r="B9753">
        <f t="shared" si="41"/>
        <v>426</v>
      </c>
      <c r="C9753">
        <v>4</v>
      </c>
      <c r="E9753">
        <v>427</v>
      </c>
    </row>
    <row r="9754" spans="1:5" x14ac:dyDescent="0.25">
      <c r="A9754">
        <v>248</v>
      </c>
      <c r="B9754">
        <f t="shared" si="41"/>
        <v>426</v>
      </c>
      <c r="C9754">
        <v>1</v>
      </c>
      <c r="E9754" s="1">
        <v>427</v>
      </c>
    </row>
    <row r="9755" spans="1:5" x14ac:dyDescent="0.25">
      <c r="A9755">
        <v>255</v>
      </c>
      <c r="B9755">
        <f t="shared" si="41"/>
        <v>426</v>
      </c>
      <c r="C9755">
        <v>1</v>
      </c>
      <c r="E9755">
        <v>427</v>
      </c>
    </row>
    <row r="9756" spans="1:5" x14ac:dyDescent="0.25">
      <c r="A9756">
        <v>271</v>
      </c>
      <c r="B9756">
        <f t="shared" si="41"/>
        <v>426</v>
      </c>
      <c r="C9756">
        <v>1</v>
      </c>
      <c r="E9756" s="1">
        <v>427</v>
      </c>
    </row>
    <row r="9757" spans="1:5" x14ac:dyDescent="0.25">
      <c r="A9757">
        <v>274</v>
      </c>
      <c r="B9757">
        <f t="shared" si="41"/>
        <v>426</v>
      </c>
      <c r="C9757">
        <v>2</v>
      </c>
      <c r="E9757">
        <v>427</v>
      </c>
    </row>
    <row r="9758" spans="1:5" x14ac:dyDescent="0.25">
      <c r="A9758">
        <v>285</v>
      </c>
      <c r="B9758">
        <f t="shared" si="41"/>
        <v>426</v>
      </c>
      <c r="C9758">
        <v>1</v>
      </c>
      <c r="E9758" s="1">
        <v>427</v>
      </c>
    </row>
    <row r="9759" spans="1:5" x14ac:dyDescent="0.25">
      <c r="A9759">
        <v>286</v>
      </c>
      <c r="B9759">
        <f t="shared" si="41"/>
        <v>426</v>
      </c>
      <c r="C9759">
        <v>2</v>
      </c>
      <c r="E9759">
        <v>427</v>
      </c>
    </row>
    <row r="9760" spans="1:5" x14ac:dyDescent="0.25">
      <c r="A9760">
        <v>296</v>
      </c>
      <c r="B9760">
        <f t="shared" si="41"/>
        <v>426</v>
      </c>
      <c r="C9760">
        <v>5</v>
      </c>
      <c r="E9760" s="1">
        <v>427</v>
      </c>
    </row>
    <row r="9761" spans="1:5" x14ac:dyDescent="0.25">
      <c r="A9761">
        <v>1</v>
      </c>
      <c r="B9761">
        <f t="shared" si="41"/>
        <v>427</v>
      </c>
      <c r="C9761">
        <v>3</v>
      </c>
      <c r="E9761">
        <v>428</v>
      </c>
    </row>
    <row r="9762" spans="1:5" x14ac:dyDescent="0.25">
      <c r="A9762">
        <v>63</v>
      </c>
      <c r="B9762">
        <f t="shared" si="41"/>
        <v>427</v>
      </c>
      <c r="C9762">
        <v>5</v>
      </c>
      <c r="E9762" s="1">
        <v>428</v>
      </c>
    </row>
    <row r="9763" spans="1:5" x14ac:dyDescent="0.25">
      <c r="A9763">
        <v>64</v>
      </c>
      <c r="B9763">
        <f t="shared" si="41"/>
        <v>427</v>
      </c>
      <c r="C9763">
        <v>4</v>
      </c>
      <c r="E9763">
        <v>428</v>
      </c>
    </row>
    <row r="9764" spans="1:5" x14ac:dyDescent="0.25">
      <c r="A9764">
        <v>70</v>
      </c>
      <c r="B9764">
        <f t="shared" si="41"/>
        <v>427</v>
      </c>
      <c r="C9764">
        <v>1</v>
      </c>
      <c r="E9764" s="1">
        <v>428</v>
      </c>
    </row>
    <row r="9765" spans="1:5" x14ac:dyDescent="0.25">
      <c r="A9765">
        <v>82</v>
      </c>
      <c r="B9765">
        <f t="shared" si="41"/>
        <v>427</v>
      </c>
      <c r="C9765">
        <v>1</v>
      </c>
      <c r="E9765">
        <v>428</v>
      </c>
    </row>
    <row r="9766" spans="1:5" x14ac:dyDescent="0.25">
      <c r="A9766">
        <v>98</v>
      </c>
      <c r="B9766">
        <f t="shared" si="41"/>
        <v>427</v>
      </c>
      <c r="C9766">
        <v>4</v>
      </c>
      <c r="E9766" s="1">
        <v>428</v>
      </c>
    </row>
    <row r="9767" spans="1:5" x14ac:dyDescent="0.25">
      <c r="A9767">
        <v>111</v>
      </c>
      <c r="B9767">
        <f t="shared" si="41"/>
        <v>427</v>
      </c>
      <c r="C9767">
        <v>4</v>
      </c>
      <c r="E9767">
        <v>428</v>
      </c>
    </row>
    <row r="9768" spans="1:5" x14ac:dyDescent="0.25">
      <c r="A9768">
        <v>111</v>
      </c>
      <c r="B9768">
        <f t="shared" si="41"/>
        <v>427</v>
      </c>
      <c r="C9768">
        <v>2</v>
      </c>
      <c r="E9768" s="1">
        <v>428</v>
      </c>
    </row>
    <row r="9769" spans="1:5" x14ac:dyDescent="0.25">
      <c r="A9769">
        <v>123</v>
      </c>
      <c r="B9769">
        <f t="shared" si="41"/>
        <v>427</v>
      </c>
      <c r="C9769">
        <v>5</v>
      </c>
      <c r="E9769">
        <v>428</v>
      </c>
    </row>
    <row r="9770" spans="1:5" x14ac:dyDescent="0.25">
      <c r="A9770">
        <v>137</v>
      </c>
      <c r="B9770">
        <f t="shared" si="41"/>
        <v>427</v>
      </c>
      <c r="C9770">
        <v>5</v>
      </c>
      <c r="E9770" s="1">
        <v>428</v>
      </c>
    </row>
    <row r="9771" spans="1:5" x14ac:dyDescent="0.25">
      <c r="A9771">
        <v>159</v>
      </c>
      <c r="B9771">
        <f t="shared" si="41"/>
        <v>427</v>
      </c>
      <c r="C9771">
        <v>3</v>
      </c>
      <c r="E9771">
        <v>428</v>
      </c>
    </row>
    <row r="9772" spans="1:5" x14ac:dyDescent="0.25">
      <c r="A9772">
        <v>168</v>
      </c>
      <c r="B9772">
        <f t="shared" si="41"/>
        <v>427</v>
      </c>
      <c r="C9772">
        <v>5</v>
      </c>
      <c r="E9772" s="1">
        <v>428</v>
      </c>
    </row>
    <row r="9773" spans="1:5" x14ac:dyDescent="0.25">
      <c r="A9773">
        <v>168</v>
      </c>
      <c r="B9773">
        <f t="shared" si="41"/>
        <v>427</v>
      </c>
      <c r="C9773">
        <v>4</v>
      </c>
      <c r="E9773">
        <v>428</v>
      </c>
    </row>
    <row r="9774" spans="1:5" x14ac:dyDescent="0.25">
      <c r="A9774">
        <v>179</v>
      </c>
      <c r="B9774">
        <f t="shared" si="41"/>
        <v>427</v>
      </c>
      <c r="C9774">
        <v>5</v>
      </c>
      <c r="E9774" s="1">
        <v>428</v>
      </c>
    </row>
    <row r="9775" spans="1:5" x14ac:dyDescent="0.25">
      <c r="A9775">
        <v>184</v>
      </c>
      <c r="B9775">
        <f t="shared" si="41"/>
        <v>427</v>
      </c>
      <c r="C9775">
        <v>1</v>
      </c>
      <c r="E9775">
        <v>428</v>
      </c>
    </row>
    <row r="9776" spans="1:5" x14ac:dyDescent="0.25">
      <c r="A9776">
        <v>184</v>
      </c>
      <c r="B9776">
        <f t="shared" si="41"/>
        <v>427</v>
      </c>
      <c r="C9776">
        <v>2</v>
      </c>
      <c r="E9776" s="1">
        <v>428</v>
      </c>
    </row>
    <row r="9777" spans="1:5" x14ac:dyDescent="0.25">
      <c r="A9777">
        <v>193</v>
      </c>
      <c r="B9777">
        <f t="shared" si="41"/>
        <v>427</v>
      </c>
      <c r="C9777">
        <v>5</v>
      </c>
      <c r="E9777">
        <v>428</v>
      </c>
    </row>
    <row r="9778" spans="1:5" x14ac:dyDescent="0.25">
      <c r="A9778">
        <v>204</v>
      </c>
      <c r="B9778">
        <f t="shared" si="41"/>
        <v>427</v>
      </c>
      <c r="C9778">
        <v>1</v>
      </c>
      <c r="E9778" s="1">
        <v>428</v>
      </c>
    </row>
    <row r="9779" spans="1:5" x14ac:dyDescent="0.25">
      <c r="A9779">
        <v>214</v>
      </c>
      <c r="B9779">
        <f t="shared" si="41"/>
        <v>427</v>
      </c>
      <c r="C9779">
        <v>1</v>
      </c>
      <c r="E9779">
        <v>428</v>
      </c>
    </row>
    <row r="9780" spans="1:5" x14ac:dyDescent="0.25">
      <c r="A9780">
        <v>227</v>
      </c>
      <c r="B9780">
        <f t="shared" si="41"/>
        <v>427</v>
      </c>
      <c r="C9780">
        <v>5</v>
      </c>
      <c r="E9780" s="1">
        <v>428</v>
      </c>
    </row>
    <row r="9781" spans="1:5" x14ac:dyDescent="0.25">
      <c r="A9781">
        <v>228</v>
      </c>
      <c r="B9781">
        <f t="shared" si="41"/>
        <v>427</v>
      </c>
      <c r="C9781">
        <v>4</v>
      </c>
      <c r="E9781">
        <v>428</v>
      </c>
    </row>
    <row r="9782" spans="1:5" x14ac:dyDescent="0.25">
      <c r="A9782">
        <v>242</v>
      </c>
      <c r="B9782">
        <f t="shared" si="41"/>
        <v>427</v>
      </c>
      <c r="C9782">
        <v>5</v>
      </c>
      <c r="E9782" s="1">
        <v>428</v>
      </c>
    </row>
    <row r="9783" spans="1:5" x14ac:dyDescent="0.25">
      <c r="A9783">
        <v>282</v>
      </c>
      <c r="B9783">
        <f t="shared" si="41"/>
        <v>427</v>
      </c>
      <c r="C9783">
        <v>3</v>
      </c>
      <c r="E9783">
        <v>428</v>
      </c>
    </row>
    <row r="9784" spans="1:5" x14ac:dyDescent="0.25">
      <c r="A9784">
        <v>283</v>
      </c>
      <c r="B9784">
        <f t="shared" si="41"/>
        <v>427</v>
      </c>
      <c r="C9784">
        <v>1</v>
      </c>
      <c r="E9784" s="1">
        <v>428</v>
      </c>
    </row>
    <row r="9785" spans="1:5" x14ac:dyDescent="0.25">
      <c r="A9785">
        <v>12</v>
      </c>
      <c r="B9785">
        <f t="shared" si="41"/>
        <v>428</v>
      </c>
      <c r="C9785">
        <v>3</v>
      </c>
      <c r="E9785">
        <v>429</v>
      </c>
    </row>
    <row r="9786" spans="1:5" x14ac:dyDescent="0.25">
      <c r="A9786">
        <v>20</v>
      </c>
      <c r="B9786">
        <f t="shared" si="41"/>
        <v>428</v>
      </c>
      <c r="C9786">
        <v>3</v>
      </c>
      <c r="E9786" s="1">
        <v>429</v>
      </c>
    </row>
    <row r="9787" spans="1:5" x14ac:dyDescent="0.25">
      <c r="A9787">
        <v>29</v>
      </c>
      <c r="B9787">
        <f t="shared" si="41"/>
        <v>428</v>
      </c>
      <c r="C9787">
        <v>3</v>
      </c>
      <c r="E9787">
        <v>429</v>
      </c>
    </row>
    <row r="9788" spans="1:5" x14ac:dyDescent="0.25">
      <c r="A9788">
        <v>33</v>
      </c>
      <c r="B9788">
        <f t="shared" si="41"/>
        <v>428</v>
      </c>
      <c r="C9788">
        <v>2</v>
      </c>
      <c r="E9788" s="1">
        <v>429</v>
      </c>
    </row>
    <row r="9789" spans="1:5" x14ac:dyDescent="0.25">
      <c r="A9789">
        <v>43</v>
      </c>
      <c r="B9789">
        <f t="shared" si="41"/>
        <v>428</v>
      </c>
      <c r="C9789">
        <v>3</v>
      </c>
      <c r="E9789">
        <v>429</v>
      </c>
    </row>
    <row r="9790" spans="1:5" x14ac:dyDescent="0.25">
      <c r="A9790">
        <v>63</v>
      </c>
      <c r="B9790">
        <f t="shared" si="41"/>
        <v>428</v>
      </c>
      <c r="C9790">
        <v>1</v>
      </c>
      <c r="E9790" s="1">
        <v>429</v>
      </c>
    </row>
    <row r="9791" spans="1:5" x14ac:dyDescent="0.25">
      <c r="A9791">
        <v>100</v>
      </c>
      <c r="B9791">
        <f t="shared" si="41"/>
        <v>428</v>
      </c>
      <c r="C9791">
        <v>2</v>
      </c>
      <c r="E9791">
        <v>429</v>
      </c>
    </row>
    <row r="9792" spans="1:5" x14ac:dyDescent="0.25">
      <c r="A9792">
        <v>109</v>
      </c>
      <c r="B9792">
        <f t="shared" si="41"/>
        <v>428</v>
      </c>
      <c r="C9792">
        <v>4</v>
      </c>
      <c r="E9792" s="1">
        <v>429</v>
      </c>
    </row>
    <row r="9793" spans="1:5" x14ac:dyDescent="0.25">
      <c r="A9793">
        <v>115</v>
      </c>
      <c r="B9793">
        <f t="shared" si="41"/>
        <v>428</v>
      </c>
      <c r="C9793">
        <v>5</v>
      </c>
      <c r="E9793">
        <v>429</v>
      </c>
    </row>
    <row r="9794" spans="1:5" x14ac:dyDescent="0.25">
      <c r="A9794">
        <v>140</v>
      </c>
      <c r="B9794">
        <f t="shared" si="41"/>
        <v>428</v>
      </c>
      <c r="C9794">
        <v>5</v>
      </c>
      <c r="E9794" s="1">
        <v>429</v>
      </c>
    </row>
    <row r="9795" spans="1:5" x14ac:dyDescent="0.25">
      <c r="A9795">
        <v>142</v>
      </c>
      <c r="B9795">
        <f t="shared" si="41"/>
        <v>428</v>
      </c>
      <c r="C9795">
        <v>4</v>
      </c>
      <c r="E9795">
        <v>429</v>
      </c>
    </row>
    <row r="9796" spans="1:5" x14ac:dyDescent="0.25">
      <c r="A9796">
        <v>154</v>
      </c>
      <c r="B9796">
        <f t="shared" si="41"/>
        <v>428</v>
      </c>
      <c r="C9796">
        <v>5</v>
      </c>
      <c r="E9796" s="1">
        <v>429</v>
      </c>
    </row>
    <row r="9797" spans="1:5" x14ac:dyDescent="0.25">
      <c r="A9797">
        <v>157</v>
      </c>
      <c r="B9797">
        <f t="shared" si="41"/>
        <v>428</v>
      </c>
      <c r="C9797">
        <v>2</v>
      </c>
      <c r="E9797">
        <v>429</v>
      </c>
    </row>
    <row r="9798" spans="1:5" x14ac:dyDescent="0.25">
      <c r="A9798">
        <v>157</v>
      </c>
      <c r="B9798">
        <f t="shared" si="41"/>
        <v>428</v>
      </c>
      <c r="C9798">
        <v>1</v>
      </c>
      <c r="E9798" s="1">
        <v>429</v>
      </c>
    </row>
    <row r="9799" spans="1:5" x14ac:dyDescent="0.25">
      <c r="A9799">
        <v>186</v>
      </c>
      <c r="B9799">
        <f t="shared" si="41"/>
        <v>428</v>
      </c>
      <c r="C9799">
        <v>2</v>
      </c>
      <c r="E9799">
        <v>429</v>
      </c>
    </row>
    <row r="9800" spans="1:5" x14ac:dyDescent="0.25">
      <c r="A9800">
        <v>197</v>
      </c>
      <c r="B9800">
        <f t="shared" si="41"/>
        <v>428</v>
      </c>
      <c r="C9800">
        <v>5</v>
      </c>
      <c r="E9800" s="1">
        <v>429</v>
      </c>
    </row>
    <row r="9801" spans="1:5" x14ac:dyDescent="0.25">
      <c r="A9801">
        <v>208</v>
      </c>
      <c r="B9801">
        <f t="shared" si="41"/>
        <v>428</v>
      </c>
      <c r="C9801">
        <v>5</v>
      </c>
      <c r="E9801">
        <v>429</v>
      </c>
    </row>
    <row r="9802" spans="1:5" x14ac:dyDescent="0.25">
      <c r="A9802">
        <v>208</v>
      </c>
      <c r="B9802">
        <f t="shared" si="41"/>
        <v>428</v>
      </c>
      <c r="C9802">
        <v>4</v>
      </c>
      <c r="E9802" s="1">
        <v>429</v>
      </c>
    </row>
    <row r="9803" spans="1:5" x14ac:dyDescent="0.25">
      <c r="A9803">
        <v>247</v>
      </c>
      <c r="B9803">
        <f t="shared" si="41"/>
        <v>428</v>
      </c>
      <c r="C9803">
        <v>3</v>
      </c>
      <c r="E9803">
        <v>429</v>
      </c>
    </row>
    <row r="9804" spans="1:5" x14ac:dyDescent="0.25">
      <c r="A9804">
        <v>257</v>
      </c>
      <c r="B9804">
        <f t="shared" si="41"/>
        <v>428</v>
      </c>
      <c r="C9804">
        <v>2</v>
      </c>
      <c r="E9804" s="1">
        <v>429</v>
      </c>
    </row>
    <row r="9805" spans="1:5" x14ac:dyDescent="0.25">
      <c r="A9805">
        <v>297</v>
      </c>
      <c r="B9805">
        <f t="shared" si="41"/>
        <v>428</v>
      </c>
      <c r="C9805">
        <v>4</v>
      </c>
      <c r="E9805">
        <v>429</v>
      </c>
    </row>
    <row r="9806" spans="1:5" x14ac:dyDescent="0.25">
      <c r="A9806">
        <v>11</v>
      </c>
      <c r="B9806">
        <f t="shared" ref="B9806:B9869" si="42">E9806-1</f>
        <v>429</v>
      </c>
      <c r="C9806">
        <v>3</v>
      </c>
      <c r="E9806" s="1">
        <v>430</v>
      </c>
    </row>
    <row r="9807" spans="1:5" x14ac:dyDescent="0.25">
      <c r="A9807">
        <v>19</v>
      </c>
      <c r="B9807">
        <f t="shared" si="42"/>
        <v>429</v>
      </c>
      <c r="C9807">
        <v>4</v>
      </c>
      <c r="E9807">
        <v>430</v>
      </c>
    </row>
    <row r="9808" spans="1:5" x14ac:dyDescent="0.25">
      <c r="A9808">
        <v>58</v>
      </c>
      <c r="B9808">
        <f t="shared" si="42"/>
        <v>429</v>
      </c>
      <c r="C9808">
        <v>5</v>
      </c>
      <c r="E9808" s="1">
        <v>430</v>
      </c>
    </row>
    <row r="9809" spans="1:5" x14ac:dyDescent="0.25">
      <c r="A9809">
        <v>64</v>
      </c>
      <c r="B9809">
        <f t="shared" si="42"/>
        <v>429</v>
      </c>
      <c r="C9809">
        <v>1</v>
      </c>
      <c r="E9809">
        <v>430</v>
      </c>
    </row>
    <row r="9810" spans="1:5" x14ac:dyDescent="0.25">
      <c r="A9810">
        <v>67</v>
      </c>
      <c r="B9810">
        <f t="shared" si="42"/>
        <v>429</v>
      </c>
      <c r="C9810">
        <v>3</v>
      </c>
      <c r="E9810" s="1">
        <v>430</v>
      </c>
    </row>
    <row r="9811" spans="1:5" x14ac:dyDescent="0.25">
      <c r="A9811">
        <v>77</v>
      </c>
      <c r="B9811">
        <f t="shared" si="42"/>
        <v>429</v>
      </c>
      <c r="C9811">
        <v>1</v>
      </c>
      <c r="E9811">
        <v>430</v>
      </c>
    </row>
    <row r="9812" spans="1:5" x14ac:dyDescent="0.25">
      <c r="A9812">
        <v>79</v>
      </c>
      <c r="B9812">
        <f t="shared" si="42"/>
        <v>429</v>
      </c>
      <c r="C9812">
        <v>3</v>
      </c>
      <c r="E9812" s="1">
        <v>430</v>
      </c>
    </row>
    <row r="9813" spans="1:5" x14ac:dyDescent="0.25">
      <c r="A9813">
        <v>89</v>
      </c>
      <c r="B9813">
        <f t="shared" si="42"/>
        <v>429</v>
      </c>
      <c r="C9813">
        <v>3</v>
      </c>
      <c r="E9813">
        <v>430</v>
      </c>
    </row>
    <row r="9814" spans="1:5" x14ac:dyDescent="0.25">
      <c r="A9814">
        <v>91</v>
      </c>
      <c r="B9814">
        <f t="shared" si="42"/>
        <v>429</v>
      </c>
      <c r="C9814">
        <v>2</v>
      </c>
      <c r="E9814" s="1">
        <v>430</v>
      </c>
    </row>
    <row r="9815" spans="1:5" x14ac:dyDescent="0.25">
      <c r="A9815">
        <v>91</v>
      </c>
      <c r="B9815">
        <f t="shared" si="42"/>
        <v>429</v>
      </c>
      <c r="C9815">
        <v>3</v>
      </c>
      <c r="E9815">
        <v>430</v>
      </c>
    </row>
    <row r="9816" spans="1:5" x14ac:dyDescent="0.25">
      <c r="A9816">
        <v>101</v>
      </c>
      <c r="B9816">
        <f t="shared" si="42"/>
        <v>429</v>
      </c>
      <c r="C9816">
        <v>1</v>
      </c>
      <c r="E9816" s="1">
        <v>430</v>
      </c>
    </row>
    <row r="9817" spans="1:5" x14ac:dyDescent="0.25">
      <c r="A9817">
        <v>101</v>
      </c>
      <c r="B9817">
        <f t="shared" si="42"/>
        <v>429</v>
      </c>
      <c r="C9817">
        <v>3</v>
      </c>
      <c r="E9817">
        <v>430</v>
      </c>
    </row>
    <row r="9818" spans="1:5" x14ac:dyDescent="0.25">
      <c r="A9818">
        <v>106</v>
      </c>
      <c r="B9818">
        <f t="shared" si="42"/>
        <v>429</v>
      </c>
      <c r="C9818">
        <v>5</v>
      </c>
      <c r="E9818" s="1">
        <v>430</v>
      </c>
    </row>
    <row r="9819" spans="1:5" x14ac:dyDescent="0.25">
      <c r="A9819">
        <v>112</v>
      </c>
      <c r="B9819">
        <f t="shared" si="42"/>
        <v>429</v>
      </c>
      <c r="C9819">
        <v>4</v>
      </c>
      <c r="E9819">
        <v>430</v>
      </c>
    </row>
    <row r="9820" spans="1:5" x14ac:dyDescent="0.25">
      <c r="A9820">
        <v>121</v>
      </c>
      <c r="B9820">
        <f t="shared" si="42"/>
        <v>429</v>
      </c>
      <c r="C9820">
        <v>5</v>
      </c>
      <c r="E9820" s="1">
        <v>430</v>
      </c>
    </row>
    <row r="9821" spans="1:5" x14ac:dyDescent="0.25">
      <c r="A9821">
        <v>125</v>
      </c>
      <c r="B9821">
        <f t="shared" si="42"/>
        <v>429</v>
      </c>
      <c r="C9821">
        <v>4</v>
      </c>
      <c r="E9821">
        <v>430</v>
      </c>
    </row>
    <row r="9822" spans="1:5" x14ac:dyDescent="0.25">
      <c r="A9822">
        <v>149</v>
      </c>
      <c r="B9822">
        <f t="shared" si="42"/>
        <v>429</v>
      </c>
      <c r="C9822">
        <v>4</v>
      </c>
      <c r="E9822" s="1">
        <v>430</v>
      </c>
    </row>
    <row r="9823" spans="1:5" x14ac:dyDescent="0.25">
      <c r="A9823">
        <v>158</v>
      </c>
      <c r="B9823">
        <f t="shared" si="42"/>
        <v>429</v>
      </c>
      <c r="C9823">
        <v>5</v>
      </c>
      <c r="E9823">
        <v>430</v>
      </c>
    </row>
    <row r="9824" spans="1:5" x14ac:dyDescent="0.25">
      <c r="A9824">
        <v>160</v>
      </c>
      <c r="B9824">
        <f t="shared" si="42"/>
        <v>429</v>
      </c>
      <c r="C9824">
        <v>5</v>
      </c>
      <c r="E9824" s="1">
        <v>430</v>
      </c>
    </row>
    <row r="9825" spans="1:5" x14ac:dyDescent="0.25">
      <c r="A9825">
        <v>173</v>
      </c>
      <c r="B9825">
        <f t="shared" si="42"/>
        <v>429</v>
      </c>
      <c r="C9825">
        <v>2</v>
      </c>
      <c r="E9825">
        <v>430</v>
      </c>
    </row>
    <row r="9826" spans="1:5" x14ac:dyDescent="0.25">
      <c r="A9826">
        <v>206</v>
      </c>
      <c r="B9826">
        <f t="shared" si="42"/>
        <v>429</v>
      </c>
      <c r="C9826">
        <v>1</v>
      </c>
      <c r="E9826" s="1">
        <v>430</v>
      </c>
    </row>
    <row r="9827" spans="1:5" x14ac:dyDescent="0.25">
      <c r="A9827">
        <v>217</v>
      </c>
      <c r="B9827">
        <f t="shared" si="42"/>
        <v>429</v>
      </c>
      <c r="C9827">
        <v>5</v>
      </c>
      <c r="E9827">
        <v>430</v>
      </c>
    </row>
    <row r="9828" spans="1:5" x14ac:dyDescent="0.25">
      <c r="A9828">
        <v>238</v>
      </c>
      <c r="B9828">
        <f t="shared" si="42"/>
        <v>429</v>
      </c>
      <c r="C9828">
        <v>3</v>
      </c>
      <c r="E9828" s="1">
        <v>430</v>
      </c>
    </row>
    <row r="9829" spans="1:5" x14ac:dyDescent="0.25">
      <c r="A9829">
        <v>239</v>
      </c>
      <c r="B9829">
        <f t="shared" si="42"/>
        <v>429</v>
      </c>
      <c r="C9829">
        <v>3</v>
      </c>
      <c r="E9829">
        <v>430</v>
      </c>
    </row>
    <row r="9830" spans="1:5" x14ac:dyDescent="0.25">
      <c r="A9830">
        <v>244</v>
      </c>
      <c r="B9830">
        <f t="shared" si="42"/>
        <v>429</v>
      </c>
      <c r="C9830">
        <v>3</v>
      </c>
      <c r="E9830" s="1">
        <v>430</v>
      </c>
    </row>
    <row r="9831" spans="1:5" x14ac:dyDescent="0.25">
      <c r="A9831">
        <v>245</v>
      </c>
      <c r="B9831">
        <f t="shared" si="42"/>
        <v>429</v>
      </c>
      <c r="C9831">
        <v>2</v>
      </c>
      <c r="E9831">
        <v>430</v>
      </c>
    </row>
    <row r="9832" spans="1:5" x14ac:dyDescent="0.25">
      <c r="A9832">
        <v>251</v>
      </c>
      <c r="B9832">
        <f t="shared" si="42"/>
        <v>429</v>
      </c>
      <c r="C9832">
        <v>2</v>
      </c>
      <c r="E9832" s="1">
        <v>430</v>
      </c>
    </row>
    <row r="9833" spans="1:5" x14ac:dyDescent="0.25">
      <c r="A9833">
        <v>266</v>
      </c>
      <c r="B9833">
        <f t="shared" si="42"/>
        <v>429</v>
      </c>
      <c r="C9833">
        <v>1</v>
      </c>
      <c r="E9833">
        <v>430</v>
      </c>
    </row>
    <row r="9834" spans="1:5" x14ac:dyDescent="0.25">
      <c r="A9834">
        <v>280</v>
      </c>
      <c r="B9834">
        <f t="shared" si="42"/>
        <v>429</v>
      </c>
      <c r="C9834">
        <v>5</v>
      </c>
      <c r="E9834" s="1">
        <v>430</v>
      </c>
    </row>
    <row r="9835" spans="1:5" x14ac:dyDescent="0.25">
      <c r="A9835">
        <v>281</v>
      </c>
      <c r="B9835">
        <f t="shared" si="42"/>
        <v>429</v>
      </c>
      <c r="C9835">
        <v>1</v>
      </c>
      <c r="E9835">
        <v>430</v>
      </c>
    </row>
    <row r="9836" spans="1:5" x14ac:dyDescent="0.25">
      <c r="A9836">
        <v>297</v>
      </c>
      <c r="B9836">
        <f t="shared" si="42"/>
        <v>429</v>
      </c>
      <c r="C9836">
        <v>5</v>
      </c>
      <c r="E9836" s="1">
        <v>430</v>
      </c>
    </row>
    <row r="9837" spans="1:5" x14ac:dyDescent="0.25">
      <c r="A9837">
        <v>299</v>
      </c>
      <c r="B9837">
        <f t="shared" si="42"/>
        <v>429</v>
      </c>
      <c r="C9837">
        <v>2</v>
      </c>
      <c r="E9837">
        <v>430</v>
      </c>
    </row>
    <row r="9838" spans="1:5" x14ac:dyDescent="0.25">
      <c r="A9838">
        <v>30</v>
      </c>
      <c r="B9838">
        <f t="shared" si="42"/>
        <v>430</v>
      </c>
      <c r="C9838">
        <v>4</v>
      </c>
      <c r="E9838" s="1">
        <v>431</v>
      </c>
    </row>
    <row r="9839" spans="1:5" x14ac:dyDescent="0.25">
      <c r="A9839">
        <v>70</v>
      </c>
      <c r="B9839">
        <f t="shared" si="42"/>
        <v>430</v>
      </c>
      <c r="C9839">
        <v>2</v>
      </c>
      <c r="E9839">
        <v>431</v>
      </c>
    </row>
    <row r="9840" spans="1:5" x14ac:dyDescent="0.25">
      <c r="A9840">
        <v>80</v>
      </c>
      <c r="B9840">
        <f t="shared" si="42"/>
        <v>430</v>
      </c>
      <c r="C9840">
        <v>5</v>
      </c>
      <c r="E9840" s="1">
        <v>431</v>
      </c>
    </row>
    <row r="9841" spans="1:5" x14ac:dyDescent="0.25">
      <c r="A9841">
        <v>93</v>
      </c>
      <c r="B9841">
        <f t="shared" si="42"/>
        <v>430</v>
      </c>
      <c r="C9841">
        <v>5</v>
      </c>
      <c r="E9841">
        <v>431</v>
      </c>
    </row>
    <row r="9842" spans="1:5" x14ac:dyDescent="0.25">
      <c r="A9842">
        <v>118</v>
      </c>
      <c r="B9842">
        <f t="shared" si="42"/>
        <v>430</v>
      </c>
      <c r="C9842">
        <v>2</v>
      </c>
      <c r="E9842" s="1">
        <v>431</v>
      </c>
    </row>
    <row r="9843" spans="1:5" x14ac:dyDescent="0.25">
      <c r="A9843">
        <v>122</v>
      </c>
      <c r="B9843">
        <f t="shared" si="42"/>
        <v>430</v>
      </c>
      <c r="C9843">
        <v>2</v>
      </c>
      <c r="E9843">
        <v>431</v>
      </c>
    </row>
    <row r="9844" spans="1:5" x14ac:dyDescent="0.25">
      <c r="A9844">
        <v>124</v>
      </c>
      <c r="B9844">
        <f t="shared" si="42"/>
        <v>430</v>
      </c>
      <c r="C9844">
        <v>5</v>
      </c>
      <c r="E9844" s="1">
        <v>431</v>
      </c>
    </row>
    <row r="9845" spans="1:5" x14ac:dyDescent="0.25">
      <c r="A9845">
        <v>126</v>
      </c>
      <c r="B9845">
        <f t="shared" si="42"/>
        <v>430</v>
      </c>
      <c r="C9845">
        <v>5</v>
      </c>
      <c r="E9845">
        <v>431</v>
      </c>
    </row>
    <row r="9846" spans="1:5" x14ac:dyDescent="0.25">
      <c r="A9846">
        <v>130</v>
      </c>
      <c r="B9846">
        <f t="shared" si="42"/>
        <v>430</v>
      </c>
      <c r="C9846">
        <v>4</v>
      </c>
      <c r="E9846" s="1">
        <v>431</v>
      </c>
    </row>
    <row r="9847" spans="1:5" x14ac:dyDescent="0.25">
      <c r="A9847">
        <v>149</v>
      </c>
      <c r="B9847">
        <f t="shared" si="42"/>
        <v>430</v>
      </c>
      <c r="C9847">
        <v>5</v>
      </c>
      <c r="E9847">
        <v>431</v>
      </c>
    </row>
    <row r="9848" spans="1:5" x14ac:dyDescent="0.25">
      <c r="A9848">
        <v>184</v>
      </c>
      <c r="B9848">
        <f t="shared" si="42"/>
        <v>430</v>
      </c>
      <c r="C9848">
        <v>2</v>
      </c>
      <c r="E9848" s="1">
        <v>431</v>
      </c>
    </row>
    <row r="9849" spans="1:5" x14ac:dyDescent="0.25">
      <c r="A9849">
        <v>186</v>
      </c>
      <c r="B9849">
        <f t="shared" si="42"/>
        <v>430</v>
      </c>
      <c r="C9849">
        <v>5</v>
      </c>
      <c r="E9849">
        <v>431</v>
      </c>
    </row>
    <row r="9850" spans="1:5" x14ac:dyDescent="0.25">
      <c r="A9850">
        <v>194</v>
      </c>
      <c r="B9850">
        <f t="shared" si="42"/>
        <v>430</v>
      </c>
      <c r="C9850">
        <v>5</v>
      </c>
      <c r="E9850" s="1">
        <v>431</v>
      </c>
    </row>
    <row r="9851" spans="1:5" x14ac:dyDescent="0.25">
      <c r="A9851">
        <v>208</v>
      </c>
      <c r="B9851">
        <f t="shared" si="42"/>
        <v>430</v>
      </c>
      <c r="C9851">
        <v>2</v>
      </c>
      <c r="E9851">
        <v>431</v>
      </c>
    </row>
    <row r="9852" spans="1:5" x14ac:dyDescent="0.25">
      <c r="A9852">
        <v>215</v>
      </c>
      <c r="B9852">
        <f t="shared" si="42"/>
        <v>430</v>
      </c>
      <c r="C9852">
        <v>2</v>
      </c>
      <c r="E9852" s="1">
        <v>431</v>
      </c>
    </row>
    <row r="9853" spans="1:5" x14ac:dyDescent="0.25">
      <c r="A9853">
        <v>219</v>
      </c>
      <c r="B9853">
        <f t="shared" si="42"/>
        <v>430</v>
      </c>
      <c r="C9853">
        <v>3</v>
      </c>
      <c r="E9853">
        <v>431</v>
      </c>
    </row>
    <row r="9854" spans="1:5" x14ac:dyDescent="0.25">
      <c r="A9854">
        <v>238</v>
      </c>
      <c r="B9854">
        <f t="shared" si="42"/>
        <v>430</v>
      </c>
      <c r="C9854">
        <v>5</v>
      </c>
      <c r="E9854" s="1">
        <v>431</v>
      </c>
    </row>
    <row r="9855" spans="1:5" x14ac:dyDescent="0.25">
      <c r="A9855">
        <v>249</v>
      </c>
      <c r="B9855">
        <f t="shared" si="42"/>
        <v>430</v>
      </c>
      <c r="C9855">
        <v>1</v>
      </c>
      <c r="E9855">
        <v>431</v>
      </c>
    </row>
    <row r="9856" spans="1:5" x14ac:dyDescent="0.25">
      <c r="A9856">
        <v>257</v>
      </c>
      <c r="B9856">
        <f t="shared" si="42"/>
        <v>430</v>
      </c>
      <c r="C9856">
        <v>2</v>
      </c>
      <c r="E9856" s="1">
        <v>431</v>
      </c>
    </row>
    <row r="9857" spans="1:5" x14ac:dyDescent="0.25">
      <c r="A9857">
        <v>291</v>
      </c>
      <c r="B9857">
        <f t="shared" si="42"/>
        <v>430</v>
      </c>
      <c r="C9857">
        <v>4</v>
      </c>
      <c r="E9857">
        <v>431</v>
      </c>
    </row>
    <row r="9858" spans="1:5" x14ac:dyDescent="0.25">
      <c r="A9858">
        <v>291</v>
      </c>
      <c r="B9858">
        <f t="shared" si="42"/>
        <v>430</v>
      </c>
      <c r="C9858">
        <v>4</v>
      </c>
      <c r="E9858" s="1">
        <v>431</v>
      </c>
    </row>
    <row r="9859" spans="1:5" x14ac:dyDescent="0.25">
      <c r="A9859">
        <v>19</v>
      </c>
      <c r="B9859">
        <f t="shared" si="42"/>
        <v>431</v>
      </c>
      <c r="C9859">
        <v>4</v>
      </c>
      <c r="E9859">
        <v>432</v>
      </c>
    </row>
    <row r="9860" spans="1:5" x14ac:dyDescent="0.25">
      <c r="A9860">
        <v>23</v>
      </c>
      <c r="B9860">
        <f t="shared" si="42"/>
        <v>431</v>
      </c>
      <c r="C9860">
        <v>2</v>
      </c>
      <c r="E9860" s="1">
        <v>432</v>
      </c>
    </row>
    <row r="9861" spans="1:5" x14ac:dyDescent="0.25">
      <c r="A9861">
        <v>41</v>
      </c>
      <c r="B9861">
        <f t="shared" si="42"/>
        <v>431</v>
      </c>
      <c r="C9861">
        <v>5</v>
      </c>
      <c r="E9861">
        <v>432</v>
      </c>
    </row>
    <row r="9862" spans="1:5" x14ac:dyDescent="0.25">
      <c r="A9862">
        <v>80</v>
      </c>
      <c r="B9862">
        <f t="shared" si="42"/>
        <v>431</v>
      </c>
      <c r="C9862">
        <v>3</v>
      </c>
      <c r="E9862" s="1">
        <v>432</v>
      </c>
    </row>
    <row r="9863" spans="1:5" x14ac:dyDescent="0.25">
      <c r="A9863">
        <v>102</v>
      </c>
      <c r="B9863">
        <f t="shared" si="42"/>
        <v>431</v>
      </c>
      <c r="C9863">
        <v>3</v>
      </c>
      <c r="E9863">
        <v>432</v>
      </c>
    </row>
    <row r="9864" spans="1:5" x14ac:dyDescent="0.25">
      <c r="A9864">
        <v>106</v>
      </c>
      <c r="B9864">
        <f t="shared" si="42"/>
        <v>431</v>
      </c>
      <c r="C9864">
        <v>4</v>
      </c>
      <c r="E9864" s="1">
        <v>432</v>
      </c>
    </row>
    <row r="9865" spans="1:5" x14ac:dyDescent="0.25">
      <c r="A9865">
        <v>119</v>
      </c>
      <c r="B9865">
        <f t="shared" si="42"/>
        <v>431</v>
      </c>
      <c r="C9865">
        <v>2</v>
      </c>
      <c r="E9865">
        <v>432</v>
      </c>
    </row>
    <row r="9866" spans="1:5" x14ac:dyDescent="0.25">
      <c r="A9866">
        <v>123</v>
      </c>
      <c r="B9866">
        <f t="shared" si="42"/>
        <v>431</v>
      </c>
      <c r="C9866">
        <v>4</v>
      </c>
      <c r="E9866" s="1">
        <v>432</v>
      </c>
    </row>
    <row r="9867" spans="1:5" x14ac:dyDescent="0.25">
      <c r="A9867">
        <v>156</v>
      </c>
      <c r="B9867">
        <f t="shared" si="42"/>
        <v>431</v>
      </c>
      <c r="C9867">
        <v>3</v>
      </c>
      <c r="E9867">
        <v>432</v>
      </c>
    </row>
    <row r="9868" spans="1:5" x14ac:dyDescent="0.25">
      <c r="A9868">
        <v>160</v>
      </c>
      <c r="B9868">
        <f t="shared" si="42"/>
        <v>431</v>
      </c>
      <c r="C9868">
        <v>4</v>
      </c>
      <c r="E9868" s="1">
        <v>432</v>
      </c>
    </row>
    <row r="9869" spans="1:5" x14ac:dyDescent="0.25">
      <c r="A9869">
        <v>167</v>
      </c>
      <c r="B9869">
        <f t="shared" si="42"/>
        <v>431</v>
      </c>
      <c r="C9869">
        <v>4</v>
      </c>
      <c r="E9869">
        <v>432</v>
      </c>
    </row>
    <row r="9870" spans="1:5" x14ac:dyDescent="0.25">
      <c r="A9870">
        <v>183</v>
      </c>
      <c r="B9870">
        <f t="shared" ref="B9870:B9933" si="43">E9870-1</f>
        <v>431</v>
      </c>
      <c r="C9870">
        <v>2</v>
      </c>
      <c r="E9870" s="1">
        <v>432</v>
      </c>
    </row>
    <row r="9871" spans="1:5" x14ac:dyDescent="0.25">
      <c r="A9871">
        <v>191</v>
      </c>
      <c r="B9871">
        <f t="shared" si="43"/>
        <v>431</v>
      </c>
      <c r="C9871">
        <v>4</v>
      </c>
      <c r="E9871">
        <v>432</v>
      </c>
    </row>
    <row r="9872" spans="1:5" x14ac:dyDescent="0.25">
      <c r="A9872">
        <v>255</v>
      </c>
      <c r="B9872">
        <f t="shared" si="43"/>
        <v>431</v>
      </c>
      <c r="C9872">
        <v>4</v>
      </c>
      <c r="E9872" s="1">
        <v>432</v>
      </c>
    </row>
    <row r="9873" spans="1:5" x14ac:dyDescent="0.25">
      <c r="A9873">
        <v>257</v>
      </c>
      <c r="B9873">
        <f t="shared" si="43"/>
        <v>431</v>
      </c>
      <c r="C9873">
        <v>4</v>
      </c>
      <c r="E9873">
        <v>432</v>
      </c>
    </row>
    <row r="9874" spans="1:5" x14ac:dyDescent="0.25">
      <c r="A9874">
        <v>264</v>
      </c>
      <c r="B9874">
        <f t="shared" si="43"/>
        <v>431</v>
      </c>
      <c r="C9874">
        <v>1</v>
      </c>
      <c r="E9874" s="1">
        <v>432</v>
      </c>
    </row>
    <row r="9875" spans="1:5" x14ac:dyDescent="0.25">
      <c r="A9875">
        <v>272</v>
      </c>
      <c r="B9875">
        <f t="shared" si="43"/>
        <v>431</v>
      </c>
      <c r="C9875">
        <v>3</v>
      </c>
      <c r="E9875">
        <v>432</v>
      </c>
    </row>
    <row r="9876" spans="1:5" x14ac:dyDescent="0.25">
      <c r="A9876">
        <v>280</v>
      </c>
      <c r="B9876">
        <f t="shared" si="43"/>
        <v>431</v>
      </c>
      <c r="C9876">
        <v>4</v>
      </c>
      <c r="E9876" s="1">
        <v>432</v>
      </c>
    </row>
    <row r="9877" spans="1:5" x14ac:dyDescent="0.25">
      <c r="A9877">
        <v>5</v>
      </c>
      <c r="B9877">
        <f t="shared" si="43"/>
        <v>432</v>
      </c>
      <c r="C9877">
        <v>4</v>
      </c>
      <c r="E9877">
        <v>433</v>
      </c>
    </row>
    <row r="9878" spans="1:5" x14ac:dyDescent="0.25">
      <c r="A9878">
        <v>6</v>
      </c>
      <c r="B9878">
        <f t="shared" si="43"/>
        <v>432</v>
      </c>
      <c r="C9878">
        <v>4</v>
      </c>
      <c r="E9878" s="1">
        <v>433</v>
      </c>
    </row>
    <row r="9879" spans="1:5" x14ac:dyDescent="0.25">
      <c r="A9879">
        <v>8</v>
      </c>
      <c r="B9879">
        <f t="shared" si="43"/>
        <v>432</v>
      </c>
      <c r="C9879">
        <v>4</v>
      </c>
      <c r="E9879">
        <v>433</v>
      </c>
    </row>
    <row r="9880" spans="1:5" x14ac:dyDescent="0.25">
      <c r="A9880">
        <v>32</v>
      </c>
      <c r="B9880">
        <f t="shared" si="43"/>
        <v>432</v>
      </c>
      <c r="C9880">
        <v>3</v>
      </c>
      <c r="E9880" s="1">
        <v>433</v>
      </c>
    </row>
    <row r="9881" spans="1:5" x14ac:dyDescent="0.25">
      <c r="A9881">
        <v>34</v>
      </c>
      <c r="B9881">
        <f t="shared" si="43"/>
        <v>432</v>
      </c>
      <c r="C9881">
        <v>4</v>
      </c>
      <c r="E9881">
        <v>433</v>
      </c>
    </row>
    <row r="9882" spans="1:5" x14ac:dyDescent="0.25">
      <c r="A9882">
        <v>37</v>
      </c>
      <c r="B9882">
        <f t="shared" si="43"/>
        <v>432</v>
      </c>
      <c r="C9882">
        <v>4</v>
      </c>
      <c r="E9882" s="1">
        <v>433</v>
      </c>
    </row>
    <row r="9883" spans="1:5" x14ac:dyDescent="0.25">
      <c r="A9883">
        <v>47</v>
      </c>
      <c r="B9883">
        <f t="shared" si="43"/>
        <v>432</v>
      </c>
      <c r="C9883">
        <v>5</v>
      </c>
      <c r="E9883">
        <v>433</v>
      </c>
    </row>
    <row r="9884" spans="1:5" x14ac:dyDescent="0.25">
      <c r="A9884">
        <v>51</v>
      </c>
      <c r="B9884">
        <f t="shared" si="43"/>
        <v>432</v>
      </c>
      <c r="C9884">
        <v>5</v>
      </c>
      <c r="E9884" s="1">
        <v>433</v>
      </c>
    </row>
    <row r="9885" spans="1:5" x14ac:dyDescent="0.25">
      <c r="A9885">
        <v>70</v>
      </c>
      <c r="B9885">
        <f t="shared" si="43"/>
        <v>432</v>
      </c>
      <c r="C9885">
        <v>1</v>
      </c>
      <c r="E9885">
        <v>433</v>
      </c>
    </row>
    <row r="9886" spans="1:5" x14ac:dyDescent="0.25">
      <c r="A9886">
        <v>77</v>
      </c>
      <c r="B9886">
        <f t="shared" si="43"/>
        <v>432</v>
      </c>
      <c r="C9886">
        <v>2</v>
      </c>
      <c r="E9886" s="1">
        <v>433</v>
      </c>
    </row>
    <row r="9887" spans="1:5" x14ac:dyDescent="0.25">
      <c r="A9887">
        <v>82</v>
      </c>
      <c r="B9887">
        <f t="shared" si="43"/>
        <v>432</v>
      </c>
      <c r="C9887">
        <v>4</v>
      </c>
      <c r="E9887">
        <v>433</v>
      </c>
    </row>
    <row r="9888" spans="1:5" x14ac:dyDescent="0.25">
      <c r="A9888">
        <v>122</v>
      </c>
      <c r="B9888">
        <f t="shared" si="43"/>
        <v>432</v>
      </c>
      <c r="C9888">
        <v>4</v>
      </c>
      <c r="E9888" s="1">
        <v>433</v>
      </c>
    </row>
    <row r="9889" spans="1:5" x14ac:dyDescent="0.25">
      <c r="A9889">
        <v>136</v>
      </c>
      <c r="B9889">
        <f t="shared" si="43"/>
        <v>432</v>
      </c>
      <c r="C9889">
        <v>2</v>
      </c>
      <c r="E9889">
        <v>433</v>
      </c>
    </row>
    <row r="9890" spans="1:5" x14ac:dyDescent="0.25">
      <c r="A9890">
        <v>188</v>
      </c>
      <c r="B9890">
        <f t="shared" si="43"/>
        <v>432</v>
      </c>
      <c r="C9890">
        <v>1</v>
      </c>
      <c r="E9890" s="1">
        <v>433</v>
      </c>
    </row>
    <row r="9891" spans="1:5" x14ac:dyDescent="0.25">
      <c r="A9891">
        <v>195</v>
      </c>
      <c r="B9891">
        <f t="shared" si="43"/>
        <v>432</v>
      </c>
      <c r="C9891">
        <v>1</v>
      </c>
      <c r="E9891">
        <v>433</v>
      </c>
    </row>
    <row r="9892" spans="1:5" x14ac:dyDescent="0.25">
      <c r="A9892">
        <v>224</v>
      </c>
      <c r="B9892">
        <f t="shared" si="43"/>
        <v>432</v>
      </c>
      <c r="C9892">
        <v>4</v>
      </c>
      <c r="E9892" s="1">
        <v>433</v>
      </c>
    </row>
    <row r="9893" spans="1:5" x14ac:dyDescent="0.25">
      <c r="A9893">
        <v>233</v>
      </c>
      <c r="B9893">
        <f t="shared" si="43"/>
        <v>432</v>
      </c>
      <c r="C9893">
        <v>3</v>
      </c>
      <c r="E9893">
        <v>433</v>
      </c>
    </row>
    <row r="9894" spans="1:5" x14ac:dyDescent="0.25">
      <c r="A9894">
        <v>237</v>
      </c>
      <c r="B9894">
        <f t="shared" si="43"/>
        <v>432</v>
      </c>
      <c r="C9894">
        <v>4</v>
      </c>
      <c r="E9894" s="1">
        <v>433</v>
      </c>
    </row>
    <row r="9895" spans="1:5" x14ac:dyDescent="0.25">
      <c r="A9895">
        <v>249</v>
      </c>
      <c r="B9895">
        <f t="shared" si="43"/>
        <v>432</v>
      </c>
      <c r="C9895">
        <v>5</v>
      </c>
      <c r="E9895">
        <v>433</v>
      </c>
    </row>
    <row r="9896" spans="1:5" x14ac:dyDescent="0.25">
      <c r="A9896">
        <v>257</v>
      </c>
      <c r="B9896">
        <f t="shared" si="43"/>
        <v>432</v>
      </c>
      <c r="C9896">
        <v>3</v>
      </c>
      <c r="E9896" s="1">
        <v>433</v>
      </c>
    </row>
    <row r="9897" spans="1:5" x14ac:dyDescent="0.25">
      <c r="A9897">
        <v>269</v>
      </c>
      <c r="B9897">
        <f t="shared" si="43"/>
        <v>432</v>
      </c>
      <c r="C9897">
        <v>3</v>
      </c>
      <c r="E9897">
        <v>433</v>
      </c>
    </row>
    <row r="9898" spans="1:5" x14ac:dyDescent="0.25">
      <c r="A9898">
        <v>269</v>
      </c>
      <c r="B9898">
        <f t="shared" si="43"/>
        <v>432</v>
      </c>
      <c r="C9898">
        <v>1</v>
      </c>
      <c r="E9898" s="1">
        <v>433</v>
      </c>
    </row>
    <row r="9899" spans="1:5" x14ac:dyDescent="0.25">
      <c r="A9899">
        <v>282</v>
      </c>
      <c r="B9899">
        <f t="shared" si="43"/>
        <v>432</v>
      </c>
      <c r="C9899">
        <v>5</v>
      </c>
      <c r="E9899">
        <v>433</v>
      </c>
    </row>
    <row r="9900" spans="1:5" x14ac:dyDescent="0.25">
      <c r="A9900">
        <v>5</v>
      </c>
      <c r="B9900">
        <f t="shared" si="43"/>
        <v>433</v>
      </c>
      <c r="C9900">
        <v>4</v>
      </c>
      <c r="E9900" s="1">
        <v>434</v>
      </c>
    </row>
    <row r="9901" spans="1:5" x14ac:dyDescent="0.25">
      <c r="A9901">
        <v>15</v>
      </c>
      <c r="B9901">
        <f t="shared" si="43"/>
        <v>433</v>
      </c>
      <c r="C9901">
        <v>2</v>
      </c>
      <c r="E9901">
        <v>434</v>
      </c>
    </row>
    <row r="9902" spans="1:5" x14ac:dyDescent="0.25">
      <c r="A9902">
        <v>16</v>
      </c>
      <c r="B9902">
        <f t="shared" si="43"/>
        <v>433</v>
      </c>
      <c r="C9902">
        <v>3</v>
      </c>
      <c r="E9902" s="1">
        <v>434</v>
      </c>
    </row>
    <row r="9903" spans="1:5" x14ac:dyDescent="0.25">
      <c r="A9903">
        <v>23</v>
      </c>
      <c r="B9903">
        <f t="shared" si="43"/>
        <v>433</v>
      </c>
      <c r="C9903">
        <v>2</v>
      </c>
      <c r="E9903">
        <v>434</v>
      </c>
    </row>
    <row r="9904" spans="1:5" x14ac:dyDescent="0.25">
      <c r="A9904">
        <v>30</v>
      </c>
      <c r="B9904">
        <f t="shared" si="43"/>
        <v>433</v>
      </c>
      <c r="C9904">
        <v>3</v>
      </c>
      <c r="E9904" s="1">
        <v>434</v>
      </c>
    </row>
    <row r="9905" spans="1:5" x14ac:dyDescent="0.25">
      <c r="A9905">
        <v>40</v>
      </c>
      <c r="B9905">
        <f t="shared" si="43"/>
        <v>433</v>
      </c>
      <c r="C9905">
        <v>4</v>
      </c>
      <c r="E9905">
        <v>434</v>
      </c>
    </row>
    <row r="9906" spans="1:5" x14ac:dyDescent="0.25">
      <c r="A9906">
        <v>55</v>
      </c>
      <c r="B9906">
        <f t="shared" si="43"/>
        <v>433</v>
      </c>
      <c r="C9906">
        <v>2</v>
      </c>
      <c r="E9906" s="1">
        <v>434</v>
      </c>
    </row>
    <row r="9907" spans="1:5" x14ac:dyDescent="0.25">
      <c r="A9907">
        <v>74</v>
      </c>
      <c r="B9907">
        <f t="shared" si="43"/>
        <v>433</v>
      </c>
      <c r="C9907">
        <v>4</v>
      </c>
      <c r="E9907">
        <v>434</v>
      </c>
    </row>
    <row r="9908" spans="1:5" x14ac:dyDescent="0.25">
      <c r="A9908">
        <v>93</v>
      </c>
      <c r="B9908">
        <f t="shared" si="43"/>
        <v>433</v>
      </c>
      <c r="C9908">
        <v>4</v>
      </c>
      <c r="E9908" s="1">
        <v>434</v>
      </c>
    </row>
    <row r="9909" spans="1:5" x14ac:dyDescent="0.25">
      <c r="A9909">
        <v>110</v>
      </c>
      <c r="B9909">
        <f t="shared" si="43"/>
        <v>433</v>
      </c>
      <c r="C9909">
        <v>3</v>
      </c>
      <c r="E9909">
        <v>434</v>
      </c>
    </row>
    <row r="9910" spans="1:5" x14ac:dyDescent="0.25">
      <c r="A9910">
        <v>125</v>
      </c>
      <c r="B9910">
        <f t="shared" si="43"/>
        <v>433</v>
      </c>
      <c r="C9910">
        <v>1</v>
      </c>
      <c r="E9910" s="1">
        <v>434</v>
      </c>
    </row>
    <row r="9911" spans="1:5" x14ac:dyDescent="0.25">
      <c r="A9911">
        <v>130</v>
      </c>
      <c r="B9911">
        <f t="shared" si="43"/>
        <v>433</v>
      </c>
      <c r="C9911">
        <v>2</v>
      </c>
      <c r="E9911">
        <v>434</v>
      </c>
    </row>
    <row r="9912" spans="1:5" x14ac:dyDescent="0.25">
      <c r="A9912">
        <v>138</v>
      </c>
      <c r="B9912">
        <f t="shared" si="43"/>
        <v>433</v>
      </c>
      <c r="C9912">
        <v>4</v>
      </c>
      <c r="E9912" s="1">
        <v>434</v>
      </c>
    </row>
    <row r="9913" spans="1:5" x14ac:dyDescent="0.25">
      <c r="A9913">
        <v>139</v>
      </c>
      <c r="B9913">
        <f t="shared" si="43"/>
        <v>433</v>
      </c>
      <c r="C9913">
        <v>2</v>
      </c>
      <c r="E9913">
        <v>434</v>
      </c>
    </row>
    <row r="9914" spans="1:5" x14ac:dyDescent="0.25">
      <c r="A9914">
        <v>142</v>
      </c>
      <c r="B9914">
        <f t="shared" si="43"/>
        <v>433</v>
      </c>
      <c r="C9914">
        <v>3</v>
      </c>
      <c r="E9914" s="1">
        <v>434</v>
      </c>
    </row>
    <row r="9915" spans="1:5" x14ac:dyDescent="0.25">
      <c r="A9915">
        <v>150</v>
      </c>
      <c r="B9915">
        <f t="shared" si="43"/>
        <v>433</v>
      </c>
      <c r="C9915">
        <v>2</v>
      </c>
      <c r="E9915">
        <v>434</v>
      </c>
    </row>
    <row r="9916" spans="1:5" x14ac:dyDescent="0.25">
      <c r="A9916">
        <v>173</v>
      </c>
      <c r="B9916">
        <f t="shared" si="43"/>
        <v>433</v>
      </c>
      <c r="C9916">
        <v>1</v>
      </c>
      <c r="E9916" s="1">
        <v>434</v>
      </c>
    </row>
    <row r="9917" spans="1:5" x14ac:dyDescent="0.25">
      <c r="A9917">
        <v>188</v>
      </c>
      <c r="B9917">
        <f t="shared" si="43"/>
        <v>433</v>
      </c>
      <c r="C9917">
        <v>1</v>
      </c>
      <c r="E9917">
        <v>434</v>
      </c>
    </row>
    <row r="9918" spans="1:5" x14ac:dyDescent="0.25">
      <c r="A9918">
        <v>204</v>
      </c>
      <c r="B9918">
        <f t="shared" si="43"/>
        <v>433</v>
      </c>
      <c r="C9918">
        <v>2</v>
      </c>
      <c r="E9918" s="1">
        <v>434</v>
      </c>
    </row>
    <row r="9919" spans="1:5" x14ac:dyDescent="0.25">
      <c r="A9919">
        <v>247</v>
      </c>
      <c r="B9919">
        <f t="shared" si="43"/>
        <v>433</v>
      </c>
      <c r="C9919">
        <v>1</v>
      </c>
      <c r="E9919">
        <v>434</v>
      </c>
    </row>
    <row r="9920" spans="1:5" x14ac:dyDescent="0.25">
      <c r="A9920">
        <v>248</v>
      </c>
      <c r="B9920">
        <f t="shared" si="43"/>
        <v>433</v>
      </c>
      <c r="C9920">
        <v>2</v>
      </c>
      <c r="E9920" s="1">
        <v>434</v>
      </c>
    </row>
    <row r="9921" spans="1:5" x14ac:dyDescent="0.25">
      <c r="A9921">
        <v>261</v>
      </c>
      <c r="B9921">
        <f t="shared" si="43"/>
        <v>433</v>
      </c>
      <c r="C9921">
        <v>3</v>
      </c>
      <c r="E9921">
        <v>434</v>
      </c>
    </row>
    <row r="9922" spans="1:5" x14ac:dyDescent="0.25">
      <c r="A9922">
        <v>265</v>
      </c>
      <c r="B9922">
        <f t="shared" si="43"/>
        <v>433</v>
      </c>
      <c r="C9922">
        <v>1</v>
      </c>
      <c r="E9922" s="1">
        <v>434</v>
      </c>
    </row>
    <row r="9923" spans="1:5" x14ac:dyDescent="0.25">
      <c r="A9923">
        <v>266</v>
      </c>
      <c r="B9923">
        <f t="shared" si="43"/>
        <v>433</v>
      </c>
      <c r="C9923">
        <v>2</v>
      </c>
      <c r="E9923">
        <v>434</v>
      </c>
    </row>
    <row r="9924" spans="1:5" x14ac:dyDescent="0.25">
      <c r="A9924">
        <v>282</v>
      </c>
      <c r="B9924">
        <f t="shared" si="43"/>
        <v>433</v>
      </c>
      <c r="C9924">
        <v>2</v>
      </c>
      <c r="E9924" s="1">
        <v>434</v>
      </c>
    </row>
    <row r="9925" spans="1:5" x14ac:dyDescent="0.25">
      <c r="A9925">
        <v>14</v>
      </c>
      <c r="B9925">
        <f t="shared" si="43"/>
        <v>434</v>
      </c>
      <c r="C9925">
        <v>5</v>
      </c>
      <c r="E9925">
        <v>435</v>
      </c>
    </row>
    <row r="9926" spans="1:5" x14ac:dyDescent="0.25">
      <c r="A9926">
        <v>15</v>
      </c>
      <c r="B9926">
        <f t="shared" si="43"/>
        <v>434</v>
      </c>
      <c r="C9926">
        <v>3</v>
      </c>
      <c r="E9926" s="1">
        <v>435</v>
      </c>
    </row>
    <row r="9927" spans="1:5" x14ac:dyDescent="0.25">
      <c r="A9927">
        <v>22</v>
      </c>
      <c r="B9927">
        <f t="shared" si="43"/>
        <v>434</v>
      </c>
      <c r="C9927">
        <v>2</v>
      </c>
      <c r="E9927">
        <v>435</v>
      </c>
    </row>
    <row r="9928" spans="1:5" x14ac:dyDescent="0.25">
      <c r="A9928">
        <v>33</v>
      </c>
      <c r="B9928">
        <f t="shared" si="43"/>
        <v>434</v>
      </c>
      <c r="C9928">
        <v>4</v>
      </c>
      <c r="E9928" s="1">
        <v>435</v>
      </c>
    </row>
    <row r="9929" spans="1:5" x14ac:dyDescent="0.25">
      <c r="A9929">
        <v>112</v>
      </c>
      <c r="B9929">
        <f t="shared" si="43"/>
        <v>434</v>
      </c>
      <c r="C9929">
        <v>1</v>
      </c>
      <c r="E9929">
        <v>435</v>
      </c>
    </row>
    <row r="9930" spans="1:5" x14ac:dyDescent="0.25">
      <c r="A9930">
        <v>113</v>
      </c>
      <c r="B9930">
        <f t="shared" si="43"/>
        <v>434</v>
      </c>
      <c r="C9930">
        <v>5</v>
      </c>
      <c r="E9930" s="1">
        <v>435</v>
      </c>
    </row>
    <row r="9931" spans="1:5" x14ac:dyDescent="0.25">
      <c r="A9931">
        <v>148</v>
      </c>
      <c r="B9931">
        <f t="shared" si="43"/>
        <v>434</v>
      </c>
      <c r="C9931">
        <v>5</v>
      </c>
      <c r="E9931">
        <v>435</v>
      </c>
    </row>
    <row r="9932" spans="1:5" x14ac:dyDescent="0.25">
      <c r="A9932">
        <v>155</v>
      </c>
      <c r="B9932">
        <f t="shared" si="43"/>
        <v>434</v>
      </c>
      <c r="C9932">
        <v>1</v>
      </c>
      <c r="E9932" s="1">
        <v>435</v>
      </c>
    </row>
    <row r="9933" spans="1:5" x14ac:dyDescent="0.25">
      <c r="A9933">
        <v>166</v>
      </c>
      <c r="B9933">
        <f t="shared" si="43"/>
        <v>434</v>
      </c>
      <c r="C9933">
        <v>3</v>
      </c>
      <c r="E9933">
        <v>435</v>
      </c>
    </row>
    <row r="9934" spans="1:5" x14ac:dyDescent="0.25">
      <c r="A9934">
        <v>181</v>
      </c>
      <c r="B9934">
        <f t="shared" ref="B9934:B9997" si="44">E9934-1</f>
        <v>434</v>
      </c>
      <c r="C9934">
        <v>2</v>
      </c>
      <c r="E9934" s="1">
        <v>435</v>
      </c>
    </row>
    <row r="9935" spans="1:5" x14ac:dyDescent="0.25">
      <c r="A9935">
        <v>210</v>
      </c>
      <c r="B9935">
        <f t="shared" si="44"/>
        <v>434</v>
      </c>
      <c r="C9935">
        <v>1</v>
      </c>
      <c r="E9935">
        <v>435</v>
      </c>
    </row>
    <row r="9936" spans="1:5" x14ac:dyDescent="0.25">
      <c r="A9936">
        <v>215</v>
      </c>
      <c r="B9936">
        <f t="shared" si="44"/>
        <v>434</v>
      </c>
      <c r="C9936">
        <v>4</v>
      </c>
      <c r="E9936" s="1">
        <v>435</v>
      </c>
    </row>
    <row r="9937" spans="1:5" x14ac:dyDescent="0.25">
      <c r="A9937">
        <v>216</v>
      </c>
      <c r="B9937">
        <f t="shared" si="44"/>
        <v>434</v>
      </c>
      <c r="C9937">
        <v>1</v>
      </c>
      <c r="E9937">
        <v>435</v>
      </c>
    </row>
    <row r="9938" spans="1:5" x14ac:dyDescent="0.25">
      <c r="A9938">
        <v>229</v>
      </c>
      <c r="B9938">
        <f t="shared" si="44"/>
        <v>434</v>
      </c>
      <c r="C9938">
        <v>3</v>
      </c>
      <c r="E9938" s="1">
        <v>435</v>
      </c>
    </row>
    <row r="9939" spans="1:5" x14ac:dyDescent="0.25">
      <c r="A9939">
        <v>242</v>
      </c>
      <c r="B9939">
        <f t="shared" si="44"/>
        <v>434</v>
      </c>
      <c r="C9939">
        <v>3</v>
      </c>
      <c r="E9939">
        <v>435</v>
      </c>
    </row>
    <row r="9940" spans="1:5" x14ac:dyDescent="0.25">
      <c r="A9940">
        <v>285</v>
      </c>
      <c r="B9940">
        <f t="shared" si="44"/>
        <v>434</v>
      </c>
      <c r="C9940">
        <v>4</v>
      </c>
      <c r="E9940" s="1">
        <v>435</v>
      </c>
    </row>
    <row r="9941" spans="1:5" x14ac:dyDescent="0.25">
      <c r="A9941">
        <v>300</v>
      </c>
      <c r="B9941">
        <f t="shared" si="44"/>
        <v>434</v>
      </c>
      <c r="C9941">
        <v>4</v>
      </c>
      <c r="E9941">
        <v>435</v>
      </c>
    </row>
    <row r="9942" spans="1:5" x14ac:dyDescent="0.25">
      <c r="A9942">
        <v>5</v>
      </c>
      <c r="B9942">
        <f t="shared" si="44"/>
        <v>435</v>
      </c>
      <c r="C9942">
        <v>5</v>
      </c>
      <c r="E9942" s="1">
        <v>436</v>
      </c>
    </row>
    <row r="9943" spans="1:5" x14ac:dyDescent="0.25">
      <c r="A9943">
        <v>52</v>
      </c>
      <c r="B9943">
        <f t="shared" si="44"/>
        <v>435</v>
      </c>
      <c r="C9943">
        <v>2</v>
      </c>
      <c r="E9943">
        <v>436</v>
      </c>
    </row>
    <row r="9944" spans="1:5" x14ac:dyDescent="0.25">
      <c r="A9944">
        <v>76</v>
      </c>
      <c r="B9944">
        <f t="shared" si="44"/>
        <v>435</v>
      </c>
      <c r="C9944">
        <v>2</v>
      </c>
      <c r="E9944" s="1">
        <v>436</v>
      </c>
    </row>
    <row r="9945" spans="1:5" x14ac:dyDescent="0.25">
      <c r="A9945">
        <v>80</v>
      </c>
      <c r="B9945">
        <f t="shared" si="44"/>
        <v>435</v>
      </c>
      <c r="C9945">
        <v>2</v>
      </c>
      <c r="E9945">
        <v>436</v>
      </c>
    </row>
    <row r="9946" spans="1:5" x14ac:dyDescent="0.25">
      <c r="A9946">
        <v>101</v>
      </c>
      <c r="B9946">
        <f t="shared" si="44"/>
        <v>435</v>
      </c>
      <c r="C9946">
        <v>5</v>
      </c>
      <c r="E9946" s="1">
        <v>436</v>
      </c>
    </row>
    <row r="9947" spans="1:5" x14ac:dyDescent="0.25">
      <c r="A9947">
        <v>118</v>
      </c>
      <c r="B9947">
        <f t="shared" si="44"/>
        <v>435</v>
      </c>
      <c r="C9947">
        <v>5</v>
      </c>
      <c r="E9947">
        <v>436</v>
      </c>
    </row>
    <row r="9948" spans="1:5" x14ac:dyDescent="0.25">
      <c r="A9948">
        <v>118</v>
      </c>
      <c r="B9948">
        <f t="shared" si="44"/>
        <v>435</v>
      </c>
      <c r="C9948">
        <v>4</v>
      </c>
      <c r="E9948" s="1">
        <v>436</v>
      </c>
    </row>
    <row r="9949" spans="1:5" x14ac:dyDescent="0.25">
      <c r="A9949">
        <v>142</v>
      </c>
      <c r="B9949">
        <f t="shared" si="44"/>
        <v>435</v>
      </c>
      <c r="C9949">
        <v>5</v>
      </c>
      <c r="E9949">
        <v>436</v>
      </c>
    </row>
    <row r="9950" spans="1:5" x14ac:dyDescent="0.25">
      <c r="A9950">
        <v>157</v>
      </c>
      <c r="B9950">
        <f t="shared" si="44"/>
        <v>435</v>
      </c>
      <c r="C9950">
        <v>3</v>
      </c>
      <c r="E9950" s="1">
        <v>436</v>
      </c>
    </row>
    <row r="9951" spans="1:5" x14ac:dyDescent="0.25">
      <c r="A9951">
        <v>165</v>
      </c>
      <c r="B9951">
        <f t="shared" si="44"/>
        <v>435</v>
      </c>
      <c r="C9951">
        <v>4</v>
      </c>
      <c r="E9951">
        <v>436</v>
      </c>
    </row>
    <row r="9952" spans="1:5" x14ac:dyDescent="0.25">
      <c r="A9952">
        <v>169</v>
      </c>
      <c r="B9952">
        <f t="shared" si="44"/>
        <v>435</v>
      </c>
      <c r="C9952">
        <v>4</v>
      </c>
      <c r="E9952" s="1">
        <v>436</v>
      </c>
    </row>
    <row r="9953" spans="1:5" x14ac:dyDescent="0.25">
      <c r="A9953">
        <v>171</v>
      </c>
      <c r="B9953">
        <f t="shared" si="44"/>
        <v>435</v>
      </c>
      <c r="C9953">
        <v>4</v>
      </c>
      <c r="E9953">
        <v>436</v>
      </c>
    </row>
    <row r="9954" spans="1:5" x14ac:dyDescent="0.25">
      <c r="A9954">
        <v>173</v>
      </c>
      <c r="B9954">
        <f t="shared" si="44"/>
        <v>435</v>
      </c>
      <c r="C9954">
        <v>3</v>
      </c>
      <c r="E9954" s="1">
        <v>436</v>
      </c>
    </row>
    <row r="9955" spans="1:5" x14ac:dyDescent="0.25">
      <c r="A9955">
        <v>179</v>
      </c>
      <c r="B9955">
        <f t="shared" si="44"/>
        <v>435</v>
      </c>
      <c r="C9955">
        <v>2</v>
      </c>
      <c r="E9955">
        <v>436</v>
      </c>
    </row>
    <row r="9956" spans="1:5" x14ac:dyDescent="0.25">
      <c r="A9956">
        <v>198</v>
      </c>
      <c r="B9956">
        <f t="shared" si="44"/>
        <v>435</v>
      </c>
      <c r="C9956">
        <v>1</v>
      </c>
      <c r="E9956" s="1">
        <v>436</v>
      </c>
    </row>
    <row r="9957" spans="1:5" x14ac:dyDescent="0.25">
      <c r="A9957">
        <v>224</v>
      </c>
      <c r="B9957">
        <f t="shared" si="44"/>
        <v>435</v>
      </c>
      <c r="C9957">
        <v>1</v>
      </c>
      <c r="E9957">
        <v>436</v>
      </c>
    </row>
    <row r="9958" spans="1:5" x14ac:dyDescent="0.25">
      <c r="A9958">
        <v>248</v>
      </c>
      <c r="B9958">
        <f t="shared" si="44"/>
        <v>435</v>
      </c>
      <c r="C9958">
        <v>5</v>
      </c>
      <c r="E9958" s="1">
        <v>436</v>
      </c>
    </row>
    <row r="9959" spans="1:5" x14ac:dyDescent="0.25">
      <c r="A9959">
        <v>274</v>
      </c>
      <c r="B9959">
        <f t="shared" si="44"/>
        <v>435</v>
      </c>
      <c r="C9959">
        <v>4</v>
      </c>
      <c r="E9959">
        <v>436</v>
      </c>
    </row>
    <row r="9960" spans="1:5" x14ac:dyDescent="0.25">
      <c r="A9960">
        <v>284</v>
      </c>
      <c r="B9960">
        <f t="shared" si="44"/>
        <v>435</v>
      </c>
      <c r="C9960">
        <v>1</v>
      </c>
      <c r="E9960" s="1">
        <v>436</v>
      </c>
    </row>
    <row r="9961" spans="1:5" x14ac:dyDescent="0.25">
      <c r="A9961">
        <v>290</v>
      </c>
      <c r="B9961">
        <f t="shared" si="44"/>
        <v>435</v>
      </c>
      <c r="C9961">
        <v>3</v>
      </c>
      <c r="E9961">
        <v>436</v>
      </c>
    </row>
    <row r="9962" spans="1:5" x14ac:dyDescent="0.25">
      <c r="A9962">
        <v>292</v>
      </c>
      <c r="B9962">
        <f t="shared" si="44"/>
        <v>435</v>
      </c>
      <c r="C9962">
        <v>2</v>
      </c>
      <c r="E9962" s="1">
        <v>436</v>
      </c>
    </row>
    <row r="9963" spans="1:5" x14ac:dyDescent="0.25">
      <c r="A9963">
        <v>294</v>
      </c>
      <c r="B9963">
        <f t="shared" si="44"/>
        <v>435</v>
      </c>
      <c r="C9963">
        <v>1</v>
      </c>
      <c r="E9963">
        <v>436</v>
      </c>
    </row>
    <row r="9964" spans="1:5" x14ac:dyDescent="0.25">
      <c r="A9964">
        <v>2</v>
      </c>
      <c r="B9964">
        <f t="shared" si="44"/>
        <v>436</v>
      </c>
      <c r="C9964">
        <v>5</v>
      </c>
      <c r="E9964" s="1">
        <v>437</v>
      </c>
    </row>
    <row r="9965" spans="1:5" x14ac:dyDescent="0.25">
      <c r="A9965">
        <v>2</v>
      </c>
      <c r="B9965">
        <f t="shared" si="44"/>
        <v>436</v>
      </c>
      <c r="C9965">
        <v>4</v>
      </c>
      <c r="E9965">
        <v>437</v>
      </c>
    </row>
    <row r="9966" spans="1:5" x14ac:dyDescent="0.25">
      <c r="A9966">
        <v>13</v>
      </c>
      <c r="B9966">
        <f t="shared" si="44"/>
        <v>436</v>
      </c>
      <c r="C9966">
        <v>5</v>
      </c>
      <c r="E9966" s="1">
        <v>437</v>
      </c>
    </row>
    <row r="9967" spans="1:5" x14ac:dyDescent="0.25">
      <c r="A9967">
        <v>50</v>
      </c>
      <c r="B9967">
        <f t="shared" si="44"/>
        <v>436</v>
      </c>
      <c r="C9967">
        <v>5</v>
      </c>
      <c r="E9967">
        <v>437</v>
      </c>
    </row>
    <row r="9968" spans="1:5" x14ac:dyDescent="0.25">
      <c r="A9968">
        <v>61</v>
      </c>
      <c r="B9968">
        <f t="shared" si="44"/>
        <v>436</v>
      </c>
      <c r="C9968">
        <v>5</v>
      </c>
      <c r="E9968" s="1">
        <v>437</v>
      </c>
    </row>
    <row r="9969" spans="1:5" x14ac:dyDescent="0.25">
      <c r="A9969">
        <v>63</v>
      </c>
      <c r="B9969">
        <f t="shared" si="44"/>
        <v>436</v>
      </c>
      <c r="C9969">
        <v>4</v>
      </c>
      <c r="E9969">
        <v>437</v>
      </c>
    </row>
    <row r="9970" spans="1:5" x14ac:dyDescent="0.25">
      <c r="A9970">
        <v>66</v>
      </c>
      <c r="B9970">
        <f t="shared" si="44"/>
        <v>436</v>
      </c>
      <c r="C9970">
        <v>2</v>
      </c>
      <c r="E9970" s="1">
        <v>437</v>
      </c>
    </row>
    <row r="9971" spans="1:5" x14ac:dyDescent="0.25">
      <c r="A9971">
        <v>70</v>
      </c>
      <c r="B9971">
        <f t="shared" si="44"/>
        <v>436</v>
      </c>
      <c r="C9971">
        <v>4</v>
      </c>
      <c r="E9971">
        <v>437</v>
      </c>
    </row>
    <row r="9972" spans="1:5" x14ac:dyDescent="0.25">
      <c r="A9972">
        <v>80</v>
      </c>
      <c r="B9972">
        <f t="shared" si="44"/>
        <v>436</v>
      </c>
      <c r="C9972">
        <v>3</v>
      </c>
      <c r="E9972" s="1">
        <v>437</v>
      </c>
    </row>
    <row r="9973" spans="1:5" x14ac:dyDescent="0.25">
      <c r="A9973">
        <v>81</v>
      </c>
      <c r="B9973">
        <f t="shared" si="44"/>
        <v>436</v>
      </c>
      <c r="C9973">
        <v>3</v>
      </c>
      <c r="E9973">
        <v>437</v>
      </c>
    </row>
    <row r="9974" spans="1:5" x14ac:dyDescent="0.25">
      <c r="A9974">
        <v>93</v>
      </c>
      <c r="B9974">
        <f t="shared" si="44"/>
        <v>436</v>
      </c>
      <c r="C9974">
        <v>5</v>
      </c>
      <c r="E9974" s="1">
        <v>437</v>
      </c>
    </row>
    <row r="9975" spans="1:5" x14ac:dyDescent="0.25">
      <c r="A9975">
        <v>98</v>
      </c>
      <c r="B9975">
        <f t="shared" si="44"/>
        <v>436</v>
      </c>
      <c r="C9975">
        <v>2</v>
      </c>
      <c r="E9975">
        <v>437</v>
      </c>
    </row>
    <row r="9976" spans="1:5" x14ac:dyDescent="0.25">
      <c r="A9976">
        <v>99</v>
      </c>
      <c r="B9976">
        <f t="shared" si="44"/>
        <v>436</v>
      </c>
      <c r="C9976">
        <v>4</v>
      </c>
      <c r="E9976" s="1">
        <v>437</v>
      </c>
    </row>
    <row r="9977" spans="1:5" x14ac:dyDescent="0.25">
      <c r="A9977">
        <v>100</v>
      </c>
      <c r="B9977">
        <f t="shared" si="44"/>
        <v>436</v>
      </c>
      <c r="C9977">
        <v>2</v>
      </c>
      <c r="E9977">
        <v>437</v>
      </c>
    </row>
    <row r="9978" spans="1:5" x14ac:dyDescent="0.25">
      <c r="A9978">
        <v>128</v>
      </c>
      <c r="B9978">
        <f t="shared" si="44"/>
        <v>436</v>
      </c>
      <c r="C9978">
        <v>3</v>
      </c>
      <c r="E9978" s="1">
        <v>437</v>
      </c>
    </row>
    <row r="9979" spans="1:5" x14ac:dyDescent="0.25">
      <c r="A9979">
        <v>129</v>
      </c>
      <c r="B9979">
        <f t="shared" si="44"/>
        <v>436</v>
      </c>
      <c r="C9979">
        <v>4</v>
      </c>
      <c r="E9979">
        <v>437</v>
      </c>
    </row>
    <row r="9980" spans="1:5" x14ac:dyDescent="0.25">
      <c r="A9980">
        <v>139</v>
      </c>
      <c r="B9980">
        <f t="shared" si="44"/>
        <v>436</v>
      </c>
      <c r="C9980">
        <v>2</v>
      </c>
      <c r="E9980" s="1">
        <v>437</v>
      </c>
    </row>
    <row r="9981" spans="1:5" x14ac:dyDescent="0.25">
      <c r="A9981">
        <v>182</v>
      </c>
      <c r="B9981">
        <f t="shared" si="44"/>
        <v>436</v>
      </c>
      <c r="C9981">
        <v>1</v>
      </c>
      <c r="E9981">
        <v>437</v>
      </c>
    </row>
    <row r="9982" spans="1:5" x14ac:dyDescent="0.25">
      <c r="A9982">
        <v>187</v>
      </c>
      <c r="B9982">
        <f t="shared" si="44"/>
        <v>436</v>
      </c>
      <c r="C9982">
        <v>5</v>
      </c>
      <c r="E9982" s="1">
        <v>437</v>
      </c>
    </row>
    <row r="9983" spans="1:5" x14ac:dyDescent="0.25">
      <c r="A9983">
        <v>192</v>
      </c>
      <c r="B9983">
        <f t="shared" si="44"/>
        <v>436</v>
      </c>
      <c r="C9983">
        <v>2</v>
      </c>
      <c r="E9983">
        <v>437</v>
      </c>
    </row>
    <row r="9984" spans="1:5" x14ac:dyDescent="0.25">
      <c r="A9984">
        <v>200</v>
      </c>
      <c r="B9984">
        <f t="shared" si="44"/>
        <v>436</v>
      </c>
      <c r="C9984">
        <v>2</v>
      </c>
      <c r="E9984" s="1">
        <v>437</v>
      </c>
    </row>
    <row r="9985" spans="1:5" x14ac:dyDescent="0.25">
      <c r="A9985">
        <v>203</v>
      </c>
      <c r="B9985">
        <f t="shared" si="44"/>
        <v>436</v>
      </c>
      <c r="C9985">
        <v>3</v>
      </c>
      <c r="E9985">
        <v>437</v>
      </c>
    </row>
    <row r="9986" spans="1:5" x14ac:dyDescent="0.25">
      <c r="A9986">
        <v>208</v>
      </c>
      <c r="B9986">
        <f t="shared" si="44"/>
        <v>436</v>
      </c>
      <c r="C9986">
        <v>5</v>
      </c>
      <c r="E9986" s="1">
        <v>437</v>
      </c>
    </row>
    <row r="9987" spans="1:5" x14ac:dyDescent="0.25">
      <c r="A9987">
        <v>213</v>
      </c>
      <c r="B9987">
        <f t="shared" si="44"/>
        <v>436</v>
      </c>
      <c r="C9987">
        <v>4</v>
      </c>
      <c r="E9987">
        <v>437</v>
      </c>
    </row>
    <row r="9988" spans="1:5" x14ac:dyDescent="0.25">
      <c r="A9988">
        <v>217</v>
      </c>
      <c r="B9988">
        <f t="shared" si="44"/>
        <v>436</v>
      </c>
      <c r="C9988">
        <v>1</v>
      </c>
      <c r="E9988" s="1">
        <v>437</v>
      </c>
    </row>
    <row r="9989" spans="1:5" x14ac:dyDescent="0.25">
      <c r="A9989">
        <v>222</v>
      </c>
      <c r="B9989">
        <f t="shared" si="44"/>
        <v>436</v>
      </c>
      <c r="C9989">
        <v>2</v>
      </c>
      <c r="E9989">
        <v>437</v>
      </c>
    </row>
    <row r="9990" spans="1:5" x14ac:dyDescent="0.25">
      <c r="A9990">
        <v>234</v>
      </c>
      <c r="B9990">
        <f t="shared" si="44"/>
        <v>436</v>
      </c>
      <c r="C9990">
        <v>3</v>
      </c>
      <c r="E9990" s="1">
        <v>437</v>
      </c>
    </row>
    <row r="9991" spans="1:5" x14ac:dyDescent="0.25">
      <c r="A9991">
        <v>234</v>
      </c>
      <c r="B9991">
        <f t="shared" si="44"/>
        <v>436</v>
      </c>
      <c r="C9991">
        <v>3</v>
      </c>
      <c r="E9991">
        <v>437</v>
      </c>
    </row>
    <row r="9992" spans="1:5" x14ac:dyDescent="0.25">
      <c r="A9992">
        <v>251</v>
      </c>
      <c r="B9992">
        <f t="shared" si="44"/>
        <v>436</v>
      </c>
      <c r="C9992">
        <v>5</v>
      </c>
      <c r="E9992" s="1">
        <v>437</v>
      </c>
    </row>
    <row r="9993" spans="1:5" x14ac:dyDescent="0.25">
      <c r="A9993">
        <v>251</v>
      </c>
      <c r="B9993">
        <f t="shared" si="44"/>
        <v>436</v>
      </c>
      <c r="C9993">
        <v>3</v>
      </c>
      <c r="E9993">
        <v>437</v>
      </c>
    </row>
    <row r="9994" spans="1:5" x14ac:dyDescent="0.25">
      <c r="A9994">
        <v>263</v>
      </c>
      <c r="B9994">
        <f t="shared" si="44"/>
        <v>436</v>
      </c>
      <c r="C9994">
        <v>5</v>
      </c>
      <c r="E9994" s="1">
        <v>437</v>
      </c>
    </row>
    <row r="9995" spans="1:5" x14ac:dyDescent="0.25">
      <c r="A9995">
        <v>270</v>
      </c>
      <c r="B9995">
        <f t="shared" si="44"/>
        <v>436</v>
      </c>
      <c r="C9995">
        <v>1</v>
      </c>
      <c r="E9995">
        <v>437</v>
      </c>
    </row>
    <row r="9996" spans="1:5" x14ac:dyDescent="0.25">
      <c r="A9996">
        <v>284</v>
      </c>
      <c r="B9996">
        <f t="shared" si="44"/>
        <v>436</v>
      </c>
      <c r="C9996">
        <v>1</v>
      </c>
      <c r="E9996" s="1">
        <v>437</v>
      </c>
    </row>
    <row r="9997" spans="1:5" x14ac:dyDescent="0.25">
      <c r="A9997">
        <v>284</v>
      </c>
      <c r="B9997">
        <f t="shared" si="44"/>
        <v>436</v>
      </c>
      <c r="C9997">
        <v>5</v>
      </c>
      <c r="E9997">
        <v>437</v>
      </c>
    </row>
    <row r="9998" spans="1:5" x14ac:dyDescent="0.25">
      <c r="A9998">
        <v>288</v>
      </c>
      <c r="B9998">
        <f>E9998-1</f>
        <v>436</v>
      </c>
      <c r="C9998">
        <v>1</v>
      </c>
      <c r="E9998" s="1">
        <v>437</v>
      </c>
    </row>
    <row r="9999" spans="1:5" x14ac:dyDescent="0.25">
      <c r="A9999">
        <v>288</v>
      </c>
      <c r="B9999">
        <f>E9999-1</f>
        <v>436</v>
      </c>
      <c r="C9999">
        <v>4</v>
      </c>
      <c r="E9999">
        <v>437</v>
      </c>
    </row>
    <row r="10000" spans="1:5" x14ac:dyDescent="0.25">
      <c r="A10000">
        <v>297</v>
      </c>
      <c r="B10000">
        <f>E10000-1</f>
        <v>436</v>
      </c>
      <c r="C10000">
        <v>4</v>
      </c>
      <c r="E10000" s="1">
        <v>437</v>
      </c>
    </row>
    <row r="10001" spans="1:5" x14ac:dyDescent="0.25">
      <c r="A10001">
        <v>298</v>
      </c>
      <c r="B10001">
        <f>E10001-1</f>
        <v>436</v>
      </c>
      <c r="C10001">
        <v>3</v>
      </c>
      <c r="E10001" s="2">
        <v>437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CFDDC-FC49-42CE-9AD3-EE6F591204F7}">
  <dimension ref="A1:B406"/>
  <sheetViews>
    <sheetView workbookViewId="0">
      <selection activeCell="B406" sqref="A1:B406"/>
    </sheetView>
  </sheetViews>
  <sheetFormatPr defaultRowHeight="15" x14ac:dyDescent="0.25"/>
  <cols>
    <col min="1" max="1" width="10.5703125" bestFit="1" customWidth="1"/>
    <col min="2" max="2" width="10.7109375" bestFit="1" customWidth="1"/>
  </cols>
  <sheetData>
    <row r="1" spans="1:2" x14ac:dyDescent="0.25">
      <c r="A1" t="s">
        <v>994</v>
      </c>
      <c r="B1" t="s">
        <v>945</v>
      </c>
    </row>
    <row r="2" spans="1:2" x14ac:dyDescent="0.25">
      <c r="A2">
        <v>1</v>
      </c>
      <c r="B2">
        <v>25</v>
      </c>
    </row>
    <row r="3" spans="1:2" x14ac:dyDescent="0.25">
      <c r="A3">
        <v>1</v>
      </c>
      <c r="B3">
        <v>58</v>
      </c>
    </row>
    <row r="4" spans="1:2" x14ac:dyDescent="0.25">
      <c r="A4">
        <v>1</v>
      </c>
      <c r="B4">
        <v>60</v>
      </c>
    </row>
    <row r="5" spans="1:2" x14ac:dyDescent="0.25">
      <c r="A5">
        <v>2</v>
      </c>
      <c r="B5">
        <v>25</v>
      </c>
    </row>
    <row r="6" spans="1:2" x14ac:dyDescent="0.25">
      <c r="A6">
        <v>2</v>
      </c>
      <c r="B6">
        <v>34</v>
      </c>
    </row>
    <row r="7" spans="1:2" x14ac:dyDescent="0.25">
      <c r="A7">
        <v>2</v>
      </c>
      <c r="B7">
        <v>68</v>
      </c>
    </row>
    <row r="8" spans="1:2" x14ac:dyDescent="0.25">
      <c r="A8">
        <v>3</v>
      </c>
      <c r="B8">
        <v>70</v>
      </c>
    </row>
    <row r="9" spans="1:2" x14ac:dyDescent="0.25">
      <c r="A9">
        <v>3</v>
      </c>
      <c r="B9">
        <v>1</v>
      </c>
    </row>
    <row r="10" spans="1:2" x14ac:dyDescent="0.25">
      <c r="A10">
        <v>3</v>
      </c>
      <c r="B10">
        <v>22</v>
      </c>
    </row>
    <row r="11" spans="1:2" x14ac:dyDescent="0.25">
      <c r="A11">
        <v>4</v>
      </c>
      <c r="B11">
        <v>10</v>
      </c>
    </row>
    <row r="12" spans="1:2" x14ac:dyDescent="0.25">
      <c r="A12">
        <v>4</v>
      </c>
      <c r="B12">
        <v>11</v>
      </c>
    </row>
    <row r="13" spans="1:2" x14ac:dyDescent="0.25">
      <c r="A13">
        <v>4</v>
      </c>
      <c r="B13">
        <v>12</v>
      </c>
    </row>
    <row r="14" spans="1:2" x14ac:dyDescent="0.25">
      <c r="A14">
        <v>4</v>
      </c>
      <c r="B14">
        <v>13</v>
      </c>
    </row>
    <row r="15" spans="1:2" x14ac:dyDescent="0.25">
      <c r="A15">
        <v>4</v>
      </c>
      <c r="B15">
        <v>14</v>
      </c>
    </row>
    <row r="16" spans="1:2" x14ac:dyDescent="0.25">
      <c r="A16">
        <v>5</v>
      </c>
      <c r="B16">
        <v>82</v>
      </c>
    </row>
    <row r="17" spans="1:2" x14ac:dyDescent="0.25">
      <c r="A17">
        <v>5</v>
      </c>
      <c r="B17">
        <v>21</v>
      </c>
    </row>
    <row r="18" spans="1:2" x14ac:dyDescent="0.25">
      <c r="A18">
        <v>5</v>
      </c>
      <c r="B18">
        <v>41</v>
      </c>
    </row>
    <row r="19" spans="1:2" x14ac:dyDescent="0.25">
      <c r="A19">
        <v>5</v>
      </c>
      <c r="B19">
        <v>39</v>
      </c>
    </row>
    <row r="20" spans="1:2" x14ac:dyDescent="0.25">
      <c r="A20">
        <v>6</v>
      </c>
      <c r="B20">
        <v>72</v>
      </c>
    </row>
    <row r="21" spans="1:2" x14ac:dyDescent="0.25">
      <c r="A21">
        <v>6</v>
      </c>
      <c r="B21">
        <v>45</v>
      </c>
    </row>
    <row r="22" spans="1:2" x14ac:dyDescent="0.25">
      <c r="A22">
        <v>6</v>
      </c>
      <c r="B22">
        <v>75</v>
      </c>
    </row>
    <row r="23" spans="1:2" x14ac:dyDescent="0.25">
      <c r="A23">
        <v>7</v>
      </c>
      <c r="B23">
        <v>83</v>
      </c>
    </row>
    <row r="24" spans="1:2" x14ac:dyDescent="0.25">
      <c r="A24">
        <v>7</v>
      </c>
      <c r="B24">
        <v>8</v>
      </c>
    </row>
    <row r="25" spans="1:2" x14ac:dyDescent="0.25">
      <c r="A25">
        <v>7</v>
      </c>
      <c r="B25">
        <v>75</v>
      </c>
    </row>
    <row r="26" spans="1:2" x14ac:dyDescent="0.25">
      <c r="A26">
        <v>8</v>
      </c>
      <c r="B26">
        <v>2</v>
      </c>
    </row>
    <row r="27" spans="1:2" x14ac:dyDescent="0.25">
      <c r="A27">
        <v>8</v>
      </c>
      <c r="B27">
        <v>18</v>
      </c>
    </row>
    <row r="28" spans="1:2" x14ac:dyDescent="0.25">
      <c r="A28">
        <v>8</v>
      </c>
      <c r="B28">
        <v>1</v>
      </c>
    </row>
    <row r="29" spans="1:2" x14ac:dyDescent="0.25">
      <c r="A29">
        <v>8</v>
      </c>
      <c r="B29">
        <v>70</v>
      </c>
    </row>
    <row r="30" spans="1:2" x14ac:dyDescent="0.25">
      <c r="A30">
        <v>8</v>
      </c>
      <c r="B30">
        <v>22</v>
      </c>
    </row>
    <row r="31" spans="1:2" x14ac:dyDescent="0.25">
      <c r="A31">
        <v>9</v>
      </c>
      <c r="B31">
        <v>40</v>
      </c>
    </row>
    <row r="32" spans="1:2" x14ac:dyDescent="0.25">
      <c r="A32">
        <v>9</v>
      </c>
      <c r="B32">
        <v>42</v>
      </c>
    </row>
    <row r="33" spans="1:2" x14ac:dyDescent="0.25">
      <c r="A33">
        <v>9</v>
      </c>
      <c r="B33">
        <v>49</v>
      </c>
    </row>
    <row r="34" spans="1:2" x14ac:dyDescent="0.25">
      <c r="A34">
        <v>10</v>
      </c>
      <c r="B34">
        <v>6</v>
      </c>
    </row>
    <row r="35" spans="1:2" x14ac:dyDescent="0.25">
      <c r="A35">
        <v>10</v>
      </c>
      <c r="B35">
        <v>2</v>
      </c>
    </row>
    <row r="36" spans="1:2" x14ac:dyDescent="0.25">
      <c r="A36">
        <v>10</v>
      </c>
      <c r="B36">
        <v>18</v>
      </c>
    </row>
    <row r="37" spans="1:2" x14ac:dyDescent="0.25">
      <c r="A37">
        <v>10</v>
      </c>
      <c r="B37">
        <v>17</v>
      </c>
    </row>
    <row r="38" spans="1:2" x14ac:dyDescent="0.25">
      <c r="A38">
        <v>10</v>
      </c>
      <c r="B38">
        <v>21</v>
      </c>
    </row>
    <row r="39" spans="1:2" x14ac:dyDescent="0.25">
      <c r="A39">
        <v>11</v>
      </c>
      <c r="B39">
        <v>2</v>
      </c>
    </row>
    <row r="40" spans="1:2" x14ac:dyDescent="0.25">
      <c r="A40">
        <v>11</v>
      </c>
      <c r="B40">
        <v>16</v>
      </c>
    </row>
    <row r="41" spans="1:2" x14ac:dyDescent="0.25">
      <c r="A41">
        <v>11</v>
      </c>
      <c r="B41">
        <v>55</v>
      </c>
    </row>
    <row r="42" spans="1:2" x14ac:dyDescent="0.25">
      <c r="A42">
        <v>11</v>
      </c>
      <c r="B42">
        <v>29</v>
      </c>
    </row>
    <row r="43" spans="1:2" x14ac:dyDescent="0.25">
      <c r="A43">
        <v>12</v>
      </c>
      <c r="B43">
        <v>78</v>
      </c>
    </row>
    <row r="44" spans="1:2" x14ac:dyDescent="0.25">
      <c r="A44">
        <v>12</v>
      </c>
      <c r="B44">
        <v>76</v>
      </c>
    </row>
    <row r="45" spans="1:2" x14ac:dyDescent="0.25">
      <c r="A45">
        <v>12</v>
      </c>
      <c r="B45">
        <v>69</v>
      </c>
    </row>
    <row r="46" spans="1:2" x14ac:dyDescent="0.25">
      <c r="A46">
        <v>13</v>
      </c>
      <c r="B46">
        <v>4</v>
      </c>
    </row>
    <row r="47" spans="1:2" x14ac:dyDescent="0.25">
      <c r="A47">
        <v>13</v>
      </c>
      <c r="B47">
        <v>82</v>
      </c>
    </row>
    <row r="48" spans="1:2" x14ac:dyDescent="0.25">
      <c r="A48">
        <v>13</v>
      </c>
      <c r="B48">
        <v>25</v>
      </c>
    </row>
    <row r="49" spans="1:2" x14ac:dyDescent="0.25">
      <c r="A49">
        <v>14</v>
      </c>
      <c r="B49">
        <v>25</v>
      </c>
    </row>
    <row r="50" spans="1:2" x14ac:dyDescent="0.25">
      <c r="A50">
        <v>14</v>
      </c>
      <c r="B50">
        <v>34</v>
      </c>
    </row>
    <row r="51" spans="1:2" x14ac:dyDescent="0.25">
      <c r="A51">
        <v>14</v>
      </c>
      <c r="B51">
        <v>15</v>
      </c>
    </row>
    <row r="52" spans="1:2" x14ac:dyDescent="0.25">
      <c r="A52">
        <v>14</v>
      </c>
      <c r="B52">
        <v>68</v>
      </c>
    </row>
    <row r="53" spans="1:2" x14ac:dyDescent="0.25">
      <c r="A53">
        <v>15</v>
      </c>
      <c r="B53">
        <v>81</v>
      </c>
    </row>
    <row r="54" spans="1:2" x14ac:dyDescent="0.25">
      <c r="A54">
        <v>15</v>
      </c>
      <c r="B54">
        <v>35</v>
      </c>
    </row>
    <row r="55" spans="1:2" x14ac:dyDescent="0.25">
      <c r="A55">
        <v>15</v>
      </c>
      <c r="B55">
        <v>80</v>
      </c>
    </row>
    <row r="56" spans="1:2" x14ac:dyDescent="0.25">
      <c r="A56">
        <v>16</v>
      </c>
      <c r="B56">
        <v>50</v>
      </c>
    </row>
    <row r="57" spans="1:2" x14ac:dyDescent="0.25">
      <c r="A57">
        <v>16</v>
      </c>
      <c r="B57">
        <v>17</v>
      </c>
    </row>
    <row r="58" spans="1:2" x14ac:dyDescent="0.25">
      <c r="A58">
        <v>16</v>
      </c>
      <c r="B58">
        <v>18</v>
      </c>
    </row>
    <row r="59" spans="1:2" x14ac:dyDescent="0.25">
      <c r="A59">
        <v>16</v>
      </c>
      <c r="B59">
        <v>20</v>
      </c>
    </row>
    <row r="60" spans="1:2" x14ac:dyDescent="0.25">
      <c r="A60">
        <v>16</v>
      </c>
      <c r="B60">
        <v>24</v>
      </c>
    </row>
    <row r="61" spans="1:2" x14ac:dyDescent="0.25">
      <c r="A61">
        <v>17</v>
      </c>
      <c r="B61">
        <v>59</v>
      </c>
    </row>
    <row r="62" spans="1:2" x14ac:dyDescent="0.25">
      <c r="A62">
        <v>17</v>
      </c>
      <c r="B62">
        <v>61</v>
      </c>
    </row>
    <row r="63" spans="1:2" x14ac:dyDescent="0.25">
      <c r="A63">
        <v>17</v>
      </c>
      <c r="B63">
        <v>65</v>
      </c>
    </row>
    <row r="64" spans="1:2" x14ac:dyDescent="0.25">
      <c r="A64">
        <v>17</v>
      </c>
      <c r="B64">
        <v>66</v>
      </c>
    </row>
    <row r="65" spans="1:2" x14ac:dyDescent="0.25">
      <c r="A65">
        <v>17</v>
      </c>
      <c r="B65">
        <v>73</v>
      </c>
    </row>
    <row r="66" spans="1:2" x14ac:dyDescent="0.25">
      <c r="A66">
        <v>18</v>
      </c>
      <c r="B66">
        <v>55</v>
      </c>
    </row>
    <row r="67" spans="1:2" x14ac:dyDescent="0.25">
      <c r="A67">
        <v>18</v>
      </c>
      <c r="B67">
        <v>22</v>
      </c>
    </row>
    <row r="68" spans="1:2" x14ac:dyDescent="0.25">
      <c r="A68">
        <v>18</v>
      </c>
      <c r="B68">
        <v>23</v>
      </c>
    </row>
    <row r="69" spans="1:2" x14ac:dyDescent="0.25">
      <c r="A69">
        <v>19</v>
      </c>
      <c r="B69">
        <v>30</v>
      </c>
    </row>
    <row r="70" spans="1:2" x14ac:dyDescent="0.25">
      <c r="A70">
        <v>19</v>
      </c>
      <c r="B70">
        <v>33</v>
      </c>
    </row>
    <row r="71" spans="1:2" x14ac:dyDescent="0.25">
      <c r="A71">
        <v>19</v>
      </c>
      <c r="B71">
        <v>57</v>
      </c>
    </row>
    <row r="72" spans="1:2" x14ac:dyDescent="0.25">
      <c r="A72">
        <v>19</v>
      </c>
      <c r="B72">
        <v>76</v>
      </c>
    </row>
    <row r="73" spans="1:2" x14ac:dyDescent="0.25">
      <c r="A73">
        <v>19</v>
      </c>
      <c r="B73">
        <v>79</v>
      </c>
    </row>
    <row r="74" spans="1:2" x14ac:dyDescent="0.25">
      <c r="A74">
        <v>20</v>
      </c>
      <c r="B74">
        <v>28</v>
      </c>
    </row>
    <row r="75" spans="1:2" x14ac:dyDescent="0.25">
      <c r="A75">
        <v>20</v>
      </c>
      <c r="B75">
        <v>37</v>
      </c>
    </row>
    <row r="76" spans="1:2" x14ac:dyDescent="0.25">
      <c r="A76">
        <v>20</v>
      </c>
      <c r="B76">
        <v>47</v>
      </c>
    </row>
    <row r="77" spans="1:2" x14ac:dyDescent="0.25">
      <c r="A77">
        <v>20</v>
      </c>
      <c r="B77">
        <v>54</v>
      </c>
    </row>
    <row r="78" spans="1:2" x14ac:dyDescent="0.25">
      <c r="A78">
        <v>20</v>
      </c>
      <c r="B78">
        <v>57</v>
      </c>
    </row>
    <row r="79" spans="1:2" x14ac:dyDescent="0.25">
      <c r="A79">
        <v>21</v>
      </c>
      <c r="B79">
        <v>92</v>
      </c>
    </row>
    <row r="80" spans="1:2" x14ac:dyDescent="0.25">
      <c r="A80">
        <v>21</v>
      </c>
      <c r="B80">
        <v>96</v>
      </c>
    </row>
    <row r="81" spans="1:2" x14ac:dyDescent="0.25">
      <c r="A81">
        <v>21</v>
      </c>
      <c r="B81">
        <v>103</v>
      </c>
    </row>
    <row r="82" spans="1:2" x14ac:dyDescent="0.25">
      <c r="A82">
        <v>21</v>
      </c>
      <c r="B82">
        <v>129</v>
      </c>
    </row>
    <row r="83" spans="1:2" x14ac:dyDescent="0.25">
      <c r="A83">
        <v>21</v>
      </c>
      <c r="B83">
        <v>140</v>
      </c>
    </row>
    <row r="84" spans="1:2" x14ac:dyDescent="0.25">
      <c r="A84">
        <v>22</v>
      </c>
      <c r="B84">
        <v>132</v>
      </c>
    </row>
    <row r="85" spans="1:2" x14ac:dyDescent="0.25">
      <c r="A85">
        <v>22</v>
      </c>
      <c r="B85">
        <v>139</v>
      </c>
    </row>
    <row r="86" spans="1:2" x14ac:dyDescent="0.25">
      <c r="A86">
        <v>22</v>
      </c>
      <c r="B86">
        <v>163</v>
      </c>
    </row>
    <row r="87" spans="1:2" x14ac:dyDescent="0.25">
      <c r="A87">
        <v>22</v>
      </c>
      <c r="B87">
        <v>167</v>
      </c>
    </row>
    <row r="88" spans="1:2" x14ac:dyDescent="0.25">
      <c r="A88">
        <v>23</v>
      </c>
      <c r="B88">
        <v>125</v>
      </c>
    </row>
    <row r="89" spans="1:2" x14ac:dyDescent="0.25">
      <c r="A89">
        <v>23</v>
      </c>
      <c r="B89">
        <v>171</v>
      </c>
    </row>
    <row r="90" spans="1:2" x14ac:dyDescent="0.25">
      <c r="A90">
        <v>23</v>
      </c>
      <c r="B90">
        <v>115</v>
      </c>
    </row>
    <row r="91" spans="1:2" x14ac:dyDescent="0.25">
      <c r="A91">
        <v>24</v>
      </c>
      <c r="B91">
        <v>172</v>
      </c>
    </row>
    <row r="92" spans="1:2" x14ac:dyDescent="0.25">
      <c r="A92">
        <v>24</v>
      </c>
      <c r="B92">
        <v>173</v>
      </c>
    </row>
    <row r="93" spans="1:2" x14ac:dyDescent="0.25">
      <c r="A93">
        <v>24</v>
      </c>
      <c r="B93">
        <v>177</v>
      </c>
    </row>
    <row r="94" spans="1:2" x14ac:dyDescent="0.25">
      <c r="A94">
        <v>24</v>
      </c>
      <c r="B94">
        <v>181</v>
      </c>
    </row>
    <row r="95" spans="1:2" x14ac:dyDescent="0.25">
      <c r="A95">
        <v>24</v>
      </c>
      <c r="B95">
        <v>185</v>
      </c>
    </row>
    <row r="96" spans="1:2" x14ac:dyDescent="0.25">
      <c r="A96">
        <v>25</v>
      </c>
      <c r="B96">
        <v>171</v>
      </c>
    </row>
    <row r="97" spans="1:2" x14ac:dyDescent="0.25">
      <c r="A97">
        <v>25</v>
      </c>
      <c r="B97">
        <v>174</v>
      </c>
    </row>
    <row r="98" spans="1:2" x14ac:dyDescent="0.25">
      <c r="A98">
        <v>25</v>
      </c>
      <c r="B98">
        <v>87</v>
      </c>
    </row>
    <row r="99" spans="1:2" x14ac:dyDescent="0.25">
      <c r="A99">
        <v>26</v>
      </c>
      <c r="B99">
        <v>109</v>
      </c>
    </row>
    <row r="100" spans="1:2" x14ac:dyDescent="0.25">
      <c r="A100">
        <v>26</v>
      </c>
      <c r="B100">
        <v>147</v>
      </c>
    </row>
    <row r="101" spans="1:2" x14ac:dyDescent="0.25">
      <c r="A101">
        <v>26</v>
      </c>
      <c r="B101">
        <v>204</v>
      </c>
    </row>
    <row r="102" spans="1:2" x14ac:dyDescent="0.25">
      <c r="A102">
        <v>27</v>
      </c>
      <c r="B102">
        <v>121</v>
      </c>
    </row>
    <row r="103" spans="1:2" x14ac:dyDescent="0.25">
      <c r="A103">
        <v>27</v>
      </c>
      <c r="B103">
        <v>170</v>
      </c>
    </row>
    <row r="104" spans="1:2" x14ac:dyDescent="0.25">
      <c r="A104">
        <v>27</v>
      </c>
      <c r="B104">
        <v>106</v>
      </c>
    </row>
    <row r="105" spans="1:2" x14ac:dyDescent="0.25">
      <c r="A105">
        <v>28</v>
      </c>
      <c r="B105">
        <v>152</v>
      </c>
    </row>
    <row r="106" spans="1:2" x14ac:dyDescent="0.25">
      <c r="A106">
        <v>28</v>
      </c>
      <c r="B106">
        <v>153</v>
      </c>
    </row>
    <row r="107" spans="1:2" x14ac:dyDescent="0.25">
      <c r="A107">
        <v>28</v>
      </c>
      <c r="B107">
        <v>182</v>
      </c>
    </row>
    <row r="108" spans="1:2" x14ac:dyDescent="0.25">
      <c r="A108">
        <v>28</v>
      </c>
      <c r="B108">
        <v>189</v>
      </c>
    </row>
    <row r="109" spans="1:2" x14ac:dyDescent="0.25">
      <c r="A109">
        <v>28</v>
      </c>
      <c r="B109">
        <v>190</v>
      </c>
    </row>
    <row r="110" spans="1:2" x14ac:dyDescent="0.25">
      <c r="A110">
        <v>29</v>
      </c>
      <c r="B110">
        <v>93</v>
      </c>
    </row>
    <row r="111" spans="1:2" x14ac:dyDescent="0.25">
      <c r="A111">
        <v>29</v>
      </c>
      <c r="B111">
        <v>99</v>
      </c>
    </row>
    <row r="112" spans="1:2" x14ac:dyDescent="0.25">
      <c r="A112">
        <v>29</v>
      </c>
      <c r="B112">
        <v>104</v>
      </c>
    </row>
    <row r="113" spans="1:2" x14ac:dyDescent="0.25">
      <c r="A113">
        <v>29</v>
      </c>
      <c r="B113">
        <v>108</v>
      </c>
    </row>
    <row r="114" spans="1:2" x14ac:dyDescent="0.25">
      <c r="A114">
        <v>30</v>
      </c>
      <c r="B114">
        <v>114</v>
      </c>
    </row>
    <row r="115" spans="1:2" x14ac:dyDescent="0.25">
      <c r="A115">
        <v>30</v>
      </c>
      <c r="B115">
        <v>115</v>
      </c>
    </row>
    <row r="116" spans="1:2" x14ac:dyDescent="0.25">
      <c r="A116">
        <v>30</v>
      </c>
      <c r="B116">
        <v>165</v>
      </c>
    </row>
    <row r="117" spans="1:2" x14ac:dyDescent="0.25">
      <c r="A117">
        <v>30</v>
      </c>
      <c r="B117">
        <v>180</v>
      </c>
    </row>
    <row r="118" spans="1:2" x14ac:dyDescent="0.25">
      <c r="A118">
        <v>31</v>
      </c>
      <c r="B118">
        <v>169</v>
      </c>
    </row>
    <row r="119" spans="1:2" x14ac:dyDescent="0.25">
      <c r="A119">
        <v>31</v>
      </c>
      <c r="B119">
        <v>98</v>
      </c>
    </row>
    <row r="120" spans="1:2" x14ac:dyDescent="0.25">
      <c r="A120">
        <v>31</v>
      </c>
      <c r="B120">
        <v>203</v>
      </c>
    </row>
    <row r="121" spans="1:2" x14ac:dyDescent="0.25">
      <c r="A121">
        <v>32</v>
      </c>
      <c r="B121">
        <v>146</v>
      </c>
    </row>
    <row r="122" spans="1:2" x14ac:dyDescent="0.25">
      <c r="A122">
        <v>32</v>
      </c>
      <c r="B122">
        <v>159</v>
      </c>
    </row>
    <row r="123" spans="1:2" x14ac:dyDescent="0.25">
      <c r="A123">
        <v>32</v>
      </c>
      <c r="B123">
        <v>166</v>
      </c>
    </row>
    <row r="124" spans="1:2" x14ac:dyDescent="0.25">
      <c r="A124">
        <v>32</v>
      </c>
      <c r="B124">
        <v>178</v>
      </c>
    </row>
    <row r="125" spans="1:2" x14ac:dyDescent="0.25">
      <c r="A125">
        <v>32</v>
      </c>
      <c r="B125">
        <v>137</v>
      </c>
    </row>
    <row r="126" spans="1:2" x14ac:dyDescent="0.25">
      <c r="A126">
        <v>33</v>
      </c>
      <c r="B126">
        <v>186</v>
      </c>
    </row>
    <row r="127" spans="1:2" x14ac:dyDescent="0.25">
      <c r="A127">
        <v>33</v>
      </c>
      <c r="B127">
        <v>191</v>
      </c>
    </row>
    <row r="128" spans="1:2" x14ac:dyDescent="0.25">
      <c r="A128">
        <v>33</v>
      </c>
      <c r="B128">
        <v>194</v>
      </c>
    </row>
    <row r="129" spans="1:2" x14ac:dyDescent="0.25">
      <c r="A129">
        <v>33</v>
      </c>
      <c r="B129">
        <v>195</v>
      </c>
    </row>
    <row r="130" spans="1:2" x14ac:dyDescent="0.25">
      <c r="A130">
        <v>33</v>
      </c>
      <c r="B130">
        <v>196</v>
      </c>
    </row>
    <row r="131" spans="1:2" x14ac:dyDescent="0.25">
      <c r="A131">
        <v>34</v>
      </c>
      <c r="B131">
        <v>95</v>
      </c>
    </row>
    <row r="132" spans="1:2" x14ac:dyDescent="0.25">
      <c r="A132">
        <v>34</v>
      </c>
      <c r="B132">
        <v>106</v>
      </c>
    </row>
    <row r="133" spans="1:2" x14ac:dyDescent="0.25">
      <c r="A133">
        <v>34</v>
      </c>
      <c r="B133">
        <v>124</v>
      </c>
    </row>
    <row r="134" spans="1:2" x14ac:dyDescent="0.25">
      <c r="A134">
        <v>35</v>
      </c>
      <c r="B134">
        <v>90</v>
      </c>
    </row>
    <row r="135" spans="1:2" x14ac:dyDescent="0.25">
      <c r="A135">
        <v>35</v>
      </c>
      <c r="B135">
        <v>110</v>
      </c>
    </row>
    <row r="136" spans="1:2" x14ac:dyDescent="0.25">
      <c r="A136">
        <v>35</v>
      </c>
      <c r="B136">
        <v>133</v>
      </c>
    </row>
    <row r="137" spans="1:2" x14ac:dyDescent="0.25">
      <c r="A137">
        <v>35</v>
      </c>
      <c r="B137">
        <v>143</v>
      </c>
    </row>
    <row r="138" spans="1:2" x14ac:dyDescent="0.25">
      <c r="A138">
        <v>35</v>
      </c>
      <c r="B138">
        <v>161</v>
      </c>
    </row>
    <row r="139" spans="1:2" x14ac:dyDescent="0.25">
      <c r="A139">
        <v>36</v>
      </c>
      <c r="B139">
        <v>116</v>
      </c>
    </row>
    <row r="140" spans="1:2" x14ac:dyDescent="0.25">
      <c r="A140">
        <v>36</v>
      </c>
      <c r="B140">
        <v>119</v>
      </c>
    </row>
    <row r="141" spans="1:2" x14ac:dyDescent="0.25">
      <c r="A141">
        <v>36</v>
      </c>
      <c r="B141">
        <v>122</v>
      </c>
    </row>
    <row r="142" spans="1:2" x14ac:dyDescent="0.25">
      <c r="A142">
        <v>36</v>
      </c>
      <c r="B142">
        <v>131</v>
      </c>
    </row>
    <row r="143" spans="1:2" x14ac:dyDescent="0.25">
      <c r="A143">
        <v>37</v>
      </c>
      <c r="B143">
        <v>89</v>
      </c>
    </row>
    <row r="144" spans="1:2" x14ac:dyDescent="0.25">
      <c r="A144">
        <v>37</v>
      </c>
      <c r="B144">
        <v>99</v>
      </c>
    </row>
    <row r="145" spans="1:2" x14ac:dyDescent="0.25">
      <c r="A145">
        <v>37</v>
      </c>
      <c r="B145">
        <v>104</v>
      </c>
    </row>
    <row r="146" spans="1:2" x14ac:dyDescent="0.25">
      <c r="A146">
        <v>37</v>
      </c>
      <c r="B146">
        <v>147</v>
      </c>
    </row>
    <row r="147" spans="1:2" x14ac:dyDescent="0.25">
      <c r="A147">
        <v>38</v>
      </c>
      <c r="B147">
        <v>131</v>
      </c>
    </row>
    <row r="148" spans="1:2" x14ac:dyDescent="0.25">
      <c r="A148">
        <v>38</v>
      </c>
      <c r="B148">
        <v>141</v>
      </c>
    </row>
    <row r="149" spans="1:2" x14ac:dyDescent="0.25">
      <c r="A149">
        <v>38</v>
      </c>
      <c r="B149">
        <v>148</v>
      </c>
    </row>
    <row r="150" spans="1:2" x14ac:dyDescent="0.25">
      <c r="A150">
        <v>38</v>
      </c>
      <c r="B150">
        <v>164</v>
      </c>
    </row>
    <row r="151" spans="1:2" x14ac:dyDescent="0.25">
      <c r="A151">
        <v>38</v>
      </c>
      <c r="B151">
        <v>206</v>
      </c>
    </row>
    <row r="152" spans="1:2" x14ac:dyDescent="0.25">
      <c r="A152">
        <v>39</v>
      </c>
      <c r="B152">
        <v>87</v>
      </c>
    </row>
    <row r="153" spans="1:2" x14ac:dyDescent="0.25">
      <c r="A153">
        <v>39</v>
      </c>
      <c r="B153">
        <v>98</v>
      </c>
    </row>
    <row r="154" spans="1:2" x14ac:dyDescent="0.25">
      <c r="A154">
        <v>39</v>
      </c>
      <c r="B154">
        <v>114</v>
      </c>
    </row>
    <row r="155" spans="1:2" x14ac:dyDescent="0.25">
      <c r="A155">
        <v>39</v>
      </c>
      <c r="B155">
        <v>117</v>
      </c>
    </row>
    <row r="156" spans="1:2" x14ac:dyDescent="0.25">
      <c r="A156">
        <v>40</v>
      </c>
      <c r="B156">
        <v>174</v>
      </c>
    </row>
    <row r="157" spans="1:2" x14ac:dyDescent="0.25">
      <c r="A157">
        <v>40</v>
      </c>
      <c r="B157">
        <v>160</v>
      </c>
    </row>
    <row r="158" spans="1:2" x14ac:dyDescent="0.25">
      <c r="A158">
        <v>40</v>
      </c>
      <c r="B158">
        <v>135</v>
      </c>
    </row>
    <row r="159" spans="1:2" x14ac:dyDescent="0.25">
      <c r="A159">
        <v>41</v>
      </c>
      <c r="B159">
        <v>224</v>
      </c>
    </row>
    <row r="160" spans="1:2" x14ac:dyDescent="0.25">
      <c r="A160">
        <v>41</v>
      </c>
      <c r="B160">
        <v>225</v>
      </c>
    </row>
    <row r="161" spans="1:2" x14ac:dyDescent="0.25">
      <c r="A161">
        <v>41</v>
      </c>
      <c r="B161">
        <v>245</v>
      </c>
    </row>
    <row r="162" spans="1:2" x14ac:dyDescent="0.25">
      <c r="A162">
        <v>41</v>
      </c>
      <c r="B162">
        <v>268</v>
      </c>
    </row>
    <row r="163" spans="1:2" x14ac:dyDescent="0.25">
      <c r="A163">
        <v>42</v>
      </c>
      <c r="B163">
        <v>211</v>
      </c>
    </row>
    <row r="164" spans="1:2" x14ac:dyDescent="0.25">
      <c r="A164">
        <v>42</v>
      </c>
      <c r="B164">
        <v>233</v>
      </c>
    </row>
    <row r="165" spans="1:2" x14ac:dyDescent="0.25">
      <c r="A165">
        <v>42</v>
      </c>
      <c r="B165">
        <v>238</v>
      </c>
    </row>
    <row r="166" spans="1:2" x14ac:dyDescent="0.25">
      <c r="A166">
        <v>42</v>
      </c>
      <c r="B166">
        <v>242</v>
      </c>
    </row>
    <row r="167" spans="1:2" x14ac:dyDescent="0.25">
      <c r="A167">
        <v>42</v>
      </c>
      <c r="B167">
        <v>263</v>
      </c>
    </row>
    <row r="168" spans="1:2" x14ac:dyDescent="0.25">
      <c r="A168">
        <v>43</v>
      </c>
      <c r="B168">
        <v>221</v>
      </c>
    </row>
    <row r="169" spans="1:2" x14ac:dyDescent="0.25">
      <c r="A169">
        <v>43</v>
      </c>
      <c r="B169">
        <v>228</v>
      </c>
    </row>
    <row r="170" spans="1:2" x14ac:dyDescent="0.25">
      <c r="A170">
        <v>43</v>
      </c>
      <c r="B170">
        <v>290</v>
      </c>
    </row>
    <row r="171" spans="1:2" x14ac:dyDescent="0.25">
      <c r="A171">
        <v>43</v>
      </c>
      <c r="B171">
        <v>294</v>
      </c>
    </row>
    <row r="172" spans="1:2" x14ac:dyDescent="0.25">
      <c r="A172">
        <v>43</v>
      </c>
      <c r="B172">
        <v>295</v>
      </c>
    </row>
    <row r="173" spans="1:2" x14ac:dyDescent="0.25">
      <c r="A173">
        <v>44</v>
      </c>
      <c r="B173">
        <v>222</v>
      </c>
    </row>
    <row r="174" spans="1:2" x14ac:dyDescent="0.25">
      <c r="A174">
        <v>44</v>
      </c>
      <c r="B174">
        <v>259</v>
      </c>
    </row>
    <row r="175" spans="1:2" x14ac:dyDescent="0.25">
      <c r="A175">
        <v>44</v>
      </c>
      <c r="B175">
        <v>265</v>
      </c>
    </row>
    <row r="176" spans="1:2" x14ac:dyDescent="0.25">
      <c r="A176">
        <v>44</v>
      </c>
      <c r="B176">
        <v>285</v>
      </c>
    </row>
    <row r="177" spans="1:2" x14ac:dyDescent="0.25">
      <c r="A177">
        <v>45</v>
      </c>
      <c r="B177">
        <v>330</v>
      </c>
    </row>
    <row r="178" spans="1:2" x14ac:dyDescent="0.25">
      <c r="A178">
        <v>45</v>
      </c>
      <c r="B178">
        <v>297</v>
      </c>
    </row>
    <row r="179" spans="1:2" x14ac:dyDescent="0.25">
      <c r="A179">
        <v>45</v>
      </c>
      <c r="B179">
        <v>214</v>
      </c>
    </row>
    <row r="180" spans="1:2" x14ac:dyDescent="0.25">
      <c r="A180">
        <v>46</v>
      </c>
      <c r="B180">
        <v>320</v>
      </c>
    </row>
    <row r="181" spans="1:2" x14ac:dyDescent="0.25">
      <c r="A181">
        <v>46</v>
      </c>
      <c r="B181">
        <v>326</v>
      </c>
    </row>
    <row r="182" spans="1:2" x14ac:dyDescent="0.25">
      <c r="A182">
        <v>46</v>
      </c>
      <c r="B182">
        <v>332</v>
      </c>
    </row>
    <row r="183" spans="1:2" x14ac:dyDescent="0.25">
      <c r="A183">
        <v>47</v>
      </c>
      <c r="B183">
        <v>264</v>
      </c>
    </row>
    <row r="184" spans="1:2" x14ac:dyDescent="0.25">
      <c r="A184">
        <v>47</v>
      </c>
      <c r="B184">
        <v>302</v>
      </c>
    </row>
    <row r="185" spans="1:2" x14ac:dyDescent="0.25">
      <c r="A185">
        <v>47</v>
      </c>
      <c r="B185">
        <v>303</v>
      </c>
    </row>
    <row r="186" spans="1:2" x14ac:dyDescent="0.25">
      <c r="A186">
        <v>48</v>
      </c>
      <c r="B186">
        <v>266</v>
      </c>
    </row>
    <row r="187" spans="1:2" x14ac:dyDescent="0.25">
      <c r="A187">
        <v>48</v>
      </c>
      <c r="B187">
        <v>292</v>
      </c>
    </row>
    <row r="188" spans="1:2" x14ac:dyDescent="0.25">
      <c r="A188">
        <v>48</v>
      </c>
      <c r="B188">
        <v>321</v>
      </c>
    </row>
    <row r="189" spans="1:2" x14ac:dyDescent="0.25">
      <c r="A189">
        <v>48</v>
      </c>
      <c r="B189">
        <v>322</v>
      </c>
    </row>
    <row r="190" spans="1:2" x14ac:dyDescent="0.25">
      <c r="A190">
        <v>49</v>
      </c>
      <c r="B190">
        <v>248</v>
      </c>
    </row>
    <row r="191" spans="1:2" x14ac:dyDescent="0.25">
      <c r="A191">
        <v>49</v>
      </c>
      <c r="B191">
        <v>250</v>
      </c>
    </row>
    <row r="192" spans="1:2" x14ac:dyDescent="0.25">
      <c r="A192">
        <v>49</v>
      </c>
      <c r="B192">
        <v>267</v>
      </c>
    </row>
    <row r="193" spans="1:2" x14ac:dyDescent="0.25">
      <c r="A193">
        <v>49</v>
      </c>
      <c r="B193">
        <v>291</v>
      </c>
    </row>
    <row r="194" spans="1:2" x14ac:dyDescent="0.25">
      <c r="A194">
        <v>49</v>
      </c>
      <c r="B194">
        <v>333</v>
      </c>
    </row>
    <row r="195" spans="1:2" x14ac:dyDescent="0.25">
      <c r="A195">
        <v>50</v>
      </c>
      <c r="B195">
        <v>215</v>
      </c>
    </row>
    <row r="196" spans="1:2" x14ac:dyDescent="0.25">
      <c r="A196">
        <v>50</v>
      </c>
      <c r="B196">
        <v>219</v>
      </c>
    </row>
    <row r="197" spans="1:2" x14ac:dyDescent="0.25">
      <c r="A197">
        <v>50</v>
      </c>
      <c r="B197">
        <v>243</v>
      </c>
    </row>
    <row r="198" spans="1:2" x14ac:dyDescent="0.25">
      <c r="A198">
        <v>50</v>
      </c>
      <c r="B198">
        <v>247</v>
      </c>
    </row>
    <row r="199" spans="1:2" x14ac:dyDescent="0.25">
      <c r="A199">
        <v>50</v>
      </c>
      <c r="B199">
        <v>277</v>
      </c>
    </row>
    <row r="200" spans="1:2" x14ac:dyDescent="0.25">
      <c r="A200">
        <v>51</v>
      </c>
      <c r="B200">
        <v>317</v>
      </c>
    </row>
    <row r="201" spans="1:2" x14ac:dyDescent="0.25">
      <c r="A201">
        <v>51</v>
      </c>
      <c r="B201">
        <v>331</v>
      </c>
    </row>
    <row r="202" spans="1:2" x14ac:dyDescent="0.25">
      <c r="A202">
        <v>51</v>
      </c>
      <c r="B202">
        <v>332</v>
      </c>
    </row>
    <row r="203" spans="1:2" x14ac:dyDescent="0.25">
      <c r="A203">
        <v>52</v>
      </c>
      <c r="B203">
        <v>312</v>
      </c>
    </row>
    <row r="204" spans="1:2" x14ac:dyDescent="0.25">
      <c r="A204">
        <v>52</v>
      </c>
      <c r="B204">
        <v>315</v>
      </c>
    </row>
    <row r="205" spans="1:2" x14ac:dyDescent="0.25">
      <c r="A205">
        <v>52</v>
      </c>
      <c r="B205">
        <v>325</v>
      </c>
    </row>
    <row r="206" spans="1:2" x14ac:dyDescent="0.25">
      <c r="A206">
        <v>52</v>
      </c>
      <c r="B206">
        <v>327</v>
      </c>
    </row>
    <row r="207" spans="1:2" x14ac:dyDescent="0.25">
      <c r="A207">
        <v>52</v>
      </c>
      <c r="B207">
        <v>230</v>
      </c>
    </row>
    <row r="208" spans="1:2" x14ac:dyDescent="0.25">
      <c r="A208">
        <v>53</v>
      </c>
      <c r="B208">
        <v>227</v>
      </c>
    </row>
    <row r="209" spans="1:2" x14ac:dyDescent="0.25">
      <c r="A209">
        <v>53</v>
      </c>
      <c r="B209">
        <v>236</v>
      </c>
    </row>
    <row r="210" spans="1:2" x14ac:dyDescent="0.25">
      <c r="A210">
        <v>53</v>
      </c>
      <c r="B210">
        <v>254</v>
      </c>
    </row>
    <row r="211" spans="1:2" x14ac:dyDescent="0.25">
      <c r="A211">
        <v>53</v>
      </c>
      <c r="B211">
        <v>271</v>
      </c>
    </row>
    <row r="212" spans="1:2" x14ac:dyDescent="0.25">
      <c r="A212">
        <v>53</v>
      </c>
      <c r="B212">
        <v>240</v>
      </c>
    </row>
    <row r="213" spans="1:2" x14ac:dyDescent="0.25">
      <c r="A213">
        <v>54</v>
      </c>
      <c r="B213">
        <v>331</v>
      </c>
    </row>
    <row r="214" spans="1:2" x14ac:dyDescent="0.25">
      <c r="A214">
        <v>54</v>
      </c>
      <c r="B214">
        <v>332</v>
      </c>
    </row>
    <row r="215" spans="1:2" x14ac:dyDescent="0.25">
      <c r="A215">
        <v>54</v>
      </c>
      <c r="B215">
        <v>331</v>
      </c>
    </row>
    <row r="216" spans="1:2" x14ac:dyDescent="0.25">
      <c r="A216">
        <v>54</v>
      </c>
      <c r="B216">
        <v>332</v>
      </c>
    </row>
    <row r="217" spans="1:2" x14ac:dyDescent="0.25">
      <c r="A217">
        <v>55</v>
      </c>
      <c r="B217">
        <v>223</v>
      </c>
    </row>
    <row r="218" spans="1:2" x14ac:dyDescent="0.25">
      <c r="A218">
        <v>55</v>
      </c>
      <c r="B218">
        <v>251</v>
      </c>
    </row>
    <row r="219" spans="1:2" x14ac:dyDescent="0.25">
      <c r="A219">
        <v>55</v>
      </c>
      <c r="B219">
        <v>257</v>
      </c>
    </row>
    <row r="220" spans="1:2" x14ac:dyDescent="0.25">
      <c r="A220">
        <v>55</v>
      </c>
      <c r="B220">
        <v>260</v>
      </c>
    </row>
    <row r="221" spans="1:2" x14ac:dyDescent="0.25">
      <c r="A221">
        <v>56</v>
      </c>
      <c r="B221">
        <v>218</v>
      </c>
    </row>
    <row r="222" spans="1:2" x14ac:dyDescent="0.25">
      <c r="A222">
        <v>56</v>
      </c>
      <c r="B222">
        <v>237</v>
      </c>
    </row>
    <row r="223" spans="1:2" x14ac:dyDescent="0.25">
      <c r="A223">
        <v>56</v>
      </c>
      <c r="B223">
        <v>324</v>
      </c>
    </row>
    <row r="224" spans="1:2" x14ac:dyDescent="0.25">
      <c r="A224">
        <v>57</v>
      </c>
      <c r="B224">
        <v>258</v>
      </c>
    </row>
    <row r="225" spans="1:2" x14ac:dyDescent="0.25">
      <c r="A225">
        <v>57</v>
      </c>
      <c r="B225">
        <v>286</v>
      </c>
    </row>
    <row r="226" spans="1:2" x14ac:dyDescent="0.25">
      <c r="A226">
        <v>57</v>
      </c>
      <c r="B226">
        <v>290</v>
      </c>
    </row>
    <row r="227" spans="1:2" x14ac:dyDescent="0.25">
      <c r="A227">
        <v>57</v>
      </c>
      <c r="B227">
        <v>294</v>
      </c>
    </row>
    <row r="228" spans="1:2" x14ac:dyDescent="0.25">
      <c r="A228">
        <v>57</v>
      </c>
      <c r="B228">
        <v>295</v>
      </c>
    </row>
    <row r="229" spans="1:2" x14ac:dyDescent="0.25">
      <c r="A229">
        <v>58</v>
      </c>
      <c r="B229">
        <v>217</v>
      </c>
    </row>
    <row r="230" spans="1:2" x14ac:dyDescent="0.25">
      <c r="A230">
        <v>58</v>
      </c>
      <c r="B230">
        <v>239</v>
      </c>
    </row>
    <row r="231" spans="1:2" x14ac:dyDescent="0.25">
      <c r="A231">
        <v>58</v>
      </c>
      <c r="B231">
        <v>275</v>
      </c>
    </row>
    <row r="232" spans="1:2" x14ac:dyDescent="0.25">
      <c r="A232">
        <v>58</v>
      </c>
      <c r="B232">
        <v>313</v>
      </c>
    </row>
    <row r="233" spans="1:2" x14ac:dyDescent="0.25">
      <c r="A233">
        <v>59</v>
      </c>
      <c r="B233">
        <v>226</v>
      </c>
    </row>
    <row r="234" spans="1:2" x14ac:dyDescent="0.25">
      <c r="A234">
        <v>59</v>
      </c>
      <c r="B234">
        <v>241</v>
      </c>
    </row>
    <row r="235" spans="1:2" x14ac:dyDescent="0.25">
      <c r="A235">
        <v>59</v>
      </c>
      <c r="B235">
        <v>246</v>
      </c>
    </row>
    <row r="236" spans="1:2" x14ac:dyDescent="0.25">
      <c r="A236">
        <v>59</v>
      </c>
      <c r="B236">
        <v>272</v>
      </c>
    </row>
    <row r="237" spans="1:2" x14ac:dyDescent="0.25">
      <c r="A237">
        <v>59</v>
      </c>
      <c r="B237">
        <v>273</v>
      </c>
    </row>
    <row r="238" spans="1:2" x14ac:dyDescent="0.25">
      <c r="A238">
        <v>60</v>
      </c>
      <c r="B238">
        <v>242</v>
      </c>
    </row>
    <row r="239" spans="1:2" x14ac:dyDescent="0.25">
      <c r="A239">
        <v>60</v>
      </c>
      <c r="B239">
        <v>263</v>
      </c>
    </row>
    <row r="240" spans="1:2" x14ac:dyDescent="0.25">
      <c r="A240">
        <v>60</v>
      </c>
      <c r="B240">
        <v>289</v>
      </c>
    </row>
    <row r="241" spans="1:2" x14ac:dyDescent="0.25">
      <c r="A241">
        <v>60</v>
      </c>
      <c r="B241">
        <v>292</v>
      </c>
    </row>
    <row r="242" spans="1:2" x14ac:dyDescent="0.25">
      <c r="A242">
        <v>60</v>
      </c>
      <c r="B242">
        <v>314</v>
      </c>
    </row>
    <row r="243" spans="1:2" x14ac:dyDescent="0.25">
      <c r="A243">
        <v>61</v>
      </c>
      <c r="B243">
        <v>334</v>
      </c>
    </row>
    <row r="244" spans="1:2" x14ac:dyDescent="0.25">
      <c r="A244">
        <v>61</v>
      </c>
      <c r="B244">
        <v>337</v>
      </c>
    </row>
    <row r="245" spans="1:2" x14ac:dyDescent="0.25">
      <c r="A245">
        <v>61</v>
      </c>
      <c r="B245">
        <v>338</v>
      </c>
    </row>
    <row r="246" spans="1:2" x14ac:dyDescent="0.25">
      <c r="A246">
        <v>62</v>
      </c>
      <c r="B246">
        <v>335</v>
      </c>
    </row>
    <row r="247" spans="1:2" x14ac:dyDescent="0.25">
      <c r="A247">
        <v>62</v>
      </c>
      <c r="B247">
        <v>336</v>
      </c>
    </row>
    <row r="248" spans="1:2" x14ac:dyDescent="0.25">
      <c r="A248">
        <v>62</v>
      </c>
      <c r="B248">
        <v>339</v>
      </c>
    </row>
    <row r="249" spans="1:2" x14ac:dyDescent="0.25">
      <c r="A249">
        <v>62</v>
      </c>
      <c r="B249">
        <v>341</v>
      </c>
    </row>
    <row r="250" spans="1:2" x14ac:dyDescent="0.25">
      <c r="A250">
        <v>63</v>
      </c>
      <c r="B250">
        <v>342</v>
      </c>
    </row>
    <row r="251" spans="1:2" x14ac:dyDescent="0.25">
      <c r="A251">
        <v>63</v>
      </c>
      <c r="B251">
        <v>343</v>
      </c>
    </row>
    <row r="252" spans="1:2" x14ac:dyDescent="0.25">
      <c r="A252">
        <v>63</v>
      </c>
      <c r="B252">
        <v>349</v>
      </c>
    </row>
    <row r="253" spans="1:2" x14ac:dyDescent="0.25">
      <c r="A253">
        <v>64</v>
      </c>
      <c r="B253">
        <v>345</v>
      </c>
    </row>
    <row r="254" spans="1:2" x14ac:dyDescent="0.25">
      <c r="A254">
        <v>64</v>
      </c>
      <c r="B254">
        <v>346</v>
      </c>
    </row>
    <row r="255" spans="1:2" x14ac:dyDescent="0.25">
      <c r="A255">
        <v>64</v>
      </c>
      <c r="B255">
        <v>352</v>
      </c>
    </row>
    <row r="256" spans="1:2" x14ac:dyDescent="0.25">
      <c r="A256">
        <v>65</v>
      </c>
      <c r="B256">
        <v>377</v>
      </c>
    </row>
    <row r="257" spans="1:2" x14ac:dyDescent="0.25">
      <c r="A257">
        <v>65</v>
      </c>
      <c r="B257">
        <v>379</v>
      </c>
    </row>
    <row r="258" spans="1:2" x14ac:dyDescent="0.25">
      <c r="A258">
        <v>65</v>
      </c>
      <c r="B258">
        <v>380</v>
      </c>
    </row>
    <row r="259" spans="1:2" x14ac:dyDescent="0.25">
      <c r="A259">
        <v>65</v>
      </c>
      <c r="B259">
        <v>382</v>
      </c>
    </row>
    <row r="260" spans="1:2" x14ac:dyDescent="0.25">
      <c r="A260">
        <v>65</v>
      </c>
      <c r="B260">
        <v>383</v>
      </c>
    </row>
    <row r="261" spans="1:2" x14ac:dyDescent="0.25">
      <c r="A261">
        <v>66</v>
      </c>
      <c r="B261">
        <v>385</v>
      </c>
    </row>
    <row r="262" spans="1:2" x14ac:dyDescent="0.25">
      <c r="A262">
        <v>66</v>
      </c>
      <c r="B262">
        <v>386</v>
      </c>
    </row>
    <row r="263" spans="1:2" x14ac:dyDescent="0.25">
      <c r="A263">
        <v>66</v>
      </c>
      <c r="B263">
        <v>387</v>
      </c>
    </row>
    <row r="264" spans="1:2" x14ac:dyDescent="0.25">
      <c r="A264">
        <v>66</v>
      </c>
      <c r="B264">
        <v>388</v>
      </c>
    </row>
    <row r="265" spans="1:2" x14ac:dyDescent="0.25">
      <c r="A265">
        <v>66</v>
      </c>
      <c r="B265">
        <v>389</v>
      </c>
    </row>
    <row r="266" spans="1:2" x14ac:dyDescent="0.25">
      <c r="A266">
        <v>67</v>
      </c>
      <c r="B266">
        <v>355</v>
      </c>
    </row>
    <row r="267" spans="1:2" x14ac:dyDescent="0.25">
      <c r="A267">
        <v>67</v>
      </c>
      <c r="B267">
        <v>363</v>
      </c>
    </row>
    <row r="268" spans="1:2" x14ac:dyDescent="0.25">
      <c r="A268">
        <v>67</v>
      </c>
      <c r="B268">
        <v>381</v>
      </c>
    </row>
    <row r="269" spans="1:2" x14ac:dyDescent="0.25">
      <c r="A269">
        <v>68</v>
      </c>
      <c r="B269">
        <v>363</v>
      </c>
    </row>
    <row r="270" spans="1:2" x14ac:dyDescent="0.25">
      <c r="A270">
        <v>68</v>
      </c>
      <c r="B270">
        <v>384</v>
      </c>
    </row>
    <row r="271" spans="1:2" x14ac:dyDescent="0.25">
      <c r="A271">
        <v>68</v>
      </c>
      <c r="B271">
        <v>353</v>
      </c>
    </row>
    <row r="272" spans="1:2" x14ac:dyDescent="0.25">
      <c r="A272">
        <v>68</v>
      </c>
      <c r="B272">
        <v>390</v>
      </c>
    </row>
    <row r="273" spans="1:2" x14ac:dyDescent="0.25">
      <c r="A273">
        <v>69</v>
      </c>
      <c r="B273">
        <v>364</v>
      </c>
    </row>
    <row r="274" spans="1:2" x14ac:dyDescent="0.25">
      <c r="A274">
        <v>69</v>
      </c>
      <c r="B274">
        <v>366</v>
      </c>
    </row>
    <row r="275" spans="1:2" x14ac:dyDescent="0.25">
      <c r="A275">
        <v>69</v>
      </c>
      <c r="B275">
        <v>367</v>
      </c>
    </row>
    <row r="276" spans="1:2" x14ac:dyDescent="0.25">
      <c r="A276">
        <v>69</v>
      </c>
      <c r="B276">
        <v>370</v>
      </c>
    </row>
    <row r="277" spans="1:2" x14ac:dyDescent="0.25">
      <c r="A277">
        <v>69</v>
      </c>
      <c r="B277">
        <v>371</v>
      </c>
    </row>
    <row r="278" spans="1:2" x14ac:dyDescent="0.25">
      <c r="A278">
        <v>70</v>
      </c>
      <c r="B278">
        <v>344</v>
      </c>
    </row>
    <row r="279" spans="1:2" x14ac:dyDescent="0.25">
      <c r="A279">
        <v>70</v>
      </c>
      <c r="B279">
        <v>347</v>
      </c>
    </row>
    <row r="280" spans="1:2" x14ac:dyDescent="0.25">
      <c r="A280">
        <v>70</v>
      </c>
      <c r="B280">
        <v>350</v>
      </c>
    </row>
    <row r="281" spans="1:2" x14ac:dyDescent="0.25">
      <c r="A281">
        <v>70</v>
      </c>
      <c r="B281">
        <v>353</v>
      </c>
    </row>
    <row r="282" spans="1:2" x14ac:dyDescent="0.25">
      <c r="A282">
        <v>71</v>
      </c>
      <c r="B282">
        <v>366</v>
      </c>
    </row>
    <row r="283" spans="1:2" x14ac:dyDescent="0.25">
      <c r="A283">
        <v>71</v>
      </c>
      <c r="B283">
        <v>368</v>
      </c>
    </row>
    <row r="284" spans="1:2" x14ac:dyDescent="0.25">
      <c r="A284">
        <v>71</v>
      </c>
      <c r="B284">
        <v>369</v>
      </c>
    </row>
    <row r="285" spans="1:2" x14ac:dyDescent="0.25">
      <c r="A285">
        <v>71</v>
      </c>
      <c r="B285">
        <v>372</v>
      </c>
    </row>
    <row r="286" spans="1:2" x14ac:dyDescent="0.25">
      <c r="A286">
        <v>71</v>
      </c>
      <c r="B286">
        <v>373</v>
      </c>
    </row>
    <row r="287" spans="1:2" x14ac:dyDescent="0.25">
      <c r="A287">
        <v>72</v>
      </c>
      <c r="B287">
        <v>351</v>
      </c>
    </row>
    <row r="288" spans="1:2" x14ac:dyDescent="0.25">
      <c r="A288">
        <v>72</v>
      </c>
      <c r="B288">
        <v>357</v>
      </c>
    </row>
    <row r="289" spans="1:2" x14ac:dyDescent="0.25">
      <c r="A289">
        <v>72</v>
      </c>
      <c r="B289">
        <v>379</v>
      </c>
    </row>
    <row r="290" spans="1:2" x14ac:dyDescent="0.25">
      <c r="A290">
        <v>73</v>
      </c>
      <c r="B290">
        <v>368</v>
      </c>
    </row>
    <row r="291" spans="1:2" x14ac:dyDescent="0.25">
      <c r="A291">
        <v>73</v>
      </c>
      <c r="B291">
        <v>369</v>
      </c>
    </row>
    <row r="292" spans="1:2" x14ac:dyDescent="0.25">
      <c r="A292">
        <v>73</v>
      </c>
      <c r="B292">
        <v>372</v>
      </c>
    </row>
    <row r="293" spans="1:2" x14ac:dyDescent="0.25">
      <c r="A293">
        <v>73</v>
      </c>
      <c r="B293">
        <v>374</v>
      </c>
    </row>
    <row r="294" spans="1:2" x14ac:dyDescent="0.25">
      <c r="A294">
        <v>73</v>
      </c>
      <c r="B294">
        <v>375</v>
      </c>
    </row>
    <row r="295" spans="1:2" x14ac:dyDescent="0.25">
      <c r="A295">
        <v>74</v>
      </c>
      <c r="B295">
        <v>336</v>
      </c>
    </row>
    <row r="296" spans="1:2" x14ac:dyDescent="0.25">
      <c r="A296">
        <v>74</v>
      </c>
      <c r="B296">
        <v>340</v>
      </c>
    </row>
    <row r="297" spans="1:2" x14ac:dyDescent="0.25">
      <c r="A297">
        <v>74</v>
      </c>
      <c r="B297">
        <v>341</v>
      </c>
    </row>
    <row r="298" spans="1:2" x14ac:dyDescent="0.25">
      <c r="A298">
        <v>75</v>
      </c>
      <c r="B298">
        <v>348</v>
      </c>
    </row>
    <row r="299" spans="1:2" x14ac:dyDescent="0.25">
      <c r="A299">
        <v>75</v>
      </c>
      <c r="B299">
        <v>354</v>
      </c>
    </row>
    <row r="300" spans="1:2" x14ac:dyDescent="0.25">
      <c r="A300">
        <v>75</v>
      </c>
      <c r="B300">
        <v>356</v>
      </c>
    </row>
    <row r="301" spans="1:2" x14ac:dyDescent="0.25">
      <c r="A301">
        <v>76</v>
      </c>
      <c r="B301">
        <v>334</v>
      </c>
    </row>
    <row r="302" spans="1:2" x14ac:dyDescent="0.25">
      <c r="A302">
        <v>76</v>
      </c>
      <c r="B302">
        <v>335</v>
      </c>
    </row>
    <row r="303" spans="1:2" x14ac:dyDescent="0.25">
      <c r="A303">
        <v>76</v>
      </c>
      <c r="B303">
        <v>337</v>
      </c>
    </row>
    <row r="304" spans="1:2" x14ac:dyDescent="0.25">
      <c r="A304">
        <v>77</v>
      </c>
      <c r="B304">
        <v>365</v>
      </c>
    </row>
    <row r="305" spans="1:2" x14ac:dyDescent="0.25">
      <c r="A305">
        <v>77</v>
      </c>
      <c r="B305">
        <v>370</v>
      </c>
    </row>
    <row r="306" spans="1:2" x14ac:dyDescent="0.25">
      <c r="A306">
        <v>77</v>
      </c>
      <c r="B306">
        <v>375</v>
      </c>
    </row>
    <row r="307" spans="1:2" x14ac:dyDescent="0.25">
      <c r="A307">
        <v>77</v>
      </c>
      <c r="B307">
        <v>376</v>
      </c>
    </row>
    <row r="308" spans="1:2" x14ac:dyDescent="0.25">
      <c r="A308">
        <v>78</v>
      </c>
      <c r="B308">
        <v>342</v>
      </c>
    </row>
    <row r="309" spans="1:2" x14ac:dyDescent="0.25">
      <c r="A309">
        <v>78</v>
      </c>
      <c r="B309">
        <v>343</v>
      </c>
    </row>
    <row r="310" spans="1:2" x14ac:dyDescent="0.25">
      <c r="A310">
        <v>78</v>
      </c>
      <c r="B310">
        <v>348</v>
      </c>
    </row>
    <row r="311" spans="1:2" x14ac:dyDescent="0.25">
      <c r="A311">
        <v>78</v>
      </c>
      <c r="B311">
        <v>349</v>
      </c>
    </row>
    <row r="312" spans="1:2" x14ac:dyDescent="0.25">
      <c r="A312">
        <v>79</v>
      </c>
      <c r="B312">
        <v>364</v>
      </c>
    </row>
    <row r="313" spans="1:2" x14ac:dyDescent="0.25">
      <c r="A313">
        <v>79</v>
      </c>
      <c r="B313">
        <v>367</v>
      </c>
    </row>
    <row r="314" spans="1:2" x14ac:dyDescent="0.25">
      <c r="A314">
        <v>79</v>
      </c>
      <c r="B314">
        <v>371</v>
      </c>
    </row>
    <row r="315" spans="1:2" x14ac:dyDescent="0.25">
      <c r="A315">
        <v>79</v>
      </c>
      <c r="B315">
        <v>374</v>
      </c>
    </row>
    <row r="316" spans="1:2" x14ac:dyDescent="0.25">
      <c r="A316">
        <v>80</v>
      </c>
      <c r="B316">
        <v>339</v>
      </c>
    </row>
    <row r="317" spans="1:2" x14ac:dyDescent="0.25">
      <c r="A317">
        <v>80</v>
      </c>
      <c r="B317">
        <v>357</v>
      </c>
    </row>
    <row r="318" spans="1:2" x14ac:dyDescent="0.25">
      <c r="A318">
        <v>80</v>
      </c>
      <c r="B318">
        <v>374</v>
      </c>
    </row>
    <row r="319" spans="1:2" x14ac:dyDescent="0.25">
      <c r="A319">
        <v>80</v>
      </c>
      <c r="B319">
        <v>388</v>
      </c>
    </row>
    <row r="320" spans="1:2" x14ac:dyDescent="0.25">
      <c r="A320">
        <v>81</v>
      </c>
      <c r="B320">
        <v>394</v>
      </c>
    </row>
    <row r="321" spans="1:2" x14ac:dyDescent="0.25">
      <c r="A321">
        <v>81</v>
      </c>
      <c r="B321">
        <v>400</v>
      </c>
    </row>
    <row r="322" spans="1:2" x14ac:dyDescent="0.25">
      <c r="A322">
        <v>81</v>
      </c>
      <c r="B322">
        <v>433</v>
      </c>
    </row>
    <row r="323" spans="1:2" x14ac:dyDescent="0.25">
      <c r="A323">
        <v>81</v>
      </c>
      <c r="B323">
        <v>435</v>
      </c>
    </row>
    <row r="324" spans="1:2" x14ac:dyDescent="0.25">
      <c r="A324">
        <v>82</v>
      </c>
      <c r="B324">
        <v>417</v>
      </c>
    </row>
    <row r="325" spans="1:2" x14ac:dyDescent="0.25">
      <c r="A325">
        <v>82</v>
      </c>
      <c r="B325">
        <v>420</v>
      </c>
    </row>
    <row r="326" spans="1:2" x14ac:dyDescent="0.25">
      <c r="A326">
        <v>82</v>
      </c>
      <c r="B326">
        <v>426</v>
      </c>
    </row>
    <row r="327" spans="1:2" x14ac:dyDescent="0.25">
      <c r="A327">
        <v>82</v>
      </c>
      <c r="B327">
        <v>412</v>
      </c>
    </row>
    <row r="328" spans="1:2" x14ac:dyDescent="0.25">
      <c r="A328">
        <v>82</v>
      </c>
      <c r="B328">
        <v>415</v>
      </c>
    </row>
    <row r="329" spans="1:2" x14ac:dyDescent="0.25">
      <c r="A329">
        <v>83</v>
      </c>
      <c r="B329">
        <v>410</v>
      </c>
    </row>
    <row r="330" spans="1:2" x14ac:dyDescent="0.25">
      <c r="A330">
        <v>83</v>
      </c>
      <c r="B330">
        <v>411</v>
      </c>
    </row>
    <row r="331" spans="1:2" x14ac:dyDescent="0.25">
      <c r="A331">
        <v>83</v>
      </c>
      <c r="B331">
        <v>416</v>
      </c>
    </row>
    <row r="332" spans="1:2" x14ac:dyDescent="0.25">
      <c r="A332">
        <v>83</v>
      </c>
      <c r="B332">
        <v>426</v>
      </c>
    </row>
    <row r="333" spans="1:2" x14ac:dyDescent="0.25">
      <c r="A333">
        <v>83</v>
      </c>
      <c r="B333">
        <v>436</v>
      </c>
    </row>
    <row r="334" spans="1:2" x14ac:dyDescent="0.25">
      <c r="A334">
        <v>84</v>
      </c>
      <c r="B334">
        <v>409</v>
      </c>
    </row>
    <row r="335" spans="1:2" x14ac:dyDescent="0.25">
      <c r="A335">
        <v>84</v>
      </c>
      <c r="B335">
        <v>403</v>
      </c>
    </row>
    <row r="336" spans="1:2" x14ac:dyDescent="0.25">
      <c r="A336">
        <v>84</v>
      </c>
      <c r="B336">
        <v>407</v>
      </c>
    </row>
    <row r="337" spans="1:2" x14ac:dyDescent="0.25">
      <c r="A337">
        <v>84</v>
      </c>
      <c r="B337">
        <v>429</v>
      </c>
    </row>
    <row r="338" spans="1:2" x14ac:dyDescent="0.25">
      <c r="A338">
        <v>85</v>
      </c>
      <c r="B338">
        <v>393</v>
      </c>
    </row>
    <row r="339" spans="1:2" x14ac:dyDescent="0.25">
      <c r="A339">
        <v>85</v>
      </c>
      <c r="B339">
        <v>395</v>
      </c>
    </row>
    <row r="340" spans="1:2" x14ac:dyDescent="0.25">
      <c r="A340">
        <v>85</v>
      </c>
      <c r="B340">
        <v>423</v>
      </c>
    </row>
    <row r="341" spans="1:2" x14ac:dyDescent="0.25">
      <c r="A341">
        <v>86</v>
      </c>
      <c r="B341">
        <v>414</v>
      </c>
    </row>
    <row r="342" spans="1:2" x14ac:dyDescent="0.25">
      <c r="A342">
        <v>86</v>
      </c>
      <c r="B342">
        <v>419</v>
      </c>
    </row>
    <row r="343" spans="1:2" x14ac:dyDescent="0.25">
      <c r="A343">
        <v>86</v>
      </c>
      <c r="B343">
        <v>425</v>
      </c>
    </row>
    <row r="344" spans="1:2" x14ac:dyDescent="0.25">
      <c r="A344">
        <v>86</v>
      </c>
      <c r="B344">
        <v>432</v>
      </c>
    </row>
    <row r="345" spans="1:2" x14ac:dyDescent="0.25">
      <c r="A345">
        <v>87</v>
      </c>
      <c r="B345">
        <v>404</v>
      </c>
    </row>
    <row r="346" spans="1:2" x14ac:dyDescent="0.25">
      <c r="A346">
        <v>87</v>
      </c>
      <c r="B346">
        <v>424</v>
      </c>
    </row>
    <row r="347" spans="1:2" x14ac:dyDescent="0.25">
      <c r="A347">
        <v>87</v>
      </c>
      <c r="B347">
        <v>401</v>
      </c>
    </row>
    <row r="348" spans="1:2" x14ac:dyDescent="0.25">
      <c r="A348">
        <v>88</v>
      </c>
      <c r="B348">
        <v>397</v>
      </c>
    </row>
    <row r="349" spans="1:2" x14ac:dyDescent="0.25">
      <c r="A349">
        <v>88</v>
      </c>
      <c r="B349">
        <v>398</v>
      </c>
    </row>
    <row r="350" spans="1:2" x14ac:dyDescent="0.25">
      <c r="A350">
        <v>88</v>
      </c>
      <c r="B350">
        <v>402</v>
      </c>
    </row>
    <row r="351" spans="1:2" x14ac:dyDescent="0.25">
      <c r="A351">
        <v>88</v>
      </c>
      <c r="B351">
        <v>431</v>
      </c>
    </row>
    <row r="352" spans="1:2" x14ac:dyDescent="0.25">
      <c r="A352">
        <v>89</v>
      </c>
      <c r="B352">
        <v>408</v>
      </c>
    </row>
    <row r="353" spans="1:2" x14ac:dyDescent="0.25">
      <c r="A353">
        <v>89</v>
      </c>
      <c r="B353">
        <v>413</v>
      </c>
    </row>
    <row r="354" spans="1:2" x14ac:dyDescent="0.25">
      <c r="A354">
        <v>89</v>
      </c>
      <c r="B354">
        <v>418</v>
      </c>
    </row>
    <row r="355" spans="1:2" x14ac:dyDescent="0.25">
      <c r="A355">
        <v>89</v>
      </c>
      <c r="B355">
        <v>421</v>
      </c>
    </row>
    <row r="356" spans="1:2" x14ac:dyDescent="0.25">
      <c r="A356">
        <v>89</v>
      </c>
      <c r="B356">
        <v>422</v>
      </c>
    </row>
    <row r="357" spans="1:2" x14ac:dyDescent="0.25">
      <c r="A357">
        <v>90</v>
      </c>
      <c r="B357">
        <v>418</v>
      </c>
    </row>
    <row r="358" spans="1:2" x14ac:dyDescent="0.25">
      <c r="A358">
        <v>90</v>
      </c>
      <c r="B358">
        <v>421</v>
      </c>
    </row>
    <row r="359" spans="1:2" x14ac:dyDescent="0.25">
      <c r="A359">
        <v>90</v>
      </c>
      <c r="B359">
        <v>422</v>
      </c>
    </row>
    <row r="360" spans="1:2" x14ac:dyDescent="0.25">
      <c r="A360">
        <v>90</v>
      </c>
      <c r="B360">
        <v>427</v>
      </c>
    </row>
    <row r="361" spans="1:2" x14ac:dyDescent="0.25">
      <c r="A361">
        <v>90</v>
      </c>
      <c r="B361">
        <v>428</v>
      </c>
    </row>
    <row r="362" spans="1:2" x14ac:dyDescent="0.25">
      <c r="A362">
        <v>91</v>
      </c>
      <c r="B362">
        <v>391</v>
      </c>
    </row>
    <row r="363" spans="1:2" x14ac:dyDescent="0.25">
      <c r="A363">
        <v>91</v>
      </c>
      <c r="B363">
        <v>392</v>
      </c>
    </row>
    <row r="364" spans="1:2" x14ac:dyDescent="0.25">
      <c r="A364">
        <v>91</v>
      </c>
      <c r="B364">
        <v>434</v>
      </c>
    </row>
    <row r="365" spans="1:2" x14ac:dyDescent="0.25">
      <c r="A365">
        <v>92</v>
      </c>
      <c r="B365">
        <v>396</v>
      </c>
    </row>
    <row r="366" spans="1:2" x14ac:dyDescent="0.25">
      <c r="A366">
        <v>92</v>
      </c>
      <c r="B366">
        <v>406</v>
      </c>
    </row>
    <row r="367" spans="1:2" x14ac:dyDescent="0.25">
      <c r="A367">
        <v>92</v>
      </c>
      <c r="B367">
        <v>434</v>
      </c>
    </row>
    <row r="368" spans="1:2" x14ac:dyDescent="0.25">
      <c r="A368">
        <v>93</v>
      </c>
      <c r="B368">
        <v>412</v>
      </c>
    </row>
    <row r="369" spans="1:2" x14ac:dyDescent="0.25">
      <c r="A369">
        <v>93</v>
      </c>
      <c r="B369">
        <v>416</v>
      </c>
    </row>
    <row r="370" spans="1:2" x14ac:dyDescent="0.25">
      <c r="A370">
        <v>93</v>
      </c>
      <c r="B370">
        <v>417</v>
      </c>
    </row>
    <row r="371" spans="1:2" x14ac:dyDescent="0.25">
      <c r="A371">
        <v>93</v>
      </c>
      <c r="B371">
        <v>420</v>
      </c>
    </row>
    <row r="372" spans="1:2" x14ac:dyDescent="0.25">
      <c r="A372">
        <v>93</v>
      </c>
      <c r="B372">
        <v>430</v>
      </c>
    </row>
    <row r="373" spans="1:2" x14ac:dyDescent="0.25">
      <c r="A373">
        <v>94</v>
      </c>
      <c r="B373">
        <v>397</v>
      </c>
    </row>
    <row r="374" spans="1:2" x14ac:dyDescent="0.25">
      <c r="A374">
        <v>94</v>
      </c>
      <c r="B374">
        <v>398</v>
      </c>
    </row>
    <row r="375" spans="1:2" x14ac:dyDescent="0.25">
      <c r="A375">
        <v>94</v>
      </c>
      <c r="B375">
        <v>399</v>
      </c>
    </row>
    <row r="376" spans="1:2" x14ac:dyDescent="0.25">
      <c r="A376">
        <v>94</v>
      </c>
      <c r="B376">
        <v>402</v>
      </c>
    </row>
    <row r="377" spans="1:2" x14ac:dyDescent="0.25">
      <c r="A377">
        <v>94</v>
      </c>
      <c r="B377">
        <v>405</v>
      </c>
    </row>
    <row r="378" spans="1:2" x14ac:dyDescent="0.25">
      <c r="A378">
        <v>95</v>
      </c>
      <c r="B378">
        <v>412</v>
      </c>
    </row>
    <row r="379" spans="1:2" x14ac:dyDescent="0.25">
      <c r="A379">
        <v>95</v>
      </c>
      <c r="B379">
        <v>430</v>
      </c>
    </row>
    <row r="380" spans="1:2" x14ac:dyDescent="0.25">
      <c r="A380">
        <v>95</v>
      </c>
      <c r="B380">
        <v>414</v>
      </c>
    </row>
    <row r="381" spans="1:2" x14ac:dyDescent="0.25">
      <c r="A381">
        <v>95</v>
      </c>
      <c r="B381">
        <v>432</v>
      </c>
    </row>
    <row r="382" spans="1:2" x14ac:dyDescent="0.25">
      <c r="A382">
        <v>96</v>
      </c>
      <c r="B382">
        <v>391</v>
      </c>
    </row>
    <row r="383" spans="1:2" x14ac:dyDescent="0.25">
      <c r="A383">
        <v>96</v>
      </c>
      <c r="B383">
        <v>392</v>
      </c>
    </row>
    <row r="384" spans="1:2" x14ac:dyDescent="0.25">
      <c r="A384">
        <v>96</v>
      </c>
      <c r="B384">
        <v>396</v>
      </c>
    </row>
    <row r="385" spans="1:2" x14ac:dyDescent="0.25">
      <c r="A385">
        <v>96</v>
      </c>
      <c r="B385">
        <v>406</v>
      </c>
    </row>
    <row r="386" spans="1:2" x14ac:dyDescent="0.25">
      <c r="A386">
        <v>96</v>
      </c>
      <c r="B386">
        <v>414</v>
      </c>
    </row>
    <row r="387" spans="1:2" x14ac:dyDescent="0.25">
      <c r="A387">
        <v>97</v>
      </c>
      <c r="B387">
        <v>409</v>
      </c>
    </row>
    <row r="388" spans="1:2" x14ac:dyDescent="0.25">
      <c r="A388">
        <v>97</v>
      </c>
      <c r="B388">
        <v>403</v>
      </c>
    </row>
    <row r="389" spans="1:2" x14ac:dyDescent="0.25">
      <c r="A389">
        <v>97</v>
      </c>
      <c r="B389">
        <v>407</v>
      </c>
    </row>
    <row r="390" spans="1:2" x14ac:dyDescent="0.25">
      <c r="A390">
        <v>97</v>
      </c>
      <c r="B390">
        <v>401</v>
      </c>
    </row>
    <row r="391" spans="1:2" x14ac:dyDescent="0.25">
      <c r="A391">
        <v>97</v>
      </c>
      <c r="B391">
        <v>429</v>
      </c>
    </row>
    <row r="392" spans="1:2" x14ac:dyDescent="0.25">
      <c r="A392">
        <v>98</v>
      </c>
      <c r="B392">
        <v>420</v>
      </c>
    </row>
    <row r="393" spans="1:2" x14ac:dyDescent="0.25">
      <c r="A393">
        <v>98</v>
      </c>
      <c r="B393">
        <v>426</v>
      </c>
    </row>
    <row r="394" spans="1:2" x14ac:dyDescent="0.25">
      <c r="A394">
        <v>98</v>
      </c>
      <c r="B394">
        <v>430</v>
      </c>
    </row>
    <row r="395" spans="1:2" x14ac:dyDescent="0.25">
      <c r="A395">
        <v>98</v>
      </c>
      <c r="B395">
        <v>433</v>
      </c>
    </row>
    <row r="396" spans="1:2" x14ac:dyDescent="0.25">
      <c r="A396">
        <v>98</v>
      </c>
      <c r="B396">
        <v>435</v>
      </c>
    </row>
    <row r="397" spans="1:2" x14ac:dyDescent="0.25">
      <c r="A397">
        <v>99</v>
      </c>
      <c r="B397">
        <v>406</v>
      </c>
    </row>
    <row r="398" spans="1:2" x14ac:dyDescent="0.25">
      <c r="A398">
        <v>99</v>
      </c>
      <c r="B398">
        <v>414</v>
      </c>
    </row>
    <row r="399" spans="1:2" x14ac:dyDescent="0.25">
      <c r="A399">
        <v>99</v>
      </c>
      <c r="B399">
        <v>419</v>
      </c>
    </row>
    <row r="400" spans="1:2" x14ac:dyDescent="0.25">
      <c r="A400">
        <v>99</v>
      </c>
      <c r="B400">
        <v>432</v>
      </c>
    </row>
    <row r="401" spans="1:2" x14ac:dyDescent="0.25">
      <c r="A401">
        <v>99</v>
      </c>
      <c r="B401">
        <v>434</v>
      </c>
    </row>
    <row r="402" spans="1:2" x14ac:dyDescent="0.25">
      <c r="A402">
        <v>100</v>
      </c>
      <c r="B402">
        <v>397</v>
      </c>
    </row>
    <row r="403" spans="1:2" x14ac:dyDescent="0.25">
      <c r="A403">
        <v>100</v>
      </c>
      <c r="B403">
        <v>399</v>
      </c>
    </row>
    <row r="404" spans="1:2" x14ac:dyDescent="0.25">
      <c r="A404">
        <v>100</v>
      </c>
      <c r="B404">
        <v>402</v>
      </c>
    </row>
    <row r="405" spans="1:2" x14ac:dyDescent="0.25">
      <c r="A405">
        <v>100</v>
      </c>
      <c r="B405">
        <v>405</v>
      </c>
    </row>
    <row r="406" spans="1:2" x14ac:dyDescent="0.25">
      <c r="A406">
        <v>100</v>
      </c>
      <c r="B406">
        <v>431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E9E56-BFC6-46E5-B107-77206EFBF80F}">
  <dimension ref="A1:K101"/>
  <sheetViews>
    <sheetView topLeftCell="A61" workbookViewId="0">
      <selection activeCell="C3" sqref="C3"/>
    </sheetView>
  </sheetViews>
  <sheetFormatPr defaultRowHeight="15" x14ac:dyDescent="0.25"/>
  <cols>
    <col min="1" max="1" width="10.5703125" customWidth="1"/>
    <col min="2" max="2" width="40" hidden="1" customWidth="1"/>
    <col min="3" max="3" width="17.140625" customWidth="1"/>
    <col min="4" max="4" width="37.5703125" hidden="1" customWidth="1"/>
    <col min="5" max="5" width="17.140625" customWidth="1"/>
    <col min="6" max="6" width="17.140625" hidden="1" customWidth="1"/>
    <col min="7" max="7" width="17.140625" customWidth="1"/>
    <col min="8" max="8" width="17.140625" hidden="1" customWidth="1"/>
    <col min="9" max="9" width="17.140625" customWidth="1"/>
    <col min="10" max="10" width="17.140625" hidden="1" customWidth="1"/>
  </cols>
  <sheetData>
    <row r="1" spans="1:11" x14ac:dyDescent="0.25">
      <c r="A1" t="s">
        <v>994</v>
      </c>
      <c r="B1" t="s">
        <v>995</v>
      </c>
      <c r="C1" t="s">
        <v>1001</v>
      </c>
      <c r="D1" t="s">
        <v>996</v>
      </c>
      <c r="E1" t="s">
        <v>1002</v>
      </c>
      <c r="F1" t="s">
        <v>997</v>
      </c>
      <c r="G1" t="s">
        <v>1003</v>
      </c>
      <c r="H1" t="s">
        <v>998</v>
      </c>
      <c r="I1" t="s">
        <v>1004</v>
      </c>
      <c r="J1" t="s">
        <v>999</v>
      </c>
      <c r="K1" t="s">
        <v>1005</v>
      </c>
    </row>
    <row r="2" spans="1:11" x14ac:dyDescent="0.25">
      <c r="A2">
        <v>1</v>
      </c>
      <c r="B2" t="s">
        <v>98</v>
      </c>
      <c r="C2">
        <f>_xlfn.XLOOKUP(Table14[[#This Row],[Place_Tourism1]],Table3[Place_Name],Table3[Place_Id], "Not found")</f>
        <v>25</v>
      </c>
      <c r="D2" t="s">
        <v>164</v>
      </c>
      <c r="E2">
        <f>_xlfn.XLOOKUP(Table14[[#This Row],[Place_Tourism2]],Table3[Place_Name],Table3[Place_Id], "Not found")</f>
        <v>58</v>
      </c>
      <c r="F2" t="s">
        <v>168</v>
      </c>
      <c r="G2">
        <f>_xlfn.XLOOKUP(Table14[[#This Row],[Place_Tourism3]],Table3[Place_Name],Table3[Place_Id], "Not found")</f>
        <v>60</v>
      </c>
      <c r="I2" t="str">
        <f>_xlfn.XLOOKUP(Table14[[#This Row],[Place_Tourism4]],Table3[Place_Name],Table3[Place_Id], "Not found")</f>
        <v>Not found</v>
      </c>
      <c r="K2" t="str">
        <f>_xlfn.XLOOKUP(Table14[[#This Row],[Place_Tourism5]],Table3[Place_Name],Table3[Place_Id], "Not found")</f>
        <v>Not found</v>
      </c>
    </row>
    <row r="3" spans="1:11" x14ac:dyDescent="0.25">
      <c r="A3">
        <v>2</v>
      </c>
      <c r="B3" t="s">
        <v>98</v>
      </c>
      <c r="C3">
        <f>_xlfn.XLOOKUP(Table14[[#This Row],[Place_Tourism1]],Table3[Place_Name],Table3[Place_Id], "Not found")</f>
        <v>25</v>
      </c>
      <c r="D3" t="s">
        <v>116</v>
      </c>
      <c r="E3">
        <f>_xlfn.XLOOKUP(Table14[[#This Row],[Place_Tourism2]],Table3[Place_Name],Table3[Place_Id], "Not found")</f>
        <v>34</v>
      </c>
      <c r="F3" t="s">
        <v>184</v>
      </c>
      <c r="G3">
        <f>_xlfn.XLOOKUP(Table14[[#This Row],[Place_Tourism3]],Table3[Place_Name],Table3[Place_Id], "Not found")</f>
        <v>68</v>
      </c>
      <c r="I3" t="str">
        <f>_xlfn.XLOOKUP(Table14[[#This Row],[Place_Tourism4]],Table3[Place_Name],Table3[Place_Id], "Not found")</f>
        <v>Not found</v>
      </c>
      <c r="K3" t="str">
        <f>_xlfn.XLOOKUP(Table14[[#This Row],[Place_Tourism5]],Table3[Place_Name],Table3[Place_Id], "Not found")</f>
        <v>Not found</v>
      </c>
    </row>
    <row r="4" spans="1:11" x14ac:dyDescent="0.25">
      <c r="A4">
        <v>3</v>
      </c>
      <c r="B4" t="s">
        <v>188</v>
      </c>
      <c r="C4">
        <f>_xlfn.XLOOKUP(Table14[[#This Row],[Place_Tourism1]],Table3[Place_Name],Table3[Place_Id], "Not found")</f>
        <v>70</v>
      </c>
      <c r="D4" t="s">
        <v>43</v>
      </c>
      <c r="E4">
        <f>_xlfn.XLOOKUP(Table14[[#This Row],[Place_Tourism2]],Table3[Place_Name],Table3[Place_Id], "Not found")</f>
        <v>1</v>
      </c>
      <c r="F4" t="s">
        <v>91</v>
      </c>
      <c r="G4">
        <f>_xlfn.XLOOKUP(Table14[[#This Row],[Place_Tourism3]],Table3[Place_Name],Table3[Place_Id], "Not found")</f>
        <v>22</v>
      </c>
      <c r="I4" t="str">
        <f>_xlfn.XLOOKUP(Table14[[#This Row],[Place_Tourism4]],Table3[Place_Name],Table3[Place_Id], "Not found")</f>
        <v>Not found</v>
      </c>
      <c r="K4" t="str">
        <f>_xlfn.XLOOKUP(Table14[[#This Row],[Place_Tourism5]],Table3[Place_Name],Table3[Place_Id], "Not found")</f>
        <v>Not found</v>
      </c>
    </row>
    <row r="5" spans="1:11" x14ac:dyDescent="0.25">
      <c r="A5">
        <v>4</v>
      </c>
      <c r="B5" t="s">
        <v>66</v>
      </c>
      <c r="C5">
        <f>_xlfn.XLOOKUP(Table14[[#This Row],[Place_Tourism1]],Table3[Place_Name],Table3[Place_Id], "Not found")</f>
        <v>10</v>
      </c>
      <c r="D5" t="s">
        <v>68</v>
      </c>
      <c r="E5">
        <f>_xlfn.XLOOKUP(Table14[[#This Row],[Place_Tourism2]],Table3[Place_Name],Table3[Place_Id], "Not found")</f>
        <v>11</v>
      </c>
      <c r="F5" t="s">
        <v>70</v>
      </c>
      <c r="G5">
        <f>_xlfn.XLOOKUP(Table14[[#This Row],[Place_Tourism3]],Table3[Place_Name],Table3[Place_Id], "Not found")</f>
        <v>12</v>
      </c>
      <c r="H5" t="s">
        <v>72</v>
      </c>
      <c r="I5">
        <f>_xlfn.XLOOKUP(Table14[[#This Row],[Place_Tourism4]],Table3[Place_Name],Table3[Place_Id], "Not found")</f>
        <v>13</v>
      </c>
      <c r="J5" t="s">
        <v>74</v>
      </c>
      <c r="K5">
        <f>_xlfn.XLOOKUP(Table14[[#This Row],[Place_Tourism5]],Table3[Place_Name],Table3[Place_Id], "Not found")</f>
        <v>14</v>
      </c>
    </row>
    <row r="6" spans="1:11" x14ac:dyDescent="0.25">
      <c r="A6">
        <v>5</v>
      </c>
      <c r="B6" t="s">
        <v>212</v>
      </c>
      <c r="C6">
        <f>_xlfn.XLOOKUP(Table14[[#This Row],[Place_Tourism1]],Table3[Place_Name],Table3[Place_Id], "Not found")</f>
        <v>82</v>
      </c>
      <c r="D6" t="s">
        <v>89</v>
      </c>
      <c r="E6">
        <f>_xlfn.XLOOKUP(Table14[[#This Row],[Place_Tourism2]],Table3[Place_Name],Table3[Place_Id], "Not found")</f>
        <v>21</v>
      </c>
      <c r="F6" t="s">
        <v>130</v>
      </c>
      <c r="G6">
        <f>_xlfn.XLOOKUP(Table14[[#This Row],[Place_Tourism3]],Table3[Place_Name],Table3[Place_Id], "Not found")</f>
        <v>41</v>
      </c>
      <c r="H6" t="s">
        <v>126</v>
      </c>
      <c r="I6">
        <f>_xlfn.XLOOKUP(Table14[[#This Row],[Place_Tourism4]],Table3[Place_Name],Table3[Place_Id], "Not found")</f>
        <v>39</v>
      </c>
      <c r="K6" t="str">
        <f>_xlfn.XLOOKUP(Table14[[#This Row],[Place_Tourism5]],Table3[Place_Name],Table3[Place_Id], "Not found")</f>
        <v>Not found</v>
      </c>
    </row>
    <row r="7" spans="1:11" x14ac:dyDescent="0.25">
      <c r="A7">
        <v>6</v>
      </c>
      <c r="B7" t="s">
        <v>192</v>
      </c>
      <c r="C7">
        <f>_xlfn.XLOOKUP(Table14[[#This Row],[Place_Tourism1]],Table3[Place_Name],Table3[Place_Id], "Not found")</f>
        <v>72</v>
      </c>
      <c r="D7" t="s">
        <v>138</v>
      </c>
      <c r="E7">
        <f>_xlfn.XLOOKUP(Table14[[#This Row],[Place_Tourism2]],Table3[Place_Name],Table3[Place_Id], "Not found")</f>
        <v>45</v>
      </c>
      <c r="F7" t="s">
        <v>198</v>
      </c>
      <c r="G7">
        <f>_xlfn.XLOOKUP(Table14[[#This Row],[Place_Tourism3]],Table3[Place_Name],Table3[Place_Id], "Not found")</f>
        <v>75</v>
      </c>
      <c r="I7" t="str">
        <f>_xlfn.XLOOKUP(Table14[[#This Row],[Place_Tourism4]],Table3[Place_Name],Table3[Place_Id], "Not found")</f>
        <v>Not found</v>
      </c>
      <c r="K7" t="str">
        <f>_xlfn.XLOOKUP(Table14[[#This Row],[Place_Tourism5]],Table3[Place_Name],Table3[Place_Id], "Not found")</f>
        <v>Not found</v>
      </c>
    </row>
    <row r="8" spans="1:11" x14ac:dyDescent="0.25">
      <c r="A8">
        <v>7</v>
      </c>
      <c r="B8" t="s">
        <v>214</v>
      </c>
      <c r="C8">
        <f>_xlfn.XLOOKUP(Table14[[#This Row],[Place_Tourism1]],Table3[Place_Name],Table3[Place_Id], "Not found")</f>
        <v>83</v>
      </c>
      <c r="D8" t="s">
        <v>61</v>
      </c>
      <c r="E8">
        <f>_xlfn.XLOOKUP(Table14[[#This Row],[Place_Tourism2]],Table3[Place_Name],Table3[Place_Id], "Not found")</f>
        <v>8</v>
      </c>
      <c r="F8" t="s">
        <v>198</v>
      </c>
      <c r="G8">
        <f>_xlfn.XLOOKUP(Table14[[#This Row],[Place_Tourism3]],Table3[Place_Name],Table3[Place_Id], "Not found")</f>
        <v>75</v>
      </c>
      <c r="I8" t="str">
        <f>_xlfn.XLOOKUP(Table14[[#This Row],[Place_Tourism4]],Table3[Place_Name],Table3[Place_Id], "Not found")</f>
        <v>Not found</v>
      </c>
      <c r="K8" t="str">
        <f>_xlfn.XLOOKUP(Table14[[#This Row],[Place_Tourism5]],Table3[Place_Name],Table3[Place_Id], "Not found")</f>
        <v>Not found</v>
      </c>
    </row>
    <row r="9" spans="1:11" x14ac:dyDescent="0.25">
      <c r="A9">
        <v>8</v>
      </c>
      <c r="B9" t="s">
        <v>47</v>
      </c>
      <c r="C9">
        <f>_xlfn.XLOOKUP(Table14[[#This Row],[Place_Tourism1]],Table3[Place_Name],Table3[Place_Id], "Not found")</f>
        <v>2</v>
      </c>
      <c r="D9" t="s">
        <v>83</v>
      </c>
      <c r="E9">
        <f>_xlfn.XLOOKUP(Table14[[#This Row],[Place_Tourism2]],Table3[Place_Name],Table3[Place_Id], "Not found")</f>
        <v>18</v>
      </c>
      <c r="F9" t="s">
        <v>43</v>
      </c>
      <c r="G9">
        <f>_xlfn.XLOOKUP(Table14[[#This Row],[Place_Tourism3]],Table3[Place_Name],Table3[Place_Id], "Not found")</f>
        <v>1</v>
      </c>
      <c r="H9" t="s">
        <v>188</v>
      </c>
      <c r="I9">
        <f>_xlfn.XLOOKUP(Table14[[#This Row],[Place_Tourism4]],Table3[Place_Name],Table3[Place_Id], "Not found")</f>
        <v>70</v>
      </c>
      <c r="J9" t="s">
        <v>91</v>
      </c>
      <c r="K9">
        <f>_xlfn.XLOOKUP(Table14[[#This Row],[Place_Tourism5]],Table3[Place_Name],Table3[Place_Id], "Not found")</f>
        <v>22</v>
      </c>
    </row>
    <row r="10" spans="1:11" x14ac:dyDescent="0.25">
      <c r="A10">
        <v>9</v>
      </c>
      <c r="B10" t="s">
        <v>128</v>
      </c>
      <c r="C10">
        <f>_xlfn.XLOOKUP(Table14[[#This Row],[Place_Tourism1]],Table3[Place_Name],Table3[Place_Id], "Not found")</f>
        <v>40</v>
      </c>
      <c r="D10" t="s">
        <v>132</v>
      </c>
      <c r="E10">
        <f>_xlfn.XLOOKUP(Table14[[#This Row],[Place_Tourism2]],Table3[Place_Name],Table3[Place_Id], "Not found")</f>
        <v>42</v>
      </c>
      <c r="F10" t="s">
        <v>146</v>
      </c>
      <c r="G10">
        <f>_xlfn.XLOOKUP(Table14[[#This Row],[Place_Tourism3]],Table3[Place_Name],Table3[Place_Id], "Not found")</f>
        <v>49</v>
      </c>
      <c r="I10" t="str">
        <f>_xlfn.XLOOKUP(Table14[[#This Row],[Place_Tourism4]],Table3[Place_Name],Table3[Place_Id], "Not found")</f>
        <v>Not found</v>
      </c>
      <c r="K10" t="str">
        <f>_xlfn.XLOOKUP(Table14[[#This Row],[Place_Tourism5]],Table3[Place_Name],Table3[Place_Id], "Not found")</f>
        <v>Not found</v>
      </c>
    </row>
    <row r="11" spans="1:11" x14ac:dyDescent="0.25">
      <c r="A11">
        <v>10</v>
      </c>
      <c r="B11" t="s">
        <v>56</v>
      </c>
      <c r="C11">
        <f>_xlfn.XLOOKUP(Table14[[#This Row],[Place_Tourism1]],Table3[Place_Name],Table3[Place_Id], "Not found")</f>
        <v>6</v>
      </c>
      <c r="D11" t="s">
        <v>47</v>
      </c>
      <c r="E11">
        <f>_xlfn.XLOOKUP(Table14[[#This Row],[Place_Tourism2]],Table3[Place_Name],Table3[Place_Id], "Not found")</f>
        <v>2</v>
      </c>
      <c r="F11" t="s">
        <v>83</v>
      </c>
      <c r="G11">
        <f>_xlfn.XLOOKUP(Table14[[#This Row],[Place_Tourism3]],Table3[Place_Name],Table3[Place_Id], "Not found")</f>
        <v>18</v>
      </c>
      <c r="H11" t="s">
        <v>81</v>
      </c>
      <c r="I11">
        <f>_xlfn.XLOOKUP(Table14[[#This Row],[Place_Tourism4]],Table3[Place_Name],Table3[Place_Id], "Not found")</f>
        <v>17</v>
      </c>
      <c r="J11" t="s">
        <v>89</v>
      </c>
      <c r="K11">
        <f>_xlfn.XLOOKUP(Table14[[#This Row],[Place_Tourism5]],Table3[Place_Name],Table3[Place_Id], "Not found")</f>
        <v>21</v>
      </c>
    </row>
    <row r="12" spans="1:11" x14ac:dyDescent="0.25">
      <c r="A12">
        <v>11</v>
      </c>
      <c r="B12" t="s">
        <v>47</v>
      </c>
      <c r="C12">
        <f>_xlfn.XLOOKUP(Table14[[#This Row],[Place_Tourism1]],Table3[Place_Name],Table3[Place_Id], "Not found")</f>
        <v>2</v>
      </c>
      <c r="D12" t="s">
        <v>79</v>
      </c>
      <c r="E12">
        <f>_xlfn.XLOOKUP(Table14[[#This Row],[Place_Tourism2]],Table3[Place_Name],Table3[Place_Id], "Not found")</f>
        <v>16</v>
      </c>
      <c r="F12" t="s">
        <v>158</v>
      </c>
      <c r="G12">
        <f>_xlfn.XLOOKUP(Table14[[#This Row],[Place_Tourism3]],Table3[Place_Name],Table3[Place_Id], "Not found")</f>
        <v>55</v>
      </c>
      <c r="H12" t="s">
        <v>106</v>
      </c>
      <c r="I12">
        <f>_xlfn.XLOOKUP(Table14[[#This Row],[Place_Tourism4]],Table3[Place_Name],Table3[Place_Id], "Not found")</f>
        <v>29</v>
      </c>
      <c r="K12" t="str">
        <f>_xlfn.XLOOKUP(Table14[[#This Row],[Place_Tourism5]],Table3[Place_Name],Table3[Place_Id], "Not found")</f>
        <v>Not found</v>
      </c>
    </row>
    <row r="13" spans="1:11" x14ac:dyDescent="0.25">
      <c r="A13">
        <v>12</v>
      </c>
      <c r="B13" t="s">
        <v>204</v>
      </c>
      <c r="C13">
        <f>_xlfn.XLOOKUP(Table14[[#This Row],[Place_Tourism1]],Table3[Place_Name],Table3[Place_Id], "Not found")</f>
        <v>78</v>
      </c>
      <c r="D13" t="s">
        <v>200</v>
      </c>
      <c r="E13">
        <f>_xlfn.XLOOKUP(Table14[[#This Row],[Place_Tourism2]],Table3[Place_Name],Table3[Place_Id], "Not found")</f>
        <v>76</v>
      </c>
      <c r="F13" t="s">
        <v>186</v>
      </c>
      <c r="G13">
        <f>_xlfn.XLOOKUP(Table14[[#This Row],[Place_Tourism3]],Table3[Place_Name],Table3[Place_Id], "Not found")</f>
        <v>69</v>
      </c>
      <c r="I13" t="str">
        <f>_xlfn.XLOOKUP(Table14[[#This Row],[Place_Tourism4]],Table3[Place_Name],Table3[Place_Id], "Not found")</f>
        <v>Not found</v>
      </c>
      <c r="K13" t="str">
        <f>_xlfn.XLOOKUP(Table14[[#This Row],[Place_Tourism5]],Table3[Place_Name],Table3[Place_Id], "Not found")</f>
        <v>Not found</v>
      </c>
    </row>
    <row r="14" spans="1:11" x14ac:dyDescent="0.25">
      <c r="A14">
        <v>13</v>
      </c>
      <c r="B14" t="s">
        <v>52</v>
      </c>
      <c r="C14">
        <f>_xlfn.XLOOKUP(Table14[[#This Row],[Place_Tourism1]],Table3[Place_Name],Table3[Place_Id], "Not found")</f>
        <v>4</v>
      </c>
      <c r="D14" t="s">
        <v>212</v>
      </c>
      <c r="E14">
        <f>_xlfn.XLOOKUP(Table14[[#This Row],[Place_Tourism2]],Table3[Place_Name],Table3[Place_Id], "Not found")</f>
        <v>82</v>
      </c>
      <c r="F14" t="s">
        <v>98</v>
      </c>
      <c r="G14">
        <f>_xlfn.XLOOKUP(Table14[[#This Row],[Place_Tourism3]],Table3[Place_Name],Table3[Place_Id], "Not found")</f>
        <v>25</v>
      </c>
      <c r="I14" t="str">
        <f>_xlfn.XLOOKUP(Table14[[#This Row],[Place_Tourism4]],Table3[Place_Name],Table3[Place_Id], "Not found")</f>
        <v>Not found</v>
      </c>
      <c r="K14" t="str">
        <f>_xlfn.XLOOKUP(Table14[[#This Row],[Place_Tourism5]],Table3[Place_Name],Table3[Place_Id], "Not found")</f>
        <v>Not found</v>
      </c>
    </row>
    <row r="15" spans="1:11" x14ac:dyDescent="0.25">
      <c r="A15">
        <v>14</v>
      </c>
      <c r="B15" t="s">
        <v>98</v>
      </c>
      <c r="C15">
        <f>_xlfn.XLOOKUP(Table14[[#This Row],[Place_Tourism1]],Table3[Place_Name],Table3[Place_Id], "Not found")</f>
        <v>25</v>
      </c>
      <c r="D15" t="s">
        <v>116</v>
      </c>
      <c r="E15">
        <f>_xlfn.XLOOKUP(Table14[[#This Row],[Place_Tourism2]],Table3[Place_Name],Table3[Place_Id], "Not found")</f>
        <v>34</v>
      </c>
      <c r="F15" t="s">
        <v>76</v>
      </c>
      <c r="G15">
        <f>_xlfn.XLOOKUP(Table14[[#This Row],[Place_Tourism3]],Table3[Place_Name],Table3[Place_Id], "Not found")</f>
        <v>15</v>
      </c>
      <c r="H15" t="s">
        <v>184</v>
      </c>
      <c r="I15">
        <f>_xlfn.XLOOKUP(Table14[[#This Row],[Place_Tourism4]],Table3[Place_Name],Table3[Place_Id], "Not found")</f>
        <v>68</v>
      </c>
      <c r="K15" t="str">
        <f>_xlfn.XLOOKUP(Table14[[#This Row],[Place_Tourism5]],Table3[Place_Name],Table3[Place_Id], "Not found")</f>
        <v>Not found</v>
      </c>
    </row>
    <row r="16" spans="1:11" x14ac:dyDescent="0.25">
      <c r="A16">
        <v>15</v>
      </c>
      <c r="B16" t="s">
        <v>210</v>
      </c>
      <c r="C16">
        <f>_xlfn.XLOOKUP(Table14[[#This Row],[Place_Tourism1]],Table3[Place_Name],Table3[Place_Id], "Not found")</f>
        <v>81</v>
      </c>
      <c r="D16" t="s">
        <v>118</v>
      </c>
      <c r="E16">
        <f>_xlfn.XLOOKUP(Table14[[#This Row],[Place_Tourism2]],Table3[Place_Name],Table3[Place_Id], "Not found")</f>
        <v>35</v>
      </c>
      <c r="F16" t="s">
        <v>208</v>
      </c>
      <c r="G16">
        <f>_xlfn.XLOOKUP(Table14[[#This Row],[Place_Tourism3]],Table3[Place_Name],Table3[Place_Id], "Not found")</f>
        <v>80</v>
      </c>
      <c r="I16" t="str">
        <f>_xlfn.XLOOKUP(Table14[[#This Row],[Place_Tourism4]],Table3[Place_Name],Table3[Place_Id], "Not found")</f>
        <v>Not found</v>
      </c>
      <c r="K16" t="str">
        <f>_xlfn.XLOOKUP(Table14[[#This Row],[Place_Tourism5]],Table3[Place_Name],Table3[Place_Id], "Not found")</f>
        <v>Not found</v>
      </c>
    </row>
    <row r="17" spans="1:11" x14ac:dyDescent="0.25">
      <c r="A17">
        <v>16</v>
      </c>
      <c r="B17" t="s">
        <v>148</v>
      </c>
      <c r="C17">
        <f>_xlfn.XLOOKUP(Table14[[#This Row],[Place_Tourism1]],Table3[Place_Name],Table3[Place_Id], "Not found")</f>
        <v>50</v>
      </c>
      <c r="D17" t="s">
        <v>81</v>
      </c>
      <c r="E17">
        <f>_xlfn.XLOOKUP(Table14[[#This Row],[Place_Tourism2]],Table3[Place_Name],Table3[Place_Id], "Not found")</f>
        <v>17</v>
      </c>
      <c r="F17" t="s">
        <v>83</v>
      </c>
      <c r="G17">
        <f>_xlfn.XLOOKUP(Table14[[#This Row],[Place_Tourism3]],Table3[Place_Name],Table3[Place_Id], "Not found")</f>
        <v>18</v>
      </c>
      <c r="H17" t="s">
        <v>87</v>
      </c>
      <c r="I17">
        <f>_xlfn.XLOOKUP(Table14[[#This Row],[Place_Tourism4]],Table3[Place_Name],Table3[Place_Id], "Not found")</f>
        <v>20</v>
      </c>
      <c r="J17" t="s">
        <v>96</v>
      </c>
      <c r="K17">
        <f>_xlfn.XLOOKUP(Table14[[#This Row],[Place_Tourism5]],Table3[Place_Name],Table3[Place_Id], "Not found")</f>
        <v>24</v>
      </c>
    </row>
    <row r="18" spans="1:11" x14ac:dyDescent="0.25">
      <c r="A18">
        <v>17</v>
      </c>
      <c r="B18" t="s">
        <v>166</v>
      </c>
      <c r="C18">
        <f>_xlfn.XLOOKUP(Table14[[#This Row],[Place_Tourism1]],Table3[Place_Name],Table3[Place_Id], "Not found")</f>
        <v>59</v>
      </c>
      <c r="D18" t="s">
        <v>170</v>
      </c>
      <c r="E18">
        <f>_xlfn.XLOOKUP(Table14[[#This Row],[Place_Tourism2]],Table3[Place_Name],Table3[Place_Id], "Not found")</f>
        <v>61</v>
      </c>
      <c r="F18" t="s">
        <v>178</v>
      </c>
      <c r="G18">
        <f>_xlfn.XLOOKUP(Table14[[#This Row],[Place_Tourism3]],Table3[Place_Name],Table3[Place_Id], "Not found")</f>
        <v>65</v>
      </c>
      <c r="H18" t="s">
        <v>180</v>
      </c>
      <c r="I18">
        <f>_xlfn.XLOOKUP(Table14[[#This Row],[Place_Tourism4]],Table3[Place_Name],Table3[Place_Id], "Not found")</f>
        <v>66</v>
      </c>
      <c r="J18" t="s">
        <v>194</v>
      </c>
      <c r="K18">
        <f>_xlfn.XLOOKUP(Table14[[#This Row],[Place_Tourism5]],Table3[Place_Name],Table3[Place_Id], "Not found")</f>
        <v>73</v>
      </c>
    </row>
    <row r="19" spans="1:11" x14ac:dyDescent="0.25">
      <c r="A19">
        <v>18</v>
      </c>
      <c r="B19" t="s">
        <v>158</v>
      </c>
      <c r="C19">
        <f>_xlfn.XLOOKUP(Table14[[#This Row],[Place_Tourism1]],Table3[Place_Name],Table3[Place_Id], "Not found")</f>
        <v>55</v>
      </c>
      <c r="D19" t="s">
        <v>91</v>
      </c>
      <c r="E19">
        <f>_xlfn.XLOOKUP(Table14[[#This Row],[Place_Tourism2]],Table3[Place_Name],Table3[Place_Id], "Not found")</f>
        <v>22</v>
      </c>
      <c r="F19" t="s">
        <v>94</v>
      </c>
      <c r="G19">
        <f>_xlfn.XLOOKUP(Table14[[#This Row],[Place_Tourism3]],Table3[Place_Name],Table3[Place_Id], "Not found")</f>
        <v>23</v>
      </c>
      <c r="I19" t="str">
        <f>_xlfn.XLOOKUP(Table14[[#This Row],[Place_Tourism4]],Table3[Place_Name],Table3[Place_Id], "Not found")</f>
        <v>Not found</v>
      </c>
      <c r="K19" t="str">
        <f>_xlfn.XLOOKUP(Table14[[#This Row],[Place_Tourism5]],Table3[Place_Name],Table3[Place_Id], "Not found")</f>
        <v>Not found</v>
      </c>
    </row>
    <row r="20" spans="1:11" x14ac:dyDescent="0.25">
      <c r="A20">
        <v>19</v>
      </c>
      <c r="B20" t="s">
        <v>108</v>
      </c>
      <c r="C20">
        <f>_xlfn.XLOOKUP(Table14[[#This Row],[Place_Tourism1]],Table3[Place_Name],Table3[Place_Id], "Not found")</f>
        <v>30</v>
      </c>
      <c r="D20" t="s">
        <v>114</v>
      </c>
      <c r="E20">
        <f>_xlfn.XLOOKUP(Table14[[#This Row],[Place_Tourism2]],Table3[Place_Name],Table3[Place_Id], "Not found")</f>
        <v>33</v>
      </c>
      <c r="F20" t="s">
        <v>162</v>
      </c>
      <c r="G20">
        <f>_xlfn.XLOOKUP(Table14[[#This Row],[Place_Tourism3]],Table3[Place_Name],Table3[Place_Id], "Not found")</f>
        <v>57</v>
      </c>
      <c r="H20" t="s">
        <v>200</v>
      </c>
      <c r="I20">
        <f>_xlfn.XLOOKUP(Table14[[#This Row],[Place_Tourism4]],Table3[Place_Name],Table3[Place_Id], "Not found")</f>
        <v>76</v>
      </c>
      <c r="J20" t="s">
        <v>206</v>
      </c>
      <c r="K20">
        <f>_xlfn.XLOOKUP(Table14[[#This Row],[Place_Tourism5]],Table3[Place_Name],Table3[Place_Id], "Not found")</f>
        <v>79</v>
      </c>
    </row>
    <row r="21" spans="1:11" x14ac:dyDescent="0.25">
      <c r="A21">
        <v>20</v>
      </c>
      <c r="B21" t="s">
        <v>104</v>
      </c>
      <c r="C21">
        <f>_xlfn.XLOOKUP(Table14[[#This Row],[Place_Tourism1]],Table3[Place_Name],Table3[Place_Id], "Not found")</f>
        <v>28</v>
      </c>
      <c r="D21" t="s">
        <v>122</v>
      </c>
      <c r="E21">
        <f>_xlfn.XLOOKUP(Table14[[#This Row],[Place_Tourism2]],Table3[Place_Name],Table3[Place_Id], "Not found")</f>
        <v>37</v>
      </c>
      <c r="F21" t="s">
        <v>142</v>
      </c>
      <c r="G21">
        <f>_xlfn.XLOOKUP(Table14[[#This Row],[Place_Tourism3]],Table3[Place_Name],Table3[Place_Id], "Not found")</f>
        <v>47</v>
      </c>
      <c r="H21" t="s">
        <v>156</v>
      </c>
      <c r="I21">
        <f>_xlfn.XLOOKUP(Table14[[#This Row],[Place_Tourism4]],Table3[Place_Name],Table3[Place_Id], "Not found")</f>
        <v>54</v>
      </c>
      <c r="J21" t="s">
        <v>162</v>
      </c>
      <c r="K21">
        <f>_xlfn.XLOOKUP(Table14[[#This Row],[Place_Tourism5]],Table3[Place_Name],Table3[Place_Id], "Not found")</f>
        <v>57</v>
      </c>
    </row>
    <row r="22" spans="1:11" x14ac:dyDescent="0.25">
      <c r="A22">
        <v>21</v>
      </c>
      <c r="B22" t="s">
        <v>233</v>
      </c>
      <c r="C22">
        <f>_xlfn.XLOOKUP(Table14[[#This Row],[Place_Tourism1]],Table3[Place_Name],Table3[Place_Id], "Not found")</f>
        <v>92</v>
      </c>
      <c r="D22" t="s">
        <v>241</v>
      </c>
      <c r="E22">
        <f>_xlfn.XLOOKUP(Table14[[#This Row],[Place_Tourism2]],Table3[Place_Name],Table3[Place_Id], "Not found")</f>
        <v>96</v>
      </c>
      <c r="F22" t="s">
        <v>255</v>
      </c>
      <c r="G22">
        <f>_xlfn.XLOOKUP(Table14[[#This Row],[Place_Tourism3]],Table3[Place_Name],Table3[Place_Id], "Not found")</f>
        <v>103</v>
      </c>
      <c r="H22" t="s">
        <v>307</v>
      </c>
      <c r="I22">
        <f>_xlfn.XLOOKUP(Table14[[#This Row],[Place_Tourism4]],Table3[Place_Name],Table3[Place_Id], "Not found")</f>
        <v>129</v>
      </c>
      <c r="J22" t="s">
        <v>329</v>
      </c>
      <c r="K22">
        <f>_xlfn.XLOOKUP(Table14[[#This Row],[Place_Tourism5]],Table3[Place_Name],Table3[Place_Id], "Not found")</f>
        <v>140</v>
      </c>
    </row>
    <row r="23" spans="1:11" x14ac:dyDescent="0.25">
      <c r="A23">
        <v>22</v>
      </c>
      <c r="B23" t="s">
        <v>313</v>
      </c>
      <c r="C23">
        <f>_xlfn.XLOOKUP(Table14[[#This Row],[Place_Tourism1]],Table3[Place_Name],Table3[Place_Id], "Not found")</f>
        <v>132</v>
      </c>
      <c r="D23" t="s">
        <v>327</v>
      </c>
      <c r="E23">
        <f>_xlfn.XLOOKUP(Table14[[#This Row],[Place_Tourism2]],Table3[Place_Name],Table3[Place_Id], "Not found")</f>
        <v>139</v>
      </c>
      <c r="F23" t="s">
        <v>375</v>
      </c>
      <c r="G23">
        <f>_xlfn.XLOOKUP(Table14[[#This Row],[Place_Tourism3]],Table3[Place_Name],Table3[Place_Id], "Not found")</f>
        <v>163</v>
      </c>
      <c r="H23" t="s">
        <v>383</v>
      </c>
      <c r="I23">
        <f>_xlfn.XLOOKUP(Table14[[#This Row],[Place_Tourism4]],Table3[Place_Name],Table3[Place_Id], "Not found")</f>
        <v>167</v>
      </c>
      <c r="K23" t="str">
        <f>_xlfn.XLOOKUP(Table14[[#This Row],[Place_Tourism5]],Table3[Place_Name],Table3[Place_Id], "Not found")</f>
        <v>Not found</v>
      </c>
    </row>
    <row r="24" spans="1:11" x14ac:dyDescent="0.25">
      <c r="A24">
        <v>23</v>
      </c>
      <c r="B24" t="s">
        <v>299</v>
      </c>
      <c r="C24">
        <f>_xlfn.XLOOKUP(Table14[[#This Row],[Place_Tourism1]],Table3[Place_Name],Table3[Place_Id], "Not found")</f>
        <v>125</v>
      </c>
      <c r="D24" t="s">
        <v>391</v>
      </c>
      <c r="E24">
        <f>_xlfn.XLOOKUP(Table14[[#This Row],[Place_Tourism2]],Table3[Place_Name],Table3[Place_Id], "Not found")</f>
        <v>171</v>
      </c>
      <c r="F24" t="s">
        <v>279</v>
      </c>
      <c r="G24">
        <f>_xlfn.XLOOKUP(Table14[[#This Row],[Place_Tourism3]],Table3[Place_Name],Table3[Place_Id], "Not found")</f>
        <v>115</v>
      </c>
      <c r="I24" t="str">
        <f>_xlfn.XLOOKUP(Table14[[#This Row],[Place_Tourism4]],Table3[Place_Name],Table3[Place_Id], "Not found")</f>
        <v>Not found</v>
      </c>
      <c r="K24" t="str">
        <f>_xlfn.XLOOKUP(Table14[[#This Row],[Place_Tourism5]],Table3[Place_Name],Table3[Place_Id], "Not found")</f>
        <v>Not found</v>
      </c>
    </row>
    <row r="25" spans="1:11" x14ac:dyDescent="0.25">
      <c r="A25">
        <v>24</v>
      </c>
      <c r="B25" t="s">
        <v>393</v>
      </c>
      <c r="C25">
        <f>_xlfn.XLOOKUP(Table14[[#This Row],[Place_Tourism1]],Table3[Place_Name],Table3[Place_Id], "Not found")</f>
        <v>172</v>
      </c>
      <c r="D25" t="s">
        <v>395</v>
      </c>
      <c r="E25">
        <f>_xlfn.XLOOKUP(Table14[[#This Row],[Place_Tourism2]],Table3[Place_Name],Table3[Place_Id], "Not found")</f>
        <v>173</v>
      </c>
      <c r="F25" t="s">
        <v>403</v>
      </c>
      <c r="G25">
        <f>_xlfn.XLOOKUP(Table14[[#This Row],[Place_Tourism3]],Table3[Place_Name],Table3[Place_Id], "Not found")</f>
        <v>177</v>
      </c>
      <c r="H25" t="s">
        <v>411</v>
      </c>
      <c r="I25">
        <f>_xlfn.XLOOKUP(Table14[[#This Row],[Place_Tourism4]],Table3[Place_Name],Table3[Place_Id], "Not found")</f>
        <v>181</v>
      </c>
      <c r="J25" t="s">
        <v>419</v>
      </c>
      <c r="K25">
        <f>_xlfn.XLOOKUP(Table14[[#This Row],[Place_Tourism5]],Table3[Place_Name],Table3[Place_Id], "Not found")</f>
        <v>185</v>
      </c>
    </row>
    <row r="26" spans="1:11" x14ac:dyDescent="0.25">
      <c r="A26">
        <v>25</v>
      </c>
      <c r="B26" t="s">
        <v>391</v>
      </c>
      <c r="C26">
        <f>_xlfn.XLOOKUP(Table14[[#This Row],[Place_Tourism1]],Table3[Place_Name],Table3[Place_Id], "Not found")</f>
        <v>171</v>
      </c>
      <c r="D26" t="s">
        <v>397</v>
      </c>
      <c r="E26">
        <f>_xlfn.XLOOKUP(Table14[[#This Row],[Place_Tourism2]],Table3[Place_Name],Table3[Place_Id], "Not found")</f>
        <v>174</v>
      </c>
      <c r="F26" t="s">
        <v>223</v>
      </c>
      <c r="G26">
        <f>_xlfn.XLOOKUP(Table14[[#This Row],[Place_Tourism3]],Table3[Place_Name],Table3[Place_Id], "Not found")</f>
        <v>87</v>
      </c>
      <c r="I26" t="str">
        <f>_xlfn.XLOOKUP(Table14[[#This Row],[Place_Tourism4]],Table3[Place_Name],Table3[Place_Id], "Not found")</f>
        <v>Not found</v>
      </c>
      <c r="K26" t="str">
        <f>_xlfn.XLOOKUP(Table14[[#This Row],[Place_Tourism5]],Table3[Place_Name],Table3[Place_Id], "Not found")</f>
        <v>Not found</v>
      </c>
    </row>
    <row r="27" spans="1:11" x14ac:dyDescent="0.25">
      <c r="A27">
        <v>26</v>
      </c>
      <c r="B27" t="s">
        <v>267</v>
      </c>
      <c r="C27">
        <f>_xlfn.XLOOKUP(Table14[[#This Row],[Place_Tourism1]],Table3[Place_Name],Table3[Place_Id], "Not found")</f>
        <v>109</v>
      </c>
      <c r="D27" t="s">
        <v>343</v>
      </c>
      <c r="E27">
        <f>_xlfn.XLOOKUP(Table14[[#This Row],[Place_Tourism2]],Table3[Place_Name],Table3[Place_Id], "Not found")</f>
        <v>147</v>
      </c>
      <c r="F27" t="s">
        <v>457</v>
      </c>
      <c r="G27">
        <f>_xlfn.XLOOKUP(Table14[[#This Row],[Place_Tourism3]],Table3[Place_Name],Table3[Place_Id], "Not found")</f>
        <v>204</v>
      </c>
      <c r="I27" t="str">
        <f>_xlfn.XLOOKUP(Table14[[#This Row],[Place_Tourism4]],Table3[Place_Name],Table3[Place_Id], "Not found")</f>
        <v>Not found</v>
      </c>
      <c r="K27" t="str">
        <f>_xlfn.XLOOKUP(Table14[[#This Row],[Place_Tourism5]],Table3[Place_Name],Table3[Place_Id], "Not found")</f>
        <v>Not found</v>
      </c>
    </row>
    <row r="28" spans="1:11" x14ac:dyDescent="0.25">
      <c r="A28">
        <v>27</v>
      </c>
      <c r="B28" t="s">
        <v>291</v>
      </c>
      <c r="C28">
        <f>_xlfn.XLOOKUP(Table14[[#This Row],[Place_Tourism1]],Table3[Place_Name],Table3[Place_Id], "Not found")</f>
        <v>121</v>
      </c>
      <c r="D28" t="s">
        <v>389</v>
      </c>
      <c r="E28">
        <f>_xlfn.XLOOKUP(Table14[[#This Row],[Place_Tourism2]],Table3[Place_Name],Table3[Place_Id], "Not found")</f>
        <v>170</v>
      </c>
      <c r="F28" t="s">
        <v>261</v>
      </c>
      <c r="G28">
        <f>_xlfn.XLOOKUP(Table14[[#This Row],[Place_Tourism3]],Table3[Place_Name],Table3[Place_Id], "Not found")</f>
        <v>106</v>
      </c>
      <c r="I28" t="str">
        <f>_xlfn.XLOOKUP(Table14[[#This Row],[Place_Tourism4]],Table3[Place_Name],Table3[Place_Id], "Not found")</f>
        <v>Not found</v>
      </c>
      <c r="K28" t="str">
        <f>_xlfn.XLOOKUP(Table14[[#This Row],[Place_Tourism5]],Table3[Place_Name],Table3[Place_Id], "Not found")</f>
        <v>Not found</v>
      </c>
    </row>
    <row r="29" spans="1:11" x14ac:dyDescent="0.25">
      <c r="A29">
        <v>28</v>
      </c>
      <c r="B29" t="s">
        <v>353</v>
      </c>
      <c r="C29">
        <f>_xlfn.XLOOKUP(Table14[[#This Row],[Place_Tourism1]],Table3[Place_Name],Table3[Place_Id], "Not found")</f>
        <v>152</v>
      </c>
      <c r="D29" t="s">
        <v>355</v>
      </c>
      <c r="E29">
        <f>_xlfn.XLOOKUP(Table14[[#This Row],[Place_Tourism2]],Table3[Place_Name],Table3[Place_Id], "Not found")</f>
        <v>153</v>
      </c>
      <c r="F29" t="s">
        <v>413</v>
      </c>
      <c r="G29">
        <f>_xlfn.XLOOKUP(Table14[[#This Row],[Place_Tourism3]],Table3[Place_Name],Table3[Place_Id], "Not found")</f>
        <v>182</v>
      </c>
      <c r="H29" t="s">
        <v>427</v>
      </c>
      <c r="I29">
        <f>_xlfn.XLOOKUP(Table14[[#This Row],[Place_Tourism4]],Table3[Place_Name],Table3[Place_Id], "Not found")</f>
        <v>189</v>
      </c>
      <c r="J29" t="s">
        <v>429</v>
      </c>
      <c r="K29">
        <f>_xlfn.XLOOKUP(Table14[[#This Row],[Place_Tourism5]],Table3[Place_Name],Table3[Place_Id], "Not found")</f>
        <v>190</v>
      </c>
    </row>
    <row r="30" spans="1:11" x14ac:dyDescent="0.25">
      <c r="A30">
        <v>29</v>
      </c>
      <c r="B30" t="s">
        <v>235</v>
      </c>
      <c r="C30">
        <f>_xlfn.XLOOKUP(Table14[[#This Row],[Place_Tourism1]],Table3[Place_Name],Table3[Place_Id], "Not found")</f>
        <v>93</v>
      </c>
      <c r="D30" t="s">
        <v>247</v>
      </c>
      <c r="E30">
        <f>_xlfn.XLOOKUP(Table14[[#This Row],[Place_Tourism2]],Table3[Place_Name],Table3[Place_Id], "Not found")</f>
        <v>99</v>
      </c>
      <c r="F30" t="s">
        <v>257</v>
      </c>
      <c r="G30">
        <f>_xlfn.XLOOKUP(Table14[[#This Row],[Place_Tourism3]],Table3[Place_Name],Table3[Place_Id], "Not found")</f>
        <v>104</v>
      </c>
      <c r="H30" t="s">
        <v>265</v>
      </c>
      <c r="I30">
        <f>_xlfn.XLOOKUP(Table14[[#This Row],[Place_Tourism4]],Table3[Place_Name],Table3[Place_Id], "Not found")</f>
        <v>108</v>
      </c>
      <c r="K30" t="str">
        <f>_xlfn.XLOOKUP(Table14[[#This Row],[Place_Tourism5]],Table3[Place_Name],Table3[Place_Id], "Not found")</f>
        <v>Not found</v>
      </c>
    </row>
    <row r="31" spans="1:11" x14ac:dyDescent="0.25">
      <c r="A31">
        <v>30</v>
      </c>
      <c r="B31" t="s">
        <v>277</v>
      </c>
      <c r="C31">
        <f>_xlfn.XLOOKUP(Table14[[#This Row],[Place_Tourism1]],Table3[Place_Name],Table3[Place_Id], "Not found")</f>
        <v>114</v>
      </c>
      <c r="D31" t="s">
        <v>279</v>
      </c>
      <c r="E31">
        <f>_xlfn.XLOOKUP(Table14[[#This Row],[Place_Tourism2]],Table3[Place_Name],Table3[Place_Id], "Not found")</f>
        <v>115</v>
      </c>
      <c r="F31" t="s">
        <v>379</v>
      </c>
      <c r="G31">
        <f>_xlfn.XLOOKUP(Table14[[#This Row],[Place_Tourism3]],Table3[Place_Name],Table3[Place_Id], "Not found")</f>
        <v>165</v>
      </c>
      <c r="H31" t="s">
        <v>409</v>
      </c>
      <c r="I31">
        <f>_xlfn.XLOOKUP(Table14[[#This Row],[Place_Tourism4]],Table3[Place_Name],Table3[Place_Id], "Not found")</f>
        <v>180</v>
      </c>
      <c r="K31" t="str">
        <f>_xlfn.XLOOKUP(Table14[[#This Row],[Place_Tourism5]],Table3[Place_Name],Table3[Place_Id], "Not found")</f>
        <v>Not found</v>
      </c>
    </row>
    <row r="32" spans="1:11" x14ac:dyDescent="0.25">
      <c r="A32">
        <v>31</v>
      </c>
      <c r="B32" t="s">
        <v>387</v>
      </c>
      <c r="C32">
        <f>_xlfn.XLOOKUP(Table14[[#This Row],[Place_Tourism1]],Table3[Place_Name],Table3[Place_Id], "Not found")</f>
        <v>169</v>
      </c>
      <c r="D32" t="s">
        <v>245</v>
      </c>
      <c r="E32">
        <f>_xlfn.XLOOKUP(Table14[[#This Row],[Place_Tourism2]],Table3[Place_Name],Table3[Place_Id], "Not found")</f>
        <v>98</v>
      </c>
      <c r="F32" t="s">
        <v>455</v>
      </c>
      <c r="G32">
        <f>_xlfn.XLOOKUP(Table14[[#This Row],[Place_Tourism3]],Table3[Place_Name],Table3[Place_Id], "Not found")</f>
        <v>203</v>
      </c>
      <c r="I32" t="str">
        <f>_xlfn.XLOOKUP(Table14[[#This Row],[Place_Tourism4]],Table3[Place_Name],Table3[Place_Id], "Not found")</f>
        <v>Not found</v>
      </c>
      <c r="K32" t="str">
        <f>_xlfn.XLOOKUP(Table14[[#This Row],[Place_Tourism5]],Table3[Place_Name],Table3[Place_Id], "Not found")</f>
        <v>Not found</v>
      </c>
    </row>
    <row r="33" spans="1:11" x14ac:dyDescent="0.25">
      <c r="A33">
        <v>32</v>
      </c>
      <c r="B33" t="s">
        <v>341</v>
      </c>
      <c r="C33">
        <f>_xlfn.XLOOKUP(Table14[[#This Row],[Place_Tourism1]],Table3[Place_Name],Table3[Place_Id], "Not found")</f>
        <v>146</v>
      </c>
      <c r="D33" t="s">
        <v>367</v>
      </c>
      <c r="E33">
        <f>_xlfn.XLOOKUP(Table14[[#This Row],[Place_Tourism2]],Table3[Place_Name],Table3[Place_Id], "Not found")</f>
        <v>159</v>
      </c>
      <c r="F33" t="s">
        <v>381</v>
      </c>
      <c r="G33">
        <f>_xlfn.XLOOKUP(Table14[[#This Row],[Place_Tourism3]],Table3[Place_Name],Table3[Place_Id], "Not found")</f>
        <v>166</v>
      </c>
      <c r="H33" t="s">
        <v>405</v>
      </c>
      <c r="I33">
        <f>_xlfn.XLOOKUP(Table14[[#This Row],[Place_Tourism4]],Table3[Place_Name],Table3[Place_Id], "Not found")</f>
        <v>178</v>
      </c>
      <c r="J33" t="s">
        <v>323</v>
      </c>
      <c r="K33">
        <f>_xlfn.XLOOKUP(Table14[[#This Row],[Place_Tourism5]],Table3[Place_Name],Table3[Place_Id], "Not found")</f>
        <v>137</v>
      </c>
    </row>
    <row r="34" spans="1:11" x14ac:dyDescent="0.25">
      <c r="A34">
        <v>33</v>
      </c>
      <c r="B34" t="s">
        <v>421</v>
      </c>
      <c r="C34">
        <f>_xlfn.XLOOKUP(Table14[[#This Row],[Place_Tourism1]],Table3[Place_Name],Table3[Place_Id], "Not found")</f>
        <v>186</v>
      </c>
      <c r="D34" t="s">
        <v>431</v>
      </c>
      <c r="E34">
        <f>_xlfn.XLOOKUP(Table14[[#This Row],[Place_Tourism2]],Table3[Place_Name],Table3[Place_Id], "Not found")</f>
        <v>191</v>
      </c>
      <c r="F34" t="s">
        <v>437</v>
      </c>
      <c r="G34">
        <f>_xlfn.XLOOKUP(Table14[[#This Row],[Place_Tourism3]],Table3[Place_Name],Table3[Place_Id], "Not found")</f>
        <v>194</v>
      </c>
      <c r="H34" t="s">
        <v>439</v>
      </c>
      <c r="I34">
        <f>_xlfn.XLOOKUP(Table14[[#This Row],[Place_Tourism4]],Table3[Place_Name],Table3[Place_Id], "Not found")</f>
        <v>195</v>
      </c>
      <c r="J34" t="s">
        <v>441</v>
      </c>
      <c r="K34">
        <f>_xlfn.XLOOKUP(Table14[[#This Row],[Place_Tourism5]],Table3[Place_Name],Table3[Place_Id], "Not found")</f>
        <v>196</v>
      </c>
    </row>
    <row r="35" spans="1:11" x14ac:dyDescent="0.25">
      <c r="A35">
        <v>34</v>
      </c>
      <c r="B35" t="s">
        <v>239</v>
      </c>
      <c r="C35">
        <f>_xlfn.XLOOKUP(Table14[[#This Row],[Place_Tourism1]],Table3[Place_Name],Table3[Place_Id], "Not found")</f>
        <v>95</v>
      </c>
      <c r="D35" t="s">
        <v>261</v>
      </c>
      <c r="E35">
        <f>_xlfn.XLOOKUP(Table14[[#This Row],[Place_Tourism2]],Table3[Place_Name],Table3[Place_Id], "Not found")</f>
        <v>106</v>
      </c>
      <c r="F35" t="s">
        <v>297</v>
      </c>
      <c r="G35">
        <f>_xlfn.XLOOKUP(Table14[[#This Row],[Place_Tourism3]],Table3[Place_Name],Table3[Place_Id], "Not found")</f>
        <v>124</v>
      </c>
      <c r="I35" t="str">
        <f>_xlfn.XLOOKUP(Table14[[#This Row],[Place_Tourism4]],Table3[Place_Name],Table3[Place_Id], "Not found")</f>
        <v>Not found</v>
      </c>
      <c r="K35" t="str">
        <f>_xlfn.XLOOKUP(Table14[[#This Row],[Place_Tourism5]],Table3[Place_Name],Table3[Place_Id], "Not found")</f>
        <v>Not found</v>
      </c>
    </row>
    <row r="36" spans="1:11" x14ac:dyDescent="0.25">
      <c r="A36">
        <v>35</v>
      </c>
      <c r="B36" t="s">
        <v>229</v>
      </c>
      <c r="C36">
        <f>_xlfn.XLOOKUP(Table14[[#This Row],[Place_Tourism1]],Table3[Place_Name],Table3[Place_Id], "Not found")</f>
        <v>90</v>
      </c>
      <c r="D36" t="s">
        <v>269</v>
      </c>
      <c r="E36">
        <f>_xlfn.XLOOKUP(Table14[[#This Row],[Place_Tourism2]],Table3[Place_Name],Table3[Place_Id], "Not found")</f>
        <v>110</v>
      </c>
      <c r="F36" t="s">
        <v>315</v>
      </c>
      <c r="G36">
        <f>_xlfn.XLOOKUP(Table14[[#This Row],[Place_Tourism3]],Table3[Place_Name],Table3[Place_Id], "Not found")</f>
        <v>133</v>
      </c>
      <c r="H36" t="s">
        <v>335</v>
      </c>
      <c r="I36">
        <f>_xlfn.XLOOKUP(Table14[[#This Row],[Place_Tourism4]],Table3[Place_Name],Table3[Place_Id], "Not found")</f>
        <v>143</v>
      </c>
      <c r="J36" t="s">
        <v>371</v>
      </c>
      <c r="K36">
        <f>_xlfn.XLOOKUP(Table14[[#This Row],[Place_Tourism5]],Table3[Place_Name],Table3[Place_Id], "Not found")</f>
        <v>161</v>
      </c>
    </row>
    <row r="37" spans="1:11" x14ac:dyDescent="0.25">
      <c r="A37">
        <v>36</v>
      </c>
      <c r="B37" t="s">
        <v>281</v>
      </c>
      <c r="C37">
        <f>_xlfn.XLOOKUP(Table14[[#This Row],[Place_Tourism1]],Table3[Place_Name],Table3[Place_Id], "Not found")</f>
        <v>116</v>
      </c>
      <c r="D37" t="s">
        <v>287</v>
      </c>
      <c r="E37">
        <f>_xlfn.XLOOKUP(Table14[[#This Row],[Place_Tourism2]],Table3[Place_Name],Table3[Place_Id], "Not found")</f>
        <v>119</v>
      </c>
      <c r="F37" t="s">
        <v>293</v>
      </c>
      <c r="G37">
        <f>_xlfn.XLOOKUP(Table14[[#This Row],[Place_Tourism3]],Table3[Place_Name],Table3[Place_Id], "Not found")</f>
        <v>122</v>
      </c>
      <c r="H37" t="s">
        <v>311</v>
      </c>
      <c r="I37">
        <f>_xlfn.XLOOKUP(Table14[[#This Row],[Place_Tourism4]],Table3[Place_Name],Table3[Place_Id], "Not found")</f>
        <v>131</v>
      </c>
      <c r="K37" t="str">
        <f>_xlfn.XLOOKUP(Table14[[#This Row],[Place_Tourism5]],Table3[Place_Name],Table3[Place_Id], "Not found")</f>
        <v>Not found</v>
      </c>
    </row>
    <row r="38" spans="1:11" x14ac:dyDescent="0.25">
      <c r="A38">
        <v>37</v>
      </c>
      <c r="B38" t="s">
        <v>227</v>
      </c>
      <c r="C38">
        <f>_xlfn.XLOOKUP(Table14[[#This Row],[Place_Tourism1]],Table3[Place_Name],Table3[Place_Id], "Not found")</f>
        <v>89</v>
      </c>
      <c r="D38" t="s">
        <v>247</v>
      </c>
      <c r="E38">
        <f>_xlfn.XLOOKUP(Table14[[#This Row],[Place_Tourism2]],Table3[Place_Name],Table3[Place_Id], "Not found")</f>
        <v>99</v>
      </c>
      <c r="F38" t="s">
        <v>257</v>
      </c>
      <c r="G38">
        <f>_xlfn.XLOOKUP(Table14[[#This Row],[Place_Tourism3]],Table3[Place_Name],Table3[Place_Id], "Not found")</f>
        <v>104</v>
      </c>
      <c r="H38" t="s">
        <v>343</v>
      </c>
      <c r="I38">
        <f>_xlfn.XLOOKUP(Table14[[#This Row],[Place_Tourism4]],Table3[Place_Name],Table3[Place_Id], "Not found")</f>
        <v>147</v>
      </c>
      <c r="K38" t="str">
        <f>_xlfn.XLOOKUP(Table14[[#This Row],[Place_Tourism5]],Table3[Place_Name],Table3[Place_Id], "Not found")</f>
        <v>Not found</v>
      </c>
    </row>
    <row r="39" spans="1:11" x14ac:dyDescent="0.25">
      <c r="A39">
        <v>38</v>
      </c>
      <c r="B39" t="s">
        <v>311</v>
      </c>
      <c r="C39">
        <f>_xlfn.XLOOKUP(Table14[[#This Row],[Place_Tourism1]],Table3[Place_Name],Table3[Place_Id], "Not found")</f>
        <v>131</v>
      </c>
      <c r="D39" t="s">
        <v>331</v>
      </c>
      <c r="E39">
        <f>_xlfn.XLOOKUP(Table14[[#This Row],[Place_Tourism2]],Table3[Place_Name],Table3[Place_Id], "Not found")</f>
        <v>141</v>
      </c>
      <c r="F39" t="s">
        <v>345</v>
      </c>
      <c r="G39">
        <f>_xlfn.XLOOKUP(Table14[[#This Row],[Place_Tourism3]],Table3[Place_Name],Table3[Place_Id], "Not found")</f>
        <v>148</v>
      </c>
      <c r="H39" t="s">
        <v>377</v>
      </c>
      <c r="I39">
        <f>_xlfn.XLOOKUP(Table14[[#This Row],[Place_Tourism4]],Table3[Place_Name],Table3[Place_Id], "Not found")</f>
        <v>164</v>
      </c>
      <c r="J39" t="s">
        <v>461</v>
      </c>
      <c r="K39">
        <f>_xlfn.XLOOKUP(Table14[[#This Row],[Place_Tourism5]],Table3[Place_Name],Table3[Place_Id], "Not found")</f>
        <v>206</v>
      </c>
    </row>
    <row r="40" spans="1:11" x14ac:dyDescent="0.25">
      <c r="A40">
        <v>39</v>
      </c>
      <c r="B40" t="s">
        <v>223</v>
      </c>
      <c r="C40">
        <f>_xlfn.XLOOKUP(Table14[[#This Row],[Place_Tourism1]],Table3[Place_Name],Table3[Place_Id], "Not found")</f>
        <v>87</v>
      </c>
      <c r="D40" t="s">
        <v>245</v>
      </c>
      <c r="E40">
        <f>_xlfn.XLOOKUP(Table14[[#This Row],[Place_Tourism2]],Table3[Place_Name],Table3[Place_Id], "Not found")</f>
        <v>98</v>
      </c>
      <c r="F40" t="s">
        <v>277</v>
      </c>
      <c r="G40">
        <f>_xlfn.XLOOKUP(Table14[[#This Row],[Place_Tourism3]],Table3[Place_Name],Table3[Place_Id], "Not found")</f>
        <v>114</v>
      </c>
      <c r="H40" t="s">
        <v>283</v>
      </c>
      <c r="I40">
        <f>_xlfn.XLOOKUP(Table14[[#This Row],[Place_Tourism4]],Table3[Place_Name],Table3[Place_Id], "Not found")</f>
        <v>117</v>
      </c>
      <c r="K40" t="str">
        <f>_xlfn.XLOOKUP(Table14[[#This Row],[Place_Tourism5]],Table3[Place_Name],Table3[Place_Id], "Not found")</f>
        <v>Not found</v>
      </c>
    </row>
    <row r="41" spans="1:11" x14ac:dyDescent="0.25">
      <c r="A41">
        <v>40</v>
      </c>
      <c r="B41" t="s">
        <v>397</v>
      </c>
      <c r="C41">
        <f>_xlfn.XLOOKUP(Table14[[#This Row],[Place_Tourism1]],Table3[Place_Name],Table3[Place_Id], "Not found")</f>
        <v>174</v>
      </c>
      <c r="D41" t="s">
        <v>369</v>
      </c>
      <c r="E41">
        <f>_xlfn.XLOOKUP(Table14[[#This Row],[Place_Tourism2]],Table3[Place_Name],Table3[Place_Id], "Not found")</f>
        <v>160</v>
      </c>
      <c r="F41" t="s">
        <v>319</v>
      </c>
      <c r="G41">
        <f>_xlfn.XLOOKUP(Table14[[#This Row],[Place_Tourism3]],Table3[Place_Name],Table3[Place_Id], "Not found")</f>
        <v>135</v>
      </c>
      <c r="I41" t="str">
        <f>_xlfn.XLOOKUP(Table14[[#This Row],[Place_Tourism4]],Table3[Place_Name],Table3[Place_Id], "Not found")</f>
        <v>Not found</v>
      </c>
      <c r="K41" t="str">
        <f>_xlfn.XLOOKUP(Table14[[#This Row],[Place_Tourism5]],Table3[Place_Name],Table3[Place_Id], "Not found")</f>
        <v>Not found</v>
      </c>
    </row>
    <row r="42" spans="1:11" x14ac:dyDescent="0.25">
      <c r="A42">
        <v>41</v>
      </c>
      <c r="B42" t="s">
        <v>497</v>
      </c>
      <c r="C42">
        <f>_xlfn.XLOOKUP(Table14[[#This Row],[Place_Tourism1]],Table3[Place_Name],Table3[Place_Id], "Not found")</f>
        <v>224</v>
      </c>
      <c r="D42" t="s">
        <v>499</v>
      </c>
      <c r="E42">
        <f>_xlfn.XLOOKUP(Table14[[#This Row],[Place_Tourism2]],Table3[Place_Name],Table3[Place_Id], "Not found")</f>
        <v>225</v>
      </c>
      <c r="F42" t="s">
        <v>539</v>
      </c>
      <c r="G42">
        <f>_xlfn.XLOOKUP(Table14[[#This Row],[Place_Tourism3]],Table3[Place_Name],Table3[Place_Id], "Not found")</f>
        <v>245</v>
      </c>
      <c r="H42" t="s">
        <v>585</v>
      </c>
      <c r="I42">
        <f>_xlfn.XLOOKUP(Table14[[#This Row],[Place_Tourism4]],Table3[Place_Name],Table3[Place_Id], "Not found")</f>
        <v>268</v>
      </c>
      <c r="K42" t="str">
        <f>_xlfn.XLOOKUP(Table14[[#This Row],[Place_Tourism5]],Table3[Place_Name],Table3[Place_Id], "Not found")</f>
        <v>Not found</v>
      </c>
    </row>
    <row r="43" spans="1:11" x14ac:dyDescent="0.25">
      <c r="A43">
        <v>42</v>
      </c>
      <c r="B43" t="s">
        <v>1000</v>
      </c>
      <c r="C43">
        <f>_xlfn.XLOOKUP(Table14[[#This Row],[Place_Tourism1]],Table3[Place_Name],Table3[Place_Id], "Not found")</f>
        <v>211</v>
      </c>
      <c r="D43" t="s">
        <v>515</v>
      </c>
      <c r="E43">
        <f>_xlfn.XLOOKUP(Table14[[#This Row],[Place_Tourism2]],Table3[Place_Name],Table3[Place_Id], "Not found")</f>
        <v>233</v>
      </c>
      <c r="F43" t="s">
        <v>525</v>
      </c>
      <c r="G43">
        <f>_xlfn.XLOOKUP(Table14[[#This Row],[Place_Tourism3]],Table3[Place_Name],Table3[Place_Id], "Not found")</f>
        <v>238</v>
      </c>
      <c r="H43" t="s">
        <v>533</v>
      </c>
      <c r="I43">
        <f>_xlfn.XLOOKUP(Table14[[#This Row],[Place_Tourism4]],Table3[Place_Name],Table3[Place_Id], "Not found")</f>
        <v>242</v>
      </c>
      <c r="J43" t="s">
        <v>575</v>
      </c>
      <c r="K43">
        <f>_xlfn.XLOOKUP(Table14[[#This Row],[Place_Tourism5]],Table3[Place_Name],Table3[Place_Id], "Not found")</f>
        <v>263</v>
      </c>
    </row>
    <row r="44" spans="1:11" x14ac:dyDescent="0.25">
      <c r="A44">
        <v>43</v>
      </c>
      <c r="B44" t="s">
        <v>491</v>
      </c>
      <c r="C44">
        <f>_xlfn.XLOOKUP(Table14[[#This Row],[Place_Tourism1]],Table3[Place_Name],Table3[Place_Id], "Not found")</f>
        <v>221</v>
      </c>
      <c r="D44" t="s">
        <v>505</v>
      </c>
      <c r="E44">
        <f>_xlfn.XLOOKUP(Table14[[#This Row],[Place_Tourism2]],Table3[Place_Name],Table3[Place_Id], "Not found")</f>
        <v>228</v>
      </c>
      <c r="F44" t="s">
        <v>629</v>
      </c>
      <c r="G44">
        <f>_xlfn.XLOOKUP(Table14[[#This Row],[Place_Tourism3]],Table3[Place_Name],Table3[Place_Id], "Not found")</f>
        <v>290</v>
      </c>
      <c r="H44" t="s">
        <v>637</v>
      </c>
      <c r="I44">
        <f>_xlfn.XLOOKUP(Table14[[#This Row],[Place_Tourism4]],Table3[Place_Name],Table3[Place_Id], "Not found")</f>
        <v>294</v>
      </c>
      <c r="J44" t="s">
        <v>639</v>
      </c>
      <c r="K44">
        <f>_xlfn.XLOOKUP(Table14[[#This Row],[Place_Tourism5]],Table3[Place_Name],Table3[Place_Id], "Not found")</f>
        <v>295</v>
      </c>
    </row>
    <row r="45" spans="1:11" x14ac:dyDescent="0.25">
      <c r="A45">
        <v>44</v>
      </c>
      <c r="B45" t="s">
        <v>493</v>
      </c>
      <c r="C45">
        <f>_xlfn.XLOOKUP(Table14[[#This Row],[Place_Tourism1]],Table3[Place_Name],Table3[Place_Id], "Not found")</f>
        <v>222</v>
      </c>
      <c r="D45" t="s">
        <v>567</v>
      </c>
      <c r="E45">
        <f>_xlfn.XLOOKUP(Table14[[#This Row],[Place_Tourism2]],Table3[Place_Name],Table3[Place_Id], "Not found")</f>
        <v>259</v>
      </c>
      <c r="F45" t="s">
        <v>579</v>
      </c>
      <c r="G45">
        <f>_xlfn.XLOOKUP(Table14[[#This Row],[Place_Tourism3]],Table3[Place_Name],Table3[Place_Id], "Not found")</f>
        <v>265</v>
      </c>
      <c r="H45" t="s">
        <v>619</v>
      </c>
      <c r="I45">
        <f>_xlfn.XLOOKUP(Table14[[#This Row],[Place_Tourism4]],Table3[Place_Name],Table3[Place_Id], "Not found")</f>
        <v>285</v>
      </c>
      <c r="K45" t="str">
        <f>_xlfn.XLOOKUP(Table14[[#This Row],[Place_Tourism5]],Table3[Place_Name],Table3[Place_Id], "Not found")</f>
        <v>Not found</v>
      </c>
    </row>
    <row r="46" spans="1:11" x14ac:dyDescent="0.25">
      <c r="A46">
        <v>45</v>
      </c>
      <c r="B46" t="s">
        <v>709</v>
      </c>
      <c r="C46">
        <f>_xlfn.XLOOKUP(Table14[[#This Row],[Place_Tourism1]],Table3[Place_Name],Table3[Place_Id], "Not found")</f>
        <v>330</v>
      </c>
      <c r="D46" t="s">
        <v>643</v>
      </c>
      <c r="E46">
        <f>_xlfn.XLOOKUP(Table14[[#This Row],[Place_Tourism2]],Table3[Place_Name],Table3[Place_Id], "Not found")</f>
        <v>297</v>
      </c>
      <c r="F46" t="s">
        <v>477</v>
      </c>
      <c r="G46">
        <f>_xlfn.XLOOKUP(Table14[[#This Row],[Place_Tourism3]],Table3[Place_Name],Table3[Place_Id], "Not found")</f>
        <v>214</v>
      </c>
      <c r="I46" t="str">
        <f>_xlfn.XLOOKUP(Table14[[#This Row],[Place_Tourism4]],Table3[Place_Name],Table3[Place_Id], "Not found")</f>
        <v>Not found</v>
      </c>
      <c r="K46" t="str">
        <f>_xlfn.XLOOKUP(Table14[[#This Row],[Place_Tourism5]],Table3[Place_Name],Table3[Place_Id], "Not found")</f>
        <v>Not found</v>
      </c>
    </row>
    <row r="47" spans="1:11" x14ac:dyDescent="0.25">
      <c r="A47">
        <v>46</v>
      </c>
      <c r="B47" t="s">
        <v>689</v>
      </c>
      <c r="C47">
        <f>_xlfn.XLOOKUP(Table14[[#This Row],[Place_Tourism1]],Table3[Place_Name],Table3[Place_Id], "Not found")</f>
        <v>320</v>
      </c>
      <c r="D47" t="s">
        <v>701</v>
      </c>
      <c r="E47">
        <f>_xlfn.XLOOKUP(Table14[[#This Row],[Place_Tourism2]],Table3[Place_Name],Table3[Place_Id], "Not found")</f>
        <v>326</v>
      </c>
      <c r="F47" t="s">
        <v>713</v>
      </c>
      <c r="G47">
        <f>_xlfn.XLOOKUP(Table14[[#This Row],[Place_Tourism3]],Table3[Place_Name],Table3[Place_Id], "Not found")</f>
        <v>332</v>
      </c>
      <c r="I47" t="str">
        <f>_xlfn.XLOOKUP(Table14[[#This Row],[Place_Tourism4]],Table3[Place_Name],Table3[Place_Id], "Not found")</f>
        <v>Not found</v>
      </c>
      <c r="K47" t="str">
        <f>_xlfn.XLOOKUP(Table14[[#This Row],[Place_Tourism5]],Table3[Place_Name],Table3[Place_Id], "Not found")</f>
        <v>Not found</v>
      </c>
    </row>
    <row r="48" spans="1:11" x14ac:dyDescent="0.25">
      <c r="A48">
        <v>47</v>
      </c>
      <c r="B48" t="s">
        <v>577</v>
      </c>
      <c r="C48">
        <f>_xlfn.XLOOKUP(Table14[[#This Row],[Place_Tourism1]],Table3[Place_Name],Table3[Place_Id], "Not found")</f>
        <v>264</v>
      </c>
      <c r="D48" t="s">
        <v>653</v>
      </c>
      <c r="E48">
        <f>_xlfn.XLOOKUP(Table14[[#This Row],[Place_Tourism2]],Table3[Place_Name],Table3[Place_Id], "Not found")</f>
        <v>302</v>
      </c>
      <c r="F48" t="s">
        <v>655</v>
      </c>
      <c r="G48">
        <f>_xlfn.XLOOKUP(Table14[[#This Row],[Place_Tourism3]],Table3[Place_Name],Table3[Place_Id], "Not found")</f>
        <v>303</v>
      </c>
      <c r="I48" t="str">
        <f>_xlfn.XLOOKUP(Table14[[#This Row],[Place_Tourism4]],Table3[Place_Name],Table3[Place_Id], "Not found")</f>
        <v>Not found</v>
      </c>
      <c r="K48" t="str">
        <f>_xlfn.XLOOKUP(Table14[[#This Row],[Place_Tourism5]],Table3[Place_Name],Table3[Place_Id], "Not found")</f>
        <v>Not found</v>
      </c>
    </row>
    <row r="49" spans="1:11" x14ac:dyDescent="0.25">
      <c r="A49">
        <v>48</v>
      </c>
      <c r="B49" t="s">
        <v>581</v>
      </c>
      <c r="C49">
        <f>_xlfn.XLOOKUP(Table14[[#This Row],[Place_Tourism1]],Table3[Place_Name],Table3[Place_Id], "Not found")</f>
        <v>266</v>
      </c>
      <c r="D49" t="s">
        <v>633</v>
      </c>
      <c r="E49">
        <f>_xlfn.XLOOKUP(Table14[[#This Row],[Place_Tourism2]],Table3[Place_Name],Table3[Place_Id], "Not found")</f>
        <v>292</v>
      </c>
      <c r="F49" t="s">
        <v>691</v>
      </c>
      <c r="G49">
        <f>_xlfn.XLOOKUP(Table14[[#This Row],[Place_Tourism3]],Table3[Place_Name],Table3[Place_Id], "Not found")</f>
        <v>321</v>
      </c>
      <c r="H49" t="s">
        <v>693</v>
      </c>
      <c r="I49">
        <f>_xlfn.XLOOKUP(Table14[[#This Row],[Place_Tourism4]],Table3[Place_Name],Table3[Place_Id], "Not found")</f>
        <v>322</v>
      </c>
      <c r="K49" t="str">
        <f>_xlfn.XLOOKUP(Table14[[#This Row],[Place_Tourism5]],Table3[Place_Name],Table3[Place_Id], "Not found")</f>
        <v>Not found</v>
      </c>
    </row>
    <row r="50" spans="1:11" x14ac:dyDescent="0.25">
      <c r="A50">
        <v>49</v>
      </c>
      <c r="B50" t="s">
        <v>545</v>
      </c>
      <c r="C50">
        <f>_xlfn.XLOOKUP(Table14[[#This Row],[Place_Tourism1]],Table3[Place_Name],Table3[Place_Id], "Not found")</f>
        <v>248</v>
      </c>
      <c r="D50" t="s">
        <v>549</v>
      </c>
      <c r="E50">
        <f>_xlfn.XLOOKUP(Table14[[#This Row],[Place_Tourism2]],Table3[Place_Name],Table3[Place_Id], "Not found")</f>
        <v>250</v>
      </c>
      <c r="F50" t="s">
        <v>583</v>
      </c>
      <c r="G50">
        <f>_xlfn.XLOOKUP(Table14[[#This Row],[Place_Tourism3]],Table3[Place_Name],Table3[Place_Id], "Not found")</f>
        <v>267</v>
      </c>
      <c r="H50" t="s">
        <v>631</v>
      </c>
      <c r="I50">
        <f>_xlfn.XLOOKUP(Table14[[#This Row],[Place_Tourism4]],Table3[Place_Name],Table3[Place_Id], "Not found")</f>
        <v>291</v>
      </c>
      <c r="J50" t="s">
        <v>715</v>
      </c>
      <c r="K50">
        <f>_xlfn.XLOOKUP(Table14[[#This Row],[Place_Tourism5]],Table3[Place_Name],Table3[Place_Id], "Not found")</f>
        <v>333</v>
      </c>
    </row>
    <row r="51" spans="1:11" x14ac:dyDescent="0.25">
      <c r="A51">
        <v>50</v>
      </c>
      <c r="B51" t="s">
        <v>479</v>
      </c>
      <c r="C51">
        <f>_xlfn.XLOOKUP(Table14[[#This Row],[Place_Tourism1]],Table3[Place_Name],Table3[Place_Id], "Not found")</f>
        <v>215</v>
      </c>
      <c r="D51" t="s">
        <v>487</v>
      </c>
      <c r="E51">
        <f>_xlfn.XLOOKUP(Table14[[#This Row],[Place_Tourism2]],Table3[Place_Name],Table3[Place_Id], "Not found")</f>
        <v>219</v>
      </c>
      <c r="F51" t="s">
        <v>535</v>
      </c>
      <c r="G51">
        <f>_xlfn.XLOOKUP(Table14[[#This Row],[Place_Tourism3]],Table3[Place_Name],Table3[Place_Id], "Not found")</f>
        <v>243</v>
      </c>
      <c r="H51" t="s">
        <v>543</v>
      </c>
      <c r="I51">
        <f>_xlfn.XLOOKUP(Table14[[#This Row],[Place_Tourism4]],Table3[Place_Name],Table3[Place_Id], "Not found")</f>
        <v>247</v>
      </c>
      <c r="J51" t="s">
        <v>603</v>
      </c>
      <c r="K51">
        <f>_xlfn.XLOOKUP(Table14[[#This Row],[Place_Tourism5]],Table3[Place_Name],Table3[Place_Id], "Not found")</f>
        <v>277</v>
      </c>
    </row>
    <row r="52" spans="1:11" x14ac:dyDescent="0.25">
      <c r="A52">
        <v>51</v>
      </c>
      <c r="B52" t="s">
        <v>683</v>
      </c>
      <c r="C52">
        <f>_xlfn.XLOOKUP(Table14[[#This Row],[Place_Tourism1]],Table3[Place_Name],Table3[Place_Id], "Not found")</f>
        <v>317</v>
      </c>
      <c r="D52" t="s">
        <v>711</v>
      </c>
      <c r="E52">
        <f>_xlfn.XLOOKUP(Table14[[#This Row],[Place_Tourism2]],Table3[Place_Name],Table3[Place_Id], "Not found")</f>
        <v>331</v>
      </c>
      <c r="F52" t="s">
        <v>713</v>
      </c>
      <c r="G52">
        <f>_xlfn.XLOOKUP(Table14[[#This Row],[Place_Tourism3]],Table3[Place_Name],Table3[Place_Id], "Not found")</f>
        <v>332</v>
      </c>
      <c r="I52" t="str">
        <f>_xlfn.XLOOKUP(Table14[[#This Row],[Place_Tourism4]],Table3[Place_Name],Table3[Place_Id], "Not found")</f>
        <v>Not found</v>
      </c>
      <c r="K52" t="str">
        <f>_xlfn.XLOOKUP(Table14[[#This Row],[Place_Tourism5]],Table3[Place_Name],Table3[Place_Id], "Not found")</f>
        <v>Not found</v>
      </c>
    </row>
    <row r="53" spans="1:11" x14ac:dyDescent="0.25">
      <c r="A53">
        <v>52</v>
      </c>
      <c r="B53" t="s">
        <v>673</v>
      </c>
      <c r="C53">
        <f>_xlfn.XLOOKUP(Table14[[#This Row],[Place_Tourism1]],Table3[Place_Name],Table3[Place_Id], "Not found")</f>
        <v>312</v>
      </c>
      <c r="D53" t="s">
        <v>679</v>
      </c>
      <c r="E53">
        <f>_xlfn.XLOOKUP(Table14[[#This Row],[Place_Tourism2]],Table3[Place_Name],Table3[Place_Id], "Not found")</f>
        <v>315</v>
      </c>
      <c r="F53" t="s">
        <v>699</v>
      </c>
      <c r="G53">
        <f>_xlfn.XLOOKUP(Table14[[#This Row],[Place_Tourism3]],Table3[Place_Name],Table3[Place_Id], "Not found")</f>
        <v>325</v>
      </c>
      <c r="H53" t="s">
        <v>703</v>
      </c>
      <c r="I53">
        <f>_xlfn.XLOOKUP(Table14[[#This Row],[Place_Tourism4]],Table3[Place_Name],Table3[Place_Id], "Not found")</f>
        <v>327</v>
      </c>
      <c r="J53" t="s">
        <v>509</v>
      </c>
      <c r="K53">
        <f>_xlfn.XLOOKUP(Table14[[#This Row],[Place_Tourism5]],Table3[Place_Name],Table3[Place_Id], "Not found")</f>
        <v>230</v>
      </c>
    </row>
    <row r="54" spans="1:11" x14ac:dyDescent="0.25">
      <c r="A54">
        <v>53</v>
      </c>
      <c r="B54" t="s">
        <v>503</v>
      </c>
      <c r="C54">
        <f>_xlfn.XLOOKUP(Table14[[#This Row],[Place_Tourism1]],Table3[Place_Name],Table3[Place_Id], "Not found")</f>
        <v>227</v>
      </c>
      <c r="D54" t="s">
        <v>521</v>
      </c>
      <c r="E54">
        <f>_xlfn.XLOOKUP(Table14[[#This Row],[Place_Tourism2]],Table3[Place_Name],Table3[Place_Id], "Not found")</f>
        <v>236</v>
      </c>
      <c r="F54" t="s">
        <v>557</v>
      </c>
      <c r="G54">
        <f>_xlfn.XLOOKUP(Table14[[#This Row],[Place_Tourism3]],Table3[Place_Name],Table3[Place_Id], "Not found")</f>
        <v>254</v>
      </c>
      <c r="H54" t="s">
        <v>591</v>
      </c>
      <c r="I54">
        <f>_xlfn.XLOOKUP(Table14[[#This Row],[Place_Tourism4]],Table3[Place_Name],Table3[Place_Id], "Not found")</f>
        <v>271</v>
      </c>
      <c r="J54" t="s">
        <v>529</v>
      </c>
      <c r="K54">
        <f>_xlfn.XLOOKUP(Table14[[#This Row],[Place_Tourism5]],Table3[Place_Name],Table3[Place_Id], "Not found")</f>
        <v>240</v>
      </c>
    </row>
    <row r="55" spans="1:11" x14ac:dyDescent="0.25">
      <c r="A55">
        <v>54</v>
      </c>
      <c r="B55" t="s">
        <v>711</v>
      </c>
      <c r="C55">
        <f>_xlfn.XLOOKUP(Table14[[#This Row],[Place_Tourism1]],Table3[Place_Name],Table3[Place_Id], "Not found")</f>
        <v>331</v>
      </c>
      <c r="D55" t="s">
        <v>713</v>
      </c>
      <c r="E55">
        <f>_xlfn.XLOOKUP(Table14[[#This Row],[Place_Tourism2]],Table3[Place_Name],Table3[Place_Id], "Not found")</f>
        <v>332</v>
      </c>
      <c r="F55" t="s">
        <v>711</v>
      </c>
      <c r="G55">
        <f>_xlfn.XLOOKUP(Table14[[#This Row],[Place_Tourism3]],Table3[Place_Name],Table3[Place_Id], "Not found")</f>
        <v>331</v>
      </c>
      <c r="H55" t="s">
        <v>713</v>
      </c>
      <c r="I55">
        <f>_xlfn.XLOOKUP(Table14[[#This Row],[Place_Tourism4]],Table3[Place_Name],Table3[Place_Id], "Not found")</f>
        <v>332</v>
      </c>
      <c r="K55" t="str">
        <f>_xlfn.XLOOKUP(Table14[[#This Row],[Place_Tourism5]],Table3[Place_Name],Table3[Place_Id], "Not found")</f>
        <v>Not found</v>
      </c>
    </row>
    <row r="56" spans="1:11" x14ac:dyDescent="0.25">
      <c r="A56">
        <v>55</v>
      </c>
      <c r="B56" t="s">
        <v>495</v>
      </c>
      <c r="C56">
        <f>_xlfn.XLOOKUP(Table14[[#This Row],[Place_Tourism1]],Table3[Place_Name],Table3[Place_Id], "Not found")</f>
        <v>223</v>
      </c>
      <c r="D56" t="s">
        <v>551</v>
      </c>
      <c r="E56">
        <f>_xlfn.XLOOKUP(Table14[[#This Row],[Place_Tourism2]],Table3[Place_Name],Table3[Place_Id], "Not found")</f>
        <v>251</v>
      </c>
      <c r="F56" t="s">
        <v>563</v>
      </c>
      <c r="G56">
        <f>_xlfn.XLOOKUP(Table14[[#This Row],[Place_Tourism3]],Table3[Place_Name],Table3[Place_Id], "Not found")</f>
        <v>257</v>
      </c>
      <c r="H56" t="s">
        <v>569</v>
      </c>
      <c r="I56">
        <f>_xlfn.XLOOKUP(Table14[[#This Row],[Place_Tourism4]],Table3[Place_Name],Table3[Place_Id], "Not found")</f>
        <v>260</v>
      </c>
      <c r="K56" t="str">
        <f>_xlfn.XLOOKUP(Table14[[#This Row],[Place_Tourism5]],Table3[Place_Name],Table3[Place_Id], "Not found")</f>
        <v>Not found</v>
      </c>
    </row>
    <row r="57" spans="1:11" x14ac:dyDescent="0.25">
      <c r="A57">
        <v>56</v>
      </c>
      <c r="B57" t="s">
        <v>485</v>
      </c>
      <c r="C57">
        <f>_xlfn.XLOOKUP(Table14[[#This Row],[Place_Tourism1]],Table3[Place_Name],Table3[Place_Id], "Not found")</f>
        <v>218</v>
      </c>
      <c r="D57" t="s">
        <v>523</v>
      </c>
      <c r="E57">
        <f>_xlfn.XLOOKUP(Table14[[#This Row],[Place_Tourism2]],Table3[Place_Name],Table3[Place_Id], "Not found")</f>
        <v>237</v>
      </c>
      <c r="F57" t="s">
        <v>697</v>
      </c>
      <c r="G57">
        <f>_xlfn.XLOOKUP(Table14[[#This Row],[Place_Tourism3]],Table3[Place_Name],Table3[Place_Id], "Not found")</f>
        <v>324</v>
      </c>
      <c r="I57" t="str">
        <f>_xlfn.XLOOKUP(Table14[[#This Row],[Place_Tourism4]],Table3[Place_Name],Table3[Place_Id], "Not found")</f>
        <v>Not found</v>
      </c>
      <c r="K57" t="str">
        <f>_xlfn.XLOOKUP(Table14[[#This Row],[Place_Tourism5]],Table3[Place_Name],Table3[Place_Id], "Not found")</f>
        <v>Not found</v>
      </c>
    </row>
    <row r="58" spans="1:11" x14ac:dyDescent="0.25">
      <c r="A58">
        <v>57</v>
      </c>
      <c r="B58" t="s">
        <v>565</v>
      </c>
      <c r="C58">
        <f>_xlfn.XLOOKUP(Table14[[#This Row],[Place_Tourism1]],Table3[Place_Name],Table3[Place_Id], "Not found")</f>
        <v>258</v>
      </c>
      <c r="D58" t="s">
        <v>621</v>
      </c>
      <c r="E58">
        <f>_xlfn.XLOOKUP(Table14[[#This Row],[Place_Tourism2]],Table3[Place_Name],Table3[Place_Id], "Not found")</f>
        <v>286</v>
      </c>
      <c r="F58" t="s">
        <v>629</v>
      </c>
      <c r="G58">
        <f>_xlfn.XLOOKUP(Table14[[#This Row],[Place_Tourism3]],Table3[Place_Name],Table3[Place_Id], "Not found")</f>
        <v>290</v>
      </c>
      <c r="H58" t="s">
        <v>637</v>
      </c>
      <c r="I58">
        <f>_xlfn.XLOOKUP(Table14[[#This Row],[Place_Tourism4]],Table3[Place_Name],Table3[Place_Id], "Not found")</f>
        <v>294</v>
      </c>
      <c r="J58" t="s">
        <v>639</v>
      </c>
      <c r="K58">
        <f>_xlfn.XLOOKUP(Table14[[#This Row],[Place_Tourism5]],Table3[Place_Name],Table3[Place_Id], "Not found")</f>
        <v>295</v>
      </c>
    </row>
    <row r="59" spans="1:11" x14ac:dyDescent="0.25">
      <c r="A59">
        <v>58</v>
      </c>
      <c r="B59" t="s">
        <v>483</v>
      </c>
      <c r="C59">
        <f>_xlfn.XLOOKUP(Table14[[#This Row],[Place_Tourism1]],Table3[Place_Name],Table3[Place_Id], "Not found")</f>
        <v>217</v>
      </c>
      <c r="D59" t="s">
        <v>527</v>
      </c>
      <c r="E59">
        <f>_xlfn.XLOOKUP(Table14[[#This Row],[Place_Tourism2]],Table3[Place_Name],Table3[Place_Id], "Not found")</f>
        <v>239</v>
      </c>
      <c r="F59" t="s">
        <v>599</v>
      </c>
      <c r="G59">
        <f>_xlfn.XLOOKUP(Table14[[#This Row],[Place_Tourism3]],Table3[Place_Name],Table3[Place_Id], "Not found")</f>
        <v>275</v>
      </c>
      <c r="H59" t="s">
        <v>675</v>
      </c>
      <c r="I59">
        <f>_xlfn.XLOOKUP(Table14[[#This Row],[Place_Tourism4]],Table3[Place_Name],Table3[Place_Id], "Not found")</f>
        <v>313</v>
      </c>
      <c r="K59" t="str">
        <f>_xlfn.XLOOKUP(Table14[[#This Row],[Place_Tourism5]],Table3[Place_Name],Table3[Place_Id], "Not found")</f>
        <v>Not found</v>
      </c>
    </row>
    <row r="60" spans="1:11" x14ac:dyDescent="0.25">
      <c r="A60">
        <v>59</v>
      </c>
      <c r="B60" t="s">
        <v>501</v>
      </c>
      <c r="C60">
        <f>_xlfn.XLOOKUP(Table14[[#This Row],[Place_Tourism1]],Table3[Place_Name],Table3[Place_Id], "Not found")</f>
        <v>226</v>
      </c>
      <c r="D60" t="s">
        <v>531</v>
      </c>
      <c r="E60">
        <f>_xlfn.XLOOKUP(Table14[[#This Row],[Place_Tourism2]],Table3[Place_Name],Table3[Place_Id], "Not found")</f>
        <v>241</v>
      </c>
      <c r="F60" t="s">
        <v>541</v>
      </c>
      <c r="G60">
        <f>_xlfn.XLOOKUP(Table14[[#This Row],[Place_Tourism3]],Table3[Place_Name],Table3[Place_Id], "Not found")</f>
        <v>246</v>
      </c>
      <c r="H60" t="s">
        <v>593</v>
      </c>
      <c r="I60">
        <f>_xlfn.XLOOKUP(Table14[[#This Row],[Place_Tourism4]],Table3[Place_Name],Table3[Place_Id], "Not found")</f>
        <v>272</v>
      </c>
      <c r="J60" t="s">
        <v>595</v>
      </c>
      <c r="K60">
        <f>_xlfn.XLOOKUP(Table14[[#This Row],[Place_Tourism5]],Table3[Place_Name],Table3[Place_Id], "Not found")</f>
        <v>273</v>
      </c>
    </row>
    <row r="61" spans="1:11" x14ac:dyDescent="0.25">
      <c r="A61">
        <v>60</v>
      </c>
      <c r="B61" t="s">
        <v>533</v>
      </c>
      <c r="C61">
        <f>_xlfn.XLOOKUP(Table14[[#This Row],[Place_Tourism1]],Table3[Place_Name],Table3[Place_Id], "Not found")</f>
        <v>242</v>
      </c>
      <c r="D61" t="s">
        <v>575</v>
      </c>
      <c r="E61">
        <f>_xlfn.XLOOKUP(Table14[[#This Row],[Place_Tourism2]],Table3[Place_Name],Table3[Place_Id], "Not found")</f>
        <v>263</v>
      </c>
      <c r="F61" t="s">
        <v>627</v>
      </c>
      <c r="G61">
        <f>_xlfn.XLOOKUP(Table14[[#This Row],[Place_Tourism3]],Table3[Place_Name],Table3[Place_Id], "Not found")</f>
        <v>289</v>
      </c>
      <c r="H61" t="s">
        <v>633</v>
      </c>
      <c r="I61">
        <f>_xlfn.XLOOKUP(Table14[[#This Row],[Place_Tourism4]],Table3[Place_Name],Table3[Place_Id], "Not found")</f>
        <v>292</v>
      </c>
      <c r="J61" t="s">
        <v>677</v>
      </c>
      <c r="K61">
        <f>_xlfn.XLOOKUP(Table14[[#This Row],[Place_Tourism5]],Table3[Place_Name],Table3[Place_Id], "Not found")</f>
        <v>314</v>
      </c>
    </row>
    <row r="62" spans="1:11" x14ac:dyDescent="0.25">
      <c r="A62">
        <v>61</v>
      </c>
      <c r="B62" t="s">
        <v>717</v>
      </c>
      <c r="C62">
        <f>_xlfn.XLOOKUP(Table14[[#This Row],[Place_Tourism1]],Table3[Place_Name],Table3[Place_Id], "Not found")</f>
        <v>334</v>
      </c>
      <c r="D62" t="s">
        <v>724</v>
      </c>
      <c r="E62">
        <f>_xlfn.XLOOKUP(Table14[[#This Row],[Place_Tourism2]],Table3[Place_Name],Table3[Place_Id], "Not found")</f>
        <v>337</v>
      </c>
      <c r="F62" t="s">
        <v>726</v>
      </c>
      <c r="G62">
        <f>_xlfn.XLOOKUP(Table14[[#This Row],[Place_Tourism3]],Table3[Place_Name],Table3[Place_Id], "Not found")</f>
        <v>338</v>
      </c>
      <c r="I62" t="str">
        <f>_xlfn.XLOOKUP(Table14[[#This Row],[Place_Tourism4]],Table3[Place_Name],Table3[Place_Id], "Not found")</f>
        <v>Not found</v>
      </c>
      <c r="K62" t="str">
        <f>_xlfn.XLOOKUP(Table14[[#This Row],[Place_Tourism5]],Table3[Place_Name],Table3[Place_Id], "Not found")</f>
        <v>Not found</v>
      </c>
    </row>
    <row r="63" spans="1:11" x14ac:dyDescent="0.25">
      <c r="A63">
        <v>62</v>
      </c>
      <c r="B63" t="s">
        <v>720</v>
      </c>
      <c r="C63">
        <f>_xlfn.XLOOKUP(Table14[[#This Row],[Place_Tourism1]],Table3[Place_Name],Table3[Place_Id], "Not found")</f>
        <v>335</v>
      </c>
      <c r="D63" t="s">
        <v>722</v>
      </c>
      <c r="E63">
        <f>_xlfn.XLOOKUP(Table14[[#This Row],[Place_Tourism2]],Table3[Place_Name],Table3[Place_Id], "Not found")</f>
        <v>336</v>
      </c>
      <c r="F63" t="s">
        <v>728</v>
      </c>
      <c r="G63">
        <f>_xlfn.XLOOKUP(Table14[[#This Row],[Place_Tourism3]],Table3[Place_Name],Table3[Place_Id], "Not found")</f>
        <v>339</v>
      </c>
      <c r="H63" t="s">
        <v>732</v>
      </c>
      <c r="I63">
        <f>_xlfn.XLOOKUP(Table14[[#This Row],[Place_Tourism4]],Table3[Place_Name],Table3[Place_Id], "Not found")</f>
        <v>341</v>
      </c>
      <c r="K63" t="str">
        <f>_xlfn.XLOOKUP(Table14[[#This Row],[Place_Tourism5]],Table3[Place_Name],Table3[Place_Id], "Not found")</f>
        <v>Not found</v>
      </c>
    </row>
    <row r="64" spans="1:11" x14ac:dyDescent="0.25">
      <c r="A64">
        <v>63</v>
      </c>
      <c r="B64" t="s">
        <v>734</v>
      </c>
      <c r="C64">
        <f>_xlfn.XLOOKUP(Table14[[#This Row],[Place_Tourism1]],Table3[Place_Name],Table3[Place_Id], "Not found")</f>
        <v>342</v>
      </c>
      <c r="D64" t="s">
        <v>736</v>
      </c>
      <c r="E64">
        <f>_xlfn.XLOOKUP(Table14[[#This Row],[Place_Tourism2]],Table3[Place_Name],Table3[Place_Id], "Not found")</f>
        <v>343</v>
      </c>
      <c r="F64" t="s">
        <v>748</v>
      </c>
      <c r="G64">
        <f>_xlfn.XLOOKUP(Table14[[#This Row],[Place_Tourism3]],Table3[Place_Name],Table3[Place_Id], "Not found")</f>
        <v>349</v>
      </c>
      <c r="I64" t="str">
        <f>_xlfn.XLOOKUP(Table14[[#This Row],[Place_Tourism4]],Table3[Place_Name],Table3[Place_Id], "Not found")</f>
        <v>Not found</v>
      </c>
      <c r="K64" t="str">
        <f>_xlfn.XLOOKUP(Table14[[#This Row],[Place_Tourism5]],Table3[Place_Name],Table3[Place_Id], "Not found")</f>
        <v>Not found</v>
      </c>
    </row>
    <row r="65" spans="1:11" x14ac:dyDescent="0.25">
      <c r="A65">
        <v>64</v>
      </c>
      <c r="B65" t="s">
        <v>740</v>
      </c>
      <c r="C65">
        <f>_xlfn.XLOOKUP(Table14[[#This Row],[Place_Tourism1]],Table3[Place_Name],Table3[Place_Id], "Not found")</f>
        <v>345</v>
      </c>
      <c r="D65" t="s">
        <v>742</v>
      </c>
      <c r="E65">
        <f>_xlfn.XLOOKUP(Table14[[#This Row],[Place_Tourism2]],Table3[Place_Name],Table3[Place_Id], "Not found")</f>
        <v>346</v>
      </c>
      <c r="F65" t="s">
        <v>754</v>
      </c>
      <c r="G65">
        <f>_xlfn.XLOOKUP(Table14[[#This Row],[Place_Tourism3]],Table3[Place_Name],Table3[Place_Id], "Not found")</f>
        <v>352</v>
      </c>
      <c r="I65" t="str">
        <f>_xlfn.XLOOKUP(Table14[[#This Row],[Place_Tourism4]],Table3[Place_Name],Table3[Place_Id], "Not found")</f>
        <v>Not found</v>
      </c>
      <c r="K65" t="str">
        <f>_xlfn.XLOOKUP(Table14[[#This Row],[Place_Tourism5]],Table3[Place_Name],Table3[Place_Id], "Not found")</f>
        <v>Not found</v>
      </c>
    </row>
    <row r="66" spans="1:11" x14ac:dyDescent="0.25">
      <c r="A66">
        <v>65</v>
      </c>
      <c r="B66" t="s">
        <v>804</v>
      </c>
      <c r="C66">
        <f>_xlfn.XLOOKUP(Table14[[#This Row],[Place_Tourism1]],Table3[Place_Name],Table3[Place_Id], "Not found")</f>
        <v>377</v>
      </c>
      <c r="D66" t="s">
        <v>808</v>
      </c>
      <c r="E66">
        <f>_xlfn.XLOOKUP(Table14[[#This Row],[Place_Tourism2]],Table3[Place_Name],Table3[Place_Id], "Not found")</f>
        <v>379</v>
      </c>
      <c r="F66" t="s">
        <v>810</v>
      </c>
      <c r="G66">
        <f>_xlfn.XLOOKUP(Table14[[#This Row],[Place_Tourism3]],Table3[Place_Name],Table3[Place_Id], "Not found")</f>
        <v>380</v>
      </c>
      <c r="H66" t="s">
        <v>814</v>
      </c>
      <c r="I66">
        <f>_xlfn.XLOOKUP(Table14[[#This Row],[Place_Tourism4]],Table3[Place_Name],Table3[Place_Id], "Not found")</f>
        <v>382</v>
      </c>
      <c r="J66" t="s">
        <v>816</v>
      </c>
      <c r="K66">
        <f>_xlfn.XLOOKUP(Table14[[#This Row],[Place_Tourism5]],Table3[Place_Name],Table3[Place_Id], "Not found")</f>
        <v>383</v>
      </c>
    </row>
    <row r="67" spans="1:11" x14ac:dyDescent="0.25">
      <c r="A67">
        <v>66</v>
      </c>
      <c r="B67" t="s">
        <v>820</v>
      </c>
      <c r="C67">
        <f>_xlfn.XLOOKUP(Table14[[#This Row],[Place_Tourism1]],Table3[Place_Name],Table3[Place_Id], "Not found")</f>
        <v>385</v>
      </c>
      <c r="D67" t="s">
        <v>822</v>
      </c>
      <c r="E67">
        <f>_xlfn.XLOOKUP(Table14[[#This Row],[Place_Tourism2]],Table3[Place_Name],Table3[Place_Id], "Not found")</f>
        <v>386</v>
      </c>
      <c r="F67" t="s">
        <v>824</v>
      </c>
      <c r="G67">
        <f>_xlfn.XLOOKUP(Table14[[#This Row],[Place_Tourism3]],Table3[Place_Name],Table3[Place_Id], "Not found")</f>
        <v>387</v>
      </c>
      <c r="H67" t="s">
        <v>826</v>
      </c>
      <c r="I67">
        <f>_xlfn.XLOOKUP(Table14[[#This Row],[Place_Tourism4]],Table3[Place_Name],Table3[Place_Id], "Not found")</f>
        <v>388</v>
      </c>
      <c r="J67" t="s">
        <v>828</v>
      </c>
      <c r="K67">
        <f>_xlfn.XLOOKUP(Table14[[#This Row],[Place_Tourism5]],Table3[Place_Name],Table3[Place_Id], "Not found")</f>
        <v>389</v>
      </c>
    </row>
    <row r="68" spans="1:11" x14ac:dyDescent="0.25">
      <c r="A68">
        <v>67</v>
      </c>
      <c r="B68" t="s">
        <v>760</v>
      </c>
      <c r="C68">
        <f>_xlfn.XLOOKUP(Table14[[#This Row],[Place_Tourism1]],Table3[Place_Name],Table3[Place_Id], "Not found")</f>
        <v>355</v>
      </c>
      <c r="D68" t="s">
        <v>776</v>
      </c>
      <c r="E68">
        <f>_xlfn.XLOOKUP(Table14[[#This Row],[Place_Tourism2]],Table3[Place_Name],Table3[Place_Id], "Not found")</f>
        <v>363</v>
      </c>
      <c r="F68" t="s">
        <v>812</v>
      </c>
      <c r="G68">
        <f>_xlfn.XLOOKUP(Table14[[#This Row],[Place_Tourism3]],Table3[Place_Name],Table3[Place_Id], "Not found")</f>
        <v>381</v>
      </c>
      <c r="I68" t="str">
        <f>_xlfn.XLOOKUP(Table14[[#This Row],[Place_Tourism4]],Table3[Place_Name],Table3[Place_Id], "Not found")</f>
        <v>Not found</v>
      </c>
      <c r="K68" t="str">
        <f>_xlfn.XLOOKUP(Table14[[#This Row],[Place_Tourism5]],Table3[Place_Name],Table3[Place_Id], "Not found")</f>
        <v>Not found</v>
      </c>
    </row>
    <row r="69" spans="1:11" x14ac:dyDescent="0.25">
      <c r="A69">
        <v>68</v>
      </c>
      <c r="B69" t="s">
        <v>776</v>
      </c>
      <c r="C69">
        <f>_xlfn.XLOOKUP(Table14[[#This Row],[Place_Tourism1]],Table3[Place_Name],Table3[Place_Id], "Not found")</f>
        <v>363</v>
      </c>
      <c r="D69" t="s">
        <v>818</v>
      </c>
      <c r="E69">
        <f>_xlfn.XLOOKUP(Table14[[#This Row],[Place_Tourism2]],Table3[Place_Name],Table3[Place_Id], "Not found")</f>
        <v>384</v>
      </c>
      <c r="F69" t="s">
        <v>756</v>
      </c>
      <c r="G69">
        <f>_xlfn.XLOOKUP(Table14[[#This Row],[Place_Tourism3]],Table3[Place_Name],Table3[Place_Id], "Not found")</f>
        <v>353</v>
      </c>
      <c r="H69" t="s">
        <v>830</v>
      </c>
      <c r="I69">
        <f>_xlfn.XLOOKUP(Table14[[#This Row],[Place_Tourism4]],Table3[Place_Name],Table3[Place_Id], "Not found")</f>
        <v>390</v>
      </c>
      <c r="K69" t="str">
        <f>_xlfn.XLOOKUP(Table14[[#This Row],[Place_Tourism5]],Table3[Place_Name],Table3[Place_Id], "Not found")</f>
        <v>Not found</v>
      </c>
    </row>
    <row r="70" spans="1:11" x14ac:dyDescent="0.25">
      <c r="A70">
        <v>69</v>
      </c>
      <c r="B70" t="s">
        <v>778</v>
      </c>
      <c r="C70">
        <f>_xlfn.XLOOKUP(Table14[[#This Row],[Place_Tourism1]],Table3[Place_Name],Table3[Place_Id], "Not found")</f>
        <v>364</v>
      </c>
      <c r="D70" t="s">
        <v>782</v>
      </c>
      <c r="E70">
        <f>_xlfn.XLOOKUP(Table14[[#This Row],[Place_Tourism2]],Table3[Place_Name],Table3[Place_Id], "Not found")</f>
        <v>366</v>
      </c>
      <c r="F70" t="s">
        <v>784</v>
      </c>
      <c r="G70">
        <f>_xlfn.XLOOKUP(Table14[[#This Row],[Place_Tourism3]],Table3[Place_Name],Table3[Place_Id], "Not found")</f>
        <v>367</v>
      </c>
      <c r="H70" t="s">
        <v>790</v>
      </c>
      <c r="I70">
        <f>_xlfn.XLOOKUP(Table14[[#This Row],[Place_Tourism4]],Table3[Place_Name],Table3[Place_Id], "Not found")</f>
        <v>370</v>
      </c>
      <c r="J70" t="s">
        <v>792</v>
      </c>
      <c r="K70">
        <f>_xlfn.XLOOKUP(Table14[[#This Row],[Place_Tourism5]],Table3[Place_Name],Table3[Place_Id], "Not found")</f>
        <v>371</v>
      </c>
    </row>
    <row r="71" spans="1:11" x14ac:dyDescent="0.25">
      <c r="A71">
        <v>70</v>
      </c>
      <c r="B71" t="s">
        <v>738</v>
      </c>
      <c r="C71">
        <f>_xlfn.XLOOKUP(Table14[[#This Row],[Place_Tourism1]],Table3[Place_Name],Table3[Place_Id], "Not found")</f>
        <v>344</v>
      </c>
      <c r="D71" t="s">
        <v>744</v>
      </c>
      <c r="E71">
        <f>_xlfn.XLOOKUP(Table14[[#This Row],[Place_Tourism2]],Table3[Place_Name],Table3[Place_Id], "Not found")</f>
        <v>347</v>
      </c>
      <c r="F71" t="s">
        <v>750</v>
      </c>
      <c r="G71">
        <f>_xlfn.XLOOKUP(Table14[[#This Row],[Place_Tourism3]],Table3[Place_Name],Table3[Place_Id], "Not found")</f>
        <v>350</v>
      </c>
      <c r="H71" t="s">
        <v>756</v>
      </c>
      <c r="I71">
        <f>_xlfn.XLOOKUP(Table14[[#This Row],[Place_Tourism4]],Table3[Place_Name],Table3[Place_Id], "Not found")</f>
        <v>353</v>
      </c>
      <c r="K71" t="str">
        <f>_xlfn.XLOOKUP(Table14[[#This Row],[Place_Tourism5]],Table3[Place_Name],Table3[Place_Id], "Not found")</f>
        <v>Not found</v>
      </c>
    </row>
    <row r="72" spans="1:11" x14ac:dyDescent="0.25">
      <c r="A72">
        <v>71</v>
      </c>
      <c r="B72" t="s">
        <v>782</v>
      </c>
      <c r="C72">
        <f>_xlfn.XLOOKUP(Table14[[#This Row],[Place_Tourism1]],Table3[Place_Name],Table3[Place_Id], "Not found")</f>
        <v>366</v>
      </c>
      <c r="D72" t="s">
        <v>786</v>
      </c>
      <c r="E72">
        <f>_xlfn.XLOOKUP(Table14[[#This Row],[Place_Tourism2]],Table3[Place_Name],Table3[Place_Id], "Not found")</f>
        <v>368</v>
      </c>
      <c r="F72" t="s">
        <v>788</v>
      </c>
      <c r="G72">
        <f>_xlfn.XLOOKUP(Table14[[#This Row],[Place_Tourism3]],Table3[Place_Name],Table3[Place_Id], "Not found")</f>
        <v>369</v>
      </c>
      <c r="H72" t="s">
        <v>794</v>
      </c>
      <c r="I72">
        <f>_xlfn.XLOOKUP(Table14[[#This Row],[Place_Tourism4]],Table3[Place_Name],Table3[Place_Id], "Not found")</f>
        <v>372</v>
      </c>
      <c r="J72" t="s">
        <v>796</v>
      </c>
      <c r="K72">
        <f>_xlfn.XLOOKUP(Table14[[#This Row],[Place_Tourism5]],Table3[Place_Name],Table3[Place_Id], "Not found")</f>
        <v>373</v>
      </c>
    </row>
    <row r="73" spans="1:11" x14ac:dyDescent="0.25">
      <c r="A73">
        <v>72</v>
      </c>
      <c r="B73" t="s">
        <v>752</v>
      </c>
      <c r="C73">
        <f>_xlfn.XLOOKUP(Table14[[#This Row],[Place_Tourism1]],Table3[Place_Name],Table3[Place_Id], "Not found")</f>
        <v>351</v>
      </c>
      <c r="D73" t="s">
        <v>764</v>
      </c>
      <c r="E73">
        <f>_xlfn.XLOOKUP(Table14[[#This Row],[Place_Tourism2]],Table3[Place_Name],Table3[Place_Id], "Not found")</f>
        <v>357</v>
      </c>
      <c r="F73" t="s">
        <v>808</v>
      </c>
      <c r="G73">
        <f>_xlfn.XLOOKUP(Table14[[#This Row],[Place_Tourism3]],Table3[Place_Name],Table3[Place_Id], "Not found")</f>
        <v>379</v>
      </c>
      <c r="I73" t="str">
        <f>_xlfn.XLOOKUP(Table14[[#This Row],[Place_Tourism4]],Table3[Place_Name],Table3[Place_Id], "Not found")</f>
        <v>Not found</v>
      </c>
      <c r="K73" t="str">
        <f>_xlfn.XLOOKUP(Table14[[#This Row],[Place_Tourism5]],Table3[Place_Name],Table3[Place_Id], "Not found")</f>
        <v>Not found</v>
      </c>
    </row>
    <row r="74" spans="1:11" x14ac:dyDescent="0.25">
      <c r="A74">
        <v>73</v>
      </c>
      <c r="B74" t="s">
        <v>786</v>
      </c>
      <c r="C74">
        <f>_xlfn.XLOOKUP(Table14[[#This Row],[Place_Tourism1]],Table3[Place_Name],Table3[Place_Id], "Not found")</f>
        <v>368</v>
      </c>
      <c r="D74" t="s">
        <v>788</v>
      </c>
      <c r="E74">
        <f>_xlfn.XLOOKUP(Table14[[#This Row],[Place_Tourism2]],Table3[Place_Name],Table3[Place_Id], "Not found")</f>
        <v>369</v>
      </c>
      <c r="F74" t="s">
        <v>794</v>
      </c>
      <c r="G74">
        <f>_xlfn.XLOOKUP(Table14[[#This Row],[Place_Tourism3]],Table3[Place_Name],Table3[Place_Id], "Not found")</f>
        <v>372</v>
      </c>
      <c r="H74" t="s">
        <v>798</v>
      </c>
      <c r="I74">
        <f>_xlfn.XLOOKUP(Table14[[#This Row],[Place_Tourism4]],Table3[Place_Name],Table3[Place_Id], "Not found")</f>
        <v>374</v>
      </c>
      <c r="J74" t="s">
        <v>800</v>
      </c>
      <c r="K74">
        <f>_xlfn.XLOOKUP(Table14[[#This Row],[Place_Tourism5]],Table3[Place_Name],Table3[Place_Id], "Not found")</f>
        <v>375</v>
      </c>
    </row>
    <row r="75" spans="1:11" x14ac:dyDescent="0.25">
      <c r="A75">
        <v>74</v>
      </c>
      <c r="B75" t="s">
        <v>722</v>
      </c>
      <c r="C75">
        <f>_xlfn.XLOOKUP(Table14[[#This Row],[Place_Tourism1]],Table3[Place_Name],Table3[Place_Id], "Not found")</f>
        <v>336</v>
      </c>
      <c r="D75" t="s">
        <v>730</v>
      </c>
      <c r="E75">
        <f>_xlfn.XLOOKUP(Table14[[#This Row],[Place_Tourism2]],Table3[Place_Name],Table3[Place_Id], "Not found")</f>
        <v>340</v>
      </c>
      <c r="F75" t="s">
        <v>732</v>
      </c>
      <c r="G75">
        <f>_xlfn.XLOOKUP(Table14[[#This Row],[Place_Tourism3]],Table3[Place_Name],Table3[Place_Id], "Not found")</f>
        <v>341</v>
      </c>
      <c r="I75" t="str">
        <f>_xlfn.XLOOKUP(Table14[[#This Row],[Place_Tourism4]],Table3[Place_Name],Table3[Place_Id], "Not found")</f>
        <v>Not found</v>
      </c>
      <c r="K75" t="str">
        <f>_xlfn.XLOOKUP(Table14[[#This Row],[Place_Tourism5]],Table3[Place_Name],Table3[Place_Id], "Not found")</f>
        <v>Not found</v>
      </c>
    </row>
    <row r="76" spans="1:11" x14ac:dyDescent="0.25">
      <c r="A76">
        <v>75</v>
      </c>
      <c r="B76" t="s">
        <v>746</v>
      </c>
      <c r="C76">
        <f>_xlfn.XLOOKUP(Table14[[#This Row],[Place_Tourism1]],Table3[Place_Name],Table3[Place_Id], "Not found")</f>
        <v>348</v>
      </c>
      <c r="D76" t="s">
        <v>758</v>
      </c>
      <c r="E76">
        <f>_xlfn.XLOOKUP(Table14[[#This Row],[Place_Tourism2]],Table3[Place_Name],Table3[Place_Id], "Not found")</f>
        <v>354</v>
      </c>
      <c r="F76" t="s">
        <v>762</v>
      </c>
      <c r="G76">
        <f>_xlfn.XLOOKUP(Table14[[#This Row],[Place_Tourism3]],Table3[Place_Name],Table3[Place_Id], "Not found")</f>
        <v>356</v>
      </c>
      <c r="I76" t="str">
        <f>_xlfn.XLOOKUP(Table14[[#This Row],[Place_Tourism4]],Table3[Place_Name],Table3[Place_Id], "Not found")</f>
        <v>Not found</v>
      </c>
      <c r="K76" t="str">
        <f>_xlfn.XLOOKUP(Table14[[#This Row],[Place_Tourism5]],Table3[Place_Name],Table3[Place_Id], "Not found")</f>
        <v>Not found</v>
      </c>
    </row>
    <row r="77" spans="1:11" x14ac:dyDescent="0.25">
      <c r="A77">
        <v>76</v>
      </c>
      <c r="B77" t="s">
        <v>717</v>
      </c>
      <c r="C77">
        <f>_xlfn.XLOOKUP(Table14[[#This Row],[Place_Tourism1]],Table3[Place_Name],Table3[Place_Id], "Not found")</f>
        <v>334</v>
      </c>
      <c r="D77" t="s">
        <v>720</v>
      </c>
      <c r="E77">
        <f>_xlfn.XLOOKUP(Table14[[#This Row],[Place_Tourism2]],Table3[Place_Name],Table3[Place_Id], "Not found")</f>
        <v>335</v>
      </c>
      <c r="F77" t="s">
        <v>724</v>
      </c>
      <c r="G77">
        <f>_xlfn.XLOOKUP(Table14[[#This Row],[Place_Tourism3]],Table3[Place_Name],Table3[Place_Id], "Not found")</f>
        <v>337</v>
      </c>
      <c r="I77" t="str">
        <f>_xlfn.XLOOKUP(Table14[[#This Row],[Place_Tourism4]],Table3[Place_Name],Table3[Place_Id], "Not found")</f>
        <v>Not found</v>
      </c>
      <c r="K77" t="str">
        <f>_xlfn.XLOOKUP(Table14[[#This Row],[Place_Tourism5]],Table3[Place_Name],Table3[Place_Id], "Not found")</f>
        <v>Not found</v>
      </c>
    </row>
    <row r="78" spans="1:11" x14ac:dyDescent="0.25">
      <c r="A78">
        <v>77</v>
      </c>
      <c r="B78" t="s">
        <v>780</v>
      </c>
      <c r="C78">
        <f>_xlfn.XLOOKUP(Table14[[#This Row],[Place_Tourism1]],Table3[Place_Name],Table3[Place_Id], "Not found")</f>
        <v>365</v>
      </c>
      <c r="D78" t="s">
        <v>790</v>
      </c>
      <c r="E78">
        <f>_xlfn.XLOOKUP(Table14[[#This Row],[Place_Tourism2]],Table3[Place_Name],Table3[Place_Id], "Not found")</f>
        <v>370</v>
      </c>
      <c r="F78" t="s">
        <v>800</v>
      </c>
      <c r="G78">
        <f>_xlfn.XLOOKUP(Table14[[#This Row],[Place_Tourism3]],Table3[Place_Name],Table3[Place_Id], "Not found")</f>
        <v>375</v>
      </c>
      <c r="H78" t="s">
        <v>802</v>
      </c>
      <c r="I78">
        <f>_xlfn.XLOOKUP(Table14[[#This Row],[Place_Tourism4]],Table3[Place_Name],Table3[Place_Id], "Not found")</f>
        <v>376</v>
      </c>
      <c r="K78" t="str">
        <f>_xlfn.XLOOKUP(Table14[[#This Row],[Place_Tourism5]],Table3[Place_Name],Table3[Place_Id], "Not found")</f>
        <v>Not found</v>
      </c>
    </row>
    <row r="79" spans="1:11" x14ac:dyDescent="0.25">
      <c r="A79">
        <v>78</v>
      </c>
      <c r="B79" t="s">
        <v>734</v>
      </c>
      <c r="C79">
        <f>_xlfn.XLOOKUP(Table14[[#This Row],[Place_Tourism1]],Table3[Place_Name],Table3[Place_Id], "Not found")</f>
        <v>342</v>
      </c>
      <c r="D79" t="s">
        <v>736</v>
      </c>
      <c r="E79">
        <f>_xlfn.XLOOKUP(Table14[[#This Row],[Place_Tourism2]],Table3[Place_Name],Table3[Place_Id], "Not found")</f>
        <v>343</v>
      </c>
      <c r="F79" t="s">
        <v>746</v>
      </c>
      <c r="G79">
        <f>_xlfn.XLOOKUP(Table14[[#This Row],[Place_Tourism3]],Table3[Place_Name],Table3[Place_Id], "Not found")</f>
        <v>348</v>
      </c>
      <c r="H79" t="s">
        <v>748</v>
      </c>
      <c r="I79">
        <f>_xlfn.XLOOKUP(Table14[[#This Row],[Place_Tourism4]],Table3[Place_Name],Table3[Place_Id], "Not found")</f>
        <v>349</v>
      </c>
      <c r="K79" t="str">
        <f>_xlfn.XLOOKUP(Table14[[#This Row],[Place_Tourism5]],Table3[Place_Name],Table3[Place_Id], "Not found")</f>
        <v>Not found</v>
      </c>
    </row>
    <row r="80" spans="1:11" x14ac:dyDescent="0.25">
      <c r="A80">
        <v>79</v>
      </c>
      <c r="B80" t="s">
        <v>778</v>
      </c>
      <c r="C80">
        <f>_xlfn.XLOOKUP(Table14[[#This Row],[Place_Tourism1]],Table3[Place_Name],Table3[Place_Id], "Not found")</f>
        <v>364</v>
      </c>
      <c r="D80" t="s">
        <v>784</v>
      </c>
      <c r="E80">
        <f>_xlfn.XLOOKUP(Table14[[#This Row],[Place_Tourism2]],Table3[Place_Name],Table3[Place_Id], "Not found")</f>
        <v>367</v>
      </c>
      <c r="F80" t="s">
        <v>792</v>
      </c>
      <c r="G80">
        <f>_xlfn.XLOOKUP(Table14[[#This Row],[Place_Tourism3]],Table3[Place_Name],Table3[Place_Id], "Not found")</f>
        <v>371</v>
      </c>
      <c r="H80" t="s">
        <v>798</v>
      </c>
      <c r="I80">
        <f>_xlfn.XLOOKUP(Table14[[#This Row],[Place_Tourism4]],Table3[Place_Name],Table3[Place_Id], "Not found")</f>
        <v>374</v>
      </c>
      <c r="K80" t="str">
        <f>_xlfn.XLOOKUP(Table14[[#This Row],[Place_Tourism5]],Table3[Place_Name],Table3[Place_Id], "Not found")</f>
        <v>Not found</v>
      </c>
    </row>
    <row r="81" spans="1:11" x14ac:dyDescent="0.25">
      <c r="A81">
        <v>80</v>
      </c>
      <c r="B81" t="s">
        <v>728</v>
      </c>
      <c r="C81">
        <f>_xlfn.XLOOKUP(Table14[[#This Row],[Place_Tourism1]],Table3[Place_Name],Table3[Place_Id], "Not found")</f>
        <v>339</v>
      </c>
      <c r="D81" t="s">
        <v>764</v>
      </c>
      <c r="E81">
        <f>_xlfn.XLOOKUP(Table14[[#This Row],[Place_Tourism2]],Table3[Place_Name],Table3[Place_Id], "Not found")</f>
        <v>357</v>
      </c>
      <c r="F81" t="s">
        <v>798</v>
      </c>
      <c r="G81">
        <f>_xlfn.XLOOKUP(Table14[[#This Row],[Place_Tourism3]],Table3[Place_Name],Table3[Place_Id], "Not found")</f>
        <v>374</v>
      </c>
      <c r="H81" t="s">
        <v>826</v>
      </c>
      <c r="I81">
        <f>_xlfn.XLOOKUP(Table14[[#This Row],[Place_Tourism4]],Table3[Place_Name],Table3[Place_Id], "Not found")</f>
        <v>388</v>
      </c>
      <c r="K81" t="str">
        <f>_xlfn.XLOOKUP(Table14[[#This Row],[Place_Tourism5]],Table3[Place_Name],Table3[Place_Id], "Not found")</f>
        <v>Not found</v>
      </c>
    </row>
    <row r="82" spans="1:11" x14ac:dyDescent="0.25">
      <c r="A82">
        <v>81</v>
      </c>
      <c r="B82" t="s">
        <v>839</v>
      </c>
      <c r="C82">
        <f>_xlfn.XLOOKUP(Table14[[#This Row],[Place_Tourism1]],Table3[Place_Name],Table3[Place_Id], "Not found")</f>
        <v>394</v>
      </c>
      <c r="D82" t="s">
        <v>851</v>
      </c>
      <c r="E82">
        <f>_xlfn.XLOOKUP(Table14[[#This Row],[Place_Tourism2]],Table3[Place_Name],Table3[Place_Id], "Not found")</f>
        <v>400</v>
      </c>
      <c r="F82" t="s">
        <v>917</v>
      </c>
      <c r="G82">
        <f>_xlfn.XLOOKUP(Table14[[#This Row],[Place_Tourism3]],Table3[Place_Name],Table3[Place_Id], "Not found")</f>
        <v>433</v>
      </c>
      <c r="H82" t="s">
        <v>921</v>
      </c>
      <c r="I82">
        <f>_xlfn.XLOOKUP(Table14[[#This Row],[Place_Tourism4]],Table3[Place_Name],Table3[Place_Id], "Not found")</f>
        <v>435</v>
      </c>
      <c r="K82" t="str">
        <f>_xlfn.XLOOKUP(Table14[[#This Row],[Place_Tourism5]],Table3[Place_Name],Table3[Place_Id], "Not found")</f>
        <v>Not found</v>
      </c>
    </row>
    <row r="83" spans="1:11" x14ac:dyDescent="0.25">
      <c r="A83">
        <v>82</v>
      </c>
      <c r="B83" t="s">
        <v>885</v>
      </c>
      <c r="C83">
        <f>_xlfn.XLOOKUP(Table14[[#This Row],[Place_Tourism1]],Table3[Place_Name],Table3[Place_Id], "Not found")</f>
        <v>417</v>
      </c>
      <c r="D83" t="s">
        <v>891</v>
      </c>
      <c r="E83">
        <f>_xlfn.XLOOKUP(Table14[[#This Row],[Place_Tourism2]],Table3[Place_Name],Table3[Place_Id], "Not found")</f>
        <v>420</v>
      </c>
      <c r="F83" t="s">
        <v>903</v>
      </c>
      <c r="G83">
        <f>_xlfn.XLOOKUP(Table14[[#This Row],[Place_Tourism3]],Table3[Place_Name],Table3[Place_Id], "Not found")</f>
        <v>426</v>
      </c>
      <c r="H83" t="s">
        <v>875</v>
      </c>
      <c r="I83">
        <f>_xlfn.XLOOKUP(Table14[[#This Row],[Place_Tourism4]],Table3[Place_Name],Table3[Place_Id], "Not found")</f>
        <v>412</v>
      </c>
      <c r="J83" t="s">
        <v>881</v>
      </c>
      <c r="K83">
        <f>_xlfn.XLOOKUP(Table14[[#This Row],[Place_Tourism5]],Table3[Place_Name],Table3[Place_Id], "Not found")</f>
        <v>415</v>
      </c>
    </row>
    <row r="84" spans="1:11" x14ac:dyDescent="0.25">
      <c r="A84">
        <v>83</v>
      </c>
      <c r="B84" t="s">
        <v>871</v>
      </c>
      <c r="C84">
        <f>_xlfn.XLOOKUP(Table14[[#This Row],[Place_Tourism1]],Table3[Place_Name],Table3[Place_Id], "Not found")</f>
        <v>410</v>
      </c>
      <c r="D84" t="s">
        <v>873</v>
      </c>
      <c r="E84">
        <f>_xlfn.XLOOKUP(Table14[[#This Row],[Place_Tourism2]],Table3[Place_Name],Table3[Place_Id], "Not found")</f>
        <v>411</v>
      </c>
      <c r="F84" t="s">
        <v>883</v>
      </c>
      <c r="G84">
        <f>_xlfn.XLOOKUP(Table14[[#This Row],[Place_Tourism3]],Table3[Place_Name],Table3[Place_Id], "Not found")</f>
        <v>416</v>
      </c>
      <c r="H84" t="s">
        <v>903</v>
      </c>
      <c r="I84">
        <f>_xlfn.XLOOKUP(Table14[[#This Row],[Place_Tourism4]],Table3[Place_Name],Table3[Place_Id], "Not found")</f>
        <v>426</v>
      </c>
      <c r="J84" t="s">
        <v>923</v>
      </c>
      <c r="K84">
        <f>_xlfn.XLOOKUP(Table14[[#This Row],[Place_Tourism5]],Table3[Place_Name],Table3[Place_Id], "Not found")</f>
        <v>436</v>
      </c>
    </row>
    <row r="85" spans="1:11" x14ac:dyDescent="0.25">
      <c r="A85">
        <v>84</v>
      </c>
      <c r="B85" t="s">
        <v>869</v>
      </c>
      <c r="C85">
        <f>_xlfn.XLOOKUP(Table14[[#This Row],[Place_Tourism1]],Table3[Place_Name],Table3[Place_Id], "Not found")</f>
        <v>409</v>
      </c>
      <c r="D85" t="s">
        <v>857</v>
      </c>
      <c r="E85">
        <f>_xlfn.XLOOKUP(Table14[[#This Row],[Place_Tourism2]],Table3[Place_Name],Table3[Place_Id], "Not found")</f>
        <v>403</v>
      </c>
      <c r="F85" t="s">
        <v>865</v>
      </c>
      <c r="G85">
        <f>_xlfn.XLOOKUP(Table14[[#This Row],[Place_Tourism3]],Table3[Place_Name],Table3[Place_Id], "Not found")</f>
        <v>407</v>
      </c>
      <c r="H85" t="s">
        <v>909</v>
      </c>
      <c r="I85">
        <f>_xlfn.XLOOKUP(Table14[[#This Row],[Place_Tourism4]],Table3[Place_Name],Table3[Place_Id], "Not found")</f>
        <v>429</v>
      </c>
      <c r="K85" t="str">
        <f>_xlfn.XLOOKUP(Table14[[#This Row],[Place_Tourism5]],Table3[Place_Name],Table3[Place_Id], "Not found")</f>
        <v>Not found</v>
      </c>
    </row>
    <row r="86" spans="1:11" x14ac:dyDescent="0.25">
      <c r="A86">
        <v>85</v>
      </c>
      <c r="B86" t="s">
        <v>837</v>
      </c>
      <c r="C86">
        <f>_xlfn.XLOOKUP(Table14[[#This Row],[Place_Tourism1]],Table3[Place_Name],Table3[Place_Id], "Not found")</f>
        <v>393</v>
      </c>
      <c r="D86" t="s">
        <v>841</v>
      </c>
      <c r="E86">
        <f>_xlfn.XLOOKUP(Table14[[#This Row],[Place_Tourism2]],Table3[Place_Name],Table3[Place_Id], "Not found")</f>
        <v>395</v>
      </c>
      <c r="F86" t="s">
        <v>897</v>
      </c>
      <c r="G86">
        <f>_xlfn.XLOOKUP(Table14[[#This Row],[Place_Tourism3]],Table3[Place_Name],Table3[Place_Id], "Not found")</f>
        <v>423</v>
      </c>
      <c r="I86" t="str">
        <f>_xlfn.XLOOKUP(Table14[[#This Row],[Place_Tourism4]],Table3[Place_Name],Table3[Place_Id], "Not found")</f>
        <v>Not found</v>
      </c>
      <c r="K86" t="str">
        <f>_xlfn.XLOOKUP(Table14[[#This Row],[Place_Tourism5]],Table3[Place_Name],Table3[Place_Id], "Not found")</f>
        <v>Not found</v>
      </c>
    </row>
    <row r="87" spans="1:11" x14ac:dyDescent="0.25">
      <c r="A87">
        <v>86</v>
      </c>
      <c r="B87" t="s">
        <v>879</v>
      </c>
      <c r="C87">
        <f>_xlfn.XLOOKUP(Table14[[#This Row],[Place_Tourism1]],Table3[Place_Name],Table3[Place_Id], "Not found")</f>
        <v>414</v>
      </c>
      <c r="D87" t="s">
        <v>889</v>
      </c>
      <c r="E87">
        <f>_xlfn.XLOOKUP(Table14[[#This Row],[Place_Tourism2]],Table3[Place_Name],Table3[Place_Id], "Not found")</f>
        <v>419</v>
      </c>
      <c r="F87" t="s">
        <v>901</v>
      </c>
      <c r="G87">
        <f>_xlfn.XLOOKUP(Table14[[#This Row],[Place_Tourism3]],Table3[Place_Name],Table3[Place_Id], "Not found")</f>
        <v>425</v>
      </c>
      <c r="H87" t="s">
        <v>915</v>
      </c>
      <c r="I87">
        <f>_xlfn.XLOOKUP(Table14[[#This Row],[Place_Tourism4]],Table3[Place_Name],Table3[Place_Id], "Not found")</f>
        <v>432</v>
      </c>
      <c r="K87" t="str">
        <f>_xlfn.XLOOKUP(Table14[[#This Row],[Place_Tourism5]],Table3[Place_Name],Table3[Place_Id], "Not found")</f>
        <v>Not found</v>
      </c>
    </row>
    <row r="88" spans="1:11" x14ac:dyDescent="0.25">
      <c r="A88">
        <v>87</v>
      </c>
      <c r="B88" t="s">
        <v>859</v>
      </c>
      <c r="C88">
        <f>_xlfn.XLOOKUP(Table14[[#This Row],[Place_Tourism1]],Table3[Place_Name],Table3[Place_Id], "Not found")</f>
        <v>404</v>
      </c>
      <c r="D88" t="s">
        <v>899</v>
      </c>
      <c r="E88">
        <f>_xlfn.XLOOKUP(Table14[[#This Row],[Place_Tourism2]],Table3[Place_Name],Table3[Place_Id], "Not found")</f>
        <v>424</v>
      </c>
      <c r="F88" t="s">
        <v>853</v>
      </c>
      <c r="G88">
        <f>_xlfn.XLOOKUP(Table14[[#This Row],[Place_Tourism3]],Table3[Place_Name],Table3[Place_Id], "Not found")</f>
        <v>401</v>
      </c>
      <c r="I88" t="str">
        <f>_xlfn.XLOOKUP(Table14[[#This Row],[Place_Tourism4]],Table3[Place_Name],Table3[Place_Id], "Not found")</f>
        <v>Not found</v>
      </c>
      <c r="K88" t="str">
        <f>_xlfn.XLOOKUP(Table14[[#This Row],[Place_Tourism5]],Table3[Place_Name],Table3[Place_Id], "Not found")</f>
        <v>Not found</v>
      </c>
    </row>
    <row r="89" spans="1:11" x14ac:dyDescent="0.25">
      <c r="A89">
        <v>88</v>
      </c>
      <c r="B89" t="s">
        <v>845</v>
      </c>
      <c r="C89">
        <f>_xlfn.XLOOKUP(Table14[[#This Row],[Place_Tourism1]],Table3[Place_Name],Table3[Place_Id], "Not found")</f>
        <v>397</v>
      </c>
      <c r="D89" t="s">
        <v>847</v>
      </c>
      <c r="E89">
        <f>_xlfn.XLOOKUP(Table14[[#This Row],[Place_Tourism2]],Table3[Place_Name],Table3[Place_Id], "Not found")</f>
        <v>398</v>
      </c>
      <c r="F89" t="s">
        <v>855</v>
      </c>
      <c r="G89">
        <f>_xlfn.XLOOKUP(Table14[[#This Row],[Place_Tourism3]],Table3[Place_Name],Table3[Place_Id], "Not found")</f>
        <v>402</v>
      </c>
      <c r="H89" t="s">
        <v>913</v>
      </c>
      <c r="I89">
        <f>_xlfn.XLOOKUP(Table14[[#This Row],[Place_Tourism4]],Table3[Place_Name],Table3[Place_Id], "Not found")</f>
        <v>431</v>
      </c>
      <c r="K89" t="str">
        <f>_xlfn.XLOOKUP(Table14[[#This Row],[Place_Tourism5]],Table3[Place_Name],Table3[Place_Id], "Not found")</f>
        <v>Not found</v>
      </c>
    </row>
    <row r="90" spans="1:11" x14ac:dyDescent="0.25">
      <c r="A90">
        <v>89</v>
      </c>
      <c r="B90" t="s">
        <v>867</v>
      </c>
      <c r="C90">
        <f>_xlfn.XLOOKUP(Table14[[#This Row],[Place_Tourism1]],Table3[Place_Name],Table3[Place_Id], "Not found")</f>
        <v>408</v>
      </c>
      <c r="D90" t="s">
        <v>877</v>
      </c>
      <c r="E90">
        <f>_xlfn.XLOOKUP(Table14[[#This Row],[Place_Tourism2]],Table3[Place_Name],Table3[Place_Id], "Not found")</f>
        <v>413</v>
      </c>
      <c r="F90" t="s">
        <v>887</v>
      </c>
      <c r="G90">
        <f>_xlfn.XLOOKUP(Table14[[#This Row],[Place_Tourism3]],Table3[Place_Name],Table3[Place_Id], "Not found")</f>
        <v>418</v>
      </c>
      <c r="H90" t="s">
        <v>893</v>
      </c>
      <c r="I90">
        <f>_xlfn.XLOOKUP(Table14[[#This Row],[Place_Tourism4]],Table3[Place_Name],Table3[Place_Id], "Not found")</f>
        <v>421</v>
      </c>
      <c r="J90" t="s">
        <v>895</v>
      </c>
      <c r="K90">
        <f>_xlfn.XLOOKUP(Table14[[#This Row],[Place_Tourism5]],Table3[Place_Name],Table3[Place_Id], "Not found")</f>
        <v>422</v>
      </c>
    </row>
    <row r="91" spans="1:11" x14ac:dyDescent="0.25">
      <c r="A91">
        <v>90</v>
      </c>
      <c r="B91" t="s">
        <v>887</v>
      </c>
      <c r="C91">
        <f>_xlfn.XLOOKUP(Table14[[#This Row],[Place_Tourism1]],Table3[Place_Name],Table3[Place_Id], "Not found")</f>
        <v>418</v>
      </c>
      <c r="D91" t="s">
        <v>893</v>
      </c>
      <c r="E91">
        <f>_xlfn.XLOOKUP(Table14[[#This Row],[Place_Tourism2]],Table3[Place_Name],Table3[Place_Id], "Not found")</f>
        <v>421</v>
      </c>
      <c r="F91" t="s">
        <v>895</v>
      </c>
      <c r="G91">
        <f>_xlfn.XLOOKUP(Table14[[#This Row],[Place_Tourism3]],Table3[Place_Name],Table3[Place_Id], "Not found")</f>
        <v>422</v>
      </c>
      <c r="H91" t="s">
        <v>905</v>
      </c>
      <c r="I91">
        <f>_xlfn.XLOOKUP(Table14[[#This Row],[Place_Tourism4]],Table3[Place_Name],Table3[Place_Id], "Not found")</f>
        <v>427</v>
      </c>
      <c r="J91" t="s">
        <v>907</v>
      </c>
      <c r="K91">
        <f>_xlfn.XLOOKUP(Table14[[#This Row],[Place_Tourism5]],Table3[Place_Name],Table3[Place_Id], "Not found")</f>
        <v>428</v>
      </c>
    </row>
    <row r="92" spans="1:11" x14ac:dyDescent="0.25">
      <c r="A92">
        <v>91</v>
      </c>
      <c r="B92" t="s">
        <v>832</v>
      </c>
      <c r="C92">
        <f>_xlfn.XLOOKUP(Table14[[#This Row],[Place_Tourism1]],Table3[Place_Name],Table3[Place_Id], "Not found")</f>
        <v>391</v>
      </c>
      <c r="D92" t="s">
        <v>835</v>
      </c>
      <c r="E92">
        <f>_xlfn.XLOOKUP(Table14[[#This Row],[Place_Tourism2]],Table3[Place_Name],Table3[Place_Id], "Not found")</f>
        <v>392</v>
      </c>
      <c r="F92" t="s">
        <v>919</v>
      </c>
      <c r="G92">
        <f>_xlfn.XLOOKUP(Table14[[#This Row],[Place_Tourism3]],Table3[Place_Name],Table3[Place_Id], "Not found")</f>
        <v>434</v>
      </c>
      <c r="I92" t="str">
        <f>_xlfn.XLOOKUP(Table14[[#This Row],[Place_Tourism4]],Table3[Place_Name],Table3[Place_Id], "Not found")</f>
        <v>Not found</v>
      </c>
      <c r="K92" t="str">
        <f>_xlfn.XLOOKUP(Table14[[#This Row],[Place_Tourism5]],Table3[Place_Name],Table3[Place_Id], "Not found")</f>
        <v>Not found</v>
      </c>
    </row>
    <row r="93" spans="1:11" x14ac:dyDescent="0.25">
      <c r="A93">
        <v>92</v>
      </c>
      <c r="B93" t="s">
        <v>843</v>
      </c>
      <c r="C93">
        <f>_xlfn.XLOOKUP(Table14[[#This Row],[Place_Tourism1]],Table3[Place_Name],Table3[Place_Id], "Not found")</f>
        <v>396</v>
      </c>
      <c r="D93" t="s">
        <v>863</v>
      </c>
      <c r="E93">
        <f>_xlfn.XLOOKUP(Table14[[#This Row],[Place_Tourism2]],Table3[Place_Name],Table3[Place_Id], "Not found")</f>
        <v>406</v>
      </c>
      <c r="F93" t="s">
        <v>919</v>
      </c>
      <c r="G93">
        <f>_xlfn.XLOOKUP(Table14[[#This Row],[Place_Tourism3]],Table3[Place_Name],Table3[Place_Id], "Not found")</f>
        <v>434</v>
      </c>
      <c r="I93" t="str">
        <f>_xlfn.XLOOKUP(Table14[[#This Row],[Place_Tourism4]],Table3[Place_Name],Table3[Place_Id], "Not found")</f>
        <v>Not found</v>
      </c>
      <c r="K93" t="str">
        <f>_xlfn.XLOOKUP(Table14[[#This Row],[Place_Tourism5]],Table3[Place_Name],Table3[Place_Id], "Not found")</f>
        <v>Not found</v>
      </c>
    </row>
    <row r="94" spans="1:11" x14ac:dyDescent="0.25">
      <c r="A94">
        <v>93</v>
      </c>
      <c r="B94" t="s">
        <v>875</v>
      </c>
      <c r="C94">
        <f>_xlfn.XLOOKUP(Table14[[#This Row],[Place_Tourism1]],Table3[Place_Name],Table3[Place_Id], "Not found")</f>
        <v>412</v>
      </c>
      <c r="D94" t="s">
        <v>883</v>
      </c>
      <c r="E94">
        <f>_xlfn.XLOOKUP(Table14[[#This Row],[Place_Tourism2]],Table3[Place_Name],Table3[Place_Id], "Not found")</f>
        <v>416</v>
      </c>
      <c r="F94" t="s">
        <v>885</v>
      </c>
      <c r="G94">
        <f>_xlfn.XLOOKUP(Table14[[#This Row],[Place_Tourism3]],Table3[Place_Name],Table3[Place_Id], "Not found")</f>
        <v>417</v>
      </c>
      <c r="H94" t="s">
        <v>891</v>
      </c>
      <c r="I94">
        <f>_xlfn.XLOOKUP(Table14[[#This Row],[Place_Tourism4]],Table3[Place_Name],Table3[Place_Id], "Not found")</f>
        <v>420</v>
      </c>
      <c r="J94" t="s">
        <v>911</v>
      </c>
      <c r="K94">
        <f>_xlfn.XLOOKUP(Table14[[#This Row],[Place_Tourism5]],Table3[Place_Name],Table3[Place_Id], "Not found")</f>
        <v>430</v>
      </c>
    </row>
    <row r="95" spans="1:11" x14ac:dyDescent="0.25">
      <c r="A95">
        <v>94</v>
      </c>
      <c r="B95" t="s">
        <v>845</v>
      </c>
      <c r="C95">
        <f>_xlfn.XLOOKUP(Table14[[#This Row],[Place_Tourism1]],Table3[Place_Name],Table3[Place_Id], "Not found")</f>
        <v>397</v>
      </c>
      <c r="D95" t="s">
        <v>847</v>
      </c>
      <c r="E95">
        <f>_xlfn.XLOOKUP(Table14[[#This Row],[Place_Tourism2]],Table3[Place_Name],Table3[Place_Id], "Not found")</f>
        <v>398</v>
      </c>
      <c r="F95" t="s">
        <v>849</v>
      </c>
      <c r="G95">
        <f>_xlfn.XLOOKUP(Table14[[#This Row],[Place_Tourism3]],Table3[Place_Name],Table3[Place_Id], "Not found")</f>
        <v>399</v>
      </c>
      <c r="H95" t="s">
        <v>855</v>
      </c>
      <c r="I95">
        <f>_xlfn.XLOOKUP(Table14[[#This Row],[Place_Tourism4]],Table3[Place_Name],Table3[Place_Id], "Not found")</f>
        <v>402</v>
      </c>
      <c r="J95" t="s">
        <v>861</v>
      </c>
      <c r="K95">
        <f>_xlfn.XLOOKUP(Table14[[#This Row],[Place_Tourism5]],Table3[Place_Name],Table3[Place_Id], "Not found")</f>
        <v>405</v>
      </c>
    </row>
    <row r="96" spans="1:11" x14ac:dyDescent="0.25">
      <c r="A96">
        <v>95</v>
      </c>
      <c r="B96" t="s">
        <v>875</v>
      </c>
      <c r="C96">
        <f>_xlfn.XLOOKUP(Table14[[#This Row],[Place_Tourism1]],Table3[Place_Name],Table3[Place_Id], "Not found")</f>
        <v>412</v>
      </c>
      <c r="D96" t="s">
        <v>911</v>
      </c>
      <c r="E96">
        <f>_xlfn.XLOOKUP(Table14[[#This Row],[Place_Tourism2]],Table3[Place_Name],Table3[Place_Id], "Not found")</f>
        <v>430</v>
      </c>
      <c r="F96" t="s">
        <v>879</v>
      </c>
      <c r="G96">
        <f>_xlfn.XLOOKUP(Table14[[#This Row],[Place_Tourism3]],Table3[Place_Name],Table3[Place_Id], "Not found")</f>
        <v>414</v>
      </c>
      <c r="H96" t="s">
        <v>915</v>
      </c>
      <c r="I96">
        <f>_xlfn.XLOOKUP(Table14[[#This Row],[Place_Tourism4]],Table3[Place_Name],Table3[Place_Id], "Not found")</f>
        <v>432</v>
      </c>
      <c r="K96" t="str">
        <f>_xlfn.XLOOKUP(Table14[[#This Row],[Place_Tourism5]],Table3[Place_Name],Table3[Place_Id], "Not found")</f>
        <v>Not found</v>
      </c>
    </row>
    <row r="97" spans="1:11" x14ac:dyDescent="0.25">
      <c r="A97">
        <v>96</v>
      </c>
      <c r="B97" t="s">
        <v>832</v>
      </c>
      <c r="C97">
        <f>_xlfn.XLOOKUP(Table14[[#This Row],[Place_Tourism1]],Table3[Place_Name],Table3[Place_Id], "Not found")</f>
        <v>391</v>
      </c>
      <c r="D97" t="s">
        <v>835</v>
      </c>
      <c r="E97">
        <f>_xlfn.XLOOKUP(Table14[[#This Row],[Place_Tourism2]],Table3[Place_Name],Table3[Place_Id], "Not found")</f>
        <v>392</v>
      </c>
      <c r="F97" t="s">
        <v>843</v>
      </c>
      <c r="G97">
        <f>_xlfn.XLOOKUP(Table14[[#This Row],[Place_Tourism3]],Table3[Place_Name],Table3[Place_Id], "Not found")</f>
        <v>396</v>
      </c>
      <c r="H97" t="s">
        <v>863</v>
      </c>
      <c r="I97">
        <f>_xlfn.XLOOKUP(Table14[[#This Row],[Place_Tourism4]],Table3[Place_Name],Table3[Place_Id], "Not found")</f>
        <v>406</v>
      </c>
      <c r="J97" t="s">
        <v>879</v>
      </c>
      <c r="K97">
        <f>_xlfn.XLOOKUP(Table14[[#This Row],[Place_Tourism5]],Table3[Place_Name],Table3[Place_Id], "Not found")</f>
        <v>414</v>
      </c>
    </row>
    <row r="98" spans="1:11" x14ac:dyDescent="0.25">
      <c r="A98">
        <v>97</v>
      </c>
      <c r="B98" t="s">
        <v>869</v>
      </c>
      <c r="C98">
        <f>_xlfn.XLOOKUP(Table14[[#This Row],[Place_Tourism1]],Table3[Place_Name],Table3[Place_Id], "Not found")</f>
        <v>409</v>
      </c>
      <c r="D98" t="s">
        <v>857</v>
      </c>
      <c r="E98">
        <f>_xlfn.XLOOKUP(Table14[[#This Row],[Place_Tourism2]],Table3[Place_Name],Table3[Place_Id], "Not found")</f>
        <v>403</v>
      </c>
      <c r="F98" t="s">
        <v>865</v>
      </c>
      <c r="G98">
        <f>_xlfn.XLOOKUP(Table14[[#This Row],[Place_Tourism3]],Table3[Place_Name],Table3[Place_Id], "Not found")</f>
        <v>407</v>
      </c>
      <c r="H98" t="s">
        <v>853</v>
      </c>
      <c r="I98">
        <f>_xlfn.XLOOKUP(Table14[[#This Row],[Place_Tourism4]],Table3[Place_Name],Table3[Place_Id], "Not found")</f>
        <v>401</v>
      </c>
      <c r="J98" t="s">
        <v>909</v>
      </c>
      <c r="K98">
        <f>_xlfn.XLOOKUP(Table14[[#This Row],[Place_Tourism5]],Table3[Place_Name],Table3[Place_Id], "Not found")</f>
        <v>429</v>
      </c>
    </row>
    <row r="99" spans="1:11" x14ac:dyDescent="0.25">
      <c r="A99">
        <v>98</v>
      </c>
      <c r="B99" t="s">
        <v>891</v>
      </c>
      <c r="C99">
        <f>_xlfn.XLOOKUP(Table14[[#This Row],[Place_Tourism1]],Table3[Place_Name],Table3[Place_Id], "Not found")</f>
        <v>420</v>
      </c>
      <c r="D99" t="s">
        <v>903</v>
      </c>
      <c r="E99">
        <f>_xlfn.XLOOKUP(Table14[[#This Row],[Place_Tourism2]],Table3[Place_Name],Table3[Place_Id], "Not found")</f>
        <v>426</v>
      </c>
      <c r="F99" t="s">
        <v>911</v>
      </c>
      <c r="G99">
        <f>_xlfn.XLOOKUP(Table14[[#This Row],[Place_Tourism3]],Table3[Place_Name],Table3[Place_Id], "Not found")</f>
        <v>430</v>
      </c>
      <c r="H99" t="s">
        <v>917</v>
      </c>
      <c r="I99">
        <f>_xlfn.XLOOKUP(Table14[[#This Row],[Place_Tourism4]],Table3[Place_Name],Table3[Place_Id], "Not found")</f>
        <v>433</v>
      </c>
      <c r="J99" t="s">
        <v>921</v>
      </c>
      <c r="K99">
        <f>_xlfn.XLOOKUP(Table14[[#This Row],[Place_Tourism5]],Table3[Place_Name],Table3[Place_Id], "Not found")</f>
        <v>435</v>
      </c>
    </row>
    <row r="100" spans="1:11" x14ac:dyDescent="0.25">
      <c r="A100">
        <v>99</v>
      </c>
      <c r="B100" t="s">
        <v>863</v>
      </c>
      <c r="C100">
        <f>_xlfn.XLOOKUP(Table14[[#This Row],[Place_Tourism1]],Table3[Place_Name],Table3[Place_Id], "Not found")</f>
        <v>406</v>
      </c>
      <c r="D100" t="s">
        <v>879</v>
      </c>
      <c r="E100">
        <f>_xlfn.XLOOKUP(Table14[[#This Row],[Place_Tourism2]],Table3[Place_Name],Table3[Place_Id], "Not found")</f>
        <v>414</v>
      </c>
      <c r="F100" t="s">
        <v>889</v>
      </c>
      <c r="G100">
        <f>_xlfn.XLOOKUP(Table14[[#This Row],[Place_Tourism3]],Table3[Place_Name],Table3[Place_Id], "Not found")</f>
        <v>419</v>
      </c>
      <c r="H100" t="s">
        <v>915</v>
      </c>
      <c r="I100">
        <f>_xlfn.XLOOKUP(Table14[[#This Row],[Place_Tourism4]],Table3[Place_Name],Table3[Place_Id], "Not found")</f>
        <v>432</v>
      </c>
      <c r="J100" t="s">
        <v>919</v>
      </c>
      <c r="K100">
        <f>_xlfn.XLOOKUP(Table14[[#This Row],[Place_Tourism5]],Table3[Place_Name],Table3[Place_Id], "Not found")</f>
        <v>434</v>
      </c>
    </row>
    <row r="101" spans="1:11" x14ac:dyDescent="0.25">
      <c r="A101">
        <v>100</v>
      </c>
      <c r="B101" t="s">
        <v>845</v>
      </c>
      <c r="C101">
        <f>_xlfn.XLOOKUP(Table14[[#This Row],[Place_Tourism1]],Table3[Place_Name],Table3[Place_Id], "Not found")</f>
        <v>397</v>
      </c>
      <c r="D101" t="s">
        <v>849</v>
      </c>
      <c r="E101">
        <f>_xlfn.XLOOKUP(Table14[[#This Row],[Place_Tourism2]],Table3[Place_Name],Table3[Place_Id], "Not found")</f>
        <v>399</v>
      </c>
      <c r="F101" t="s">
        <v>855</v>
      </c>
      <c r="G101">
        <f>_xlfn.XLOOKUP(Table14[[#This Row],[Place_Tourism3]],Table3[Place_Name],Table3[Place_Id], "Not found")</f>
        <v>402</v>
      </c>
      <c r="H101" t="s">
        <v>861</v>
      </c>
      <c r="I101">
        <f>_xlfn.XLOOKUP(Table14[[#This Row],[Place_Tourism4]],Table3[Place_Name],Table3[Place_Id], "Not found")</f>
        <v>405</v>
      </c>
      <c r="J101" t="s">
        <v>913</v>
      </c>
      <c r="K101">
        <f>_xlfn.XLOOKUP(Table14[[#This Row],[Place_Tourism5]],Table3[Place_Name],Table3[Place_Id], "Not found")</f>
        <v>431</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7A5260-6B3A-4519-9922-CBFD288E89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Table14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Raihan Abdillah (Student)</dc:creator>
  <cp:lastModifiedBy>Raihan Abdillah (Student)</cp:lastModifiedBy>
  <dcterms:created xsi:type="dcterms:W3CDTF">2026-10-21T09:23:21Z</dcterms:created>
  <dcterms:modified xsi:type="dcterms:W3CDTF">2026-10-21T14:24:11Z</dcterms:modified>
</cp:coreProperties>
</file>